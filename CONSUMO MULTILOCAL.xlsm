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teclados\Informe\"/>
    </mc:Choice>
  </mc:AlternateContent>
  <xr:revisionPtr revIDLastSave="0" documentId="13_ncr:1_{BEAB3DA6-7309-4BD1-A46C-03742956BC1E}" xr6:coauthVersionLast="47" xr6:coauthVersionMax="47" xr10:uidLastSave="{00000000-0000-0000-0000-000000000000}"/>
  <bookViews>
    <workbookView xWindow="-120" yWindow="-120" windowWidth="20730" windowHeight="11160" tabRatio="788" firstSheet="18" activeTab="18" xr2:uid="{00000000-000D-0000-FFFF-FFFF00000000}"/>
  </bookViews>
  <sheets>
    <sheet name="RECETAS" sheetId="7" r:id="rId1"/>
    <sheet name="VENTAS T1" sheetId="1" r:id="rId2"/>
    <sheet name="T1" sheetId="20" r:id="rId3"/>
    <sheet name="VENTAS T2" sheetId="8" r:id="rId4"/>
    <sheet name="T2" sheetId="21" r:id="rId5"/>
    <sheet name="VENTAS T3" sheetId="9" r:id="rId6"/>
    <sheet name="T3" sheetId="22" r:id="rId7"/>
    <sheet name="VENTAS T4" sheetId="10" r:id="rId8"/>
    <sheet name="T4" sheetId="23" r:id="rId9"/>
    <sheet name="VENTAS T5" sheetId="12" r:id="rId10"/>
    <sheet name="T5" sheetId="24" r:id="rId11"/>
    <sheet name="VENTAS T6" sheetId="13" r:id="rId12"/>
    <sheet name="T6" sheetId="25" r:id="rId13"/>
    <sheet name="VENTAS T7" sheetId="11" r:id="rId14"/>
    <sheet name="T7" sheetId="27" r:id="rId15"/>
    <sheet name="VALORIZACION CARTA" sheetId="28" r:id="rId16"/>
    <sheet name="DATOS COMIDAT1" sheetId="3" r:id="rId17"/>
    <sheet name="Hoja14" sheetId="29" r:id="rId18"/>
    <sheet name="RESULTADOS T1" sheetId="4" r:id="rId19"/>
  </sheets>
  <definedNames>
    <definedName name="_xlnm._FilterDatabase" localSheetId="16" hidden="1">'DATOS COMIDAT1'!$G$3:$G$1139</definedName>
    <definedName name="CONSUMOS1">Tabla3[]</definedName>
    <definedName name="CONSUMOS2">Tabla35[]</definedName>
    <definedName name="CONSUMOS3">Tabla36[]</definedName>
    <definedName name="CONSUMOS4">Tabla367[]</definedName>
    <definedName name="CONSUMOS5">Tabla36789[]</definedName>
    <definedName name="DatosExternos_1" localSheetId="2" hidden="1">'T1'!$A$1:$B$286</definedName>
    <definedName name="DatosExternos_2" localSheetId="4" hidden="1">'T2'!$A$1:$B$3</definedName>
    <definedName name="DatosExternos_3" localSheetId="6" hidden="1">'T3'!$A$1:$B$280</definedName>
    <definedName name="DatosExternos_4" localSheetId="8" hidden="1">'T4'!$A$1:$B$225</definedName>
    <definedName name="DatosExternos_5" localSheetId="10" hidden="1">'T5'!$A$1:$B$225</definedName>
    <definedName name="DatosExternos_6" localSheetId="12" hidden="1">'T6'!$A$1:$B$252</definedName>
    <definedName name="DatosExternos_8" localSheetId="14" hidden="1">'T7'!$A$1:$B$236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" l="1"/>
  <c r="G2" i="4"/>
  <c r="D3" i="4"/>
  <c r="G3" i="4"/>
  <c r="D4" i="4"/>
  <c r="G4" i="4"/>
  <c r="D5" i="4"/>
  <c r="G5" i="4"/>
  <c r="D6" i="4"/>
  <c r="G6" i="4"/>
  <c r="D7" i="4"/>
  <c r="G7" i="4"/>
  <c r="D8" i="4"/>
  <c r="G8" i="4"/>
  <c r="D9" i="4"/>
  <c r="G9" i="4"/>
  <c r="D10" i="4"/>
  <c r="G10" i="4"/>
  <c r="D11" i="4"/>
  <c r="G11" i="4"/>
  <c r="D12" i="4"/>
  <c r="G12" i="4"/>
  <c r="D13" i="4"/>
  <c r="G13" i="4"/>
  <c r="D14" i="4"/>
  <c r="G14" i="4"/>
  <c r="D15" i="4"/>
  <c r="G15" i="4"/>
  <c r="D16" i="4"/>
  <c r="G16" i="4"/>
  <c r="D17" i="4"/>
  <c r="G17" i="4"/>
  <c r="D18" i="4"/>
  <c r="G18" i="4"/>
  <c r="D19" i="4"/>
  <c r="G19" i="4"/>
  <c r="D20" i="4"/>
  <c r="G20" i="4"/>
  <c r="D21" i="4"/>
  <c r="G21" i="4"/>
  <c r="D22" i="4"/>
  <c r="G22" i="4"/>
  <c r="D23" i="4"/>
  <c r="G23" i="4"/>
  <c r="D24" i="4"/>
  <c r="G24" i="4"/>
  <c r="D25" i="4"/>
  <c r="G25" i="4"/>
  <c r="D26" i="4"/>
  <c r="G26" i="4"/>
  <c r="D27" i="4"/>
  <c r="G27" i="4"/>
  <c r="D28" i="4"/>
  <c r="G28" i="4"/>
  <c r="D29" i="4"/>
  <c r="G29" i="4"/>
  <c r="D30" i="4"/>
  <c r="G30" i="4"/>
  <c r="D31" i="4"/>
  <c r="G31" i="4"/>
  <c r="D32" i="4"/>
  <c r="G32" i="4"/>
  <c r="D33" i="4"/>
  <c r="G33" i="4"/>
  <c r="D34" i="4"/>
  <c r="G34" i="4"/>
  <c r="D35" i="4"/>
  <c r="G35" i="4"/>
  <c r="D36" i="4"/>
  <c r="G36" i="4"/>
  <c r="D37" i="4"/>
  <c r="G37" i="4"/>
  <c r="D38" i="4"/>
  <c r="G38" i="4"/>
  <c r="D39" i="4"/>
  <c r="G39" i="4"/>
  <c r="D40" i="4"/>
  <c r="G40" i="4"/>
  <c r="D41" i="4"/>
  <c r="G41" i="4"/>
  <c r="D42" i="4"/>
  <c r="G42" i="4"/>
  <c r="D43" i="4"/>
  <c r="G43" i="4"/>
  <c r="D44" i="4"/>
  <c r="G44" i="4"/>
  <c r="D45" i="4"/>
  <c r="G45" i="4"/>
  <c r="D46" i="4"/>
  <c r="G46" i="4"/>
  <c r="D47" i="4"/>
  <c r="G47" i="4"/>
  <c r="D48" i="4"/>
  <c r="G48" i="4"/>
  <c r="D49" i="4"/>
  <c r="G49" i="4"/>
  <c r="D50" i="4"/>
  <c r="G50" i="4"/>
  <c r="D51" i="4"/>
  <c r="G51" i="4"/>
  <c r="D52" i="4"/>
  <c r="G52" i="4"/>
  <c r="D53" i="4"/>
  <c r="G53" i="4"/>
  <c r="D54" i="4"/>
  <c r="G54" i="4"/>
  <c r="D55" i="4"/>
  <c r="G55" i="4"/>
  <c r="D56" i="4"/>
  <c r="G56" i="4"/>
  <c r="D57" i="4"/>
  <c r="G57" i="4"/>
  <c r="D58" i="4"/>
  <c r="G58" i="4"/>
  <c r="D59" i="4"/>
  <c r="G59" i="4"/>
  <c r="D60" i="4"/>
  <c r="G60" i="4"/>
  <c r="D61" i="4"/>
  <c r="G61" i="4"/>
  <c r="D62" i="4"/>
  <c r="G62" i="4"/>
  <c r="D63" i="4"/>
  <c r="G63" i="4"/>
  <c r="D64" i="4"/>
  <c r="G64" i="4"/>
  <c r="D65" i="4"/>
  <c r="G65" i="4"/>
  <c r="D66" i="4"/>
  <c r="G66" i="4"/>
  <c r="D67" i="4"/>
  <c r="G67" i="4"/>
  <c r="D68" i="4"/>
  <c r="G68" i="4"/>
  <c r="D69" i="4"/>
  <c r="G69" i="4"/>
  <c r="D70" i="4"/>
  <c r="G70" i="4"/>
  <c r="D71" i="4"/>
  <c r="G71" i="4"/>
  <c r="D72" i="4"/>
  <c r="G72" i="4"/>
  <c r="D73" i="4"/>
  <c r="G73" i="4"/>
  <c r="D74" i="4"/>
  <c r="G74" i="4"/>
  <c r="D75" i="4"/>
  <c r="G75" i="4"/>
  <c r="D76" i="4"/>
  <c r="G76" i="4"/>
  <c r="D77" i="4"/>
  <c r="G77" i="4"/>
  <c r="D78" i="4"/>
  <c r="G78" i="4"/>
  <c r="D79" i="4"/>
  <c r="G79" i="4"/>
  <c r="D80" i="4"/>
  <c r="G80" i="4"/>
  <c r="D81" i="4"/>
  <c r="G81" i="4"/>
  <c r="D82" i="4"/>
  <c r="G82" i="4"/>
  <c r="D83" i="4"/>
  <c r="G83" i="4"/>
  <c r="D84" i="4"/>
  <c r="G84" i="4"/>
  <c r="D85" i="4"/>
  <c r="G85" i="4"/>
  <c r="D86" i="4"/>
  <c r="G86" i="4"/>
  <c r="D87" i="4"/>
  <c r="G87" i="4"/>
  <c r="D88" i="4"/>
  <c r="G88" i="4"/>
  <c r="D89" i="4"/>
  <c r="G89" i="4"/>
  <c r="D90" i="4"/>
  <c r="G90" i="4"/>
  <c r="D91" i="4"/>
  <c r="G91" i="4"/>
  <c r="D92" i="4"/>
  <c r="G92" i="4"/>
  <c r="D93" i="4"/>
  <c r="G93" i="4"/>
  <c r="D94" i="4"/>
  <c r="G94" i="4"/>
  <c r="D95" i="4"/>
  <c r="G95" i="4"/>
  <c r="D96" i="4"/>
  <c r="G96" i="4"/>
  <c r="D97" i="4"/>
  <c r="G97" i="4"/>
  <c r="D98" i="4"/>
  <c r="G98" i="4"/>
  <c r="D99" i="4"/>
  <c r="G99" i="4"/>
  <c r="D100" i="4"/>
  <c r="G100" i="4"/>
  <c r="D101" i="4"/>
  <c r="G101" i="4"/>
  <c r="D102" i="4"/>
  <c r="G102" i="4"/>
  <c r="D103" i="4"/>
  <c r="G103" i="4"/>
  <c r="D104" i="4"/>
  <c r="G104" i="4"/>
  <c r="D105" i="4"/>
  <c r="G105" i="4"/>
  <c r="D106" i="4"/>
  <c r="G106" i="4"/>
  <c r="D107" i="4"/>
  <c r="G107" i="4"/>
  <c r="D108" i="4"/>
  <c r="G108" i="4"/>
  <c r="D109" i="4"/>
  <c r="G109" i="4"/>
  <c r="D110" i="4"/>
  <c r="G110" i="4"/>
  <c r="D111" i="4"/>
  <c r="G111" i="4"/>
  <c r="D112" i="4"/>
  <c r="G112" i="4"/>
  <c r="D113" i="4"/>
  <c r="G113" i="4"/>
  <c r="D114" i="4"/>
  <c r="G114" i="4"/>
  <c r="D115" i="4"/>
  <c r="G115" i="4"/>
  <c r="D116" i="4"/>
  <c r="G116" i="4"/>
  <c r="D117" i="4"/>
  <c r="G117" i="4"/>
  <c r="D118" i="4"/>
  <c r="G118" i="4"/>
  <c r="D119" i="4"/>
  <c r="G119" i="4"/>
  <c r="D120" i="4"/>
  <c r="G120" i="4"/>
  <c r="D121" i="4"/>
  <c r="G121" i="4"/>
  <c r="D122" i="4"/>
  <c r="G122" i="4"/>
  <c r="D123" i="4"/>
  <c r="G123" i="4"/>
  <c r="D124" i="4"/>
  <c r="G124" i="4"/>
  <c r="D125" i="4"/>
  <c r="G125" i="4"/>
  <c r="D126" i="4"/>
  <c r="G126" i="4"/>
  <c r="D127" i="4"/>
  <c r="G127" i="4"/>
  <c r="D128" i="4"/>
  <c r="G128" i="4"/>
  <c r="D129" i="4"/>
  <c r="G129" i="4"/>
  <c r="D130" i="4"/>
  <c r="G130" i="4"/>
  <c r="D131" i="4"/>
  <c r="G131" i="4"/>
  <c r="D132" i="4"/>
  <c r="G132" i="4"/>
  <c r="D133" i="4"/>
  <c r="G133" i="4"/>
  <c r="D134" i="4"/>
  <c r="G134" i="4"/>
  <c r="D135" i="4"/>
  <c r="G135" i="4"/>
  <c r="D136" i="4"/>
  <c r="G136" i="4"/>
  <c r="D137" i="4"/>
  <c r="G137" i="4"/>
  <c r="D138" i="4"/>
  <c r="G138" i="4"/>
  <c r="D139" i="4"/>
  <c r="G139" i="4"/>
  <c r="D140" i="4"/>
  <c r="G140" i="4"/>
  <c r="D141" i="4"/>
  <c r="G141" i="4"/>
  <c r="D142" i="4"/>
  <c r="G142" i="4"/>
  <c r="D143" i="4"/>
  <c r="G143" i="4"/>
  <c r="D144" i="4"/>
  <c r="G144" i="4"/>
  <c r="D145" i="4"/>
  <c r="G145" i="4"/>
  <c r="D146" i="4"/>
  <c r="G146" i="4"/>
  <c r="D147" i="4"/>
  <c r="G147" i="4"/>
  <c r="D148" i="4"/>
  <c r="G148" i="4"/>
  <c r="D149" i="4"/>
  <c r="G149" i="4"/>
  <c r="D150" i="4"/>
  <c r="G150" i="4"/>
  <c r="D151" i="4"/>
  <c r="G151" i="4"/>
  <c r="D152" i="4"/>
  <c r="G152" i="4"/>
  <c r="D153" i="4"/>
  <c r="G153" i="4"/>
  <c r="D154" i="4"/>
  <c r="G154" i="4"/>
  <c r="D155" i="4"/>
  <c r="G155" i="4"/>
  <c r="D156" i="4"/>
  <c r="G156" i="4"/>
  <c r="D157" i="4"/>
  <c r="G157" i="4"/>
  <c r="D158" i="4"/>
  <c r="G158" i="4"/>
  <c r="D159" i="4"/>
  <c r="G159" i="4"/>
  <c r="D160" i="4"/>
  <c r="G160" i="4"/>
  <c r="D161" i="4"/>
  <c r="G161" i="4"/>
  <c r="D162" i="4"/>
  <c r="G162" i="4"/>
  <c r="D163" i="4"/>
  <c r="G163" i="4"/>
  <c r="D164" i="4"/>
  <c r="G164" i="4"/>
  <c r="D165" i="4"/>
  <c r="G165" i="4"/>
  <c r="D166" i="4"/>
  <c r="G166" i="4"/>
  <c r="D167" i="4"/>
  <c r="G167" i="4"/>
  <c r="D168" i="4"/>
  <c r="G168" i="4"/>
  <c r="D169" i="4"/>
  <c r="G169" i="4"/>
  <c r="D170" i="4"/>
  <c r="G170" i="4"/>
  <c r="D171" i="4"/>
  <c r="G171" i="4"/>
  <c r="D172" i="4"/>
  <c r="G172" i="4"/>
  <c r="D173" i="4"/>
  <c r="G173" i="4"/>
  <c r="D174" i="4"/>
  <c r="G174" i="4"/>
  <c r="D175" i="4"/>
  <c r="G175" i="4"/>
  <c r="D176" i="4"/>
  <c r="G176" i="4"/>
  <c r="D177" i="4"/>
  <c r="G177" i="4"/>
  <c r="D178" i="4"/>
  <c r="G178" i="4"/>
  <c r="D179" i="4"/>
  <c r="G179" i="4"/>
  <c r="D180" i="4"/>
  <c r="G180" i="4"/>
  <c r="D181" i="4"/>
  <c r="G181" i="4"/>
  <c r="D182" i="4"/>
  <c r="G182" i="4"/>
  <c r="D183" i="4"/>
  <c r="G183" i="4"/>
  <c r="D184" i="4"/>
  <c r="G184" i="4"/>
  <c r="D185" i="4"/>
  <c r="G185" i="4"/>
  <c r="D186" i="4"/>
  <c r="G186" i="4"/>
  <c r="D187" i="4"/>
  <c r="G187" i="4"/>
  <c r="D188" i="4"/>
  <c r="G188" i="4"/>
  <c r="D189" i="4"/>
  <c r="G189" i="4"/>
  <c r="D190" i="4"/>
  <c r="G190" i="4"/>
  <c r="D191" i="4"/>
  <c r="G191" i="4"/>
  <c r="D192" i="4"/>
  <c r="G192" i="4"/>
  <c r="D193" i="4"/>
  <c r="G193" i="4"/>
  <c r="D194" i="4"/>
  <c r="G194" i="4"/>
  <c r="D195" i="4"/>
  <c r="G195" i="4"/>
  <c r="D196" i="4"/>
  <c r="G196" i="4"/>
  <c r="D197" i="4"/>
  <c r="G197" i="4"/>
  <c r="D198" i="4"/>
  <c r="G198" i="4"/>
  <c r="D199" i="4"/>
  <c r="G199" i="4"/>
  <c r="D200" i="4"/>
  <c r="G200" i="4"/>
  <c r="D201" i="4"/>
  <c r="C2" i="20"/>
  <c r="D2" i="20" s="1"/>
  <c r="C3" i="20"/>
  <c r="D3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16" i="20"/>
  <c r="D16" i="20" s="1"/>
  <c r="C17" i="20"/>
  <c r="D17" i="20" s="1"/>
  <c r="C18" i="20"/>
  <c r="D18" i="20" s="1"/>
  <c r="C19" i="20"/>
  <c r="D19" i="20" s="1"/>
  <c r="C20" i="20"/>
  <c r="D20" i="20" s="1"/>
  <c r="C21" i="20"/>
  <c r="D21" i="20" s="1"/>
  <c r="C22" i="20"/>
  <c r="D22" i="20" s="1"/>
  <c r="C23" i="20"/>
  <c r="D23" i="20" s="1"/>
  <c r="C24" i="20"/>
  <c r="D24" i="20" s="1"/>
  <c r="C25" i="20"/>
  <c r="D25" i="20" s="1"/>
  <c r="C26" i="20"/>
  <c r="D26" i="20" s="1"/>
  <c r="C27" i="20"/>
  <c r="D27" i="20" s="1"/>
  <c r="C28" i="20"/>
  <c r="D28" i="20" s="1"/>
  <c r="C29" i="20"/>
  <c r="D29" i="20" s="1"/>
  <c r="C30" i="20"/>
  <c r="D30" i="20" s="1"/>
  <c r="C31" i="20"/>
  <c r="D31" i="20" s="1"/>
  <c r="C32" i="20"/>
  <c r="D32" i="20" s="1"/>
  <c r="C33" i="20"/>
  <c r="D33" i="20" s="1"/>
  <c r="C34" i="20"/>
  <c r="D34" i="20" s="1"/>
  <c r="C35" i="20"/>
  <c r="D35" i="20" s="1"/>
  <c r="C36" i="20"/>
  <c r="D36" i="20" s="1"/>
  <c r="C37" i="20"/>
  <c r="D37" i="20" s="1"/>
  <c r="C38" i="20"/>
  <c r="D38" i="20" s="1"/>
  <c r="C39" i="20"/>
  <c r="D39" i="20" s="1"/>
  <c r="C40" i="20"/>
  <c r="D40" i="20" s="1"/>
  <c r="C41" i="20"/>
  <c r="D41" i="20" s="1"/>
  <c r="C42" i="20"/>
  <c r="D42" i="20" s="1"/>
  <c r="C43" i="20"/>
  <c r="D43" i="20" s="1"/>
  <c r="C44" i="20"/>
  <c r="D44" i="20" s="1"/>
  <c r="C45" i="20"/>
  <c r="D45" i="20" s="1"/>
  <c r="C46" i="20"/>
  <c r="D46" i="20" s="1"/>
  <c r="C47" i="20"/>
  <c r="D47" i="20" s="1"/>
  <c r="C48" i="20"/>
  <c r="D48" i="20" s="1"/>
  <c r="C49" i="20"/>
  <c r="D49" i="20" s="1"/>
  <c r="C50" i="20"/>
  <c r="D50" i="20" s="1"/>
  <c r="C51" i="20"/>
  <c r="D51" i="20" s="1"/>
  <c r="C52" i="20"/>
  <c r="D52" i="20" s="1"/>
  <c r="C53" i="20"/>
  <c r="D53" i="20" s="1"/>
  <c r="C54" i="20"/>
  <c r="D54" i="20" s="1"/>
  <c r="C55" i="20"/>
  <c r="D55" i="20" s="1"/>
  <c r="C56" i="20"/>
  <c r="D56" i="20" s="1"/>
  <c r="C57" i="20"/>
  <c r="D57" i="20" s="1"/>
  <c r="C58" i="20"/>
  <c r="D58" i="20" s="1"/>
  <c r="C59" i="20"/>
  <c r="D59" i="20" s="1"/>
  <c r="C60" i="20"/>
  <c r="D60" i="20" s="1"/>
  <c r="C61" i="20"/>
  <c r="D61" i="20" s="1"/>
  <c r="C62" i="20"/>
  <c r="D62" i="20" s="1"/>
  <c r="C63" i="20"/>
  <c r="D63" i="20" s="1"/>
  <c r="C64" i="20"/>
  <c r="D64" i="20" s="1"/>
  <c r="C65" i="20"/>
  <c r="D65" i="20" s="1"/>
  <c r="C66" i="20"/>
  <c r="D66" i="20" s="1"/>
  <c r="C67" i="20"/>
  <c r="D67" i="20" s="1"/>
  <c r="C68" i="20"/>
  <c r="D68" i="20" s="1"/>
  <c r="C69" i="20"/>
  <c r="D69" i="20" s="1"/>
  <c r="C70" i="20"/>
  <c r="D70" i="20" s="1"/>
  <c r="C71" i="20"/>
  <c r="D71" i="20" s="1"/>
  <c r="C72" i="20"/>
  <c r="D72" i="20" s="1"/>
  <c r="C73" i="20"/>
  <c r="D73" i="20" s="1"/>
  <c r="C74" i="20"/>
  <c r="D74" i="20" s="1"/>
  <c r="C75" i="20"/>
  <c r="D75" i="20" s="1"/>
  <c r="C76" i="20"/>
  <c r="D76" i="20" s="1"/>
  <c r="C77" i="20"/>
  <c r="D77" i="20" s="1"/>
  <c r="C78" i="20"/>
  <c r="D78" i="20" s="1"/>
  <c r="C79" i="20"/>
  <c r="D79" i="20" s="1"/>
  <c r="C80" i="20"/>
  <c r="D80" i="20" s="1"/>
  <c r="C81" i="20"/>
  <c r="D81" i="20" s="1"/>
  <c r="C82" i="20"/>
  <c r="D82" i="20" s="1"/>
  <c r="C83" i="20"/>
  <c r="D83" i="20" s="1"/>
  <c r="C84" i="20"/>
  <c r="D84" i="20" s="1"/>
  <c r="C85" i="20"/>
  <c r="D85" i="20" s="1"/>
  <c r="C86" i="20"/>
  <c r="D86" i="20" s="1"/>
  <c r="C87" i="20"/>
  <c r="D87" i="20" s="1"/>
  <c r="C88" i="20"/>
  <c r="D88" i="20" s="1"/>
  <c r="C89" i="20"/>
  <c r="D89" i="20" s="1"/>
  <c r="C90" i="20"/>
  <c r="D90" i="20" s="1"/>
  <c r="C91" i="20"/>
  <c r="D91" i="20" s="1"/>
  <c r="C92" i="20"/>
  <c r="D92" i="20" s="1"/>
  <c r="C93" i="20"/>
  <c r="D93" i="20" s="1"/>
  <c r="C94" i="20"/>
  <c r="D94" i="20" s="1"/>
  <c r="C95" i="20"/>
  <c r="D95" i="20" s="1"/>
  <c r="C96" i="20"/>
  <c r="D96" i="20" s="1"/>
  <c r="C97" i="20"/>
  <c r="D97" i="20" s="1"/>
  <c r="C98" i="20"/>
  <c r="D98" i="20" s="1"/>
  <c r="C99" i="20"/>
  <c r="D99" i="20" s="1"/>
  <c r="C100" i="20"/>
  <c r="D100" i="20" s="1"/>
  <c r="C101" i="20"/>
  <c r="D101" i="20" s="1"/>
  <c r="C102" i="20"/>
  <c r="D102" i="20" s="1"/>
  <c r="C103" i="20"/>
  <c r="D103" i="20" s="1"/>
  <c r="C104" i="20"/>
  <c r="D104" i="20" s="1"/>
  <c r="C105" i="20"/>
  <c r="D105" i="20" s="1"/>
  <c r="C106" i="20"/>
  <c r="D106" i="20" s="1"/>
  <c r="C107" i="20"/>
  <c r="D107" i="20" s="1"/>
  <c r="C108" i="20"/>
  <c r="D108" i="20" s="1"/>
  <c r="C109" i="20"/>
  <c r="D109" i="20" s="1"/>
  <c r="C110" i="20"/>
  <c r="D110" i="20" s="1"/>
  <c r="C111" i="20"/>
  <c r="D111" i="20" s="1"/>
  <c r="C112" i="20"/>
  <c r="D112" i="20" s="1"/>
  <c r="C113" i="20"/>
  <c r="D113" i="20" s="1"/>
  <c r="C114" i="20"/>
  <c r="D114" i="20" s="1"/>
  <c r="C115" i="20"/>
  <c r="D115" i="20" s="1"/>
  <c r="C116" i="20"/>
  <c r="D116" i="20" s="1"/>
  <c r="C117" i="20"/>
  <c r="D117" i="20" s="1"/>
  <c r="C118" i="20"/>
  <c r="D118" i="20" s="1"/>
  <c r="C119" i="20"/>
  <c r="D119" i="20" s="1"/>
  <c r="C120" i="20"/>
  <c r="D120" i="20" s="1"/>
  <c r="C121" i="20"/>
  <c r="D121" i="20" s="1"/>
  <c r="C122" i="20"/>
  <c r="D122" i="20" s="1"/>
  <c r="C123" i="20"/>
  <c r="D123" i="20" s="1"/>
  <c r="C124" i="20"/>
  <c r="D124" i="20" s="1"/>
  <c r="C125" i="20"/>
  <c r="D125" i="20" s="1"/>
  <c r="C126" i="20"/>
  <c r="D126" i="20" s="1"/>
  <c r="C127" i="20"/>
  <c r="D127" i="20" s="1"/>
  <c r="C128" i="20"/>
  <c r="D128" i="20" s="1"/>
  <c r="C129" i="20"/>
  <c r="D129" i="20" s="1"/>
  <c r="C130" i="20"/>
  <c r="D130" i="20" s="1"/>
  <c r="C131" i="20"/>
  <c r="D131" i="20" s="1"/>
  <c r="C132" i="20"/>
  <c r="D132" i="20" s="1"/>
  <c r="C133" i="20"/>
  <c r="D133" i="20" s="1"/>
  <c r="C134" i="20"/>
  <c r="D134" i="20" s="1"/>
  <c r="C135" i="20"/>
  <c r="D135" i="20" s="1"/>
  <c r="C136" i="20"/>
  <c r="D136" i="20" s="1"/>
  <c r="C137" i="20"/>
  <c r="D137" i="20" s="1"/>
  <c r="C138" i="20"/>
  <c r="D138" i="20" s="1"/>
  <c r="C139" i="20"/>
  <c r="D139" i="20" s="1"/>
  <c r="C140" i="20"/>
  <c r="D140" i="20" s="1"/>
  <c r="C141" i="20"/>
  <c r="D141" i="20" s="1"/>
  <c r="C142" i="20"/>
  <c r="D142" i="20" s="1"/>
  <c r="C143" i="20"/>
  <c r="D143" i="20" s="1"/>
  <c r="C144" i="20"/>
  <c r="D144" i="20" s="1"/>
  <c r="C145" i="20"/>
  <c r="D145" i="20" s="1"/>
  <c r="C146" i="20"/>
  <c r="D146" i="20" s="1"/>
  <c r="C147" i="20"/>
  <c r="D147" i="20" s="1"/>
  <c r="C148" i="20"/>
  <c r="D148" i="20" s="1"/>
  <c r="C149" i="20"/>
  <c r="D149" i="20" s="1"/>
  <c r="C150" i="20"/>
  <c r="D150" i="20" s="1"/>
  <c r="C151" i="20"/>
  <c r="D151" i="20" s="1"/>
  <c r="C152" i="20"/>
  <c r="D152" i="20" s="1"/>
  <c r="C153" i="20"/>
  <c r="D153" i="20" s="1"/>
  <c r="C154" i="20"/>
  <c r="D154" i="20" s="1"/>
  <c r="C155" i="20"/>
  <c r="D155" i="20" s="1"/>
  <c r="C156" i="20"/>
  <c r="D156" i="20" s="1"/>
  <c r="C157" i="20"/>
  <c r="D157" i="20" s="1"/>
  <c r="C158" i="20"/>
  <c r="D158" i="20" s="1"/>
  <c r="C159" i="20"/>
  <c r="D159" i="20" s="1"/>
  <c r="C160" i="20"/>
  <c r="D160" i="20" s="1"/>
  <c r="C161" i="20"/>
  <c r="D161" i="20" s="1"/>
  <c r="C162" i="20"/>
  <c r="D162" i="20" s="1"/>
  <c r="C163" i="20"/>
  <c r="D163" i="20" s="1"/>
  <c r="C164" i="20"/>
  <c r="D164" i="20" s="1"/>
  <c r="C165" i="20"/>
  <c r="D165" i="20" s="1"/>
  <c r="C166" i="20"/>
  <c r="D166" i="20" s="1"/>
  <c r="C167" i="20"/>
  <c r="D167" i="20" s="1"/>
  <c r="C168" i="20"/>
  <c r="D168" i="20" s="1"/>
  <c r="C169" i="20"/>
  <c r="D169" i="20" s="1"/>
  <c r="C170" i="20"/>
  <c r="D170" i="20" s="1"/>
  <c r="C171" i="20"/>
  <c r="D171" i="20" s="1"/>
  <c r="C172" i="20"/>
  <c r="D172" i="20" s="1"/>
  <c r="C173" i="20"/>
  <c r="D173" i="20" s="1"/>
  <c r="C174" i="20"/>
  <c r="D174" i="20" s="1"/>
  <c r="C175" i="20"/>
  <c r="D175" i="20" s="1"/>
  <c r="C176" i="20"/>
  <c r="D176" i="20" s="1"/>
  <c r="C177" i="20"/>
  <c r="D177" i="20" s="1"/>
  <c r="C178" i="20"/>
  <c r="D178" i="20" s="1"/>
  <c r="C179" i="20"/>
  <c r="D179" i="20" s="1"/>
  <c r="C180" i="20"/>
  <c r="D180" i="20" s="1"/>
  <c r="C181" i="20"/>
  <c r="D181" i="20" s="1"/>
  <c r="C182" i="20"/>
  <c r="D182" i="20" s="1"/>
  <c r="C183" i="20"/>
  <c r="D183" i="20" s="1"/>
  <c r="C184" i="20"/>
  <c r="D184" i="20" s="1"/>
  <c r="C185" i="20"/>
  <c r="D185" i="20" s="1"/>
  <c r="C186" i="20"/>
  <c r="D186" i="20" s="1"/>
  <c r="C187" i="20"/>
  <c r="D187" i="20" s="1"/>
  <c r="C188" i="20"/>
  <c r="D188" i="20" s="1"/>
  <c r="C189" i="20"/>
  <c r="D189" i="20" s="1"/>
  <c r="C190" i="20"/>
  <c r="D190" i="20" s="1"/>
  <c r="C191" i="20"/>
  <c r="D191" i="20" s="1"/>
  <c r="C192" i="20"/>
  <c r="D192" i="20" s="1"/>
  <c r="C193" i="20"/>
  <c r="D193" i="20" s="1"/>
  <c r="C194" i="20"/>
  <c r="D194" i="20" s="1"/>
  <c r="C195" i="20"/>
  <c r="D195" i="20" s="1"/>
  <c r="C196" i="20"/>
  <c r="D196" i="20" s="1"/>
  <c r="C197" i="20"/>
  <c r="D197" i="20" s="1"/>
  <c r="C198" i="20"/>
  <c r="D198" i="20" s="1"/>
  <c r="C199" i="20"/>
  <c r="D199" i="20" s="1"/>
  <c r="C200" i="20"/>
  <c r="D200" i="20" s="1"/>
  <c r="C201" i="20"/>
  <c r="D201" i="20" s="1"/>
  <c r="C202" i="20"/>
  <c r="D202" i="20" s="1"/>
  <c r="C203" i="20"/>
  <c r="D203" i="20" s="1"/>
  <c r="C204" i="20"/>
  <c r="D204" i="20" s="1"/>
  <c r="C205" i="20"/>
  <c r="D205" i="20" s="1"/>
  <c r="C206" i="20"/>
  <c r="D206" i="20" s="1"/>
  <c r="C207" i="20"/>
  <c r="D207" i="20" s="1"/>
  <c r="C208" i="20"/>
  <c r="D208" i="20" s="1"/>
  <c r="C209" i="20"/>
  <c r="D209" i="20" s="1"/>
  <c r="C210" i="20"/>
  <c r="D210" i="20" s="1"/>
  <c r="C211" i="20"/>
  <c r="D211" i="20" s="1"/>
  <c r="C212" i="20"/>
  <c r="D212" i="20" s="1"/>
  <c r="C213" i="20"/>
  <c r="D213" i="20" s="1"/>
  <c r="C214" i="20"/>
  <c r="D214" i="20" s="1"/>
  <c r="C215" i="20"/>
  <c r="D215" i="20" s="1"/>
  <c r="C216" i="20"/>
  <c r="D216" i="20" s="1"/>
  <c r="C217" i="20"/>
  <c r="D217" i="20" s="1"/>
  <c r="C218" i="20"/>
  <c r="D218" i="20" s="1"/>
  <c r="C219" i="20"/>
  <c r="D219" i="20" s="1"/>
  <c r="C220" i="20"/>
  <c r="D220" i="20" s="1"/>
  <c r="C221" i="20"/>
  <c r="D221" i="20" s="1"/>
  <c r="C222" i="20"/>
  <c r="D222" i="20" s="1"/>
  <c r="C223" i="20"/>
  <c r="D223" i="20" s="1"/>
  <c r="C224" i="20"/>
  <c r="D224" i="20" s="1"/>
  <c r="C225" i="20"/>
  <c r="D225" i="20" s="1"/>
  <c r="C226" i="20"/>
  <c r="D226" i="20" s="1"/>
  <c r="C227" i="20"/>
  <c r="D227" i="20" s="1"/>
  <c r="C228" i="20"/>
  <c r="D228" i="20" s="1"/>
  <c r="C229" i="20"/>
  <c r="D229" i="20" s="1"/>
  <c r="C230" i="20"/>
  <c r="D230" i="20" s="1"/>
  <c r="C231" i="20"/>
  <c r="D231" i="20" s="1"/>
  <c r="C232" i="20"/>
  <c r="D232" i="20" s="1"/>
  <c r="C233" i="20"/>
  <c r="D233" i="20" s="1"/>
  <c r="C234" i="20"/>
  <c r="D234" i="20" s="1"/>
  <c r="C235" i="20"/>
  <c r="D235" i="20" s="1"/>
  <c r="C236" i="20"/>
  <c r="D236" i="20" s="1"/>
  <c r="C237" i="20"/>
  <c r="D237" i="20" s="1"/>
  <c r="C238" i="20"/>
  <c r="D238" i="20" s="1"/>
  <c r="C239" i="20"/>
  <c r="D239" i="20" s="1"/>
  <c r="C240" i="20"/>
  <c r="D240" i="20" s="1"/>
  <c r="C241" i="20"/>
  <c r="D241" i="20" s="1"/>
  <c r="C242" i="20"/>
  <c r="D242" i="20" s="1"/>
  <c r="C243" i="20"/>
  <c r="D243" i="20" s="1"/>
  <c r="C244" i="20"/>
  <c r="D244" i="20" s="1"/>
  <c r="C245" i="20"/>
  <c r="D245" i="20" s="1"/>
  <c r="C246" i="20"/>
  <c r="D246" i="20" s="1"/>
  <c r="C247" i="20"/>
  <c r="D247" i="20" s="1"/>
  <c r="C248" i="20"/>
  <c r="D248" i="20" s="1"/>
  <c r="C249" i="20"/>
  <c r="D249" i="20" s="1"/>
  <c r="C250" i="20"/>
  <c r="D250" i="20" s="1"/>
  <c r="C251" i="20"/>
  <c r="D251" i="20" s="1"/>
  <c r="C252" i="20"/>
  <c r="D252" i="20" s="1"/>
  <c r="C253" i="20"/>
  <c r="D253" i="20" s="1"/>
  <c r="C254" i="20"/>
  <c r="D254" i="20" s="1"/>
  <c r="C255" i="20"/>
  <c r="D255" i="20" s="1"/>
  <c r="C256" i="20"/>
  <c r="D256" i="20" s="1"/>
  <c r="C257" i="20"/>
  <c r="D257" i="20" s="1"/>
  <c r="C258" i="20"/>
  <c r="D258" i="20" s="1"/>
  <c r="C259" i="20"/>
  <c r="D259" i="20" s="1"/>
  <c r="C260" i="20"/>
  <c r="D260" i="20" s="1"/>
  <c r="C261" i="20"/>
  <c r="D261" i="20" s="1"/>
  <c r="C262" i="20"/>
  <c r="D262" i="20" s="1"/>
  <c r="C263" i="20"/>
  <c r="D263" i="20" s="1"/>
  <c r="C264" i="20"/>
  <c r="D264" i="20" s="1"/>
  <c r="C265" i="20"/>
  <c r="D265" i="20" s="1"/>
  <c r="C266" i="20"/>
  <c r="D266" i="20" s="1"/>
  <c r="C267" i="20"/>
  <c r="D267" i="20" s="1"/>
  <c r="C268" i="20"/>
  <c r="D268" i="20" s="1"/>
  <c r="C269" i="20"/>
  <c r="D269" i="20" s="1"/>
  <c r="C270" i="20"/>
  <c r="D270" i="20" s="1"/>
  <c r="C271" i="20"/>
  <c r="D271" i="20" s="1"/>
  <c r="C272" i="20"/>
  <c r="D272" i="20" s="1"/>
  <c r="C273" i="20"/>
  <c r="D273" i="20" s="1"/>
  <c r="C274" i="20"/>
  <c r="D274" i="20" s="1"/>
  <c r="C275" i="20"/>
  <c r="D275" i="20" s="1"/>
  <c r="C276" i="20"/>
  <c r="D276" i="20" s="1"/>
  <c r="C277" i="20"/>
  <c r="D277" i="20" s="1"/>
  <c r="C278" i="20"/>
  <c r="D278" i="20" s="1"/>
  <c r="C279" i="20"/>
  <c r="D279" i="20" s="1"/>
  <c r="C280" i="20"/>
  <c r="D280" i="20" s="1"/>
  <c r="C281" i="20"/>
  <c r="D281" i="20" s="1"/>
  <c r="C282" i="20"/>
  <c r="D282" i="20" s="1"/>
  <c r="C283" i="20"/>
  <c r="D283" i="20" s="1"/>
  <c r="C284" i="20"/>
  <c r="D284" i="20" s="1"/>
  <c r="C285" i="20"/>
  <c r="D285" i="20" s="1"/>
  <c r="C286" i="20"/>
  <c r="D286" i="20" s="1"/>
  <c r="C2" i="22"/>
  <c r="D2" i="22" s="1"/>
  <c r="C3" i="22"/>
  <c r="D3" i="22" s="1"/>
  <c r="C4" i="22"/>
  <c r="D4" i="22" s="1"/>
  <c r="C5" i="22"/>
  <c r="D5" i="22" s="1"/>
  <c r="C6" i="22"/>
  <c r="D6" i="22" s="1"/>
  <c r="C7" i="22"/>
  <c r="D7" i="22" s="1"/>
  <c r="C8" i="22"/>
  <c r="D8" i="22" s="1"/>
  <c r="C9" i="22"/>
  <c r="D9" i="22" s="1"/>
  <c r="C10" i="22"/>
  <c r="D10" i="22" s="1"/>
  <c r="C11" i="22"/>
  <c r="D11" i="22" s="1"/>
  <c r="C12" i="22"/>
  <c r="D12" i="22" s="1"/>
  <c r="C13" i="22"/>
  <c r="D13" i="22" s="1"/>
  <c r="C14" i="22"/>
  <c r="D14" i="22" s="1"/>
  <c r="C15" i="22"/>
  <c r="D15" i="22" s="1"/>
  <c r="C16" i="22"/>
  <c r="D16" i="22" s="1"/>
  <c r="C17" i="22"/>
  <c r="D17" i="22" s="1"/>
  <c r="C18" i="22"/>
  <c r="D18" i="22" s="1"/>
  <c r="C19" i="22"/>
  <c r="D19" i="22" s="1"/>
  <c r="C20" i="22"/>
  <c r="D20" i="22" s="1"/>
  <c r="C21" i="22"/>
  <c r="D21" i="22" s="1"/>
  <c r="C22" i="22"/>
  <c r="D22" i="22" s="1"/>
  <c r="C23" i="22"/>
  <c r="D23" i="22" s="1"/>
  <c r="C24" i="22"/>
  <c r="D24" i="22" s="1"/>
  <c r="C25" i="22"/>
  <c r="D25" i="22" s="1"/>
  <c r="C26" i="22"/>
  <c r="D26" i="22" s="1"/>
  <c r="C27" i="22"/>
  <c r="D27" i="22" s="1"/>
  <c r="C28" i="22"/>
  <c r="D28" i="22" s="1"/>
  <c r="C29" i="22"/>
  <c r="D29" i="22" s="1"/>
  <c r="C30" i="22"/>
  <c r="D30" i="22" s="1"/>
  <c r="C31" i="22"/>
  <c r="D31" i="22" s="1"/>
  <c r="C32" i="22"/>
  <c r="D32" i="22" s="1"/>
  <c r="C33" i="22"/>
  <c r="D33" i="22" s="1"/>
  <c r="C34" i="22"/>
  <c r="D34" i="22" s="1"/>
  <c r="C35" i="22"/>
  <c r="D35" i="22" s="1"/>
  <c r="C36" i="22"/>
  <c r="D36" i="22" s="1"/>
  <c r="C37" i="22"/>
  <c r="D37" i="22" s="1"/>
  <c r="C38" i="22"/>
  <c r="D38" i="22" s="1"/>
  <c r="C39" i="22"/>
  <c r="D39" i="22" s="1"/>
  <c r="C40" i="22"/>
  <c r="D40" i="22" s="1"/>
  <c r="C41" i="22"/>
  <c r="D41" i="22" s="1"/>
  <c r="C42" i="22"/>
  <c r="D42" i="22" s="1"/>
  <c r="C43" i="22"/>
  <c r="D43" i="22" s="1"/>
  <c r="C44" i="22"/>
  <c r="D44" i="22" s="1"/>
  <c r="C45" i="22"/>
  <c r="D45" i="22" s="1"/>
  <c r="C46" i="22"/>
  <c r="D46" i="22" s="1"/>
  <c r="C47" i="22"/>
  <c r="D47" i="22" s="1"/>
  <c r="C48" i="22"/>
  <c r="D48" i="22" s="1"/>
  <c r="C49" i="22"/>
  <c r="D49" i="22" s="1"/>
  <c r="C50" i="22"/>
  <c r="D50" i="22" s="1"/>
  <c r="C51" i="22"/>
  <c r="D51" i="22" s="1"/>
  <c r="C52" i="22"/>
  <c r="D52" i="22" s="1"/>
  <c r="C53" i="22"/>
  <c r="D53" i="22" s="1"/>
  <c r="C54" i="22"/>
  <c r="D54" i="22" s="1"/>
  <c r="C55" i="22"/>
  <c r="D55" i="22" s="1"/>
  <c r="C56" i="22"/>
  <c r="D56" i="22" s="1"/>
  <c r="C57" i="22"/>
  <c r="D57" i="22" s="1"/>
  <c r="C58" i="22"/>
  <c r="D58" i="22" s="1"/>
  <c r="C59" i="22"/>
  <c r="D59" i="22" s="1"/>
  <c r="C60" i="22"/>
  <c r="D60" i="22" s="1"/>
  <c r="C61" i="22"/>
  <c r="D61" i="22" s="1"/>
  <c r="C62" i="22"/>
  <c r="D62" i="22" s="1"/>
  <c r="C63" i="22"/>
  <c r="D63" i="22" s="1"/>
  <c r="C64" i="22"/>
  <c r="D64" i="22" s="1"/>
  <c r="C65" i="22"/>
  <c r="D65" i="22" s="1"/>
  <c r="C66" i="22"/>
  <c r="D66" i="22" s="1"/>
  <c r="C67" i="22"/>
  <c r="D67" i="22" s="1"/>
  <c r="C68" i="22"/>
  <c r="D68" i="22" s="1"/>
  <c r="C69" i="22"/>
  <c r="D69" i="22" s="1"/>
  <c r="C70" i="22"/>
  <c r="D70" i="22" s="1"/>
  <c r="C71" i="22"/>
  <c r="D71" i="22" s="1"/>
  <c r="C72" i="22"/>
  <c r="D72" i="22" s="1"/>
  <c r="C73" i="22"/>
  <c r="D73" i="22" s="1"/>
  <c r="C74" i="22"/>
  <c r="D74" i="22" s="1"/>
  <c r="C75" i="22"/>
  <c r="D75" i="22" s="1"/>
  <c r="C76" i="22"/>
  <c r="D76" i="22" s="1"/>
  <c r="C77" i="22"/>
  <c r="D77" i="22" s="1"/>
  <c r="C78" i="22"/>
  <c r="D78" i="22" s="1"/>
  <c r="C79" i="22"/>
  <c r="D79" i="22" s="1"/>
  <c r="C80" i="22"/>
  <c r="D80" i="22" s="1"/>
  <c r="C81" i="22"/>
  <c r="D81" i="22" s="1"/>
  <c r="C82" i="22"/>
  <c r="D82" i="22" s="1"/>
  <c r="C83" i="22"/>
  <c r="D83" i="22" s="1"/>
  <c r="C84" i="22"/>
  <c r="D84" i="22" s="1"/>
  <c r="C85" i="22"/>
  <c r="D85" i="22" s="1"/>
  <c r="C86" i="22"/>
  <c r="D86" i="22" s="1"/>
  <c r="C87" i="22"/>
  <c r="D87" i="22" s="1"/>
  <c r="C88" i="22"/>
  <c r="D88" i="22" s="1"/>
  <c r="C89" i="22"/>
  <c r="D89" i="22" s="1"/>
  <c r="C90" i="22"/>
  <c r="D90" i="22" s="1"/>
  <c r="C91" i="22"/>
  <c r="D91" i="22" s="1"/>
  <c r="C92" i="22"/>
  <c r="D92" i="22" s="1"/>
  <c r="C93" i="22"/>
  <c r="D93" i="22" s="1"/>
  <c r="C94" i="22"/>
  <c r="D94" i="22" s="1"/>
  <c r="C95" i="22"/>
  <c r="D95" i="22" s="1"/>
  <c r="C96" i="22"/>
  <c r="D96" i="22" s="1"/>
  <c r="C97" i="22"/>
  <c r="D97" i="22" s="1"/>
  <c r="C98" i="22"/>
  <c r="D98" i="22" s="1"/>
  <c r="C99" i="22"/>
  <c r="D99" i="22" s="1"/>
  <c r="C100" i="22"/>
  <c r="D100" i="22" s="1"/>
  <c r="C101" i="22"/>
  <c r="D101" i="22" s="1"/>
  <c r="C102" i="22"/>
  <c r="D102" i="22" s="1"/>
  <c r="C103" i="22"/>
  <c r="D103" i="22" s="1"/>
  <c r="C104" i="22"/>
  <c r="D104" i="22" s="1"/>
  <c r="C105" i="22"/>
  <c r="D105" i="22" s="1"/>
  <c r="C106" i="22"/>
  <c r="D106" i="22" s="1"/>
  <c r="C107" i="22"/>
  <c r="D107" i="22" s="1"/>
  <c r="C108" i="22"/>
  <c r="D108" i="22" s="1"/>
  <c r="C109" i="22"/>
  <c r="D109" i="22" s="1"/>
  <c r="C110" i="22"/>
  <c r="D110" i="22" s="1"/>
  <c r="C111" i="22"/>
  <c r="D111" i="22" s="1"/>
  <c r="C112" i="22"/>
  <c r="D112" i="22" s="1"/>
  <c r="C113" i="22"/>
  <c r="D113" i="22" s="1"/>
  <c r="C114" i="22"/>
  <c r="D114" i="22" s="1"/>
  <c r="C115" i="22"/>
  <c r="D115" i="22" s="1"/>
  <c r="C116" i="22"/>
  <c r="D116" i="22" s="1"/>
  <c r="C117" i="22"/>
  <c r="D117" i="22" s="1"/>
  <c r="C118" i="22"/>
  <c r="D118" i="22" s="1"/>
  <c r="C119" i="22"/>
  <c r="D119" i="22" s="1"/>
  <c r="C120" i="22"/>
  <c r="D120" i="22" s="1"/>
  <c r="C121" i="22"/>
  <c r="D121" i="22" s="1"/>
  <c r="C122" i="22"/>
  <c r="D122" i="22" s="1"/>
  <c r="C123" i="22"/>
  <c r="D123" i="22" s="1"/>
  <c r="C124" i="22"/>
  <c r="D124" i="22" s="1"/>
  <c r="C125" i="22"/>
  <c r="D125" i="22" s="1"/>
  <c r="C126" i="22"/>
  <c r="D126" i="22" s="1"/>
  <c r="C127" i="22"/>
  <c r="D127" i="22" s="1"/>
  <c r="C128" i="22"/>
  <c r="D128" i="22" s="1"/>
  <c r="C129" i="22"/>
  <c r="D129" i="22" s="1"/>
  <c r="C130" i="22"/>
  <c r="D130" i="22" s="1"/>
  <c r="C131" i="22"/>
  <c r="D131" i="22" s="1"/>
  <c r="C132" i="22"/>
  <c r="D132" i="22" s="1"/>
  <c r="C133" i="22"/>
  <c r="D133" i="22" s="1"/>
  <c r="C134" i="22"/>
  <c r="D134" i="22" s="1"/>
  <c r="C135" i="22"/>
  <c r="D135" i="22" s="1"/>
  <c r="C136" i="22"/>
  <c r="D136" i="22" s="1"/>
  <c r="C137" i="22"/>
  <c r="D137" i="22" s="1"/>
  <c r="C138" i="22"/>
  <c r="D138" i="22" s="1"/>
  <c r="C139" i="22"/>
  <c r="D139" i="22" s="1"/>
  <c r="C140" i="22"/>
  <c r="D140" i="22" s="1"/>
  <c r="C141" i="22"/>
  <c r="D141" i="22" s="1"/>
  <c r="C142" i="22"/>
  <c r="D142" i="22" s="1"/>
  <c r="C143" i="22"/>
  <c r="D143" i="22" s="1"/>
  <c r="C144" i="22"/>
  <c r="D144" i="22" s="1"/>
  <c r="C145" i="22"/>
  <c r="D145" i="22" s="1"/>
  <c r="C146" i="22"/>
  <c r="D146" i="22" s="1"/>
  <c r="C147" i="22"/>
  <c r="D147" i="22" s="1"/>
  <c r="C148" i="22"/>
  <c r="D148" i="22" s="1"/>
  <c r="C149" i="22"/>
  <c r="D149" i="22" s="1"/>
  <c r="C150" i="22"/>
  <c r="D150" i="22" s="1"/>
  <c r="C151" i="22"/>
  <c r="D151" i="22" s="1"/>
  <c r="C152" i="22"/>
  <c r="D152" i="22" s="1"/>
  <c r="C153" i="22"/>
  <c r="D153" i="22" s="1"/>
  <c r="C154" i="22"/>
  <c r="D154" i="22" s="1"/>
  <c r="C155" i="22"/>
  <c r="D155" i="22" s="1"/>
  <c r="C156" i="22"/>
  <c r="D156" i="22" s="1"/>
  <c r="C157" i="22"/>
  <c r="D157" i="22" s="1"/>
  <c r="C158" i="22"/>
  <c r="D158" i="22" s="1"/>
  <c r="C159" i="22"/>
  <c r="D159" i="22" s="1"/>
  <c r="C160" i="22"/>
  <c r="D160" i="22" s="1"/>
  <c r="C161" i="22"/>
  <c r="D161" i="22" s="1"/>
  <c r="C162" i="22"/>
  <c r="D162" i="22" s="1"/>
  <c r="C163" i="22"/>
  <c r="D163" i="22" s="1"/>
  <c r="C164" i="22"/>
  <c r="D164" i="22" s="1"/>
  <c r="C165" i="22"/>
  <c r="D165" i="22" s="1"/>
  <c r="C166" i="22"/>
  <c r="D166" i="22" s="1"/>
  <c r="C167" i="22"/>
  <c r="D167" i="22" s="1"/>
  <c r="C168" i="22"/>
  <c r="D168" i="22" s="1"/>
  <c r="C169" i="22"/>
  <c r="D169" i="22" s="1"/>
  <c r="C170" i="22"/>
  <c r="D170" i="22" s="1"/>
  <c r="C171" i="22"/>
  <c r="D171" i="22" s="1"/>
  <c r="C172" i="22"/>
  <c r="D172" i="22" s="1"/>
  <c r="C173" i="22"/>
  <c r="D173" i="22" s="1"/>
  <c r="C174" i="22"/>
  <c r="D174" i="22" s="1"/>
  <c r="C175" i="22"/>
  <c r="D175" i="22" s="1"/>
  <c r="C176" i="22"/>
  <c r="D176" i="22" s="1"/>
  <c r="C177" i="22"/>
  <c r="D177" i="22" s="1"/>
  <c r="C178" i="22"/>
  <c r="D178" i="22" s="1"/>
  <c r="C179" i="22"/>
  <c r="D179" i="22" s="1"/>
  <c r="C180" i="22"/>
  <c r="D180" i="22" s="1"/>
  <c r="C181" i="22"/>
  <c r="D181" i="22" s="1"/>
  <c r="C182" i="22"/>
  <c r="D182" i="22" s="1"/>
  <c r="C183" i="22"/>
  <c r="D183" i="22" s="1"/>
  <c r="C184" i="22"/>
  <c r="D184" i="22" s="1"/>
  <c r="C185" i="22"/>
  <c r="D185" i="22" s="1"/>
  <c r="C186" i="22"/>
  <c r="D186" i="22" s="1"/>
  <c r="C187" i="22"/>
  <c r="D187" i="22" s="1"/>
  <c r="C188" i="22"/>
  <c r="D188" i="22" s="1"/>
  <c r="C189" i="22"/>
  <c r="D189" i="22" s="1"/>
  <c r="C190" i="22"/>
  <c r="D190" i="22" s="1"/>
  <c r="C191" i="22"/>
  <c r="D191" i="22" s="1"/>
  <c r="C192" i="22"/>
  <c r="D192" i="22" s="1"/>
  <c r="C193" i="22"/>
  <c r="D193" i="22" s="1"/>
  <c r="C194" i="22"/>
  <c r="D194" i="22" s="1"/>
  <c r="C195" i="22"/>
  <c r="D195" i="22" s="1"/>
  <c r="C196" i="22"/>
  <c r="D196" i="22" s="1"/>
  <c r="C197" i="22"/>
  <c r="D197" i="22" s="1"/>
  <c r="C198" i="22"/>
  <c r="D198" i="22" s="1"/>
  <c r="C199" i="22"/>
  <c r="D199" i="22" s="1"/>
  <c r="C200" i="22"/>
  <c r="D200" i="22" s="1"/>
  <c r="C201" i="22"/>
  <c r="D201" i="22" s="1"/>
  <c r="C202" i="22"/>
  <c r="D202" i="22" s="1"/>
  <c r="C203" i="22"/>
  <c r="D203" i="22" s="1"/>
  <c r="C204" i="22"/>
  <c r="D204" i="22" s="1"/>
  <c r="C205" i="22"/>
  <c r="D205" i="22" s="1"/>
  <c r="C206" i="22"/>
  <c r="D206" i="22" s="1"/>
  <c r="C207" i="22"/>
  <c r="D207" i="22" s="1"/>
  <c r="C208" i="22"/>
  <c r="D208" i="22" s="1"/>
  <c r="C209" i="22"/>
  <c r="D209" i="22" s="1"/>
  <c r="C210" i="22"/>
  <c r="D210" i="22" s="1"/>
  <c r="C211" i="22"/>
  <c r="D211" i="22" s="1"/>
  <c r="C212" i="22"/>
  <c r="D212" i="22" s="1"/>
  <c r="C213" i="22"/>
  <c r="D213" i="22" s="1"/>
  <c r="C214" i="22"/>
  <c r="D214" i="22" s="1"/>
  <c r="C215" i="22"/>
  <c r="D215" i="22" s="1"/>
  <c r="C216" i="22"/>
  <c r="D216" i="22" s="1"/>
  <c r="C217" i="22"/>
  <c r="D217" i="22" s="1"/>
  <c r="C218" i="22"/>
  <c r="D218" i="22" s="1"/>
  <c r="C219" i="22"/>
  <c r="D219" i="22" s="1"/>
  <c r="C220" i="22"/>
  <c r="D220" i="22" s="1"/>
  <c r="C221" i="22"/>
  <c r="D221" i="22" s="1"/>
  <c r="C222" i="22"/>
  <c r="D222" i="22" s="1"/>
  <c r="C223" i="22"/>
  <c r="D223" i="22" s="1"/>
  <c r="C224" i="22"/>
  <c r="D224" i="22" s="1"/>
  <c r="C225" i="22"/>
  <c r="D225" i="22" s="1"/>
  <c r="C226" i="22"/>
  <c r="D226" i="22" s="1"/>
  <c r="C227" i="22"/>
  <c r="D227" i="22" s="1"/>
  <c r="C228" i="22"/>
  <c r="D228" i="22" s="1"/>
  <c r="C229" i="22"/>
  <c r="D229" i="22" s="1"/>
  <c r="C230" i="22"/>
  <c r="D230" i="22" s="1"/>
  <c r="C231" i="22"/>
  <c r="D231" i="22" s="1"/>
  <c r="C232" i="22"/>
  <c r="D232" i="22" s="1"/>
  <c r="C233" i="22"/>
  <c r="D233" i="22" s="1"/>
  <c r="C234" i="22"/>
  <c r="D234" i="22" s="1"/>
  <c r="C235" i="22"/>
  <c r="D235" i="22" s="1"/>
  <c r="C236" i="22"/>
  <c r="D236" i="22" s="1"/>
  <c r="C237" i="22"/>
  <c r="D237" i="22" s="1"/>
  <c r="C238" i="22"/>
  <c r="D238" i="22" s="1"/>
  <c r="C239" i="22"/>
  <c r="D239" i="22" s="1"/>
  <c r="C240" i="22"/>
  <c r="D240" i="22" s="1"/>
  <c r="C241" i="22"/>
  <c r="D241" i="22" s="1"/>
  <c r="C242" i="22"/>
  <c r="D242" i="22" s="1"/>
  <c r="C243" i="22"/>
  <c r="D243" i="22" s="1"/>
  <c r="C244" i="22"/>
  <c r="D244" i="22" s="1"/>
  <c r="C245" i="22"/>
  <c r="D245" i="22" s="1"/>
  <c r="C246" i="22"/>
  <c r="D246" i="22" s="1"/>
  <c r="C247" i="22"/>
  <c r="D247" i="22" s="1"/>
  <c r="C248" i="22"/>
  <c r="D248" i="22" s="1"/>
  <c r="C249" i="22"/>
  <c r="D249" i="22" s="1"/>
  <c r="C250" i="22"/>
  <c r="D250" i="22" s="1"/>
  <c r="C251" i="22"/>
  <c r="D251" i="22" s="1"/>
  <c r="C252" i="22"/>
  <c r="D252" i="22" s="1"/>
  <c r="C253" i="22"/>
  <c r="D253" i="22" s="1"/>
  <c r="C254" i="22"/>
  <c r="D254" i="22" s="1"/>
  <c r="C255" i="22"/>
  <c r="D255" i="22" s="1"/>
  <c r="C256" i="22"/>
  <c r="D256" i="22" s="1"/>
  <c r="C257" i="22"/>
  <c r="D257" i="22" s="1"/>
  <c r="C258" i="22"/>
  <c r="D258" i="22" s="1"/>
  <c r="C259" i="22"/>
  <c r="D259" i="22" s="1"/>
  <c r="C260" i="22"/>
  <c r="D260" i="22" s="1"/>
  <c r="C261" i="22"/>
  <c r="D261" i="22" s="1"/>
  <c r="C262" i="22"/>
  <c r="D262" i="22" s="1"/>
  <c r="C263" i="22"/>
  <c r="D263" i="22" s="1"/>
  <c r="C264" i="22"/>
  <c r="D264" i="22" s="1"/>
  <c r="C265" i="22"/>
  <c r="D265" i="22" s="1"/>
  <c r="C266" i="22"/>
  <c r="D266" i="22" s="1"/>
  <c r="C267" i="22"/>
  <c r="D267" i="22" s="1"/>
  <c r="C268" i="22"/>
  <c r="D268" i="22" s="1"/>
  <c r="C269" i="22"/>
  <c r="D269" i="22" s="1"/>
  <c r="C270" i="22"/>
  <c r="D270" i="22" s="1"/>
  <c r="C271" i="22"/>
  <c r="D271" i="22" s="1"/>
  <c r="C272" i="22"/>
  <c r="D272" i="22" s="1"/>
  <c r="C273" i="22"/>
  <c r="D273" i="22" s="1"/>
  <c r="C274" i="22"/>
  <c r="D274" i="22" s="1"/>
  <c r="C275" i="22"/>
  <c r="D275" i="22" s="1"/>
  <c r="C276" i="22"/>
  <c r="D276" i="22" s="1"/>
  <c r="C277" i="22"/>
  <c r="D277" i="22" s="1"/>
  <c r="C278" i="22"/>
  <c r="D278" i="22" s="1"/>
  <c r="C279" i="22"/>
  <c r="D279" i="22" s="1"/>
  <c r="C280" i="22"/>
  <c r="D280" i="22" s="1"/>
  <c r="C2" i="23"/>
  <c r="D2" i="23" s="1"/>
  <c r="C3" i="23"/>
  <c r="D3" i="23" s="1"/>
  <c r="C4" i="23"/>
  <c r="D4" i="23" s="1"/>
  <c r="C5" i="23"/>
  <c r="D5" i="23" s="1"/>
  <c r="C6" i="23"/>
  <c r="D6" i="23" s="1"/>
  <c r="C7" i="23"/>
  <c r="D7" i="23" s="1"/>
  <c r="C8" i="23"/>
  <c r="D8" i="23" s="1"/>
  <c r="C9" i="23"/>
  <c r="D9" i="23" s="1"/>
  <c r="C10" i="23"/>
  <c r="D10" i="23" s="1"/>
  <c r="C11" i="23"/>
  <c r="D11" i="23" s="1"/>
  <c r="C12" i="23"/>
  <c r="D12" i="23" s="1"/>
  <c r="C13" i="23"/>
  <c r="D13" i="23" s="1"/>
  <c r="C14" i="23"/>
  <c r="D14" i="23" s="1"/>
  <c r="C15" i="23"/>
  <c r="D15" i="23" s="1"/>
  <c r="C16" i="23"/>
  <c r="D16" i="23" s="1"/>
  <c r="C17" i="23"/>
  <c r="D17" i="23" s="1"/>
  <c r="C18" i="23"/>
  <c r="D18" i="23" s="1"/>
  <c r="C19" i="23"/>
  <c r="D19" i="23" s="1"/>
  <c r="C20" i="23"/>
  <c r="D20" i="23" s="1"/>
  <c r="C21" i="23"/>
  <c r="D21" i="23" s="1"/>
  <c r="C22" i="23"/>
  <c r="D22" i="23" s="1"/>
  <c r="C23" i="23"/>
  <c r="D23" i="23" s="1"/>
  <c r="C24" i="23"/>
  <c r="D24" i="23" s="1"/>
  <c r="C25" i="23"/>
  <c r="D25" i="23" s="1"/>
  <c r="C26" i="23"/>
  <c r="D26" i="23" s="1"/>
  <c r="C27" i="23"/>
  <c r="D27" i="23" s="1"/>
  <c r="C28" i="23"/>
  <c r="D28" i="23" s="1"/>
  <c r="C29" i="23"/>
  <c r="D29" i="23" s="1"/>
  <c r="C30" i="23"/>
  <c r="D30" i="23" s="1"/>
  <c r="C31" i="23"/>
  <c r="D31" i="23" s="1"/>
  <c r="C32" i="23"/>
  <c r="D32" i="23" s="1"/>
  <c r="C33" i="23"/>
  <c r="D33" i="23" s="1"/>
  <c r="C34" i="23"/>
  <c r="D34" i="23" s="1"/>
  <c r="C35" i="23"/>
  <c r="D35" i="23" s="1"/>
  <c r="C36" i="23"/>
  <c r="D36" i="23" s="1"/>
  <c r="C37" i="23"/>
  <c r="D37" i="23" s="1"/>
  <c r="C38" i="23"/>
  <c r="D38" i="23" s="1"/>
  <c r="C39" i="23"/>
  <c r="D39" i="23" s="1"/>
  <c r="C40" i="23"/>
  <c r="D40" i="23" s="1"/>
  <c r="C41" i="23"/>
  <c r="D41" i="23" s="1"/>
  <c r="C42" i="23"/>
  <c r="D42" i="23" s="1"/>
  <c r="C43" i="23"/>
  <c r="D43" i="23" s="1"/>
  <c r="C44" i="23"/>
  <c r="D44" i="23" s="1"/>
  <c r="C45" i="23"/>
  <c r="D45" i="23" s="1"/>
  <c r="C46" i="23"/>
  <c r="D46" i="23" s="1"/>
  <c r="C47" i="23"/>
  <c r="D47" i="23" s="1"/>
  <c r="C48" i="23"/>
  <c r="D48" i="23" s="1"/>
  <c r="C49" i="23"/>
  <c r="D49" i="23" s="1"/>
  <c r="C50" i="23"/>
  <c r="D50" i="23" s="1"/>
  <c r="C51" i="23"/>
  <c r="D51" i="23" s="1"/>
  <c r="C52" i="23"/>
  <c r="D52" i="23" s="1"/>
  <c r="C53" i="23"/>
  <c r="D53" i="23" s="1"/>
  <c r="C54" i="23"/>
  <c r="D54" i="23" s="1"/>
  <c r="C55" i="23"/>
  <c r="D55" i="23" s="1"/>
  <c r="C56" i="23"/>
  <c r="D56" i="23" s="1"/>
  <c r="C57" i="23"/>
  <c r="D57" i="23" s="1"/>
  <c r="C58" i="23"/>
  <c r="D58" i="23" s="1"/>
  <c r="C59" i="23"/>
  <c r="D59" i="23" s="1"/>
  <c r="C60" i="23"/>
  <c r="D60" i="23" s="1"/>
  <c r="C61" i="23"/>
  <c r="D61" i="23" s="1"/>
  <c r="C62" i="23"/>
  <c r="D62" i="23" s="1"/>
  <c r="C63" i="23"/>
  <c r="D63" i="23" s="1"/>
  <c r="C64" i="23"/>
  <c r="D64" i="23" s="1"/>
  <c r="C65" i="23"/>
  <c r="D65" i="23" s="1"/>
  <c r="C66" i="23"/>
  <c r="D66" i="23" s="1"/>
  <c r="C67" i="23"/>
  <c r="D67" i="23" s="1"/>
  <c r="C68" i="23"/>
  <c r="D68" i="23" s="1"/>
  <c r="C69" i="23"/>
  <c r="D69" i="23" s="1"/>
  <c r="C70" i="23"/>
  <c r="D70" i="23" s="1"/>
  <c r="C71" i="23"/>
  <c r="D71" i="23" s="1"/>
  <c r="C72" i="23"/>
  <c r="D72" i="23" s="1"/>
  <c r="C73" i="23"/>
  <c r="D73" i="23" s="1"/>
  <c r="C74" i="23"/>
  <c r="D74" i="23" s="1"/>
  <c r="C75" i="23"/>
  <c r="D75" i="23" s="1"/>
  <c r="C76" i="23"/>
  <c r="D76" i="23" s="1"/>
  <c r="C77" i="23"/>
  <c r="D77" i="23" s="1"/>
  <c r="C78" i="23"/>
  <c r="D78" i="23" s="1"/>
  <c r="C79" i="23"/>
  <c r="D79" i="23" s="1"/>
  <c r="C80" i="23"/>
  <c r="D80" i="23" s="1"/>
  <c r="C81" i="23"/>
  <c r="D81" i="23" s="1"/>
  <c r="C82" i="23"/>
  <c r="D82" i="23" s="1"/>
  <c r="C83" i="23"/>
  <c r="D83" i="23" s="1"/>
  <c r="C84" i="23"/>
  <c r="D84" i="23" s="1"/>
  <c r="C85" i="23"/>
  <c r="D85" i="23" s="1"/>
  <c r="C86" i="23"/>
  <c r="D86" i="23" s="1"/>
  <c r="C87" i="23"/>
  <c r="D87" i="23" s="1"/>
  <c r="C88" i="23"/>
  <c r="D88" i="23" s="1"/>
  <c r="C89" i="23"/>
  <c r="D89" i="23" s="1"/>
  <c r="C90" i="23"/>
  <c r="D90" i="23" s="1"/>
  <c r="C91" i="23"/>
  <c r="D91" i="23" s="1"/>
  <c r="C92" i="23"/>
  <c r="D92" i="23" s="1"/>
  <c r="C93" i="23"/>
  <c r="D93" i="23" s="1"/>
  <c r="C94" i="23"/>
  <c r="D94" i="23" s="1"/>
  <c r="C95" i="23"/>
  <c r="D95" i="23" s="1"/>
  <c r="C96" i="23"/>
  <c r="D96" i="23" s="1"/>
  <c r="C97" i="23"/>
  <c r="D97" i="23" s="1"/>
  <c r="C98" i="23"/>
  <c r="D98" i="23" s="1"/>
  <c r="C99" i="23"/>
  <c r="D99" i="23" s="1"/>
  <c r="C100" i="23"/>
  <c r="D100" i="23" s="1"/>
  <c r="C101" i="23"/>
  <c r="D101" i="23" s="1"/>
  <c r="C102" i="23"/>
  <c r="D102" i="23" s="1"/>
  <c r="C103" i="23"/>
  <c r="D103" i="23" s="1"/>
  <c r="C104" i="23"/>
  <c r="D104" i="23" s="1"/>
  <c r="C105" i="23"/>
  <c r="D105" i="23" s="1"/>
  <c r="C106" i="23"/>
  <c r="D106" i="23" s="1"/>
  <c r="C107" i="23"/>
  <c r="D107" i="23" s="1"/>
  <c r="C108" i="23"/>
  <c r="D108" i="23" s="1"/>
  <c r="C109" i="23"/>
  <c r="D109" i="23" s="1"/>
  <c r="C110" i="23"/>
  <c r="D110" i="23" s="1"/>
  <c r="C111" i="23"/>
  <c r="D111" i="23" s="1"/>
  <c r="C112" i="23"/>
  <c r="D112" i="23" s="1"/>
  <c r="C113" i="23"/>
  <c r="D113" i="23" s="1"/>
  <c r="C114" i="23"/>
  <c r="D114" i="23" s="1"/>
  <c r="C115" i="23"/>
  <c r="D115" i="23" s="1"/>
  <c r="C116" i="23"/>
  <c r="D116" i="23" s="1"/>
  <c r="C117" i="23"/>
  <c r="D117" i="23" s="1"/>
  <c r="C118" i="23"/>
  <c r="D118" i="23" s="1"/>
  <c r="C119" i="23"/>
  <c r="D119" i="23" s="1"/>
  <c r="C120" i="23"/>
  <c r="D120" i="23" s="1"/>
  <c r="C121" i="23"/>
  <c r="D121" i="23" s="1"/>
  <c r="C122" i="23"/>
  <c r="D122" i="23" s="1"/>
  <c r="C123" i="23"/>
  <c r="D123" i="23" s="1"/>
  <c r="C124" i="23"/>
  <c r="D124" i="23" s="1"/>
  <c r="C125" i="23"/>
  <c r="D125" i="23" s="1"/>
  <c r="C126" i="23"/>
  <c r="D126" i="23" s="1"/>
  <c r="C127" i="23"/>
  <c r="D127" i="23" s="1"/>
  <c r="C128" i="23"/>
  <c r="D128" i="23" s="1"/>
  <c r="C129" i="23"/>
  <c r="D129" i="23" s="1"/>
  <c r="C130" i="23"/>
  <c r="D130" i="23" s="1"/>
  <c r="C131" i="23"/>
  <c r="D131" i="23" s="1"/>
  <c r="C132" i="23"/>
  <c r="D132" i="23" s="1"/>
  <c r="C133" i="23"/>
  <c r="D133" i="23" s="1"/>
  <c r="C134" i="23"/>
  <c r="D134" i="23" s="1"/>
  <c r="C135" i="23"/>
  <c r="D135" i="23" s="1"/>
  <c r="C136" i="23"/>
  <c r="D136" i="23" s="1"/>
  <c r="C137" i="23"/>
  <c r="D137" i="23" s="1"/>
  <c r="C138" i="23"/>
  <c r="D138" i="23" s="1"/>
  <c r="C139" i="23"/>
  <c r="D139" i="23" s="1"/>
  <c r="C140" i="23"/>
  <c r="D140" i="23" s="1"/>
  <c r="C141" i="23"/>
  <c r="D141" i="23" s="1"/>
  <c r="C142" i="23"/>
  <c r="D142" i="23" s="1"/>
  <c r="C143" i="23"/>
  <c r="D143" i="23" s="1"/>
  <c r="C144" i="23"/>
  <c r="D144" i="23" s="1"/>
  <c r="C145" i="23"/>
  <c r="D145" i="23" s="1"/>
  <c r="C146" i="23"/>
  <c r="D146" i="23" s="1"/>
  <c r="C147" i="23"/>
  <c r="D147" i="23" s="1"/>
  <c r="C148" i="23"/>
  <c r="D148" i="23" s="1"/>
  <c r="C149" i="23"/>
  <c r="D149" i="23" s="1"/>
  <c r="C150" i="23"/>
  <c r="D150" i="23" s="1"/>
  <c r="C151" i="23"/>
  <c r="D151" i="23" s="1"/>
  <c r="C152" i="23"/>
  <c r="D152" i="23" s="1"/>
  <c r="C153" i="23"/>
  <c r="D153" i="23" s="1"/>
  <c r="C154" i="23"/>
  <c r="D154" i="23" s="1"/>
  <c r="C155" i="23"/>
  <c r="D155" i="23" s="1"/>
  <c r="C156" i="23"/>
  <c r="D156" i="23" s="1"/>
  <c r="C157" i="23"/>
  <c r="D157" i="23" s="1"/>
  <c r="C158" i="23"/>
  <c r="D158" i="23" s="1"/>
  <c r="C159" i="23"/>
  <c r="D159" i="23" s="1"/>
  <c r="C160" i="23"/>
  <c r="D160" i="23" s="1"/>
  <c r="C161" i="23"/>
  <c r="D161" i="23" s="1"/>
  <c r="C162" i="23"/>
  <c r="D162" i="23" s="1"/>
  <c r="C163" i="23"/>
  <c r="D163" i="23" s="1"/>
  <c r="C164" i="23"/>
  <c r="D164" i="23" s="1"/>
  <c r="C165" i="23"/>
  <c r="D165" i="23" s="1"/>
  <c r="C166" i="23"/>
  <c r="D166" i="23" s="1"/>
  <c r="C167" i="23"/>
  <c r="D167" i="23" s="1"/>
  <c r="C168" i="23"/>
  <c r="D168" i="23" s="1"/>
  <c r="C169" i="23"/>
  <c r="D169" i="23" s="1"/>
  <c r="C170" i="23"/>
  <c r="D170" i="23" s="1"/>
  <c r="C171" i="23"/>
  <c r="D171" i="23" s="1"/>
  <c r="C172" i="23"/>
  <c r="D172" i="23" s="1"/>
  <c r="C173" i="23"/>
  <c r="D173" i="23" s="1"/>
  <c r="C174" i="23"/>
  <c r="D174" i="23" s="1"/>
  <c r="C175" i="23"/>
  <c r="D175" i="23" s="1"/>
  <c r="C176" i="23"/>
  <c r="D176" i="23" s="1"/>
  <c r="C177" i="23"/>
  <c r="D177" i="23" s="1"/>
  <c r="C178" i="23"/>
  <c r="D178" i="23" s="1"/>
  <c r="C179" i="23"/>
  <c r="D179" i="23" s="1"/>
  <c r="C180" i="23"/>
  <c r="D180" i="23" s="1"/>
  <c r="C181" i="23"/>
  <c r="D181" i="23" s="1"/>
  <c r="C182" i="23"/>
  <c r="D182" i="23" s="1"/>
  <c r="C183" i="23"/>
  <c r="D183" i="23" s="1"/>
  <c r="C184" i="23"/>
  <c r="D184" i="23" s="1"/>
  <c r="C185" i="23"/>
  <c r="D185" i="23" s="1"/>
  <c r="C186" i="23"/>
  <c r="D186" i="23" s="1"/>
  <c r="C187" i="23"/>
  <c r="D187" i="23" s="1"/>
  <c r="C188" i="23"/>
  <c r="D188" i="23" s="1"/>
  <c r="C189" i="23"/>
  <c r="D189" i="23" s="1"/>
  <c r="C190" i="23"/>
  <c r="D190" i="23" s="1"/>
  <c r="C191" i="23"/>
  <c r="D191" i="23" s="1"/>
  <c r="C192" i="23"/>
  <c r="D192" i="23" s="1"/>
  <c r="C193" i="23"/>
  <c r="D193" i="23" s="1"/>
  <c r="C194" i="23"/>
  <c r="D194" i="23" s="1"/>
  <c r="C195" i="23"/>
  <c r="D195" i="23" s="1"/>
  <c r="C196" i="23"/>
  <c r="D196" i="23" s="1"/>
  <c r="C197" i="23"/>
  <c r="D197" i="23" s="1"/>
  <c r="C198" i="23"/>
  <c r="D198" i="23" s="1"/>
  <c r="C199" i="23"/>
  <c r="D199" i="23" s="1"/>
  <c r="C200" i="23"/>
  <c r="D200" i="23" s="1"/>
  <c r="C201" i="23"/>
  <c r="D201" i="23" s="1"/>
  <c r="C202" i="23"/>
  <c r="D202" i="23" s="1"/>
  <c r="C203" i="23"/>
  <c r="D203" i="23" s="1"/>
  <c r="C204" i="23"/>
  <c r="D204" i="23" s="1"/>
  <c r="C205" i="23"/>
  <c r="D205" i="23" s="1"/>
  <c r="C206" i="23"/>
  <c r="D206" i="23" s="1"/>
  <c r="C207" i="23"/>
  <c r="D207" i="23" s="1"/>
  <c r="C208" i="23"/>
  <c r="D208" i="23" s="1"/>
  <c r="C209" i="23"/>
  <c r="D209" i="23" s="1"/>
  <c r="C210" i="23"/>
  <c r="D210" i="23" s="1"/>
  <c r="C211" i="23"/>
  <c r="D211" i="23" s="1"/>
  <c r="C212" i="23"/>
  <c r="D212" i="23" s="1"/>
  <c r="C213" i="23"/>
  <c r="D213" i="23" s="1"/>
  <c r="C214" i="23"/>
  <c r="D214" i="23" s="1"/>
  <c r="C215" i="23"/>
  <c r="D215" i="23" s="1"/>
  <c r="C216" i="23"/>
  <c r="D216" i="23" s="1"/>
  <c r="C217" i="23"/>
  <c r="D217" i="23" s="1"/>
  <c r="C218" i="23"/>
  <c r="D218" i="23" s="1"/>
  <c r="C219" i="23"/>
  <c r="D219" i="23" s="1"/>
  <c r="C220" i="23"/>
  <c r="D220" i="23" s="1"/>
  <c r="C221" i="23"/>
  <c r="D221" i="23" s="1"/>
  <c r="C222" i="23"/>
  <c r="D222" i="23" s="1"/>
  <c r="C223" i="23"/>
  <c r="D223" i="23" s="1"/>
  <c r="C224" i="23"/>
  <c r="D224" i="23" s="1"/>
  <c r="C225" i="23"/>
  <c r="D225" i="23" s="1"/>
  <c r="C2" i="24"/>
  <c r="D2" i="24" s="1"/>
  <c r="C3" i="24"/>
  <c r="D3" i="24" s="1"/>
  <c r="C4" i="24"/>
  <c r="D4" i="24" s="1"/>
  <c r="C5" i="24"/>
  <c r="D5" i="24" s="1"/>
  <c r="C6" i="24"/>
  <c r="D6" i="24" s="1"/>
  <c r="C7" i="24"/>
  <c r="D7" i="24" s="1"/>
  <c r="C8" i="24"/>
  <c r="D8" i="24" s="1"/>
  <c r="C9" i="24"/>
  <c r="D9" i="24" s="1"/>
  <c r="C10" i="24"/>
  <c r="D10" i="24" s="1"/>
  <c r="C11" i="24"/>
  <c r="D11" i="24" s="1"/>
  <c r="C12" i="24"/>
  <c r="D12" i="24" s="1"/>
  <c r="C13" i="24"/>
  <c r="D13" i="24" s="1"/>
  <c r="C14" i="24"/>
  <c r="D14" i="24" s="1"/>
  <c r="C15" i="24"/>
  <c r="D15" i="24" s="1"/>
  <c r="C16" i="24"/>
  <c r="D16" i="24" s="1"/>
  <c r="C17" i="24"/>
  <c r="D17" i="24" s="1"/>
  <c r="C18" i="24"/>
  <c r="D18" i="24" s="1"/>
  <c r="C19" i="24"/>
  <c r="D19" i="24" s="1"/>
  <c r="C20" i="24"/>
  <c r="D20" i="24" s="1"/>
  <c r="C21" i="24"/>
  <c r="D21" i="24" s="1"/>
  <c r="C22" i="24"/>
  <c r="D22" i="24" s="1"/>
  <c r="C23" i="24"/>
  <c r="D23" i="24" s="1"/>
  <c r="C24" i="24"/>
  <c r="D24" i="24" s="1"/>
  <c r="C25" i="24"/>
  <c r="D25" i="24" s="1"/>
  <c r="C26" i="24"/>
  <c r="D26" i="24" s="1"/>
  <c r="C27" i="24"/>
  <c r="D27" i="24" s="1"/>
  <c r="C28" i="24"/>
  <c r="D28" i="24" s="1"/>
  <c r="C29" i="24"/>
  <c r="D29" i="24" s="1"/>
  <c r="C30" i="24"/>
  <c r="D30" i="24" s="1"/>
  <c r="C31" i="24"/>
  <c r="D31" i="24" s="1"/>
  <c r="C32" i="24"/>
  <c r="D32" i="24" s="1"/>
  <c r="C33" i="24"/>
  <c r="D33" i="24" s="1"/>
  <c r="C34" i="24"/>
  <c r="D34" i="24" s="1"/>
  <c r="C35" i="24"/>
  <c r="D35" i="24" s="1"/>
  <c r="C36" i="24"/>
  <c r="D36" i="24" s="1"/>
  <c r="C37" i="24"/>
  <c r="D37" i="24" s="1"/>
  <c r="C38" i="24"/>
  <c r="D38" i="24" s="1"/>
  <c r="C39" i="24"/>
  <c r="D39" i="24" s="1"/>
  <c r="C40" i="24"/>
  <c r="D40" i="24" s="1"/>
  <c r="C41" i="24"/>
  <c r="D41" i="24" s="1"/>
  <c r="C42" i="24"/>
  <c r="D42" i="24" s="1"/>
  <c r="C43" i="24"/>
  <c r="D43" i="24" s="1"/>
  <c r="C44" i="24"/>
  <c r="D44" i="24" s="1"/>
  <c r="C45" i="24"/>
  <c r="D45" i="24" s="1"/>
  <c r="C46" i="24"/>
  <c r="D46" i="24" s="1"/>
  <c r="C47" i="24"/>
  <c r="D47" i="24" s="1"/>
  <c r="C48" i="24"/>
  <c r="D48" i="24" s="1"/>
  <c r="C49" i="24"/>
  <c r="D49" i="24" s="1"/>
  <c r="C50" i="24"/>
  <c r="D50" i="24" s="1"/>
  <c r="C51" i="24"/>
  <c r="D51" i="24" s="1"/>
  <c r="C52" i="24"/>
  <c r="D52" i="24" s="1"/>
  <c r="C53" i="24"/>
  <c r="D53" i="24" s="1"/>
  <c r="C54" i="24"/>
  <c r="D54" i="24" s="1"/>
  <c r="C55" i="24"/>
  <c r="D55" i="24" s="1"/>
  <c r="C56" i="24"/>
  <c r="D56" i="24" s="1"/>
  <c r="C57" i="24"/>
  <c r="D57" i="24" s="1"/>
  <c r="C58" i="24"/>
  <c r="D58" i="24" s="1"/>
  <c r="C59" i="24"/>
  <c r="D59" i="24" s="1"/>
  <c r="C60" i="24"/>
  <c r="D60" i="24" s="1"/>
  <c r="C61" i="24"/>
  <c r="D61" i="24" s="1"/>
  <c r="C62" i="24"/>
  <c r="D62" i="24" s="1"/>
  <c r="C63" i="24"/>
  <c r="D63" i="24" s="1"/>
  <c r="C64" i="24"/>
  <c r="D64" i="24" s="1"/>
  <c r="C65" i="24"/>
  <c r="D65" i="24" s="1"/>
  <c r="C66" i="24"/>
  <c r="D66" i="24" s="1"/>
  <c r="C67" i="24"/>
  <c r="D67" i="24" s="1"/>
  <c r="C68" i="24"/>
  <c r="D68" i="24" s="1"/>
  <c r="C69" i="24"/>
  <c r="D69" i="24" s="1"/>
  <c r="C70" i="24"/>
  <c r="D70" i="24" s="1"/>
  <c r="C71" i="24"/>
  <c r="D71" i="24" s="1"/>
  <c r="C72" i="24"/>
  <c r="D72" i="24" s="1"/>
  <c r="C73" i="24"/>
  <c r="D73" i="24" s="1"/>
  <c r="C74" i="24"/>
  <c r="D74" i="24" s="1"/>
  <c r="C75" i="24"/>
  <c r="D75" i="24" s="1"/>
  <c r="C76" i="24"/>
  <c r="D76" i="24" s="1"/>
  <c r="C77" i="24"/>
  <c r="D77" i="24" s="1"/>
  <c r="C78" i="24"/>
  <c r="D78" i="24" s="1"/>
  <c r="C79" i="24"/>
  <c r="D79" i="24" s="1"/>
  <c r="C80" i="24"/>
  <c r="D80" i="24" s="1"/>
  <c r="C81" i="24"/>
  <c r="D81" i="24" s="1"/>
  <c r="C82" i="24"/>
  <c r="D82" i="24" s="1"/>
  <c r="C83" i="24"/>
  <c r="D83" i="24" s="1"/>
  <c r="C84" i="24"/>
  <c r="D84" i="24" s="1"/>
  <c r="C85" i="24"/>
  <c r="D85" i="24" s="1"/>
  <c r="C86" i="24"/>
  <c r="D86" i="24" s="1"/>
  <c r="C87" i="24"/>
  <c r="D87" i="24" s="1"/>
  <c r="C88" i="24"/>
  <c r="D88" i="24" s="1"/>
  <c r="C89" i="24"/>
  <c r="D89" i="24" s="1"/>
  <c r="C90" i="24"/>
  <c r="D90" i="24" s="1"/>
  <c r="C91" i="24"/>
  <c r="D91" i="24" s="1"/>
  <c r="C92" i="24"/>
  <c r="D92" i="24" s="1"/>
  <c r="C93" i="24"/>
  <c r="D93" i="24" s="1"/>
  <c r="C94" i="24"/>
  <c r="D94" i="24" s="1"/>
  <c r="C95" i="24"/>
  <c r="D95" i="24" s="1"/>
  <c r="C96" i="24"/>
  <c r="D96" i="24" s="1"/>
  <c r="C97" i="24"/>
  <c r="D97" i="24" s="1"/>
  <c r="C98" i="24"/>
  <c r="D98" i="24" s="1"/>
  <c r="C99" i="24"/>
  <c r="D99" i="24" s="1"/>
  <c r="C100" i="24"/>
  <c r="D100" i="24" s="1"/>
  <c r="C101" i="24"/>
  <c r="D101" i="24" s="1"/>
  <c r="C102" i="24"/>
  <c r="D102" i="24" s="1"/>
  <c r="C103" i="24"/>
  <c r="D103" i="24" s="1"/>
  <c r="C104" i="24"/>
  <c r="D104" i="24" s="1"/>
  <c r="C105" i="24"/>
  <c r="D105" i="24" s="1"/>
  <c r="C106" i="24"/>
  <c r="D106" i="24" s="1"/>
  <c r="C107" i="24"/>
  <c r="D107" i="24" s="1"/>
  <c r="C108" i="24"/>
  <c r="D108" i="24" s="1"/>
  <c r="C109" i="24"/>
  <c r="D109" i="24" s="1"/>
  <c r="C110" i="24"/>
  <c r="D110" i="24" s="1"/>
  <c r="C111" i="24"/>
  <c r="D111" i="24" s="1"/>
  <c r="C112" i="24"/>
  <c r="D112" i="24" s="1"/>
  <c r="C113" i="24"/>
  <c r="D113" i="24" s="1"/>
  <c r="C114" i="24"/>
  <c r="D114" i="24" s="1"/>
  <c r="C115" i="24"/>
  <c r="D115" i="24" s="1"/>
  <c r="C116" i="24"/>
  <c r="D116" i="24" s="1"/>
  <c r="C117" i="24"/>
  <c r="D117" i="24" s="1"/>
  <c r="C118" i="24"/>
  <c r="D118" i="24" s="1"/>
  <c r="C119" i="24"/>
  <c r="D119" i="24" s="1"/>
  <c r="C120" i="24"/>
  <c r="D120" i="24" s="1"/>
  <c r="C121" i="24"/>
  <c r="D121" i="24" s="1"/>
  <c r="C122" i="24"/>
  <c r="D122" i="24" s="1"/>
  <c r="C123" i="24"/>
  <c r="D123" i="24" s="1"/>
  <c r="C124" i="24"/>
  <c r="D124" i="24" s="1"/>
  <c r="C125" i="24"/>
  <c r="D125" i="24" s="1"/>
  <c r="C126" i="24"/>
  <c r="D126" i="24" s="1"/>
  <c r="C127" i="24"/>
  <c r="D127" i="24" s="1"/>
  <c r="C128" i="24"/>
  <c r="D128" i="24" s="1"/>
  <c r="C129" i="24"/>
  <c r="D129" i="24" s="1"/>
  <c r="C130" i="24"/>
  <c r="D130" i="24" s="1"/>
  <c r="C131" i="24"/>
  <c r="D131" i="24" s="1"/>
  <c r="C132" i="24"/>
  <c r="D132" i="24" s="1"/>
  <c r="C133" i="24"/>
  <c r="D133" i="24" s="1"/>
  <c r="C134" i="24"/>
  <c r="D134" i="24" s="1"/>
  <c r="C135" i="24"/>
  <c r="D135" i="24" s="1"/>
  <c r="C136" i="24"/>
  <c r="D136" i="24" s="1"/>
  <c r="C137" i="24"/>
  <c r="D137" i="24" s="1"/>
  <c r="C138" i="24"/>
  <c r="D138" i="24" s="1"/>
  <c r="C139" i="24"/>
  <c r="D139" i="24" s="1"/>
  <c r="C140" i="24"/>
  <c r="D140" i="24" s="1"/>
  <c r="C141" i="24"/>
  <c r="D141" i="24" s="1"/>
  <c r="C142" i="24"/>
  <c r="D142" i="24" s="1"/>
  <c r="C143" i="24"/>
  <c r="D143" i="24" s="1"/>
  <c r="C144" i="24"/>
  <c r="D144" i="24" s="1"/>
  <c r="C145" i="24"/>
  <c r="D145" i="24" s="1"/>
  <c r="C146" i="24"/>
  <c r="D146" i="24" s="1"/>
  <c r="C147" i="24"/>
  <c r="D147" i="24" s="1"/>
  <c r="C148" i="24"/>
  <c r="D148" i="24" s="1"/>
  <c r="C149" i="24"/>
  <c r="D149" i="24" s="1"/>
  <c r="C150" i="24"/>
  <c r="D150" i="24" s="1"/>
  <c r="C151" i="24"/>
  <c r="D151" i="24" s="1"/>
  <c r="C152" i="24"/>
  <c r="D152" i="24" s="1"/>
  <c r="C153" i="24"/>
  <c r="D153" i="24" s="1"/>
  <c r="C154" i="24"/>
  <c r="D154" i="24" s="1"/>
  <c r="C155" i="24"/>
  <c r="D155" i="24" s="1"/>
  <c r="C156" i="24"/>
  <c r="D156" i="24" s="1"/>
  <c r="C157" i="24"/>
  <c r="D157" i="24" s="1"/>
  <c r="C158" i="24"/>
  <c r="D158" i="24" s="1"/>
  <c r="C159" i="24"/>
  <c r="D159" i="24" s="1"/>
  <c r="C160" i="24"/>
  <c r="D160" i="24" s="1"/>
  <c r="C161" i="24"/>
  <c r="D161" i="24" s="1"/>
  <c r="C162" i="24"/>
  <c r="D162" i="24" s="1"/>
  <c r="C163" i="24"/>
  <c r="D163" i="24" s="1"/>
  <c r="C164" i="24"/>
  <c r="D164" i="24" s="1"/>
  <c r="C165" i="24"/>
  <c r="D165" i="24" s="1"/>
  <c r="C166" i="24"/>
  <c r="D166" i="24" s="1"/>
  <c r="C167" i="24"/>
  <c r="D167" i="24" s="1"/>
  <c r="C168" i="24"/>
  <c r="D168" i="24" s="1"/>
  <c r="C169" i="24"/>
  <c r="D169" i="24" s="1"/>
  <c r="C170" i="24"/>
  <c r="D170" i="24" s="1"/>
  <c r="C171" i="24"/>
  <c r="D171" i="24" s="1"/>
  <c r="C172" i="24"/>
  <c r="D172" i="24" s="1"/>
  <c r="C173" i="24"/>
  <c r="D173" i="24" s="1"/>
  <c r="C174" i="24"/>
  <c r="D174" i="24" s="1"/>
  <c r="C175" i="24"/>
  <c r="D175" i="24" s="1"/>
  <c r="C176" i="24"/>
  <c r="D176" i="24" s="1"/>
  <c r="C177" i="24"/>
  <c r="D177" i="24" s="1"/>
  <c r="C178" i="24"/>
  <c r="D178" i="24" s="1"/>
  <c r="C179" i="24"/>
  <c r="D179" i="24" s="1"/>
  <c r="C180" i="24"/>
  <c r="D180" i="24" s="1"/>
  <c r="C181" i="24"/>
  <c r="D181" i="24" s="1"/>
  <c r="C182" i="24"/>
  <c r="D182" i="24" s="1"/>
  <c r="C183" i="24"/>
  <c r="D183" i="24" s="1"/>
  <c r="C184" i="24"/>
  <c r="D184" i="24" s="1"/>
  <c r="C185" i="24"/>
  <c r="D185" i="24" s="1"/>
  <c r="C186" i="24"/>
  <c r="D186" i="24" s="1"/>
  <c r="C187" i="24"/>
  <c r="D187" i="24" s="1"/>
  <c r="C188" i="24"/>
  <c r="D188" i="24" s="1"/>
  <c r="C189" i="24"/>
  <c r="D189" i="24" s="1"/>
  <c r="C190" i="24"/>
  <c r="D190" i="24" s="1"/>
  <c r="C191" i="24"/>
  <c r="D191" i="24" s="1"/>
  <c r="C192" i="24"/>
  <c r="D192" i="24" s="1"/>
  <c r="C193" i="24"/>
  <c r="D193" i="24" s="1"/>
  <c r="C194" i="24"/>
  <c r="D194" i="24" s="1"/>
  <c r="C195" i="24"/>
  <c r="D195" i="24" s="1"/>
  <c r="C196" i="24"/>
  <c r="D196" i="24" s="1"/>
  <c r="C197" i="24"/>
  <c r="D197" i="24" s="1"/>
  <c r="C198" i="24"/>
  <c r="D198" i="24" s="1"/>
  <c r="C199" i="24"/>
  <c r="D199" i="24" s="1"/>
  <c r="C200" i="24"/>
  <c r="D200" i="24" s="1"/>
  <c r="C201" i="24"/>
  <c r="D201" i="24" s="1"/>
  <c r="C202" i="24"/>
  <c r="D202" i="24" s="1"/>
  <c r="C203" i="24"/>
  <c r="D203" i="24" s="1"/>
  <c r="C204" i="24"/>
  <c r="D204" i="24" s="1"/>
  <c r="C205" i="24"/>
  <c r="D205" i="24" s="1"/>
  <c r="C206" i="24"/>
  <c r="D206" i="24" s="1"/>
  <c r="C207" i="24"/>
  <c r="D207" i="24" s="1"/>
  <c r="C208" i="24"/>
  <c r="D208" i="24" s="1"/>
  <c r="C209" i="24"/>
  <c r="D209" i="24" s="1"/>
  <c r="C210" i="24"/>
  <c r="D210" i="24" s="1"/>
  <c r="C211" i="24"/>
  <c r="D211" i="24" s="1"/>
  <c r="C212" i="24"/>
  <c r="D212" i="24" s="1"/>
  <c r="C213" i="24"/>
  <c r="D213" i="24" s="1"/>
  <c r="C214" i="24"/>
  <c r="D214" i="24" s="1"/>
  <c r="C215" i="24"/>
  <c r="D215" i="24" s="1"/>
  <c r="C216" i="24"/>
  <c r="D216" i="24" s="1"/>
  <c r="C217" i="24"/>
  <c r="D217" i="24" s="1"/>
  <c r="C218" i="24"/>
  <c r="D218" i="24" s="1"/>
  <c r="C219" i="24"/>
  <c r="D219" i="24" s="1"/>
  <c r="C220" i="24"/>
  <c r="D220" i="24" s="1"/>
  <c r="C221" i="24"/>
  <c r="D221" i="24" s="1"/>
  <c r="C222" i="24"/>
  <c r="D222" i="24" s="1"/>
  <c r="C223" i="24"/>
  <c r="D223" i="24" s="1"/>
  <c r="C224" i="24"/>
  <c r="D224" i="24" s="1"/>
  <c r="C225" i="24"/>
  <c r="D225" i="24" s="1"/>
  <c r="C2" i="25"/>
  <c r="D2" i="25" s="1"/>
  <c r="C3" i="25"/>
  <c r="D3" i="25" s="1"/>
  <c r="C4" i="25"/>
  <c r="D4" i="25" s="1"/>
  <c r="C5" i="25"/>
  <c r="D5" i="25" s="1"/>
  <c r="C6" i="25"/>
  <c r="D6" i="25" s="1"/>
  <c r="C7" i="25"/>
  <c r="D7" i="25" s="1"/>
  <c r="C8" i="25"/>
  <c r="D8" i="25" s="1"/>
  <c r="C9" i="25"/>
  <c r="D9" i="25" s="1"/>
  <c r="C10" i="25"/>
  <c r="D10" i="25" s="1"/>
  <c r="C11" i="25"/>
  <c r="D11" i="25" s="1"/>
  <c r="C12" i="25"/>
  <c r="D12" i="25" s="1"/>
  <c r="C13" i="25"/>
  <c r="D13" i="25" s="1"/>
  <c r="C14" i="25"/>
  <c r="D14" i="25" s="1"/>
  <c r="C15" i="25"/>
  <c r="D15" i="25" s="1"/>
  <c r="C16" i="25"/>
  <c r="D16" i="25" s="1"/>
  <c r="C17" i="25"/>
  <c r="D17" i="25" s="1"/>
  <c r="C18" i="25"/>
  <c r="D18" i="25" s="1"/>
  <c r="C19" i="25"/>
  <c r="D19" i="25" s="1"/>
  <c r="C20" i="25"/>
  <c r="D20" i="25" s="1"/>
  <c r="C21" i="25"/>
  <c r="D21" i="25" s="1"/>
  <c r="C22" i="25"/>
  <c r="D22" i="25" s="1"/>
  <c r="C23" i="25"/>
  <c r="D23" i="25" s="1"/>
  <c r="C24" i="25"/>
  <c r="D24" i="25" s="1"/>
  <c r="C25" i="25"/>
  <c r="D25" i="25" s="1"/>
  <c r="C26" i="25"/>
  <c r="D26" i="25" s="1"/>
  <c r="C27" i="25"/>
  <c r="D27" i="25" s="1"/>
  <c r="C28" i="25"/>
  <c r="D28" i="25" s="1"/>
  <c r="C29" i="25"/>
  <c r="D29" i="25" s="1"/>
  <c r="C30" i="25"/>
  <c r="D30" i="25" s="1"/>
  <c r="C31" i="25"/>
  <c r="D31" i="25" s="1"/>
  <c r="C32" i="25"/>
  <c r="D32" i="25" s="1"/>
  <c r="C33" i="25"/>
  <c r="D33" i="25" s="1"/>
  <c r="C34" i="25"/>
  <c r="D34" i="25" s="1"/>
  <c r="C35" i="25"/>
  <c r="D35" i="25" s="1"/>
  <c r="C36" i="25"/>
  <c r="D36" i="25" s="1"/>
  <c r="C37" i="25"/>
  <c r="D37" i="25" s="1"/>
  <c r="C38" i="25"/>
  <c r="D38" i="25" s="1"/>
  <c r="C39" i="25"/>
  <c r="D39" i="25" s="1"/>
  <c r="C40" i="25"/>
  <c r="D40" i="25" s="1"/>
  <c r="C41" i="25"/>
  <c r="D41" i="25" s="1"/>
  <c r="C42" i="25"/>
  <c r="D42" i="25" s="1"/>
  <c r="C43" i="25"/>
  <c r="D43" i="25" s="1"/>
  <c r="C44" i="25"/>
  <c r="D44" i="25" s="1"/>
  <c r="C45" i="25"/>
  <c r="D45" i="25" s="1"/>
  <c r="C46" i="25"/>
  <c r="D46" i="25" s="1"/>
  <c r="C47" i="25"/>
  <c r="D47" i="25" s="1"/>
  <c r="C48" i="25"/>
  <c r="D48" i="25" s="1"/>
  <c r="C49" i="25"/>
  <c r="D49" i="25" s="1"/>
  <c r="C50" i="25"/>
  <c r="D50" i="25" s="1"/>
  <c r="C51" i="25"/>
  <c r="D51" i="25" s="1"/>
  <c r="C52" i="25"/>
  <c r="D52" i="25" s="1"/>
  <c r="C53" i="25"/>
  <c r="D53" i="25" s="1"/>
  <c r="C54" i="25"/>
  <c r="D54" i="25" s="1"/>
  <c r="C55" i="25"/>
  <c r="D55" i="25" s="1"/>
  <c r="C56" i="25"/>
  <c r="D56" i="25" s="1"/>
  <c r="C57" i="25"/>
  <c r="D57" i="25" s="1"/>
  <c r="C58" i="25"/>
  <c r="D58" i="25" s="1"/>
  <c r="C59" i="25"/>
  <c r="D59" i="25" s="1"/>
  <c r="C60" i="25"/>
  <c r="D60" i="25" s="1"/>
  <c r="C61" i="25"/>
  <c r="D61" i="25" s="1"/>
  <c r="C62" i="25"/>
  <c r="D62" i="25" s="1"/>
  <c r="C63" i="25"/>
  <c r="D63" i="25" s="1"/>
  <c r="C64" i="25"/>
  <c r="D64" i="25" s="1"/>
  <c r="C65" i="25"/>
  <c r="D65" i="25" s="1"/>
  <c r="C66" i="25"/>
  <c r="D66" i="25" s="1"/>
  <c r="C67" i="25"/>
  <c r="D67" i="25" s="1"/>
  <c r="C68" i="25"/>
  <c r="D68" i="25" s="1"/>
  <c r="C69" i="25"/>
  <c r="D69" i="25" s="1"/>
  <c r="C70" i="25"/>
  <c r="D70" i="25" s="1"/>
  <c r="C71" i="25"/>
  <c r="D71" i="25" s="1"/>
  <c r="C72" i="25"/>
  <c r="D72" i="25" s="1"/>
  <c r="C73" i="25"/>
  <c r="D73" i="25" s="1"/>
  <c r="C74" i="25"/>
  <c r="D74" i="25" s="1"/>
  <c r="C75" i="25"/>
  <c r="D75" i="25" s="1"/>
  <c r="C76" i="25"/>
  <c r="D76" i="25" s="1"/>
  <c r="C77" i="25"/>
  <c r="D77" i="25" s="1"/>
  <c r="C78" i="25"/>
  <c r="D78" i="25" s="1"/>
  <c r="C79" i="25"/>
  <c r="D79" i="25" s="1"/>
  <c r="C80" i="25"/>
  <c r="D80" i="25" s="1"/>
  <c r="C81" i="25"/>
  <c r="D81" i="25" s="1"/>
  <c r="C82" i="25"/>
  <c r="D82" i="25" s="1"/>
  <c r="C83" i="25"/>
  <c r="D83" i="25" s="1"/>
  <c r="C84" i="25"/>
  <c r="D84" i="25" s="1"/>
  <c r="C85" i="25"/>
  <c r="D85" i="25" s="1"/>
  <c r="C86" i="25"/>
  <c r="D86" i="25" s="1"/>
  <c r="C87" i="25"/>
  <c r="D87" i="25" s="1"/>
  <c r="C88" i="25"/>
  <c r="D88" i="25" s="1"/>
  <c r="C89" i="25"/>
  <c r="D89" i="25" s="1"/>
  <c r="C90" i="25"/>
  <c r="D90" i="25" s="1"/>
  <c r="C91" i="25"/>
  <c r="D91" i="25" s="1"/>
  <c r="C92" i="25"/>
  <c r="D92" i="25" s="1"/>
  <c r="C93" i="25"/>
  <c r="D93" i="25" s="1"/>
  <c r="C94" i="25"/>
  <c r="D94" i="25" s="1"/>
  <c r="C95" i="25"/>
  <c r="D95" i="25" s="1"/>
  <c r="C96" i="25"/>
  <c r="D96" i="25" s="1"/>
  <c r="C97" i="25"/>
  <c r="D97" i="25" s="1"/>
  <c r="C98" i="25"/>
  <c r="D98" i="25" s="1"/>
  <c r="C99" i="25"/>
  <c r="D99" i="25" s="1"/>
  <c r="C100" i="25"/>
  <c r="D100" i="25" s="1"/>
  <c r="C101" i="25"/>
  <c r="D101" i="25" s="1"/>
  <c r="C102" i="25"/>
  <c r="D102" i="25" s="1"/>
  <c r="C103" i="25"/>
  <c r="D103" i="25" s="1"/>
  <c r="C104" i="25"/>
  <c r="D104" i="25" s="1"/>
  <c r="C105" i="25"/>
  <c r="D105" i="25" s="1"/>
  <c r="C106" i="25"/>
  <c r="D106" i="25" s="1"/>
  <c r="C107" i="25"/>
  <c r="D107" i="25" s="1"/>
  <c r="C108" i="25"/>
  <c r="D108" i="25" s="1"/>
  <c r="C109" i="25"/>
  <c r="D109" i="25" s="1"/>
  <c r="C110" i="25"/>
  <c r="D110" i="25" s="1"/>
  <c r="C111" i="25"/>
  <c r="D111" i="25" s="1"/>
  <c r="C112" i="25"/>
  <c r="D112" i="25" s="1"/>
  <c r="C113" i="25"/>
  <c r="D113" i="25" s="1"/>
  <c r="C114" i="25"/>
  <c r="D114" i="25" s="1"/>
  <c r="C115" i="25"/>
  <c r="D115" i="25" s="1"/>
  <c r="C116" i="25"/>
  <c r="D116" i="25" s="1"/>
  <c r="C117" i="25"/>
  <c r="D117" i="25" s="1"/>
  <c r="C118" i="25"/>
  <c r="D118" i="25" s="1"/>
  <c r="C119" i="25"/>
  <c r="D119" i="25" s="1"/>
  <c r="C120" i="25"/>
  <c r="D120" i="25" s="1"/>
  <c r="C121" i="25"/>
  <c r="D121" i="25" s="1"/>
  <c r="C122" i="25"/>
  <c r="D122" i="25" s="1"/>
  <c r="C123" i="25"/>
  <c r="D123" i="25" s="1"/>
  <c r="C124" i="25"/>
  <c r="D124" i="25" s="1"/>
  <c r="C125" i="25"/>
  <c r="D125" i="25" s="1"/>
  <c r="C126" i="25"/>
  <c r="D126" i="25" s="1"/>
  <c r="C127" i="25"/>
  <c r="D127" i="25" s="1"/>
  <c r="C128" i="25"/>
  <c r="D128" i="25" s="1"/>
  <c r="C129" i="25"/>
  <c r="D129" i="25" s="1"/>
  <c r="C130" i="25"/>
  <c r="D130" i="25" s="1"/>
  <c r="C131" i="25"/>
  <c r="D131" i="25" s="1"/>
  <c r="C132" i="25"/>
  <c r="D132" i="25" s="1"/>
  <c r="C133" i="25"/>
  <c r="D133" i="25" s="1"/>
  <c r="C134" i="25"/>
  <c r="D134" i="25" s="1"/>
  <c r="C135" i="25"/>
  <c r="D135" i="25" s="1"/>
  <c r="C136" i="25"/>
  <c r="D136" i="25" s="1"/>
  <c r="C137" i="25"/>
  <c r="D137" i="25" s="1"/>
  <c r="C138" i="25"/>
  <c r="D138" i="25" s="1"/>
  <c r="C139" i="25"/>
  <c r="D139" i="25" s="1"/>
  <c r="C140" i="25"/>
  <c r="D140" i="25" s="1"/>
  <c r="C141" i="25"/>
  <c r="D141" i="25" s="1"/>
  <c r="C142" i="25"/>
  <c r="D142" i="25" s="1"/>
  <c r="C143" i="25"/>
  <c r="D143" i="25" s="1"/>
  <c r="C144" i="25"/>
  <c r="D144" i="25" s="1"/>
  <c r="C145" i="25"/>
  <c r="D145" i="25" s="1"/>
  <c r="C146" i="25"/>
  <c r="D146" i="25" s="1"/>
  <c r="C147" i="25"/>
  <c r="D147" i="25" s="1"/>
  <c r="C148" i="25"/>
  <c r="D148" i="25" s="1"/>
  <c r="C149" i="25"/>
  <c r="D149" i="25" s="1"/>
  <c r="C150" i="25"/>
  <c r="D150" i="25" s="1"/>
  <c r="C151" i="25"/>
  <c r="D151" i="25" s="1"/>
  <c r="C152" i="25"/>
  <c r="D152" i="25" s="1"/>
  <c r="C153" i="25"/>
  <c r="D153" i="25" s="1"/>
  <c r="C154" i="25"/>
  <c r="D154" i="25" s="1"/>
  <c r="C155" i="25"/>
  <c r="D155" i="25" s="1"/>
  <c r="C156" i="25"/>
  <c r="D156" i="25" s="1"/>
  <c r="C157" i="25"/>
  <c r="D157" i="25" s="1"/>
  <c r="C158" i="25"/>
  <c r="D158" i="25" s="1"/>
  <c r="C159" i="25"/>
  <c r="D159" i="25" s="1"/>
  <c r="C160" i="25"/>
  <c r="D160" i="25" s="1"/>
  <c r="C161" i="25"/>
  <c r="D161" i="25" s="1"/>
  <c r="C162" i="25"/>
  <c r="D162" i="25" s="1"/>
  <c r="C163" i="25"/>
  <c r="D163" i="25" s="1"/>
  <c r="C164" i="25"/>
  <c r="D164" i="25" s="1"/>
  <c r="C165" i="25"/>
  <c r="D165" i="25" s="1"/>
  <c r="C166" i="25"/>
  <c r="D166" i="25" s="1"/>
  <c r="C167" i="25"/>
  <c r="D167" i="25" s="1"/>
  <c r="C168" i="25"/>
  <c r="D168" i="25" s="1"/>
  <c r="C169" i="25"/>
  <c r="D169" i="25" s="1"/>
  <c r="C170" i="25"/>
  <c r="D170" i="25" s="1"/>
  <c r="C171" i="25"/>
  <c r="D171" i="25" s="1"/>
  <c r="C172" i="25"/>
  <c r="D172" i="25" s="1"/>
  <c r="C173" i="25"/>
  <c r="D173" i="25" s="1"/>
  <c r="C174" i="25"/>
  <c r="D174" i="25" s="1"/>
  <c r="C175" i="25"/>
  <c r="D175" i="25" s="1"/>
  <c r="C176" i="25"/>
  <c r="D176" i="25" s="1"/>
  <c r="C177" i="25"/>
  <c r="D177" i="25" s="1"/>
  <c r="C178" i="25"/>
  <c r="D178" i="25" s="1"/>
  <c r="C179" i="25"/>
  <c r="D179" i="25" s="1"/>
  <c r="C180" i="25"/>
  <c r="D180" i="25" s="1"/>
  <c r="C181" i="25"/>
  <c r="D181" i="25" s="1"/>
  <c r="C182" i="25"/>
  <c r="D182" i="25" s="1"/>
  <c r="C183" i="25"/>
  <c r="D183" i="25" s="1"/>
  <c r="C184" i="25"/>
  <c r="D184" i="25" s="1"/>
  <c r="C185" i="25"/>
  <c r="D185" i="25" s="1"/>
  <c r="C186" i="25"/>
  <c r="D186" i="25" s="1"/>
  <c r="C187" i="25"/>
  <c r="D187" i="25" s="1"/>
  <c r="C188" i="25"/>
  <c r="D188" i="25" s="1"/>
  <c r="C189" i="25"/>
  <c r="D189" i="25" s="1"/>
  <c r="C190" i="25"/>
  <c r="D190" i="25" s="1"/>
  <c r="C191" i="25"/>
  <c r="D191" i="25" s="1"/>
  <c r="C192" i="25"/>
  <c r="D192" i="25" s="1"/>
  <c r="C193" i="25"/>
  <c r="D193" i="25" s="1"/>
  <c r="C194" i="25"/>
  <c r="D194" i="25" s="1"/>
  <c r="C195" i="25"/>
  <c r="D195" i="25" s="1"/>
  <c r="C196" i="25"/>
  <c r="D196" i="25" s="1"/>
  <c r="C197" i="25"/>
  <c r="D197" i="25" s="1"/>
  <c r="C198" i="25"/>
  <c r="D198" i="25" s="1"/>
  <c r="C199" i="25"/>
  <c r="D199" i="25" s="1"/>
  <c r="C200" i="25"/>
  <c r="D200" i="25" s="1"/>
  <c r="C201" i="25"/>
  <c r="D201" i="25" s="1"/>
  <c r="C202" i="25"/>
  <c r="D202" i="25" s="1"/>
  <c r="C203" i="25"/>
  <c r="D203" i="25" s="1"/>
  <c r="C204" i="25"/>
  <c r="D204" i="25" s="1"/>
  <c r="C205" i="25"/>
  <c r="D205" i="25" s="1"/>
  <c r="C206" i="25"/>
  <c r="D206" i="25" s="1"/>
  <c r="C207" i="25"/>
  <c r="D207" i="25" s="1"/>
  <c r="C208" i="25"/>
  <c r="D208" i="25" s="1"/>
  <c r="C209" i="25"/>
  <c r="D209" i="25" s="1"/>
  <c r="C210" i="25"/>
  <c r="D210" i="25" s="1"/>
  <c r="C211" i="25"/>
  <c r="D211" i="25" s="1"/>
  <c r="C212" i="25"/>
  <c r="D212" i="25" s="1"/>
  <c r="C213" i="25"/>
  <c r="D213" i="25" s="1"/>
  <c r="C214" i="25"/>
  <c r="D214" i="25" s="1"/>
  <c r="C215" i="25"/>
  <c r="D215" i="25" s="1"/>
  <c r="C216" i="25"/>
  <c r="D216" i="25" s="1"/>
  <c r="C217" i="25"/>
  <c r="D217" i="25" s="1"/>
  <c r="C218" i="25"/>
  <c r="D218" i="25" s="1"/>
  <c r="C219" i="25"/>
  <c r="D219" i="25" s="1"/>
  <c r="C220" i="25"/>
  <c r="D220" i="25" s="1"/>
  <c r="C221" i="25"/>
  <c r="D221" i="25" s="1"/>
  <c r="C222" i="25"/>
  <c r="D222" i="25" s="1"/>
  <c r="C223" i="25"/>
  <c r="D223" i="25" s="1"/>
  <c r="C224" i="25"/>
  <c r="D224" i="25" s="1"/>
  <c r="C225" i="25"/>
  <c r="D225" i="25" s="1"/>
  <c r="C226" i="25"/>
  <c r="D226" i="25" s="1"/>
  <c r="C227" i="25"/>
  <c r="D227" i="25" s="1"/>
  <c r="C228" i="25"/>
  <c r="D228" i="25" s="1"/>
  <c r="C229" i="25"/>
  <c r="D229" i="25" s="1"/>
  <c r="C230" i="25"/>
  <c r="D230" i="25" s="1"/>
  <c r="C231" i="25"/>
  <c r="D231" i="25" s="1"/>
  <c r="C232" i="25"/>
  <c r="D232" i="25" s="1"/>
  <c r="C233" i="25"/>
  <c r="D233" i="25" s="1"/>
  <c r="C234" i="25"/>
  <c r="D234" i="25" s="1"/>
  <c r="C235" i="25"/>
  <c r="D235" i="25" s="1"/>
  <c r="C236" i="25"/>
  <c r="D236" i="25" s="1"/>
  <c r="C237" i="25"/>
  <c r="D237" i="25" s="1"/>
  <c r="C238" i="25"/>
  <c r="D238" i="25" s="1"/>
  <c r="C239" i="25"/>
  <c r="D239" i="25" s="1"/>
  <c r="C240" i="25"/>
  <c r="D240" i="25" s="1"/>
  <c r="C241" i="25"/>
  <c r="D241" i="25" s="1"/>
  <c r="C242" i="25"/>
  <c r="D242" i="25" s="1"/>
  <c r="C243" i="25"/>
  <c r="D243" i="25" s="1"/>
  <c r="C244" i="25"/>
  <c r="D244" i="25" s="1"/>
  <c r="C245" i="25"/>
  <c r="D245" i="25" s="1"/>
  <c r="C246" i="25"/>
  <c r="D246" i="25" s="1"/>
  <c r="C247" i="25"/>
  <c r="D247" i="25" s="1"/>
  <c r="C248" i="25"/>
  <c r="D248" i="25" s="1"/>
  <c r="C249" i="25"/>
  <c r="D249" i="25" s="1"/>
  <c r="C250" i="25"/>
  <c r="D250" i="25" s="1"/>
  <c r="C251" i="25"/>
  <c r="D251" i="25" s="1"/>
  <c r="C252" i="25"/>
  <c r="D252" i="25" s="1"/>
  <c r="D2" i="27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05" i="27"/>
  <c r="D206" i="27"/>
  <c r="D207" i="27"/>
  <c r="D208" i="27"/>
  <c r="D209" i="27"/>
  <c r="D210" i="27"/>
  <c r="D211" i="27"/>
  <c r="D212" i="27"/>
  <c r="D213" i="27"/>
  <c r="D214" i="27"/>
  <c r="D215" i="27"/>
  <c r="D216" i="27"/>
  <c r="D217" i="27"/>
  <c r="D218" i="27"/>
  <c r="D219" i="27"/>
  <c r="D220" i="27"/>
  <c r="D221" i="27"/>
  <c r="D222" i="27"/>
  <c r="D223" i="27"/>
  <c r="D224" i="27"/>
  <c r="D225" i="27"/>
  <c r="D226" i="27"/>
  <c r="D227" i="27"/>
  <c r="D228" i="27"/>
  <c r="D229" i="27"/>
  <c r="D230" i="27"/>
  <c r="D231" i="27"/>
  <c r="D232" i="27"/>
  <c r="D233" i="27"/>
  <c r="D234" i="27"/>
  <c r="D235" i="27"/>
  <c r="D236" i="27"/>
  <c r="C2" i="27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C3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A400" i="13" l="1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G1647" i="3"/>
  <c r="G1648" i="3"/>
  <c r="G1649" i="3"/>
  <c r="G1650" i="3"/>
  <c r="G1651" i="3"/>
  <c r="G1652" i="3"/>
  <c r="G1653" i="3"/>
  <c r="G1654" i="3"/>
  <c r="G1655" i="3"/>
  <c r="G1656" i="3"/>
  <c r="A1647" i="3"/>
  <c r="A1648" i="3"/>
  <c r="A1649" i="3"/>
  <c r="A1650" i="3"/>
  <c r="A1651" i="3"/>
  <c r="A1652" i="3"/>
  <c r="A1653" i="3"/>
  <c r="A1654" i="3"/>
  <c r="A1655" i="3"/>
  <c r="A1656" i="3"/>
  <c r="B1655" i="7"/>
  <c r="B1654" i="7"/>
  <c r="B1653" i="7"/>
  <c r="B1652" i="7"/>
  <c r="B1651" i="7"/>
  <c r="B1650" i="7"/>
  <c r="B1649" i="7"/>
  <c r="B1648" i="7"/>
  <c r="B1647" i="7"/>
  <c r="B1646" i="7"/>
  <c r="E1655" i="7" s="1"/>
  <c r="C1656" i="3" s="1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A1645" i="3"/>
  <c r="A1646" i="3"/>
  <c r="B1644" i="7"/>
  <c r="E1645" i="7" s="1"/>
  <c r="C1646" i="3" s="1"/>
  <c r="B1645" i="7"/>
  <c r="E1646" i="7" l="1"/>
  <c r="C1647" i="3" s="1"/>
  <c r="E1647" i="7"/>
  <c r="C1648" i="3" s="1"/>
  <c r="E1648" i="7"/>
  <c r="C1649" i="3" s="1"/>
  <c r="E1649" i="7"/>
  <c r="C1650" i="3" s="1"/>
  <c r="E1650" i="7"/>
  <c r="C1651" i="3" s="1"/>
  <c r="E1651" i="7"/>
  <c r="C1652" i="3" s="1"/>
  <c r="E1652" i="7"/>
  <c r="C1653" i="3" s="1"/>
  <c r="E1653" i="7"/>
  <c r="C1654" i="3" s="1"/>
  <c r="E1654" i="7"/>
  <c r="C1655" i="3" s="1"/>
  <c r="E1644" i="7"/>
  <c r="C1645" i="3" s="1"/>
  <c r="A1636" i="3"/>
  <c r="A1637" i="3"/>
  <c r="A1638" i="3"/>
  <c r="A1639" i="3"/>
  <c r="A1640" i="3"/>
  <c r="A1641" i="3"/>
  <c r="A1642" i="3"/>
  <c r="A1643" i="3"/>
  <c r="A1644" i="3"/>
  <c r="B1643" i="7"/>
  <c r="B1642" i="7"/>
  <c r="E1643" i="7" s="1"/>
  <c r="C1644" i="3" s="1"/>
  <c r="B1641" i="7"/>
  <c r="B1640" i="7"/>
  <c r="B1639" i="7"/>
  <c r="B1638" i="7"/>
  <c r="B1637" i="7"/>
  <c r="B1636" i="7"/>
  <c r="B1635" i="7"/>
  <c r="E1641" i="7" s="1"/>
  <c r="C1642" i="3" s="1"/>
  <c r="A1633" i="3"/>
  <c r="A1634" i="3"/>
  <c r="A1635" i="3"/>
  <c r="B1634" i="7"/>
  <c r="E1634" i="7" s="1"/>
  <c r="C1635" i="3" s="1"/>
  <c r="B1633" i="7"/>
  <c r="E1633" i="7" s="1"/>
  <c r="C1634" i="3" s="1"/>
  <c r="G1629" i="3"/>
  <c r="G1630" i="3"/>
  <c r="G1631" i="3"/>
  <c r="G1632" i="3"/>
  <c r="G1633" i="3"/>
  <c r="G1634" i="3"/>
  <c r="A1629" i="3"/>
  <c r="A1630" i="3"/>
  <c r="A1631" i="3"/>
  <c r="A1632" i="3"/>
  <c r="B1632" i="7"/>
  <c r="B1631" i="7"/>
  <c r="B1630" i="7"/>
  <c r="B1629" i="7"/>
  <c r="B1628" i="7"/>
  <c r="E1632" i="7" s="1"/>
  <c r="C1633" i="3" s="1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E1627" i="7" s="1"/>
  <c r="C1628" i="3" s="1"/>
  <c r="G1609" i="3"/>
  <c r="A1609" i="3"/>
  <c r="B1608" i="7"/>
  <c r="E1608" i="7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3" i="1"/>
  <c r="G1608" i="3"/>
  <c r="A1608" i="3"/>
  <c r="B1607" i="7"/>
  <c r="E1607" i="7" s="1"/>
  <c r="C1608" i="3" s="1"/>
  <c r="E1642" i="7" l="1"/>
  <c r="C1643" i="3" s="1"/>
  <c r="E1635" i="7"/>
  <c r="C1636" i="3" s="1"/>
  <c r="E1636" i="7"/>
  <c r="C1637" i="3" s="1"/>
  <c r="E1637" i="7"/>
  <c r="C1638" i="3" s="1"/>
  <c r="E1638" i="7"/>
  <c r="C1639" i="3" s="1"/>
  <c r="E1639" i="7"/>
  <c r="C1640" i="3" s="1"/>
  <c r="E1640" i="7"/>
  <c r="C1641" i="3" s="1"/>
  <c r="C1609" i="3"/>
  <c r="E1628" i="7"/>
  <c r="C1629" i="3" s="1"/>
  <c r="E1629" i="7"/>
  <c r="C1630" i="3" s="1"/>
  <c r="E1630" i="7"/>
  <c r="C1631" i="3" s="1"/>
  <c r="E1631" i="7"/>
  <c r="C1632" i="3" s="1"/>
  <c r="E1609" i="7"/>
  <c r="C1610" i="3" s="1"/>
  <c r="E1610" i="7"/>
  <c r="C1611" i="3" s="1"/>
  <c r="E1611" i="7"/>
  <c r="C1612" i="3" s="1"/>
  <c r="E1612" i="7"/>
  <c r="C1613" i="3" s="1"/>
  <c r="E1613" i="7"/>
  <c r="C1614" i="3" s="1"/>
  <c r="E1614" i="7"/>
  <c r="C1615" i="3" s="1"/>
  <c r="E1615" i="7"/>
  <c r="C1616" i="3" s="1"/>
  <c r="E1616" i="7"/>
  <c r="C1617" i="3" s="1"/>
  <c r="E1617" i="7"/>
  <c r="C1618" i="3" s="1"/>
  <c r="E1618" i="7"/>
  <c r="C1619" i="3" s="1"/>
  <c r="E1619" i="7"/>
  <c r="C1620" i="3" s="1"/>
  <c r="E1620" i="7"/>
  <c r="C1621" i="3" s="1"/>
  <c r="E1621" i="7"/>
  <c r="C1622" i="3" s="1"/>
  <c r="E1622" i="7"/>
  <c r="C1623" i="3" s="1"/>
  <c r="E1623" i="7"/>
  <c r="C1624" i="3" s="1"/>
  <c r="E1624" i="7"/>
  <c r="C1625" i="3" s="1"/>
  <c r="E1625" i="7"/>
  <c r="C1626" i="3" s="1"/>
  <c r="E1626" i="7"/>
  <c r="C1627" i="3" s="1"/>
  <c r="G1603" i="3"/>
  <c r="G1604" i="3"/>
  <c r="G1605" i="3"/>
  <c r="G1606" i="3"/>
  <c r="G1607" i="3"/>
  <c r="A1603" i="3"/>
  <c r="A1604" i="3"/>
  <c r="A1605" i="3"/>
  <c r="A1606" i="3"/>
  <c r="A1607" i="3"/>
  <c r="B1606" i="7"/>
  <c r="B1605" i="7"/>
  <c r="B1604" i="7"/>
  <c r="B1603" i="7"/>
  <c r="B1602" i="7"/>
  <c r="E1606" i="7" s="1"/>
  <c r="C1607" i="3" s="1"/>
  <c r="C93" i="3"/>
  <c r="C106" i="3"/>
  <c r="C459" i="3"/>
  <c r="C581" i="3"/>
  <c r="C586" i="3"/>
  <c r="C613" i="3"/>
  <c r="C618" i="3"/>
  <c r="C737" i="3"/>
  <c r="C1261" i="3"/>
  <c r="C1273" i="3"/>
  <c r="C1305" i="3"/>
  <c r="C1361" i="3"/>
  <c r="C1373" i="3"/>
  <c r="C1402" i="3"/>
  <c r="C1403" i="3"/>
  <c r="C1550" i="3"/>
  <c r="C1553" i="3"/>
  <c r="G1599" i="3"/>
  <c r="G1600" i="3"/>
  <c r="G1601" i="3"/>
  <c r="G1602" i="3"/>
  <c r="A1599" i="3"/>
  <c r="A1600" i="3"/>
  <c r="A1601" i="3"/>
  <c r="A1602" i="3"/>
  <c r="B1601" i="7"/>
  <c r="B1600" i="7"/>
  <c r="B1599" i="7"/>
  <c r="B1598" i="7"/>
  <c r="E1601" i="7" s="1"/>
  <c r="C1602" i="3" s="1"/>
  <c r="G1594" i="3"/>
  <c r="G1595" i="3"/>
  <c r="G1596" i="3"/>
  <c r="G1597" i="3"/>
  <c r="G1598" i="3"/>
  <c r="A1594" i="3"/>
  <c r="A1595" i="3"/>
  <c r="A1596" i="3"/>
  <c r="A1597" i="3"/>
  <c r="A1598" i="3"/>
  <c r="B1597" i="7"/>
  <c r="E1597" i="7" s="1"/>
  <c r="C1598" i="3" s="1"/>
  <c r="B1596" i="7"/>
  <c r="B1595" i="7"/>
  <c r="B1594" i="7"/>
  <c r="B1593" i="7"/>
  <c r="E1596" i="7" s="1"/>
  <c r="C1597" i="3" s="1"/>
  <c r="G1590" i="3"/>
  <c r="G1591" i="3"/>
  <c r="G1592" i="3"/>
  <c r="G1593" i="3"/>
  <c r="A1590" i="3"/>
  <c r="A1591" i="3"/>
  <c r="A1592" i="3"/>
  <c r="A1593" i="3"/>
  <c r="B1592" i="7"/>
  <c r="E1592" i="7" s="1"/>
  <c r="C1593" i="3" s="1"/>
  <c r="B1591" i="7"/>
  <c r="E1591" i="7" s="1"/>
  <c r="C1592" i="3" s="1"/>
  <c r="B1590" i="7"/>
  <c r="E1590" i="7" s="1"/>
  <c r="C1591" i="3" s="1"/>
  <c r="B1589" i="7"/>
  <c r="E1589" i="7" s="1"/>
  <c r="C1590" i="3" s="1"/>
  <c r="G1583" i="3"/>
  <c r="G1584" i="3"/>
  <c r="G1585" i="3"/>
  <c r="G1586" i="3"/>
  <c r="G1587" i="3"/>
  <c r="G1588" i="3"/>
  <c r="G1589" i="3"/>
  <c r="A1583" i="3"/>
  <c r="A1584" i="3"/>
  <c r="A1585" i="3"/>
  <c r="A1586" i="3"/>
  <c r="A1587" i="3"/>
  <c r="A1588" i="3"/>
  <c r="A1589" i="3"/>
  <c r="B1588" i="7"/>
  <c r="B1587" i="7"/>
  <c r="B1586" i="7"/>
  <c r="B1585" i="7"/>
  <c r="B1584" i="7"/>
  <c r="B1583" i="7"/>
  <c r="B1582" i="7"/>
  <c r="E1588" i="7" s="1"/>
  <c r="C1589" i="3" s="1"/>
  <c r="G1582" i="3"/>
  <c r="A1582" i="3"/>
  <c r="B1581" i="7"/>
  <c r="E1581" i="7" s="1"/>
  <c r="C1582" i="3" s="1"/>
  <c r="E1602" i="7" l="1"/>
  <c r="C1603" i="3" s="1"/>
  <c r="E1603" i="7"/>
  <c r="C1604" i="3" s="1"/>
  <c r="E1604" i="7"/>
  <c r="C1605" i="3" s="1"/>
  <c r="E1605" i="7"/>
  <c r="C1606" i="3" s="1"/>
  <c r="E1598" i="7"/>
  <c r="C1599" i="3" s="1"/>
  <c r="E1599" i="7"/>
  <c r="C1600" i="3" s="1"/>
  <c r="E1600" i="7"/>
  <c r="C1601" i="3" s="1"/>
  <c r="E1593" i="7"/>
  <c r="C1594" i="3" s="1"/>
  <c r="E1594" i="7"/>
  <c r="C1595" i="3" s="1"/>
  <c r="E1595" i="7"/>
  <c r="C1596" i="3" s="1"/>
  <c r="E1582" i="7"/>
  <c r="C1583" i="3" s="1"/>
  <c r="E1583" i="7"/>
  <c r="C1584" i="3" s="1"/>
  <c r="E1584" i="7"/>
  <c r="C1585" i="3" s="1"/>
  <c r="E1585" i="7"/>
  <c r="C1586" i="3" s="1"/>
  <c r="E1586" i="7"/>
  <c r="C1587" i="3" s="1"/>
  <c r="E1587" i="7"/>
  <c r="C1588" i="3" s="1"/>
  <c r="G1581" i="3"/>
  <c r="A1581" i="3"/>
  <c r="B1580" i="7"/>
  <c r="E1580" i="7" s="1"/>
  <c r="C1581" i="3" s="1"/>
  <c r="G1573" i="3"/>
  <c r="G1574" i="3"/>
  <c r="G1575" i="3"/>
  <c r="G1576" i="3"/>
  <c r="G1577" i="3"/>
  <c r="G1578" i="3"/>
  <c r="G1579" i="3"/>
  <c r="G1580" i="3"/>
  <c r="A1573" i="3"/>
  <c r="A1574" i="3"/>
  <c r="A1575" i="3"/>
  <c r="A1576" i="3"/>
  <c r="A1577" i="3"/>
  <c r="A1578" i="3"/>
  <c r="A1579" i="3"/>
  <c r="A1580" i="3"/>
  <c r="B1579" i="7"/>
  <c r="B1578" i="7"/>
  <c r="B1577" i="7"/>
  <c r="E1579" i="7" s="1"/>
  <c r="C1580" i="3" s="1"/>
  <c r="B1576" i="7"/>
  <c r="B1575" i="7"/>
  <c r="B1574" i="7"/>
  <c r="B1573" i="7"/>
  <c r="B1572" i="7"/>
  <c r="E1576" i="7" s="1"/>
  <c r="C1577" i="3" s="1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B1571" i="7"/>
  <c r="B1570" i="7"/>
  <c r="B1569" i="7"/>
  <c r="B1568" i="7"/>
  <c r="B1567" i="7"/>
  <c r="E1571" i="7" s="1"/>
  <c r="C1572" i="3" s="1"/>
  <c r="B1566" i="7"/>
  <c r="B1565" i="7"/>
  <c r="B1564" i="7"/>
  <c r="B1563" i="7"/>
  <c r="E1566" i="7" s="1"/>
  <c r="C1567" i="3" s="1"/>
  <c r="B1562" i="7"/>
  <c r="B1561" i="7"/>
  <c r="B1560" i="7"/>
  <c r="B1559" i="7"/>
  <c r="B1558" i="7"/>
  <c r="E1562" i="7" s="1"/>
  <c r="C1563" i="3" s="1"/>
  <c r="B1557" i="7"/>
  <c r="E1557" i="7" s="1"/>
  <c r="C1558" i="3" s="1"/>
  <c r="E1577" i="7" l="1"/>
  <c r="C1578" i="3" s="1"/>
  <c r="E1578" i="7"/>
  <c r="C1579" i="3" s="1"/>
  <c r="E1572" i="7"/>
  <c r="C1573" i="3" s="1"/>
  <c r="E1573" i="7"/>
  <c r="C1574" i="3" s="1"/>
  <c r="E1574" i="7"/>
  <c r="C1575" i="3" s="1"/>
  <c r="E1575" i="7"/>
  <c r="C1576" i="3" s="1"/>
  <c r="E1567" i="7"/>
  <c r="C1568" i="3" s="1"/>
  <c r="E1568" i="7"/>
  <c r="C1569" i="3" s="1"/>
  <c r="E1569" i="7"/>
  <c r="C1570" i="3" s="1"/>
  <c r="E1570" i="7"/>
  <c r="C1571" i="3" s="1"/>
  <c r="E1558" i="7"/>
  <c r="C1559" i="3" s="1"/>
  <c r="E1559" i="7"/>
  <c r="C1560" i="3" s="1"/>
  <c r="E1560" i="7"/>
  <c r="C1561" i="3" s="1"/>
  <c r="E1561" i="7"/>
  <c r="C1562" i="3" s="1"/>
  <c r="E1563" i="7"/>
  <c r="C1564" i="3" s="1"/>
  <c r="E1564" i="7"/>
  <c r="C1565" i="3" s="1"/>
  <c r="E1565" i="7"/>
  <c r="C1566" i="3" s="1"/>
  <c r="B1556" i="7"/>
  <c r="E1556" i="7" s="1"/>
  <c r="C1557" i="3" s="1"/>
  <c r="B1555" i="7"/>
  <c r="E1555" i="7" s="1"/>
  <c r="C1556" i="3" s="1"/>
  <c r="B1506" i="7"/>
  <c r="B1507" i="7"/>
  <c r="B1508" i="7"/>
  <c r="B1509" i="7"/>
  <c r="E1511" i="7" s="1"/>
  <c r="C1512" i="3" s="1"/>
  <c r="B1510" i="7"/>
  <c r="B1511" i="7"/>
  <c r="B1512" i="7"/>
  <c r="E1515" i="7" s="1"/>
  <c r="C1516" i="3" s="1"/>
  <c r="B1513" i="7"/>
  <c r="B1514" i="7"/>
  <c r="B1515" i="7"/>
  <c r="B1516" i="7"/>
  <c r="E1521" i="7" s="1"/>
  <c r="C1522" i="3" s="1"/>
  <c r="B1517" i="7"/>
  <c r="B1518" i="7"/>
  <c r="B1519" i="7"/>
  <c r="B1520" i="7"/>
  <c r="B1521" i="7"/>
  <c r="B1522" i="7"/>
  <c r="E1527" i="7" s="1"/>
  <c r="C1528" i="3" s="1"/>
  <c r="B1523" i="7"/>
  <c r="B1524" i="7"/>
  <c r="B1525" i="7"/>
  <c r="B1526" i="7"/>
  <c r="B1527" i="7"/>
  <c r="B1528" i="7"/>
  <c r="B1529" i="7"/>
  <c r="E1535" i="7" s="1"/>
  <c r="C1536" i="3" s="1"/>
  <c r="B1530" i="7"/>
  <c r="B1531" i="7"/>
  <c r="B1532" i="7"/>
  <c r="B1533" i="7"/>
  <c r="B1534" i="7"/>
  <c r="B1535" i="7"/>
  <c r="B1536" i="7"/>
  <c r="E1541" i="7" s="1"/>
  <c r="C1542" i="3" s="1"/>
  <c r="B1537" i="7"/>
  <c r="B1538" i="7"/>
  <c r="B1539" i="7"/>
  <c r="B1540" i="7"/>
  <c r="B1541" i="7"/>
  <c r="B1542" i="7"/>
  <c r="B1543" i="7"/>
  <c r="E1547" i="7" s="1"/>
  <c r="C1548" i="3" s="1"/>
  <c r="B1544" i="7"/>
  <c r="B1545" i="7"/>
  <c r="B1546" i="7"/>
  <c r="B1547" i="7"/>
  <c r="B1548" i="7"/>
  <c r="B1549" i="7"/>
  <c r="B1550" i="7"/>
  <c r="E1550" i="7" s="1"/>
  <c r="C1551" i="3" s="1"/>
  <c r="B1551" i="7"/>
  <c r="E1551" i="7" s="1"/>
  <c r="C1552" i="3" s="1"/>
  <c r="B1552" i="7"/>
  <c r="E1552" i="7" s="1"/>
  <c r="B1553" i="7"/>
  <c r="E1553" i="7" s="1"/>
  <c r="C1554" i="3" s="1"/>
  <c r="B1554" i="7"/>
  <c r="E1554" i="7" s="1"/>
  <c r="C1555" i="3" s="1"/>
  <c r="E1540" i="7" l="1"/>
  <c r="C1541" i="3" s="1"/>
  <c r="E1518" i="7"/>
  <c r="C1519" i="3" s="1"/>
  <c r="E1526" i="7"/>
  <c r="C1527" i="3" s="1"/>
  <c r="E1514" i="7"/>
  <c r="C1515" i="3" s="1"/>
  <c r="E1522" i="7"/>
  <c r="C1523" i="3" s="1"/>
  <c r="E1536" i="7"/>
  <c r="C1537" i="3" s="1"/>
  <c r="E1512" i="7"/>
  <c r="C1513" i="3" s="1"/>
  <c r="E1516" i="7"/>
  <c r="C1517" i="3" s="1"/>
  <c r="E1520" i="7"/>
  <c r="C1521" i="3" s="1"/>
  <c r="E1524" i="7"/>
  <c r="C1525" i="3" s="1"/>
  <c r="E1528" i="7"/>
  <c r="C1529" i="3" s="1"/>
  <c r="E1538" i="7"/>
  <c r="C1539" i="3" s="1"/>
  <c r="E1532" i="7"/>
  <c r="C1533" i="3" s="1"/>
  <c r="E1546" i="7"/>
  <c r="C1547" i="3" s="1"/>
  <c r="E1510" i="7"/>
  <c r="C1511" i="3" s="1"/>
  <c r="E1530" i="7"/>
  <c r="C1531" i="3" s="1"/>
  <c r="E1534" i="7"/>
  <c r="C1535" i="3" s="1"/>
  <c r="E1544" i="7"/>
  <c r="C1545" i="3" s="1"/>
  <c r="E1548" i="7"/>
  <c r="C1549" i="3" s="1"/>
  <c r="E1509" i="7"/>
  <c r="C1510" i="3" s="1"/>
  <c r="E1529" i="7"/>
  <c r="C1530" i="3" s="1"/>
  <c r="E1531" i="7"/>
  <c r="C1532" i="3" s="1"/>
  <c r="E1533" i="7"/>
  <c r="C1534" i="3" s="1"/>
  <c r="E1543" i="7"/>
  <c r="C1544" i="3" s="1"/>
  <c r="E1545" i="7"/>
  <c r="C1546" i="3" s="1"/>
  <c r="E1542" i="7"/>
  <c r="C1543" i="3" s="1"/>
  <c r="E1513" i="7"/>
  <c r="C1514" i="3" s="1"/>
  <c r="E1517" i="7"/>
  <c r="C1518" i="3" s="1"/>
  <c r="E1519" i="7"/>
  <c r="C1520" i="3" s="1"/>
  <c r="E1523" i="7"/>
  <c r="C1524" i="3" s="1"/>
  <c r="E1525" i="7"/>
  <c r="C1526" i="3" s="1"/>
  <c r="E1537" i="7"/>
  <c r="C1538" i="3" s="1"/>
  <c r="E1539" i="7"/>
  <c r="C1540" i="3" s="1"/>
  <c r="G1505" i="3" l="1"/>
  <c r="G1506" i="3"/>
  <c r="G1507" i="3"/>
  <c r="G1508" i="3"/>
  <c r="G1509" i="3"/>
  <c r="A1505" i="3"/>
  <c r="A1506" i="3"/>
  <c r="A1507" i="3"/>
  <c r="A1508" i="3"/>
  <c r="A1509" i="3"/>
  <c r="E1508" i="7"/>
  <c r="C1509" i="3" s="1"/>
  <c r="B1505" i="7"/>
  <c r="B1504" i="7"/>
  <c r="E1504" i="7" s="1"/>
  <c r="C1505" i="3" s="1"/>
  <c r="G1504" i="3"/>
  <c r="A1504" i="3"/>
  <c r="B1503" i="7"/>
  <c r="E1503" i="7" s="1"/>
  <c r="C1504" i="3" s="1"/>
  <c r="G1503" i="3"/>
  <c r="A1503" i="3"/>
  <c r="B1502" i="7"/>
  <c r="E1502" i="7" s="1"/>
  <c r="C1503" i="3" s="1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B1501" i="7"/>
  <c r="B1500" i="7"/>
  <c r="B1499" i="7"/>
  <c r="B1498" i="7"/>
  <c r="B1497" i="7"/>
  <c r="B1496" i="7"/>
  <c r="B1495" i="7"/>
  <c r="E1499" i="7" s="1"/>
  <c r="C1500" i="3" s="1"/>
  <c r="B1494" i="7"/>
  <c r="B1493" i="7"/>
  <c r="B1492" i="7"/>
  <c r="B1491" i="7"/>
  <c r="B1490" i="7"/>
  <c r="E1494" i="7" s="1"/>
  <c r="C1495" i="3" s="1"/>
  <c r="G1481" i="3"/>
  <c r="G1482" i="3"/>
  <c r="G1483" i="3"/>
  <c r="G1484" i="3"/>
  <c r="G1485" i="3"/>
  <c r="G1486" i="3"/>
  <c r="G1487" i="3"/>
  <c r="G1488" i="3"/>
  <c r="G1489" i="3"/>
  <c r="G1490" i="3"/>
  <c r="A1481" i="3"/>
  <c r="A1482" i="3"/>
  <c r="A1483" i="3"/>
  <c r="A1484" i="3"/>
  <c r="A1485" i="3"/>
  <c r="A1486" i="3"/>
  <c r="A1487" i="3"/>
  <c r="A1488" i="3"/>
  <c r="A1489" i="3"/>
  <c r="A1490" i="3"/>
  <c r="B1489" i="7"/>
  <c r="E1489" i="7" s="1"/>
  <c r="C1490" i="3" s="1"/>
  <c r="B1483" i="7"/>
  <c r="B1484" i="7"/>
  <c r="B1485" i="7"/>
  <c r="B1486" i="7"/>
  <c r="B1487" i="7"/>
  <c r="B1488" i="7"/>
  <c r="B1482" i="7"/>
  <c r="E1488" i="7" s="1"/>
  <c r="C1489" i="3" s="1"/>
  <c r="B1481" i="7"/>
  <c r="E1481" i="7" s="1"/>
  <c r="C1482" i="3" s="1"/>
  <c r="B1480" i="7"/>
  <c r="E1480" i="7" s="1"/>
  <c r="C1481" i="3" s="1"/>
  <c r="G1480" i="3"/>
  <c r="A1480" i="3"/>
  <c r="B1479" i="7"/>
  <c r="E1479" i="7" s="1"/>
  <c r="C1480" i="3" s="1"/>
  <c r="G1470" i="3"/>
  <c r="G1471" i="3"/>
  <c r="G1472" i="3"/>
  <c r="G1473" i="3"/>
  <c r="G1474" i="3"/>
  <c r="G1475" i="3"/>
  <c r="G1476" i="3"/>
  <c r="G1477" i="3"/>
  <c r="G1478" i="3"/>
  <c r="G1479" i="3"/>
  <c r="A1470" i="3"/>
  <c r="A1471" i="3"/>
  <c r="A1472" i="3"/>
  <c r="A1473" i="3"/>
  <c r="A1474" i="3"/>
  <c r="A1475" i="3"/>
  <c r="A1476" i="3"/>
  <c r="A1477" i="3"/>
  <c r="A1478" i="3"/>
  <c r="A1479" i="3"/>
  <c r="B1474" i="7"/>
  <c r="E1474" i="7" s="1"/>
  <c r="C1475" i="3" s="1"/>
  <c r="B1478" i="7"/>
  <c r="E1478" i="7" s="1"/>
  <c r="C1479" i="3" s="1"/>
  <c r="B1477" i="7"/>
  <c r="E1477" i="7" s="1"/>
  <c r="C1478" i="3" s="1"/>
  <c r="B1476" i="7"/>
  <c r="E1476" i="7" s="1"/>
  <c r="C1477" i="3" s="1"/>
  <c r="B1475" i="7"/>
  <c r="E1475" i="7" s="1"/>
  <c r="C1476" i="3" s="1"/>
  <c r="B1473" i="7"/>
  <c r="B1472" i="7"/>
  <c r="B1471" i="7"/>
  <c r="B1470" i="7"/>
  <c r="B1469" i="7"/>
  <c r="E1473" i="7" s="1"/>
  <c r="C1474" i="3" s="1"/>
  <c r="G1469" i="3"/>
  <c r="A1469" i="3"/>
  <c r="B1468" i="7"/>
  <c r="E1468" i="7" s="1"/>
  <c r="C1469" i="3" s="1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B1467" i="7"/>
  <c r="B1466" i="7"/>
  <c r="B1465" i="7"/>
  <c r="B1464" i="7"/>
  <c r="B1463" i="7"/>
  <c r="B1462" i="7"/>
  <c r="B1461" i="7"/>
  <c r="E1467" i="7" s="1"/>
  <c r="C1468" i="3" s="1"/>
  <c r="B1460" i="7"/>
  <c r="B1458" i="7"/>
  <c r="B1457" i="7"/>
  <c r="B1456" i="7"/>
  <c r="B1455" i="7"/>
  <c r="B1454" i="7"/>
  <c r="E1458" i="7" s="1"/>
  <c r="C1459" i="3" s="1"/>
  <c r="B1453" i="7"/>
  <c r="B1452" i="7"/>
  <c r="B1451" i="7"/>
  <c r="B1450" i="7"/>
  <c r="B1449" i="7"/>
  <c r="B1448" i="7"/>
  <c r="E1453" i="7" s="1"/>
  <c r="C1454" i="3" s="1"/>
  <c r="B1446" i="7"/>
  <c r="B1445" i="7"/>
  <c r="B1444" i="7"/>
  <c r="B1443" i="7"/>
  <c r="B1442" i="7"/>
  <c r="B1441" i="7"/>
  <c r="E1445" i="7" s="1"/>
  <c r="C1446" i="3" s="1"/>
  <c r="G1441" i="3"/>
  <c r="A1441" i="3"/>
  <c r="B1440" i="7"/>
  <c r="E1440" i="7" s="1"/>
  <c r="C1441" i="3" s="1"/>
  <c r="G1436" i="3"/>
  <c r="G1437" i="3"/>
  <c r="G1438" i="3"/>
  <c r="G1439" i="3"/>
  <c r="G1440" i="3"/>
  <c r="A1436" i="3"/>
  <c r="A1437" i="3"/>
  <c r="A1438" i="3"/>
  <c r="A1439" i="3"/>
  <c r="A1440" i="3"/>
  <c r="B1439" i="7"/>
  <c r="B1438" i="7"/>
  <c r="B1437" i="7"/>
  <c r="B1436" i="7"/>
  <c r="B1435" i="7"/>
  <c r="E1439" i="7" s="1"/>
  <c r="C1440" i="3" s="1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619" i="3"/>
  <c r="B1434" i="7"/>
  <c r="E1434" i="7" s="1"/>
  <c r="C1435" i="3" s="1"/>
  <c r="B1433" i="7"/>
  <c r="B1432" i="7"/>
  <c r="B1431" i="7"/>
  <c r="B1430" i="7"/>
  <c r="B1429" i="7"/>
  <c r="B1428" i="7"/>
  <c r="E1433" i="7" s="1"/>
  <c r="C1434" i="3" s="1"/>
  <c r="E1505" i="7" l="1"/>
  <c r="C1506" i="3" s="1"/>
  <c r="E1507" i="7"/>
  <c r="C1508" i="3" s="1"/>
  <c r="E1506" i="7"/>
  <c r="C1507" i="3" s="1"/>
  <c r="E1500" i="7"/>
  <c r="C1501" i="3" s="1"/>
  <c r="E1498" i="7"/>
  <c r="C1499" i="3" s="1"/>
  <c r="E1496" i="7"/>
  <c r="C1497" i="3" s="1"/>
  <c r="E1501" i="7"/>
  <c r="C1502" i="3" s="1"/>
  <c r="E1495" i="7"/>
  <c r="C1496" i="3" s="1"/>
  <c r="E1497" i="7"/>
  <c r="C1498" i="3" s="1"/>
  <c r="E1491" i="7"/>
  <c r="C1492" i="3" s="1"/>
  <c r="E1493" i="7"/>
  <c r="C1494" i="3" s="1"/>
  <c r="E1490" i="7"/>
  <c r="C1491" i="3" s="1"/>
  <c r="E1492" i="7"/>
  <c r="C1493" i="3" s="1"/>
  <c r="E1482" i="7"/>
  <c r="C1483" i="3" s="1"/>
  <c r="E1486" i="7"/>
  <c r="C1487" i="3" s="1"/>
  <c r="E1484" i="7"/>
  <c r="C1485" i="3" s="1"/>
  <c r="E1483" i="7"/>
  <c r="C1484" i="3" s="1"/>
  <c r="E1485" i="7"/>
  <c r="C1486" i="3" s="1"/>
  <c r="E1487" i="7"/>
  <c r="C1488" i="3" s="1"/>
  <c r="E1470" i="7"/>
  <c r="C1471" i="3" s="1"/>
  <c r="E1472" i="7"/>
  <c r="C1473" i="3" s="1"/>
  <c r="E1469" i="7"/>
  <c r="C1470" i="3" s="1"/>
  <c r="E1471" i="7"/>
  <c r="C1472" i="3" s="1"/>
  <c r="E1447" i="7"/>
  <c r="C1448" i="3" s="1"/>
  <c r="E1460" i="7"/>
  <c r="C1461" i="3" s="1"/>
  <c r="E1462" i="7"/>
  <c r="C1463" i="3" s="1"/>
  <c r="E1464" i="7"/>
  <c r="C1465" i="3" s="1"/>
  <c r="E1466" i="7"/>
  <c r="C1467" i="3" s="1"/>
  <c r="E1461" i="7"/>
  <c r="C1462" i="3" s="1"/>
  <c r="E1463" i="7"/>
  <c r="C1464" i="3" s="1"/>
  <c r="E1465" i="7"/>
  <c r="C1466" i="3" s="1"/>
  <c r="E1455" i="7"/>
  <c r="C1456" i="3" s="1"/>
  <c r="E1459" i="7"/>
  <c r="C1460" i="3" s="1"/>
  <c r="E1457" i="7"/>
  <c r="C1458" i="3" s="1"/>
  <c r="E1454" i="7"/>
  <c r="C1455" i="3" s="1"/>
  <c r="E1456" i="7"/>
  <c r="C1457" i="3" s="1"/>
  <c r="E1448" i="7"/>
  <c r="C1449" i="3" s="1"/>
  <c r="E1450" i="7"/>
  <c r="C1451" i="3" s="1"/>
  <c r="E1452" i="7"/>
  <c r="C1453" i="3" s="1"/>
  <c r="E1449" i="7"/>
  <c r="C1450" i="3" s="1"/>
  <c r="E1451" i="7"/>
  <c r="C1452" i="3" s="1"/>
  <c r="E1442" i="7"/>
  <c r="C1443" i="3" s="1"/>
  <c r="E1446" i="7"/>
  <c r="C1447" i="3" s="1"/>
  <c r="E1444" i="7"/>
  <c r="C1445" i="3" s="1"/>
  <c r="E1441" i="7"/>
  <c r="C1442" i="3" s="1"/>
  <c r="E1443" i="7"/>
  <c r="C1444" i="3" s="1"/>
  <c r="E1436" i="7"/>
  <c r="C1437" i="3" s="1"/>
  <c r="E1438" i="7"/>
  <c r="C1439" i="3" s="1"/>
  <c r="E1435" i="7"/>
  <c r="C1436" i="3" s="1"/>
  <c r="E1437" i="7"/>
  <c r="C1438" i="3" s="1"/>
  <c r="E1428" i="7"/>
  <c r="C1429" i="3" s="1"/>
  <c r="E1430" i="7"/>
  <c r="C1431" i="3" s="1"/>
  <c r="E1432" i="7"/>
  <c r="C1433" i="3" s="1"/>
  <c r="E1429" i="7"/>
  <c r="C1430" i="3" s="1"/>
  <c r="E1431" i="7"/>
  <c r="C1432" i="3" s="1"/>
  <c r="B1427" i="7" l="1"/>
  <c r="B1426" i="7"/>
  <c r="B1425" i="7"/>
  <c r="B1424" i="7"/>
  <c r="B1423" i="7"/>
  <c r="E1426" i="7" s="1"/>
  <c r="C1427" i="3" s="1"/>
  <c r="B1422" i="7"/>
  <c r="B1421" i="7"/>
  <c r="B1420" i="7"/>
  <c r="B1419" i="7"/>
  <c r="B1418" i="7"/>
  <c r="B1417" i="7"/>
  <c r="E1422" i="7" s="1"/>
  <c r="C1423" i="3" s="1"/>
  <c r="B3" i="7"/>
  <c r="E3" i="7" s="1"/>
  <c r="C4" i="3" s="1"/>
  <c r="B4" i="7"/>
  <c r="B5" i="7"/>
  <c r="B6" i="7"/>
  <c r="E6" i="7" s="1"/>
  <c r="C7" i="3" s="1"/>
  <c r="B7" i="7"/>
  <c r="B8" i="7"/>
  <c r="E8" i="7" s="1"/>
  <c r="C9" i="3" s="1"/>
  <c r="B9" i="7"/>
  <c r="B10" i="7"/>
  <c r="B11" i="7"/>
  <c r="E11" i="7" s="1"/>
  <c r="C12" i="3" s="1"/>
  <c r="B12" i="7"/>
  <c r="B13" i="7"/>
  <c r="B14" i="7"/>
  <c r="E14" i="7" s="1"/>
  <c r="C15" i="3" s="1"/>
  <c r="B15" i="7"/>
  <c r="B16" i="7"/>
  <c r="B17" i="7"/>
  <c r="B18" i="7"/>
  <c r="B19" i="7"/>
  <c r="B20" i="7"/>
  <c r="B21" i="7"/>
  <c r="B22" i="7"/>
  <c r="B23" i="7"/>
  <c r="E23" i="7" s="1"/>
  <c r="C24" i="3" s="1"/>
  <c r="B24" i="7"/>
  <c r="B25" i="7"/>
  <c r="B26" i="7"/>
  <c r="B27" i="7"/>
  <c r="B28" i="7"/>
  <c r="B29" i="7"/>
  <c r="E29" i="7" s="1"/>
  <c r="C30" i="3" s="1"/>
  <c r="B30" i="7"/>
  <c r="B31" i="7"/>
  <c r="B32" i="7"/>
  <c r="B33" i="7"/>
  <c r="B34" i="7"/>
  <c r="E34" i="7" s="1"/>
  <c r="C35" i="3" s="1"/>
  <c r="B35" i="7"/>
  <c r="B36" i="7"/>
  <c r="B37" i="7"/>
  <c r="B38" i="7"/>
  <c r="B39" i="7"/>
  <c r="E40" i="7" s="1"/>
  <c r="C41" i="3" s="1"/>
  <c r="B40" i="7"/>
  <c r="B41" i="7"/>
  <c r="B42" i="7"/>
  <c r="E43" i="7" s="1"/>
  <c r="C44" i="3" s="1"/>
  <c r="B43" i="7"/>
  <c r="B44" i="7"/>
  <c r="E46" i="7" s="1"/>
  <c r="C47" i="3" s="1"/>
  <c r="B45" i="7"/>
  <c r="B46" i="7"/>
  <c r="B47" i="7"/>
  <c r="B48" i="7"/>
  <c r="B49" i="7"/>
  <c r="B50" i="7"/>
  <c r="B51" i="7"/>
  <c r="B52" i="7"/>
  <c r="B53" i="7"/>
  <c r="E53" i="7" s="1"/>
  <c r="C54" i="3" s="1"/>
  <c r="B54" i="7"/>
  <c r="B55" i="7"/>
  <c r="B56" i="7"/>
  <c r="B57" i="7"/>
  <c r="B58" i="7"/>
  <c r="B59" i="7"/>
  <c r="B60" i="7"/>
  <c r="B61" i="7"/>
  <c r="B62" i="7"/>
  <c r="E64" i="7" s="1"/>
  <c r="C65" i="3" s="1"/>
  <c r="B63" i="7"/>
  <c r="B64" i="7"/>
  <c r="B65" i="7"/>
  <c r="B66" i="7"/>
  <c r="E68" i="7" s="1"/>
  <c r="C69" i="3" s="1"/>
  <c r="B67" i="7"/>
  <c r="B68" i="7"/>
  <c r="B69" i="7"/>
  <c r="B70" i="7"/>
  <c r="B71" i="7"/>
  <c r="E72" i="7" s="1"/>
  <c r="C73" i="3" s="1"/>
  <c r="B72" i="7"/>
  <c r="B73" i="7"/>
  <c r="B74" i="7"/>
  <c r="B75" i="7"/>
  <c r="E76" i="7" s="1"/>
  <c r="C77" i="3" s="1"/>
  <c r="B76" i="7"/>
  <c r="B77" i="7"/>
  <c r="B78" i="7"/>
  <c r="B79" i="7"/>
  <c r="B80" i="7"/>
  <c r="E82" i="7" s="1"/>
  <c r="C83" i="3" s="1"/>
  <c r="B81" i="7"/>
  <c r="B82" i="7"/>
  <c r="B83" i="7"/>
  <c r="B84" i="7"/>
  <c r="B85" i="7"/>
  <c r="E86" i="7" s="1"/>
  <c r="C87" i="3" s="1"/>
  <c r="B86" i="7"/>
  <c r="B87" i="7"/>
  <c r="B88" i="7"/>
  <c r="B89" i="7"/>
  <c r="B90" i="7"/>
  <c r="E90" i="7" s="1"/>
  <c r="C91" i="3" s="1"/>
  <c r="B91" i="7"/>
  <c r="E91" i="7" s="1"/>
  <c r="C92" i="3" s="1"/>
  <c r="B92" i="7"/>
  <c r="B93" i="7"/>
  <c r="B94" i="7"/>
  <c r="B95" i="7"/>
  <c r="B96" i="7"/>
  <c r="B97" i="7"/>
  <c r="E101" i="7" s="1"/>
  <c r="C102" i="3" s="1"/>
  <c r="B98" i="7"/>
  <c r="B99" i="7"/>
  <c r="B100" i="7"/>
  <c r="B101" i="7"/>
  <c r="B102" i="7"/>
  <c r="E108" i="7" s="1"/>
  <c r="C109" i="3" s="1"/>
  <c r="B103" i="7"/>
  <c r="B104" i="7"/>
  <c r="B105" i="7"/>
  <c r="B106" i="7"/>
  <c r="B107" i="7"/>
  <c r="B108" i="7"/>
  <c r="B109" i="7"/>
  <c r="E112" i="7" s="1"/>
  <c r="C113" i="3" s="1"/>
  <c r="B110" i="7"/>
  <c r="B111" i="7"/>
  <c r="B112" i="7"/>
  <c r="B113" i="7"/>
  <c r="E113" i="7" s="1"/>
  <c r="C114" i="3" s="1"/>
  <c r="B114" i="7"/>
  <c r="B115" i="7"/>
  <c r="B116" i="7"/>
  <c r="E116" i="7" s="1"/>
  <c r="B117" i="7"/>
  <c r="E118" i="7" s="1"/>
  <c r="C119" i="3" s="1"/>
  <c r="B118" i="7"/>
  <c r="B119" i="7"/>
  <c r="E121" i="7" s="1"/>
  <c r="C122" i="3" s="1"/>
  <c r="B120" i="7"/>
  <c r="B121" i="7"/>
  <c r="B122" i="7"/>
  <c r="B123" i="7"/>
  <c r="E125" i="7" s="1"/>
  <c r="C126" i="3" s="1"/>
  <c r="B124" i="7"/>
  <c r="B125" i="7"/>
  <c r="B126" i="7"/>
  <c r="E127" i="7" s="1"/>
  <c r="C128" i="3" s="1"/>
  <c r="B127" i="7"/>
  <c r="B128" i="7"/>
  <c r="B129" i="7"/>
  <c r="E129" i="7" s="1"/>
  <c r="C130" i="3" s="1"/>
  <c r="B130" i="7"/>
  <c r="B131" i="7"/>
  <c r="B132" i="7"/>
  <c r="E133" i="7" s="1"/>
  <c r="C134" i="3" s="1"/>
  <c r="B133" i="7"/>
  <c r="B134" i="7"/>
  <c r="B135" i="7"/>
  <c r="E138" i="7" s="1"/>
  <c r="C139" i="3" s="1"/>
  <c r="B136" i="7"/>
  <c r="B137" i="7"/>
  <c r="B138" i="7"/>
  <c r="B139" i="7"/>
  <c r="B140" i="7"/>
  <c r="E142" i="7" s="1"/>
  <c r="C143" i="3" s="1"/>
  <c r="B141" i="7"/>
  <c r="B142" i="7"/>
  <c r="B143" i="7"/>
  <c r="B144" i="7"/>
  <c r="B145" i="7"/>
  <c r="E145" i="7" s="1"/>
  <c r="C146" i="3" s="1"/>
  <c r="B146" i="7"/>
  <c r="E146" i="7" s="1"/>
  <c r="C147" i="3" s="1"/>
  <c r="B147" i="7"/>
  <c r="E147" i="7" s="1"/>
  <c r="C148" i="3" s="1"/>
  <c r="B148" i="7"/>
  <c r="E148" i="7" s="1"/>
  <c r="C149" i="3" s="1"/>
  <c r="B149" i="7"/>
  <c r="E149" i="7" s="1"/>
  <c r="C150" i="3" s="1"/>
  <c r="B150" i="7"/>
  <c r="E150" i="7" s="1"/>
  <c r="C151" i="3" s="1"/>
  <c r="B151" i="7"/>
  <c r="E151" i="7" s="1"/>
  <c r="C152" i="3" s="1"/>
  <c r="B152" i="7"/>
  <c r="E152" i="7" s="1"/>
  <c r="C153" i="3" s="1"/>
  <c r="B153" i="7"/>
  <c r="E153" i="7" s="1"/>
  <c r="C154" i="3" s="1"/>
  <c r="B154" i="7"/>
  <c r="E154" i="7" s="1"/>
  <c r="C155" i="3" s="1"/>
  <c r="B155" i="7"/>
  <c r="E155" i="7" s="1"/>
  <c r="C156" i="3" s="1"/>
  <c r="B156" i="7"/>
  <c r="E156" i="7" s="1"/>
  <c r="C157" i="3" s="1"/>
  <c r="B157" i="7"/>
  <c r="E157" i="7" s="1"/>
  <c r="C158" i="3" s="1"/>
  <c r="B158" i="7"/>
  <c r="E158" i="7" s="1"/>
  <c r="C159" i="3" s="1"/>
  <c r="B159" i="7"/>
  <c r="E159" i="7" s="1"/>
  <c r="B160" i="7"/>
  <c r="E160" i="7" s="1"/>
  <c r="C161" i="3" s="1"/>
  <c r="B161" i="7"/>
  <c r="E161" i="7" s="1"/>
  <c r="C162" i="3" s="1"/>
  <c r="B162" i="7"/>
  <c r="E162" i="7" s="1"/>
  <c r="C163" i="3" s="1"/>
  <c r="B163" i="7"/>
  <c r="E163" i="7" s="1"/>
  <c r="C164" i="3" s="1"/>
  <c r="B164" i="7"/>
  <c r="E164" i="7" s="1"/>
  <c r="C165" i="3" s="1"/>
  <c r="B165" i="7"/>
  <c r="E165" i="7" s="1"/>
  <c r="B166" i="7"/>
  <c r="E166" i="7" s="1"/>
  <c r="B167" i="7"/>
  <c r="E167" i="7" s="1"/>
  <c r="B168" i="7"/>
  <c r="E168" i="7" s="1"/>
  <c r="B169" i="7"/>
  <c r="E169" i="7" s="1"/>
  <c r="B170" i="7"/>
  <c r="E170" i="7" s="1"/>
  <c r="B171" i="7"/>
  <c r="E171" i="7" s="1"/>
  <c r="B172" i="7"/>
  <c r="E172" i="7" s="1"/>
  <c r="B173" i="7"/>
  <c r="E173" i="7" s="1"/>
  <c r="B174" i="7"/>
  <c r="E174" i="7" s="1"/>
  <c r="B175" i="7"/>
  <c r="E175" i="7" s="1"/>
  <c r="B176" i="7"/>
  <c r="E178" i="7" s="1"/>
  <c r="C179" i="3" s="1"/>
  <c r="B177" i="7"/>
  <c r="B178" i="7"/>
  <c r="B179" i="7"/>
  <c r="B180" i="7"/>
  <c r="E182" i="7" s="1"/>
  <c r="C183" i="3" s="1"/>
  <c r="B181" i="7"/>
  <c r="B182" i="7"/>
  <c r="B183" i="7"/>
  <c r="B184" i="7"/>
  <c r="E186" i="7" s="1"/>
  <c r="C187" i="3" s="1"/>
  <c r="B185" i="7"/>
  <c r="B186" i="7"/>
  <c r="B187" i="7"/>
  <c r="B188" i="7"/>
  <c r="E190" i="7" s="1"/>
  <c r="C191" i="3" s="1"/>
  <c r="B189" i="7"/>
  <c r="B190" i="7"/>
  <c r="B191" i="7"/>
  <c r="B192" i="7"/>
  <c r="B193" i="7"/>
  <c r="E193" i="7" s="1"/>
  <c r="C194" i="3" s="1"/>
  <c r="B194" i="7"/>
  <c r="B195" i="7"/>
  <c r="B196" i="7"/>
  <c r="B197" i="7"/>
  <c r="E197" i="7" s="1"/>
  <c r="C198" i="3" s="1"/>
  <c r="B198" i="7"/>
  <c r="B199" i="7"/>
  <c r="E201" i="7" s="1"/>
  <c r="C202" i="3" s="1"/>
  <c r="B200" i="7"/>
  <c r="B201" i="7"/>
  <c r="B202" i="7"/>
  <c r="E203" i="7" s="1"/>
  <c r="C204" i="3" s="1"/>
  <c r="B203" i="7"/>
  <c r="B204" i="7"/>
  <c r="B205" i="7"/>
  <c r="E208" i="7" s="1"/>
  <c r="C209" i="3" s="1"/>
  <c r="B206" i="7"/>
  <c r="B207" i="7"/>
  <c r="B208" i="7"/>
  <c r="B209" i="7"/>
  <c r="E212" i="7" s="1"/>
  <c r="C213" i="3" s="1"/>
  <c r="B210" i="7"/>
  <c r="B211" i="7"/>
  <c r="B212" i="7"/>
  <c r="B213" i="7"/>
  <c r="B214" i="7"/>
  <c r="E218" i="7" s="1"/>
  <c r="C219" i="3" s="1"/>
  <c r="B215" i="7"/>
  <c r="B216" i="7"/>
  <c r="B217" i="7"/>
  <c r="B218" i="7"/>
  <c r="B219" i="7"/>
  <c r="E220" i="7" s="1"/>
  <c r="C221" i="3" s="1"/>
  <c r="B220" i="7"/>
  <c r="B221" i="7"/>
  <c r="B222" i="7"/>
  <c r="B223" i="7"/>
  <c r="B224" i="7"/>
  <c r="E224" i="7" s="1"/>
  <c r="C225" i="3" s="1"/>
  <c r="B225" i="7"/>
  <c r="B226" i="7"/>
  <c r="B227" i="7"/>
  <c r="B228" i="7"/>
  <c r="E232" i="7" s="1"/>
  <c r="C233" i="3" s="1"/>
  <c r="B229" i="7"/>
  <c r="B230" i="7"/>
  <c r="B231" i="7"/>
  <c r="B232" i="7"/>
  <c r="B233" i="7"/>
  <c r="E233" i="7" s="1"/>
  <c r="C234" i="3" s="1"/>
  <c r="B234" i="7"/>
  <c r="B235" i="7"/>
  <c r="B236" i="7"/>
  <c r="B237" i="7"/>
  <c r="B238" i="7"/>
  <c r="E238" i="7" s="1"/>
  <c r="C239" i="3" s="1"/>
  <c r="B239" i="7"/>
  <c r="B240" i="7"/>
  <c r="B241" i="7"/>
  <c r="B242" i="7"/>
  <c r="B243" i="7"/>
  <c r="E243" i="7" s="1"/>
  <c r="C244" i="3" s="1"/>
  <c r="B244" i="7"/>
  <c r="B245" i="7"/>
  <c r="E246" i="7" s="1"/>
  <c r="C247" i="3" s="1"/>
  <c r="B246" i="7"/>
  <c r="B247" i="7"/>
  <c r="E247" i="7" s="1"/>
  <c r="C248" i="3" s="1"/>
  <c r="B248" i="7"/>
  <c r="B249" i="7"/>
  <c r="E249" i="7" s="1"/>
  <c r="C250" i="3" s="1"/>
  <c r="B250" i="7"/>
  <c r="B251" i="7"/>
  <c r="E251" i="7" s="1"/>
  <c r="C252" i="3" s="1"/>
  <c r="B252" i="7"/>
  <c r="B253" i="7"/>
  <c r="E253" i="7" s="1"/>
  <c r="B254" i="7"/>
  <c r="E254" i="7" s="1"/>
  <c r="B255" i="7"/>
  <c r="B256" i="7"/>
  <c r="B257" i="7"/>
  <c r="B258" i="7"/>
  <c r="B259" i="7"/>
  <c r="B260" i="7"/>
  <c r="E260" i="7" s="1"/>
  <c r="C261" i="3" s="1"/>
  <c r="B261" i="7"/>
  <c r="E261" i="7" s="1"/>
  <c r="C262" i="3" s="1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E287" i="7" s="1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E314" i="7" s="1"/>
  <c r="C315" i="3" s="1"/>
  <c r="B311" i="7"/>
  <c r="B312" i="7"/>
  <c r="B313" i="7"/>
  <c r="B314" i="7"/>
  <c r="B315" i="7"/>
  <c r="E316" i="7" s="1"/>
  <c r="C317" i="3" s="1"/>
  <c r="B316" i="7"/>
  <c r="B317" i="7"/>
  <c r="B318" i="7"/>
  <c r="B319" i="7"/>
  <c r="B320" i="7"/>
  <c r="E322" i="7" s="1"/>
  <c r="C323" i="3" s="1"/>
  <c r="B321" i="7"/>
  <c r="B322" i="7"/>
  <c r="B323" i="7"/>
  <c r="B324" i="7"/>
  <c r="B325" i="7"/>
  <c r="E328" i="7" s="1"/>
  <c r="C329" i="3" s="1"/>
  <c r="B326" i="7"/>
  <c r="B327" i="7"/>
  <c r="B328" i="7"/>
  <c r="B329" i="7"/>
  <c r="B330" i="7"/>
  <c r="E332" i="7" s="1"/>
  <c r="C333" i="3" s="1"/>
  <c r="B331" i="7"/>
  <c r="B332" i="7"/>
  <c r="B333" i="7"/>
  <c r="B334" i="7"/>
  <c r="B335" i="7"/>
  <c r="E337" i="7" s="1"/>
  <c r="C338" i="3" s="1"/>
  <c r="B336" i="7"/>
  <c r="B337" i="7"/>
  <c r="B338" i="7"/>
  <c r="B339" i="7"/>
  <c r="B340" i="7"/>
  <c r="E342" i="7" s="1"/>
  <c r="C343" i="3" s="1"/>
  <c r="B341" i="7"/>
  <c r="B342" i="7"/>
  <c r="B343" i="7"/>
  <c r="B344" i="7"/>
  <c r="B345" i="7"/>
  <c r="E345" i="7" s="1"/>
  <c r="C346" i="3" s="1"/>
  <c r="B346" i="7"/>
  <c r="B347" i="7"/>
  <c r="B348" i="7"/>
  <c r="B349" i="7"/>
  <c r="E349" i="7" s="1"/>
  <c r="C350" i="3" s="1"/>
  <c r="B350" i="7"/>
  <c r="B351" i="7"/>
  <c r="B352" i="7"/>
  <c r="B353" i="7"/>
  <c r="B354" i="7"/>
  <c r="E356" i="7" s="1"/>
  <c r="C357" i="3" s="1"/>
  <c r="B355" i="7"/>
  <c r="B356" i="7"/>
  <c r="B357" i="7"/>
  <c r="B358" i="7"/>
  <c r="B359" i="7"/>
  <c r="E359" i="7" s="1"/>
  <c r="C360" i="3" s="1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E376" i="7" s="1"/>
  <c r="C377" i="3" s="1"/>
  <c r="B375" i="7"/>
  <c r="B376" i="7"/>
  <c r="B377" i="7"/>
  <c r="B378" i="7"/>
  <c r="B379" i="7"/>
  <c r="B380" i="7"/>
  <c r="B381" i="7"/>
  <c r="E385" i="7" s="1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E440" i="7" s="1"/>
  <c r="C441" i="3" s="1"/>
  <c r="B439" i="7"/>
  <c r="B440" i="7"/>
  <c r="B441" i="7"/>
  <c r="B442" i="7"/>
  <c r="B443" i="7"/>
  <c r="B444" i="7"/>
  <c r="B445" i="7"/>
  <c r="E445" i="7" s="1"/>
  <c r="C446" i="3" s="1"/>
  <c r="B446" i="7"/>
  <c r="B447" i="7"/>
  <c r="B448" i="7"/>
  <c r="B449" i="7"/>
  <c r="B450" i="7"/>
  <c r="B451" i="7"/>
  <c r="E451" i="7" s="1"/>
  <c r="C452" i="3" s="1"/>
  <c r="B452" i="7"/>
  <c r="B453" i="7"/>
  <c r="B454" i="7"/>
  <c r="B455" i="7"/>
  <c r="E455" i="7" s="1"/>
  <c r="C456" i="3" s="1"/>
  <c r="B456" i="7"/>
  <c r="B457" i="7"/>
  <c r="B458" i="7"/>
  <c r="B459" i="7"/>
  <c r="E459" i="7" s="1"/>
  <c r="C460" i="3" s="1"/>
  <c r="B460" i="7"/>
  <c r="B461" i="7"/>
  <c r="B462" i="7"/>
  <c r="E462" i="7" s="1"/>
  <c r="C463" i="3" s="1"/>
  <c r="B463" i="7"/>
  <c r="E463" i="7" s="1"/>
  <c r="B464" i="7"/>
  <c r="E464" i="7" s="1"/>
  <c r="B465" i="7"/>
  <c r="E465" i="7" s="1"/>
  <c r="C466" i="3" s="1"/>
  <c r="B466" i="7"/>
  <c r="E466" i="7" s="1"/>
  <c r="B467" i="7"/>
  <c r="E467" i="7" s="1"/>
  <c r="C468" i="3" s="1"/>
  <c r="B468" i="7"/>
  <c r="E468" i="7" s="1"/>
  <c r="B469" i="7"/>
  <c r="E469" i="7" s="1"/>
  <c r="C470" i="3" s="1"/>
  <c r="B470" i="7"/>
  <c r="E470" i="7" s="1"/>
  <c r="B471" i="7"/>
  <c r="E471" i="7" s="1"/>
  <c r="B472" i="7"/>
  <c r="E472" i="7" s="1"/>
  <c r="B473" i="7"/>
  <c r="E473" i="7" s="1"/>
  <c r="B474" i="7"/>
  <c r="E474" i="7" s="1"/>
  <c r="B475" i="7"/>
  <c r="E475" i="7" s="1"/>
  <c r="B476" i="7"/>
  <c r="E476" i="7" s="1"/>
  <c r="B477" i="7"/>
  <c r="E477" i="7" s="1"/>
  <c r="B478" i="7"/>
  <c r="E478" i="7" s="1"/>
  <c r="B479" i="7"/>
  <c r="E479" i="7" s="1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E499" i="7" s="1"/>
  <c r="C500" i="3" s="1"/>
  <c r="B500" i="7"/>
  <c r="E500" i="7" s="1"/>
  <c r="C501" i="3" s="1"/>
  <c r="B501" i="7"/>
  <c r="E501" i="7" s="1"/>
  <c r="C502" i="3" s="1"/>
  <c r="B502" i="7"/>
  <c r="E502" i="7" s="1"/>
  <c r="C503" i="3" s="1"/>
  <c r="B503" i="7"/>
  <c r="B504" i="7"/>
  <c r="B505" i="7"/>
  <c r="B506" i="7"/>
  <c r="B507" i="7"/>
  <c r="B508" i="7"/>
  <c r="B509" i="7"/>
  <c r="B510" i="7"/>
  <c r="B511" i="7"/>
  <c r="B512" i="7"/>
  <c r="E512" i="7" s="1"/>
  <c r="C513" i="3" s="1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E560" i="7" s="1"/>
  <c r="C561" i="3" s="1"/>
  <c r="B561" i="7"/>
  <c r="E561" i="7" s="1"/>
  <c r="C562" i="3" s="1"/>
  <c r="B562" i="7"/>
  <c r="E562" i="7" s="1"/>
  <c r="C563" i="3" s="1"/>
  <c r="B563" i="7"/>
  <c r="E563" i="7" s="1"/>
  <c r="C564" i="3" s="1"/>
  <c r="B564" i="7"/>
  <c r="E564" i="7" s="1"/>
  <c r="C565" i="3" s="1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E582" i="7" s="1"/>
  <c r="C583" i="3" s="1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E615" i="7" s="1"/>
  <c r="C616" i="3" s="1"/>
  <c r="B614" i="7"/>
  <c r="B615" i="7"/>
  <c r="B616" i="7"/>
  <c r="B617" i="7"/>
  <c r="B618" i="7"/>
  <c r="B619" i="7"/>
  <c r="B620" i="7"/>
  <c r="B621" i="7"/>
  <c r="B622" i="7"/>
  <c r="B623" i="7"/>
  <c r="E623" i="7" s="1"/>
  <c r="C624" i="3" s="1"/>
  <c r="B624" i="7"/>
  <c r="E624" i="7" s="1"/>
  <c r="C625" i="3" s="1"/>
  <c r="B625" i="7"/>
  <c r="E625" i="7" s="1"/>
  <c r="C626" i="3" s="1"/>
  <c r="B626" i="7"/>
  <c r="E626" i="7" s="1"/>
  <c r="C627" i="3" s="1"/>
  <c r="B627" i="7"/>
  <c r="E627" i="7" s="1"/>
  <c r="C628" i="3" s="1"/>
  <c r="B628" i="7"/>
  <c r="E628" i="7" s="1"/>
  <c r="C629" i="3" s="1"/>
  <c r="B629" i="7"/>
  <c r="E629" i="7" s="1"/>
  <c r="C630" i="3" s="1"/>
  <c r="B630" i="7"/>
  <c r="E630" i="7" s="1"/>
  <c r="C631" i="3" s="1"/>
  <c r="B631" i="7"/>
  <c r="E631" i="7" s="1"/>
  <c r="C632" i="3" s="1"/>
  <c r="B632" i="7"/>
  <c r="E632" i="7" s="1"/>
  <c r="C633" i="3" s="1"/>
  <c r="B633" i="7"/>
  <c r="E633" i="7" s="1"/>
  <c r="C634" i="3" s="1"/>
  <c r="B634" i="7"/>
  <c r="E634" i="7" s="1"/>
  <c r="C635" i="3" s="1"/>
  <c r="B635" i="7"/>
  <c r="E635" i="7" s="1"/>
  <c r="C636" i="3" s="1"/>
  <c r="B636" i="7"/>
  <c r="E636" i="7" s="1"/>
  <c r="C637" i="3" s="1"/>
  <c r="B637" i="7"/>
  <c r="E637" i="7" s="1"/>
  <c r="C638" i="3" s="1"/>
  <c r="B638" i="7"/>
  <c r="E638" i="7" s="1"/>
  <c r="C639" i="3" s="1"/>
  <c r="B639" i="7"/>
  <c r="E639" i="7" s="1"/>
  <c r="C640" i="3" s="1"/>
  <c r="B640" i="7"/>
  <c r="E640" i="7" s="1"/>
  <c r="C641" i="3" s="1"/>
  <c r="B641" i="7"/>
  <c r="E641" i="7" s="1"/>
  <c r="C642" i="3" s="1"/>
  <c r="B642" i="7"/>
  <c r="E642" i="7" s="1"/>
  <c r="C643" i="3" s="1"/>
  <c r="B643" i="7"/>
  <c r="E643" i="7" s="1"/>
  <c r="C644" i="3" s="1"/>
  <c r="B644" i="7"/>
  <c r="E644" i="7" s="1"/>
  <c r="C645" i="3" s="1"/>
  <c r="B645" i="7"/>
  <c r="E645" i="7" s="1"/>
  <c r="C646" i="3" s="1"/>
  <c r="B646" i="7"/>
  <c r="E646" i="7" s="1"/>
  <c r="B647" i="7"/>
  <c r="E647" i="7" s="1"/>
  <c r="C648" i="3" s="1"/>
  <c r="B648" i="7"/>
  <c r="E648" i="7" s="1"/>
  <c r="C649" i="3" s="1"/>
  <c r="B649" i="7"/>
  <c r="E649" i="7" s="1"/>
  <c r="C650" i="3" s="1"/>
  <c r="B650" i="7"/>
  <c r="E650" i="7" s="1"/>
  <c r="C651" i="3" s="1"/>
  <c r="B651" i="7"/>
  <c r="E651" i="7" s="1"/>
  <c r="C652" i="3" s="1"/>
  <c r="B652" i="7"/>
  <c r="E652" i="7" s="1"/>
  <c r="C653" i="3" s="1"/>
  <c r="B653" i="7"/>
  <c r="E653" i="7" s="1"/>
  <c r="C654" i="3" s="1"/>
  <c r="B654" i="7"/>
  <c r="E654" i="7" s="1"/>
  <c r="C655" i="3" s="1"/>
  <c r="B655" i="7"/>
  <c r="B656" i="7"/>
  <c r="B657" i="7"/>
  <c r="B658" i="7"/>
  <c r="E658" i="7" s="1"/>
  <c r="C659" i="3" s="1"/>
  <c r="B659" i="7"/>
  <c r="B660" i="7"/>
  <c r="B661" i="7"/>
  <c r="B662" i="7"/>
  <c r="B663" i="7"/>
  <c r="E663" i="7" s="1"/>
  <c r="C664" i="3" s="1"/>
  <c r="B664" i="7"/>
  <c r="B665" i="7"/>
  <c r="B666" i="7"/>
  <c r="B667" i="7"/>
  <c r="B668" i="7"/>
  <c r="E668" i="7" s="1"/>
  <c r="C669" i="3" s="1"/>
  <c r="B669" i="7"/>
  <c r="B670" i="7"/>
  <c r="B671" i="7"/>
  <c r="B672" i="7"/>
  <c r="B673" i="7"/>
  <c r="E673" i="7" s="1"/>
  <c r="C674" i="3" s="1"/>
  <c r="B674" i="7"/>
  <c r="B675" i="7"/>
  <c r="B676" i="7"/>
  <c r="B677" i="7"/>
  <c r="B678" i="7"/>
  <c r="B679" i="7"/>
  <c r="B680" i="7"/>
  <c r="B681" i="7"/>
  <c r="B682" i="7"/>
  <c r="E682" i="7" s="1"/>
  <c r="C683" i="3" s="1"/>
  <c r="B683" i="7"/>
  <c r="B684" i="7"/>
  <c r="B685" i="7"/>
  <c r="B686" i="7"/>
  <c r="B687" i="7"/>
  <c r="B688" i="7"/>
  <c r="B689" i="7"/>
  <c r="B690" i="7"/>
  <c r="B691" i="7"/>
  <c r="E691" i="7" s="1"/>
  <c r="C692" i="3" s="1"/>
  <c r="B692" i="7"/>
  <c r="B693" i="7"/>
  <c r="B694" i="7"/>
  <c r="B695" i="7"/>
  <c r="E695" i="7" s="1"/>
  <c r="C696" i="3" s="1"/>
  <c r="B696" i="7"/>
  <c r="B697" i="7"/>
  <c r="B698" i="7"/>
  <c r="B699" i="7"/>
  <c r="B700" i="7"/>
  <c r="B701" i="7"/>
  <c r="B702" i="7"/>
  <c r="B703" i="7"/>
  <c r="B704" i="7"/>
  <c r="E704" i="7" s="1"/>
  <c r="C705" i="3" s="1"/>
  <c r="B705" i="7"/>
  <c r="B706" i="7"/>
  <c r="B707" i="7"/>
  <c r="B708" i="7"/>
  <c r="B709" i="7"/>
  <c r="B710" i="7"/>
  <c r="E710" i="7" s="1"/>
  <c r="C711" i="3" s="1"/>
  <c r="B711" i="7"/>
  <c r="B712" i="7"/>
  <c r="B713" i="7"/>
  <c r="B714" i="7"/>
  <c r="B715" i="7"/>
  <c r="E715" i="7" s="1"/>
  <c r="C716" i="3" s="1"/>
  <c r="B716" i="7"/>
  <c r="B717" i="7"/>
  <c r="B718" i="7"/>
  <c r="B719" i="7"/>
  <c r="B720" i="7"/>
  <c r="E720" i="7" s="1"/>
  <c r="C721" i="3" s="1"/>
  <c r="B721" i="7"/>
  <c r="B722" i="7"/>
  <c r="B723" i="7"/>
  <c r="E723" i="7" s="1"/>
  <c r="C724" i="3" s="1"/>
  <c r="B724" i="7"/>
  <c r="B725" i="7"/>
  <c r="B726" i="7"/>
  <c r="B727" i="7"/>
  <c r="B728" i="7"/>
  <c r="B729" i="7"/>
  <c r="B730" i="7"/>
  <c r="E730" i="7" s="1"/>
  <c r="C731" i="3" s="1"/>
  <c r="B731" i="7"/>
  <c r="B732" i="7"/>
  <c r="B733" i="7"/>
  <c r="B734" i="7"/>
  <c r="B735" i="7"/>
  <c r="E735" i="7" s="1"/>
  <c r="C736" i="3" s="1"/>
  <c r="B736" i="7"/>
  <c r="B737" i="7"/>
  <c r="B738" i="7"/>
  <c r="B739" i="7"/>
  <c r="B740" i="7"/>
  <c r="B741" i="7"/>
  <c r="E741" i="7" s="1"/>
  <c r="C742" i="3" s="1"/>
  <c r="B742" i="7"/>
  <c r="E742" i="7" s="1"/>
  <c r="C743" i="3" s="1"/>
  <c r="B743" i="7"/>
  <c r="B744" i="7"/>
  <c r="E744" i="7" s="1"/>
  <c r="C745" i="3" s="1"/>
  <c r="B745" i="7"/>
  <c r="E746" i="7" s="1"/>
  <c r="C747" i="3" s="1"/>
  <c r="B746" i="7"/>
  <c r="B747" i="7"/>
  <c r="E749" i="7" s="1"/>
  <c r="C750" i="3" s="1"/>
  <c r="B748" i="7"/>
  <c r="B749" i="7"/>
  <c r="B750" i="7"/>
  <c r="E751" i="7" s="1"/>
  <c r="C752" i="3" s="1"/>
  <c r="B751" i="7"/>
  <c r="B752" i="7"/>
  <c r="B753" i="7"/>
  <c r="E753" i="7" s="1"/>
  <c r="C754" i="3" s="1"/>
  <c r="B754" i="7"/>
  <c r="B755" i="7"/>
  <c r="E758" i="7" s="1"/>
  <c r="C759" i="3" s="1"/>
  <c r="B756" i="7"/>
  <c r="B757" i="7"/>
  <c r="B758" i="7"/>
  <c r="B759" i="7"/>
  <c r="E762" i="7" s="1"/>
  <c r="C763" i="3" s="1"/>
  <c r="B760" i="7"/>
  <c r="B761" i="7"/>
  <c r="B762" i="7"/>
  <c r="B763" i="7"/>
  <c r="E764" i="7" s="1"/>
  <c r="C765" i="3" s="1"/>
  <c r="B764" i="7"/>
  <c r="B765" i="7"/>
  <c r="B766" i="7"/>
  <c r="B767" i="7"/>
  <c r="B768" i="7"/>
  <c r="B769" i="7"/>
  <c r="B770" i="7"/>
  <c r="E770" i="7" s="1"/>
  <c r="C771" i="3" s="1"/>
  <c r="B771" i="7"/>
  <c r="E771" i="7" s="1"/>
  <c r="C772" i="3" s="1"/>
  <c r="B772" i="7"/>
  <c r="E775" i="7" s="1"/>
  <c r="C776" i="3" s="1"/>
  <c r="B773" i="7"/>
  <c r="B774" i="7"/>
  <c r="B775" i="7"/>
  <c r="B776" i="7"/>
  <c r="B777" i="7"/>
  <c r="B778" i="7"/>
  <c r="E779" i="7" s="1"/>
  <c r="C780" i="3" s="1"/>
  <c r="B779" i="7"/>
  <c r="B780" i="7"/>
  <c r="B781" i="7"/>
  <c r="B782" i="7"/>
  <c r="B783" i="7"/>
  <c r="B784" i="7"/>
  <c r="B785" i="7"/>
  <c r="B786" i="7"/>
  <c r="B787" i="7"/>
  <c r="B788" i="7"/>
  <c r="E794" i="7" s="1"/>
  <c r="C795" i="3" s="1"/>
  <c r="B789" i="7"/>
  <c r="B790" i="7"/>
  <c r="B791" i="7"/>
  <c r="B792" i="7"/>
  <c r="B793" i="7"/>
  <c r="B794" i="7"/>
  <c r="B795" i="7"/>
  <c r="E796" i="7" s="1"/>
  <c r="C797" i="3" s="1"/>
  <c r="B796" i="7"/>
  <c r="B797" i="7"/>
  <c r="B798" i="7"/>
  <c r="B799" i="7"/>
  <c r="B800" i="7"/>
  <c r="B801" i="7"/>
  <c r="B802" i="7"/>
  <c r="B803" i="7"/>
  <c r="B804" i="7"/>
  <c r="B805" i="7"/>
  <c r="B806" i="7"/>
  <c r="B807" i="7"/>
  <c r="E808" i="7" s="1"/>
  <c r="C809" i="3" s="1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E827" i="7" s="1"/>
  <c r="C828" i="3" s="1"/>
  <c r="B827" i="7"/>
  <c r="B828" i="7"/>
  <c r="B829" i="7"/>
  <c r="E829" i="7" s="1"/>
  <c r="C830" i="3" s="1"/>
  <c r="B830" i="7"/>
  <c r="B831" i="7"/>
  <c r="B832" i="7"/>
  <c r="B833" i="7"/>
  <c r="B834" i="7"/>
  <c r="B835" i="7"/>
  <c r="B836" i="7"/>
  <c r="B837" i="7"/>
  <c r="B838" i="7"/>
  <c r="B839" i="7"/>
  <c r="B840" i="7"/>
  <c r="B841" i="7"/>
  <c r="E841" i="7" s="1"/>
  <c r="C842" i="3" s="1"/>
  <c r="B842" i="7"/>
  <c r="B843" i="7"/>
  <c r="B844" i="7"/>
  <c r="E845" i="7" s="1"/>
  <c r="C846" i="3" s="1"/>
  <c r="B845" i="7"/>
  <c r="B846" i="7"/>
  <c r="B847" i="7"/>
  <c r="B848" i="7"/>
  <c r="B849" i="7"/>
  <c r="B850" i="7"/>
  <c r="B851" i="7"/>
  <c r="B852" i="7"/>
  <c r="B853" i="7"/>
  <c r="B854" i="7"/>
  <c r="B855" i="7"/>
  <c r="B856" i="7"/>
  <c r="E857" i="7" s="1"/>
  <c r="C858" i="3" s="1"/>
  <c r="B857" i="7"/>
  <c r="B858" i="7"/>
  <c r="B859" i="7"/>
  <c r="B860" i="7"/>
  <c r="E861" i="7" s="1"/>
  <c r="C862" i="3" s="1"/>
  <c r="B861" i="7"/>
  <c r="B862" i="7"/>
  <c r="B863" i="7"/>
  <c r="B864" i="7"/>
  <c r="B865" i="7"/>
  <c r="B866" i="7"/>
  <c r="B867" i="7"/>
  <c r="B868" i="7"/>
  <c r="B869" i="7"/>
  <c r="E869" i="7" s="1"/>
  <c r="C870" i="3" s="1"/>
  <c r="B870" i="7"/>
  <c r="B871" i="7"/>
  <c r="B872" i="7"/>
  <c r="E873" i="7" s="1"/>
  <c r="C874" i="3" s="1"/>
  <c r="B873" i="7"/>
  <c r="B874" i="7"/>
  <c r="B875" i="7"/>
  <c r="B876" i="7"/>
  <c r="B877" i="7"/>
  <c r="B878" i="7"/>
  <c r="B879" i="7"/>
  <c r="B880" i="7"/>
  <c r="E881" i="7" s="1"/>
  <c r="C882" i="3" s="1"/>
  <c r="B881" i="7"/>
  <c r="B882" i="7"/>
  <c r="B883" i="7"/>
  <c r="E883" i="7" s="1"/>
  <c r="C884" i="3" s="1"/>
  <c r="B884" i="7"/>
  <c r="B885" i="7"/>
  <c r="B886" i="7"/>
  <c r="B887" i="7"/>
  <c r="B888" i="7"/>
  <c r="B889" i="7"/>
  <c r="B890" i="7"/>
  <c r="B891" i="7"/>
  <c r="E891" i="7" s="1"/>
  <c r="C892" i="3" s="1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E1139" i="7" s="1"/>
  <c r="C1140" i="3" s="1"/>
  <c r="B1140" i="7"/>
  <c r="E1140" i="7" s="1"/>
  <c r="C1141" i="3" s="1"/>
  <c r="B1141" i="7"/>
  <c r="E1141" i="7" s="1"/>
  <c r="C1142" i="3" s="1"/>
  <c r="B1142" i="7"/>
  <c r="E1142" i="7" s="1"/>
  <c r="C1143" i="3" s="1"/>
  <c r="B1143" i="7"/>
  <c r="E1143" i="7" s="1"/>
  <c r="C1144" i="3" s="1"/>
  <c r="B1144" i="7"/>
  <c r="E1144" i="7" s="1"/>
  <c r="B1145" i="7"/>
  <c r="E1145" i="7" s="1"/>
  <c r="B1146" i="7"/>
  <c r="E1146" i="7" s="1"/>
  <c r="C1147" i="3" s="1"/>
  <c r="B1147" i="7"/>
  <c r="E1147" i="7" s="1"/>
  <c r="C1148" i="3" s="1"/>
  <c r="B1148" i="7"/>
  <c r="E1148" i="7" s="1"/>
  <c r="C1149" i="3" s="1"/>
  <c r="B1149" i="7"/>
  <c r="E1149" i="7" s="1"/>
  <c r="C1150" i="3" s="1"/>
  <c r="B1150" i="7"/>
  <c r="E1150" i="7" s="1"/>
  <c r="C1151" i="3" s="1"/>
  <c r="B1151" i="7"/>
  <c r="E1151" i="7" s="1"/>
  <c r="C1152" i="3" s="1"/>
  <c r="B1152" i="7"/>
  <c r="E1152" i="7" s="1"/>
  <c r="C1153" i="3" s="1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E1218" i="7" s="1"/>
  <c r="C1219" i="3" s="1"/>
  <c r="B1219" i="7"/>
  <c r="B1220" i="7"/>
  <c r="B1221" i="7"/>
  <c r="B1222" i="7"/>
  <c r="B1223" i="7"/>
  <c r="B1224" i="7"/>
  <c r="E1224" i="7" s="1"/>
  <c r="C1225" i="3" s="1"/>
  <c r="B1225" i="7"/>
  <c r="B1226" i="7"/>
  <c r="B1227" i="7"/>
  <c r="B1228" i="7"/>
  <c r="B1229" i="7"/>
  <c r="B1230" i="7"/>
  <c r="B1231" i="7"/>
  <c r="E1231" i="7" s="1"/>
  <c r="C1232" i="3" s="1"/>
  <c r="B1232" i="7"/>
  <c r="B1233" i="7"/>
  <c r="B1234" i="7"/>
  <c r="B1235" i="7"/>
  <c r="B1236" i="7"/>
  <c r="B1237" i="7"/>
  <c r="B1238" i="7"/>
  <c r="E1238" i="7" s="1"/>
  <c r="C1239" i="3" s="1"/>
  <c r="B1239" i="7"/>
  <c r="B1240" i="7"/>
  <c r="B1241" i="7"/>
  <c r="B1242" i="7"/>
  <c r="E1242" i="7" s="1"/>
  <c r="C1243" i="3" s="1"/>
  <c r="B1243" i="7"/>
  <c r="B1244" i="7"/>
  <c r="E1247" i="7" s="1"/>
  <c r="C1248" i="3" s="1"/>
  <c r="B1245" i="7"/>
  <c r="B1246" i="7"/>
  <c r="B1247" i="7"/>
  <c r="B1248" i="7"/>
  <c r="B1249" i="7"/>
  <c r="E1253" i="7" s="1"/>
  <c r="C1254" i="3" s="1"/>
  <c r="B1250" i="7"/>
  <c r="B1251" i="7"/>
  <c r="B1252" i="7"/>
  <c r="B1253" i="7"/>
  <c r="B1254" i="7"/>
  <c r="E1258" i="7" s="1"/>
  <c r="C1259" i="3" s="1"/>
  <c r="B1255" i="7"/>
  <c r="B1256" i="7"/>
  <c r="B1257" i="7"/>
  <c r="B1258" i="7"/>
  <c r="B1259" i="7"/>
  <c r="B1260" i="7"/>
  <c r="B1261" i="7"/>
  <c r="B1262" i="7"/>
  <c r="B1263" i="7"/>
  <c r="B1264" i="7"/>
  <c r="E1265" i="7" s="1"/>
  <c r="C1266" i="3" s="1"/>
  <c r="B1265" i="7"/>
  <c r="B1266" i="7"/>
  <c r="E1270" i="7" s="1"/>
  <c r="C1271" i="3" s="1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E1278" i="7" s="1"/>
  <c r="B1279" i="7"/>
  <c r="B1280" i="7"/>
  <c r="E1280" i="7" s="1"/>
  <c r="C1281" i="3" s="1"/>
  <c r="B1281" i="7"/>
  <c r="B1282" i="7"/>
  <c r="E1282" i="7" s="1"/>
  <c r="B1283" i="7"/>
  <c r="B1284" i="7"/>
  <c r="E1289" i="7" s="1"/>
  <c r="C1290" i="3" s="1"/>
  <c r="B1285" i="7"/>
  <c r="B1286" i="7"/>
  <c r="B1287" i="7"/>
  <c r="B1288" i="7"/>
  <c r="B1289" i="7"/>
  <c r="E1290" i="7" s="1"/>
  <c r="C1291" i="3" s="1"/>
  <c r="B1290" i="7"/>
  <c r="B1291" i="7"/>
  <c r="E1296" i="7" s="1"/>
  <c r="C1297" i="3" s="1"/>
  <c r="B1292" i="7"/>
  <c r="B1293" i="7"/>
  <c r="B1294" i="7"/>
  <c r="B1295" i="7"/>
  <c r="B1296" i="7"/>
  <c r="B1297" i="7"/>
  <c r="B1298" i="7"/>
  <c r="E1303" i="7" s="1"/>
  <c r="C1304" i="3" s="1"/>
  <c r="B1299" i="7"/>
  <c r="B1300" i="7"/>
  <c r="B1301" i="7"/>
  <c r="B1302" i="7"/>
  <c r="B1303" i="7"/>
  <c r="B1304" i="7"/>
  <c r="B1305" i="7"/>
  <c r="E1305" i="7" s="1"/>
  <c r="B1306" i="7"/>
  <c r="B1307" i="7"/>
  <c r="E1312" i="7" s="1"/>
  <c r="C1313" i="3" s="1"/>
  <c r="B1308" i="7"/>
  <c r="B1309" i="7"/>
  <c r="B1310" i="7"/>
  <c r="B1311" i="7"/>
  <c r="B1312" i="7"/>
  <c r="B1313" i="7"/>
  <c r="B1314" i="7"/>
  <c r="E1319" i="7" s="1"/>
  <c r="C1320" i="3" s="1"/>
  <c r="B1315" i="7"/>
  <c r="B1316" i="7"/>
  <c r="B1317" i="7"/>
  <c r="B1318" i="7"/>
  <c r="B1319" i="7"/>
  <c r="B1320" i="7"/>
  <c r="B1321" i="7"/>
  <c r="E1326" i="7" s="1"/>
  <c r="C1327" i="3" s="1"/>
  <c r="B1322" i="7"/>
  <c r="B1323" i="7"/>
  <c r="B1324" i="7"/>
  <c r="B1325" i="7"/>
  <c r="B1326" i="7"/>
  <c r="E1327" i="7" s="1"/>
  <c r="C1328" i="3" s="1"/>
  <c r="B1327" i="7"/>
  <c r="B1328" i="7"/>
  <c r="E1328" i="7" s="1"/>
  <c r="B1329" i="7"/>
  <c r="E1329" i="7" s="1"/>
  <c r="C1330" i="3" s="1"/>
  <c r="B1330" i="7"/>
  <c r="E1330" i="7" s="1"/>
  <c r="C1331" i="3" s="1"/>
  <c r="B1331" i="7"/>
  <c r="E1332" i="7" s="1"/>
  <c r="C1333" i="3" s="1"/>
  <c r="B1332" i="7"/>
  <c r="B1333" i="7"/>
  <c r="B1334" i="7"/>
  <c r="B1335" i="7"/>
  <c r="B1336" i="7"/>
  <c r="B1337" i="7"/>
  <c r="B1338" i="7"/>
  <c r="E1340" i="7" s="1"/>
  <c r="C1341" i="3" s="1"/>
  <c r="B1339" i="7"/>
  <c r="B1340" i="7"/>
  <c r="B1341" i="7"/>
  <c r="E1344" i="7" s="1"/>
  <c r="C1345" i="3" s="1"/>
  <c r="B1342" i="7"/>
  <c r="B1343" i="7"/>
  <c r="B1344" i="7"/>
  <c r="B1345" i="7"/>
  <c r="E1348" i="7" s="1"/>
  <c r="C1349" i="3" s="1"/>
  <c r="B1346" i="7"/>
  <c r="B1347" i="7"/>
  <c r="B1348" i="7"/>
  <c r="B1349" i="7"/>
  <c r="B1350" i="7"/>
  <c r="E1352" i="7" s="1"/>
  <c r="C1353" i="3" s="1"/>
  <c r="B1351" i="7"/>
  <c r="B1352" i="7"/>
  <c r="B1353" i="7"/>
  <c r="E1353" i="7" s="1"/>
  <c r="C1354" i="3" s="1"/>
  <c r="B1354" i="7"/>
  <c r="E1354" i="7" s="1"/>
  <c r="C1355" i="3" s="1"/>
  <c r="B1355" i="7"/>
  <c r="E1355" i="7" s="1"/>
  <c r="B1356" i="7"/>
  <c r="E1356" i="7" s="1"/>
  <c r="B1357" i="7"/>
  <c r="E1357" i="7" s="1"/>
  <c r="C1358" i="3" s="1"/>
  <c r="B1358" i="7"/>
  <c r="E1358" i="7" s="1"/>
  <c r="B1359" i="7"/>
  <c r="E1359" i="7" s="1"/>
  <c r="B1360" i="7"/>
  <c r="B1361" i="7"/>
  <c r="E1361" i="7" s="1"/>
  <c r="B1362" i="7"/>
  <c r="E1362" i="7" s="1"/>
  <c r="B1363" i="7"/>
  <c r="E1363" i="7" s="1"/>
  <c r="C1364" i="3" s="1"/>
  <c r="B1364" i="7"/>
  <c r="E1364" i="7" s="1"/>
  <c r="B1365" i="7"/>
  <c r="E1365" i="7" s="1"/>
  <c r="C1366" i="3" s="1"/>
  <c r="B1366" i="7"/>
  <c r="E1366" i="7" s="1"/>
  <c r="C1367" i="3" s="1"/>
  <c r="B1367" i="7"/>
  <c r="E1367" i="7" s="1"/>
  <c r="C1368" i="3" s="1"/>
  <c r="B1368" i="7"/>
  <c r="E1368" i="7" s="1"/>
  <c r="C1369" i="3" s="1"/>
  <c r="B1369" i="7"/>
  <c r="E1369" i="7" s="1"/>
  <c r="C1370" i="3" s="1"/>
  <c r="B1370" i="7"/>
  <c r="E1370" i="7" s="1"/>
  <c r="C1371" i="3" s="1"/>
  <c r="B1371" i="7"/>
  <c r="E1371" i="7" s="1"/>
  <c r="C1372" i="3" s="1"/>
  <c r="B1372" i="7"/>
  <c r="E1372" i="7" s="1"/>
  <c r="B1373" i="7"/>
  <c r="E1373" i="7" s="1"/>
  <c r="C1374" i="3" s="1"/>
  <c r="B1374" i="7"/>
  <c r="E1374" i="7" s="1"/>
  <c r="C1375" i="3" s="1"/>
  <c r="B1375" i="7"/>
  <c r="E1375" i="7" s="1"/>
  <c r="C1376" i="3" s="1"/>
  <c r="B1376" i="7"/>
  <c r="E1376" i="7" s="1"/>
  <c r="C1377" i="3" s="1"/>
  <c r="B1377" i="7"/>
  <c r="E1377" i="7" s="1"/>
  <c r="C1378" i="3" s="1"/>
  <c r="B1378" i="7"/>
  <c r="B1379" i="7"/>
  <c r="E1380" i="7" s="1"/>
  <c r="C1381" i="3" s="1"/>
  <c r="B1380" i="7"/>
  <c r="B1381" i="7"/>
  <c r="E1381" i="7" s="1"/>
  <c r="C1382" i="3" s="1"/>
  <c r="B1382" i="7"/>
  <c r="E1382" i="7" s="1"/>
  <c r="C1383" i="3" s="1"/>
  <c r="B1383" i="7"/>
  <c r="B1384" i="7"/>
  <c r="E1384" i="7" s="1"/>
  <c r="C1385" i="3" s="1"/>
  <c r="B1385" i="7"/>
  <c r="E1385" i="7" s="1"/>
  <c r="C1386" i="3" s="1"/>
  <c r="B1386" i="7"/>
  <c r="B1387" i="7"/>
  <c r="B1388" i="7"/>
  <c r="B1389" i="7"/>
  <c r="B1390" i="7"/>
  <c r="B1391" i="7"/>
  <c r="B1392" i="7"/>
  <c r="B1393" i="7"/>
  <c r="B1394" i="7"/>
  <c r="B1395" i="7"/>
  <c r="E1397" i="7" s="1"/>
  <c r="C1398" i="3" s="1"/>
  <c r="B1396" i="7"/>
  <c r="B1397" i="7"/>
  <c r="B1398" i="7"/>
  <c r="B1399" i="7"/>
  <c r="E1402" i="7" s="1"/>
  <c r="B1400" i="7"/>
  <c r="B1401" i="7"/>
  <c r="B1402" i="7"/>
  <c r="B1403" i="7"/>
  <c r="E1405" i="7" s="1"/>
  <c r="C1406" i="3" s="1"/>
  <c r="B1404" i="7"/>
  <c r="B1405" i="7"/>
  <c r="B1406" i="7"/>
  <c r="B1407" i="7"/>
  <c r="B1408" i="7"/>
  <c r="E1411" i="7" s="1"/>
  <c r="C1412" i="3" s="1"/>
  <c r="B1409" i="7"/>
  <c r="B1410" i="7"/>
  <c r="B1411" i="7"/>
  <c r="B1412" i="7"/>
  <c r="B1413" i="7"/>
  <c r="E1416" i="7" s="1"/>
  <c r="C1417" i="3" s="1"/>
  <c r="B1414" i="7"/>
  <c r="B1415" i="7"/>
  <c r="B1416" i="7"/>
  <c r="B2" i="7"/>
  <c r="E2" i="7" s="1"/>
  <c r="C3" i="3" s="1"/>
  <c r="E4" i="7"/>
  <c r="C5" i="3" s="1"/>
  <c r="E228" i="7" l="1"/>
  <c r="C229" i="3" s="1"/>
  <c r="E132" i="7"/>
  <c r="C133" i="3" s="1"/>
  <c r="E854" i="7"/>
  <c r="C855" i="3" s="1"/>
  <c r="E50" i="7"/>
  <c r="C51" i="3" s="1"/>
  <c r="E54" i="7"/>
  <c r="C55" i="3" s="1"/>
  <c r="C1362" i="3"/>
  <c r="C1360" i="3"/>
  <c r="C1356" i="3"/>
  <c r="C1306" i="3"/>
  <c r="C1146" i="3"/>
  <c r="C480" i="3"/>
  <c r="C478" i="3"/>
  <c r="C476" i="3"/>
  <c r="C474" i="3"/>
  <c r="C472" i="3"/>
  <c r="C464" i="3"/>
  <c r="C386" i="3"/>
  <c r="C288" i="3"/>
  <c r="C254" i="3"/>
  <c r="C176" i="3"/>
  <c r="C174" i="3"/>
  <c r="C172" i="3"/>
  <c r="C170" i="3"/>
  <c r="C168" i="3"/>
  <c r="C166" i="3"/>
  <c r="C160" i="3"/>
  <c r="C1365" i="3"/>
  <c r="C1363" i="3"/>
  <c r="C1359" i="3"/>
  <c r="C1357" i="3"/>
  <c r="C1329" i="3"/>
  <c r="C1283" i="3"/>
  <c r="C1279" i="3"/>
  <c r="C1145" i="3"/>
  <c r="C647" i="3"/>
  <c r="C479" i="3"/>
  <c r="C477" i="3"/>
  <c r="C475" i="3"/>
  <c r="C473" i="3"/>
  <c r="C471" i="3"/>
  <c r="C469" i="3"/>
  <c r="C467" i="3"/>
  <c r="C465" i="3"/>
  <c r="C255" i="3"/>
  <c r="C175" i="3"/>
  <c r="C173" i="3"/>
  <c r="C171" i="3"/>
  <c r="C169" i="3"/>
  <c r="C167" i="3"/>
  <c r="C117" i="3"/>
  <c r="E97" i="7"/>
  <c r="C98" i="3" s="1"/>
  <c r="E117" i="7"/>
  <c r="C118" i="3" s="1"/>
  <c r="E71" i="7"/>
  <c r="C72" i="3" s="1"/>
  <c r="E206" i="7"/>
  <c r="C207" i="3" s="1"/>
  <c r="E130" i="7"/>
  <c r="C131" i="3" s="1"/>
  <c r="E109" i="7"/>
  <c r="C110" i="3" s="1"/>
  <c r="E87" i="7"/>
  <c r="C88" i="3" s="1"/>
  <c r="E58" i="7"/>
  <c r="C59" i="3" s="1"/>
  <c r="E1394" i="7"/>
  <c r="E1393" i="7"/>
  <c r="E1392" i="7"/>
  <c r="C1393" i="3" s="1"/>
  <c r="E1391" i="7"/>
  <c r="C1392" i="3" s="1"/>
  <c r="E1387" i="7"/>
  <c r="C1388" i="3" s="1"/>
  <c r="E1390" i="7"/>
  <c r="C1391" i="3" s="1"/>
  <c r="E1389" i="7"/>
  <c r="C1390" i="3" s="1"/>
  <c r="E235" i="7"/>
  <c r="C236" i="3" s="1"/>
  <c r="E223" i="7"/>
  <c r="C224" i="3" s="1"/>
  <c r="E195" i="7"/>
  <c r="C196" i="3" s="1"/>
  <c r="E124" i="7"/>
  <c r="C125" i="3" s="1"/>
  <c r="E114" i="7"/>
  <c r="C115" i="3" s="1"/>
  <c r="E99" i="7"/>
  <c r="C100" i="3" s="1"/>
  <c r="E89" i="7"/>
  <c r="E85" i="7"/>
  <c r="C86" i="3" s="1"/>
  <c r="E60" i="7"/>
  <c r="C61" i="3" s="1"/>
  <c r="E56" i="7"/>
  <c r="C57" i="3" s="1"/>
  <c r="E210" i="7"/>
  <c r="C211" i="3" s="1"/>
  <c r="E200" i="7"/>
  <c r="C201" i="3" s="1"/>
  <c r="E137" i="7"/>
  <c r="C138" i="3" s="1"/>
  <c r="E131" i="7"/>
  <c r="C132" i="3" s="1"/>
  <c r="E115" i="7"/>
  <c r="C116" i="3" s="1"/>
  <c r="E100" i="7"/>
  <c r="C101" i="3" s="1"/>
  <c r="E98" i="7"/>
  <c r="C99" i="3" s="1"/>
  <c r="E94" i="7"/>
  <c r="C95" i="3" s="1"/>
  <c r="E88" i="7"/>
  <c r="C89" i="3" s="1"/>
  <c r="E75" i="7"/>
  <c r="C76" i="3" s="1"/>
  <c r="E61" i="7"/>
  <c r="C62" i="3" s="1"/>
  <c r="E59" i="7"/>
  <c r="C60" i="3" s="1"/>
  <c r="E57" i="7"/>
  <c r="C58" i="3" s="1"/>
  <c r="E55" i="7"/>
  <c r="C56" i="3" s="1"/>
  <c r="E39" i="7"/>
  <c r="C40" i="3" s="1"/>
  <c r="E244" i="7"/>
  <c r="C245" i="3" s="1"/>
  <c r="E219" i="7"/>
  <c r="C220" i="3" s="1"/>
  <c r="E120" i="7"/>
  <c r="C121" i="3" s="1"/>
  <c r="E79" i="7"/>
  <c r="C80" i="3" s="1"/>
  <c r="E1383" i="7"/>
  <c r="C1384" i="3" s="1"/>
  <c r="E1386" i="7"/>
  <c r="C1387" i="3" s="1"/>
  <c r="E1378" i="7"/>
  <c r="E123" i="7"/>
  <c r="C124" i="3" s="1"/>
  <c r="E119" i="7"/>
  <c r="E93" i="7"/>
  <c r="C94" i="3" s="1"/>
  <c r="E78" i="7"/>
  <c r="C79" i="3" s="1"/>
  <c r="E74" i="7"/>
  <c r="C75" i="3" s="1"/>
  <c r="E199" i="7"/>
  <c r="E221" i="7"/>
  <c r="C222" i="3" s="1"/>
  <c r="E139" i="7"/>
  <c r="C140" i="3" s="1"/>
  <c r="E77" i="7"/>
  <c r="C78" i="3" s="1"/>
  <c r="E73" i="7"/>
  <c r="C74" i="3" s="1"/>
  <c r="E222" i="7"/>
  <c r="C223" i="3" s="1"/>
  <c r="E136" i="7"/>
  <c r="C137" i="3" s="1"/>
  <c r="E135" i="7"/>
  <c r="C136" i="3" s="1"/>
  <c r="E122" i="7"/>
  <c r="C123" i="3" s="1"/>
  <c r="E41" i="7"/>
  <c r="C42" i="3" s="1"/>
  <c r="E1335" i="7"/>
  <c r="C1336" i="3" s="1"/>
  <c r="E1337" i="7"/>
  <c r="E850" i="7"/>
  <c r="C851" i="3" s="1"/>
  <c r="E791" i="7"/>
  <c r="C792" i="3" s="1"/>
  <c r="E347" i="7"/>
  <c r="C348" i="3" s="1"/>
  <c r="E842" i="7"/>
  <c r="C843" i="3" s="1"/>
  <c r="E326" i="7"/>
  <c r="C327" i="3" s="1"/>
  <c r="E613" i="7"/>
  <c r="C614" i="3" s="1"/>
  <c r="E351" i="7"/>
  <c r="C352" i="3" s="1"/>
  <c r="E748" i="7"/>
  <c r="C749" i="3" s="1"/>
  <c r="E584" i="7"/>
  <c r="E864" i="7"/>
  <c r="C865" i="3" s="1"/>
  <c r="E846" i="7"/>
  <c r="C847" i="3" s="1"/>
  <c r="E876" i="7"/>
  <c r="C877" i="3" s="1"/>
  <c r="E858" i="7"/>
  <c r="C859" i="3" s="1"/>
  <c r="E811" i="7"/>
  <c r="C812" i="3" s="1"/>
  <c r="E803" i="7"/>
  <c r="C804" i="3" s="1"/>
  <c r="E767" i="7"/>
  <c r="C768" i="3" s="1"/>
  <c r="E42" i="7"/>
  <c r="C43" i="3" s="1"/>
  <c r="E319" i="7"/>
  <c r="C320" i="3" s="1"/>
  <c r="E795" i="7"/>
  <c r="C796" i="3" s="1"/>
  <c r="E761" i="7"/>
  <c r="C762" i="3" s="1"/>
  <c r="E739" i="7"/>
  <c r="C740" i="3" s="1"/>
  <c r="E461" i="7"/>
  <c r="C462" i="3" s="1"/>
  <c r="E819" i="7"/>
  <c r="C820" i="3" s="1"/>
  <c r="E757" i="7"/>
  <c r="C758" i="3" s="1"/>
  <c r="E336" i="7"/>
  <c r="C337" i="3" s="1"/>
  <c r="E315" i="7"/>
  <c r="C316" i="3" s="1"/>
  <c r="E809" i="7"/>
  <c r="C810" i="3" s="1"/>
  <c r="E747" i="7"/>
  <c r="C748" i="3" s="1"/>
  <c r="E460" i="7"/>
  <c r="C461" i="3" s="1"/>
  <c r="E335" i="7"/>
  <c r="C336" i="3" s="1"/>
  <c r="E756" i="7"/>
  <c r="C757" i="3" s="1"/>
  <c r="E823" i="7"/>
  <c r="C824" i="3" s="1"/>
  <c r="E799" i="7"/>
  <c r="C800" i="3" s="1"/>
  <c r="E737" i="7"/>
  <c r="C738" i="3" s="1"/>
  <c r="E338" i="7"/>
  <c r="C339" i="3" s="1"/>
  <c r="E317" i="7"/>
  <c r="C318" i="3" s="1"/>
  <c r="E825" i="7"/>
  <c r="C826" i="3" s="1"/>
  <c r="E817" i="7"/>
  <c r="C818" i="3" s="1"/>
  <c r="E801" i="7"/>
  <c r="C802" i="3" s="1"/>
  <c r="E765" i="7"/>
  <c r="C766" i="3" s="1"/>
  <c r="E760" i="7"/>
  <c r="C761" i="3" s="1"/>
  <c r="E738" i="7"/>
  <c r="C739" i="3" s="1"/>
  <c r="E583" i="7"/>
  <c r="C584" i="3" s="1"/>
  <c r="E339" i="7"/>
  <c r="C340" i="3" s="1"/>
  <c r="E318" i="7"/>
  <c r="C319" i="3" s="1"/>
  <c r="E815" i="7"/>
  <c r="C816" i="3" s="1"/>
  <c r="E807" i="7"/>
  <c r="C808" i="3" s="1"/>
  <c r="E763" i="7"/>
  <c r="C764" i="3" s="1"/>
  <c r="E759" i="7"/>
  <c r="C760" i="3" s="1"/>
  <c r="E755" i="7"/>
  <c r="C756" i="3" s="1"/>
  <c r="E821" i="7"/>
  <c r="C822" i="3" s="1"/>
  <c r="E813" i="7"/>
  <c r="C814" i="3" s="1"/>
  <c r="E805" i="7"/>
  <c r="C806" i="3" s="1"/>
  <c r="E797" i="7"/>
  <c r="C798" i="3" s="1"/>
  <c r="E769" i="7"/>
  <c r="C770" i="3" s="1"/>
  <c r="E740" i="7"/>
  <c r="C741" i="3" s="1"/>
  <c r="E834" i="7"/>
  <c r="C835" i="3" s="1"/>
  <c r="E384" i="7"/>
  <c r="E836" i="7"/>
  <c r="C837" i="3" s="1"/>
  <c r="E745" i="7"/>
  <c r="C746" i="3" s="1"/>
  <c r="E614" i="7"/>
  <c r="E352" i="7"/>
  <c r="C353" i="3" s="1"/>
  <c r="E348" i="7"/>
  <c r="C349" i="3" s="1"/>
  <c r="E327" i="7"/>
  <c r="C328" i="3" s="1"/>
  <c r="E252" i="7"/>
  <c r="C253" i="3" s="1"/>
  <c r="E250" i="7"/>
  <c r="E248" i="7"/>
  <c r="E245" i="7"/>
  <c r="C246" i="3" s="1"/>
  <c r="E236" i="7"/>
  <c r="C237" i="3" s="1"/>
  <c r="E211" i="7"/>
  <c r="C212" i="3" s="1"/>
  <c r="E207" i="7"/>
  <c r="C208" i="3" s="1"/>
  <c r="E196" i="7"/>
  <c r="C197" i="3" s="1"/>
  <c r="E840" i="7"/>
  <c r="C841" i="3" s="1"/>
  <c r="E832" i="7"/>
  <c r="C833" i="3" s="1"/>
  <c r="E754" i="7"/>
  <c r="C755" i="3" s="1"/>
  <c r="E616" i="7"/>
  <c r="E350" i="7"/>
  <c r="C351" i="3" s="1"/>
  <c r="E346" i="7"/>
  <c r="C347" i="3" s="1"/>
  <c r="E329" i="7"/>
  <c r="C330" i="3" s="1"/>
  <c r="E325" i="7"/>
  <c r="C326" i="3" s="1"/>
  <c r="E234" i="7"/>
  <c r="C235" i="3" s="1"/>
  <c r="E213" i="7"/>
  <c r="C214" i="3" s="1"/>
  <c r="E209" i="7"/>
  <c r="C210" i="3" s="1"/>
  <c r="E205" i="7"/>
  <c r="C206" i="3" s="1"/>
  <c r="E198" i="7"/>
  <c r="C199" i="3" s="1"/>
  <c r="E194" i="7"/>
  <c r="C195" i="3" s="1"/>
  <c r="E870" i="7"/>
  <c r="C871" i="3" s="1"/>
  <c r="E838" i="7"/>
  <c r="C839" i="3" s="1"/>
  <c r="E830" i="7"/>
  <c r="C831" i="3" s="1"/>
  <c r="E353" i="7"/>
  <c r="C354" i="3" s="1"/>
  <c r="E237" i="7"/>
  <c r="C238" i="3" s="1"/>
  <c r="E826" i="7"/>
  <c r="C827" i="3" s="1"/>
  <c r="E242" i="7"/>
  <c r="C243" i="3" s="1"/>
  <c r="E214" i="7"/>
  <c r="C215" i="3" s="1"/>
  <c r="E128" i="7"/>
  <c r="C129" i="3" s="1"/>
  <c r="E783" i="7"/>
  <c r="C784" i="3" s="1"/>
  <c r="E1221" i="7"/>
  <c r="C1222" i="3" s="1"/>
  <c r="E204" i="7"/>
  <c r="C205" i="3" s="1"/>
  <c r="E106" i="7"/>
  <c r="C107" i="3" s="1"/>
  <c r="E1229" i="7"/>
  <c r="C1230" i="3" s="1"/>
  <c r="E880" i="7"/>
  <c r="C881" i="3" s="1"/>
  <c r="E872" i="7"/>
  <c r="C873" i="3" s="1"/>
  <c r="E868" i="7"/>
  <c r="C869" i="3" s="1"/>
  <c r="E860" i="7"/>
  <c r="C861" i="3" s="1"/>
  <c r="E856" i="7"/>
  <c r="C857" i="3" s="1"/>
  <c r="E852" i="7"/>
  <c r="C853" i="3" s="1"/>
  <c r="E848" i="7"/>
  <c r="C849" i="3" s="1"/>
  <c r="E844" i="7"/>
  <c r="C845" i="3" s="1"/>
  <c r="E828" i="7"/>
  <c r="C829" i="3" s="1"/>
  <c r="E787" i="7"/>
  <c r="C788" i="3" s="1"/>
  <c r="E743" i="7"/>
  <c r="C744" i="3" s="1"/>
  <c r="E1277" i="7"/>
  <c r="C1278" i="3" s="1"/>
  <c r="E1273" i="7"/>
  <c r="C1274" i="3" s="1"/>
  <c r="E1263" i="7"/>
  <c r="C1264" i="3" s="1"/>
  <c r="E1261" i="7"/>
  <c r="C1262" i="3" s="1"/>
  <c r="E96" i="7"/>
  <c r="C97" i="3" s="1"/>
  <c r="E95" i="7"/>
  <c r="C96" i="3" s="1"/>
  <c r="E1252" i="7"/>
  <c r="C1253" i="3" s="1"/>
  <c r="E1388" i="7"/>
  <c r="C1389" i="3" s="1"/>
  <c r="E1395" i="7"/>
  <c r="C1396" i="3" s="1"/>
  <c r="E1396" i="7"/>
  <c r="C1397" i="3" s="1"/>
  <c r="E1398" i="7"/>
  <c r="C1399" i="3" s="1"/>
  <c r="E1401" i="7"/>
  <c r="E1404" i="7"/>
  <c r="C1405" i="3" s="1"/>
  <c r="E1408" i="7"/>
  <c r="C1409" i="3" s="1"/>
  <c r="E1410" i="7"/>
  <c r="C1411" i="3" s="1"/>
  <c r="E1413" i="7"/>
  <c r="C1414" i="3" s="1"/>
  <c r="E1415" i="7"/>
  <c r="C1416" i="3" s="1"/>
  <c r="E1251" i="7"/>
  <c r="C1252" i="3" s="1"/>
  <c r="E1257" i="7"/>
  <c r="C1258" i="3" s="1"/>
  <c r="E1400" i="7"/>
  <c r="E1399" i="7"/>
  <c r="E1407" i="7"/>
  <c r="C1408" i="3" s="1"/>
  <c r="E1409" i="7"/>
  <c r="C1410" i="3" s="1"/>
  <c r="E1412" i="7"/>
  <c r="C1413" i="3" s="1"/>
  <c r="E1414" i="7"/>
  <c r="C1415" i="3" s="1"/>
  <c r="E1225" i="7"/>
  <c r="C1226" i="3" s="1"/>
  <c r="E1424" i="7"/>
  <c r="C1425" i="3" s="1"/>
  <c r="E1427" i="7"/>
  <c r="C1428" i="3" s="1"/>
  <c r="E1266" i="7"/>
  <c r="C1267" i="3" s="1"/>
  <c r="E375" i="7"/>
  <c r="C376" i="3" s="1"/>
  <c r="E383" i="7"/>
  <c r="E1244" i="7"/>
  <c r="C1245" i="3" s="1"/>
  <c r="E1246" i="7"/>
  <c r="C1247" i="3" s="1"/>
  <c r="E1250" i="7"/>
  <c r="C1251" i="3" s="1"/>
  <c r="E1255" i="7"/>
  <c r="C1256" i="3" s="1"/>
  <c r="E1259" i="7"/>
  <c r="C1260" i="3" s="1"/>
  <c r="E1262" i="7"/>
  <c r="C1263" i="3" s="1"/>
  <c r="E1264" i="7"/>
  <c r="C1265" i="3" s="1"/>
  <c r="E1267" i="7"/>
  <c r="C1268" i="3" s="1"/>
  <c r="E1269" i="7"/>
  <c r="C1270" i="3" s="1"/>
  <c r="E1271" i="7"/>
  <c r="C1272" i="3" s="1"/>
  <c r="E1274" i="7"/>
  <c r="C1275" i="3" s="1"/>
  <c r="E1276" i="7"/>
  <c r="C1277" i="3" s="1"/>
  <c r="E1284" i="7"/>
  <c r="C1285" i="3" s="1"/>
  <c r="E1286" i="7"/>
  <c r="C1287" i="3" s="1"/>
  <c r="E1288" i="7"/>
  <c r="C1289" i="3" s="1"/>
  <c r="E1291" i="7"/>
  <c r="C1292" i="3" s="1"/>
  <c r="E1293" i="7"/>
  <c r="C1294" i="3" s="1"/>
  <c r="E1295" i="7"/>
  <c r="C1296" i="3" s="1"/>
  <c r="E1298" i="7"/>
  <c r="C1299" i="3" s="1"/>
  <c r="E1300" i="7"/>
  <c r="C1301" i="3" s="1"/>
  <c r="E1302" i="7"/>
  <c r="C1303" i="3" s="1"/>
  <c r="E1307" i="7"/>
  <c r="C1308" i="3" s="1"/>
  <c r="E1309" i="7"/>
  <c r="C1310" i="3" s="1"/>
  <c r="E1311" i="7"/>
  <c r="C1312" i="3" s="1"/>
  <c r="E1314" i="7"/>
  <c r="C1315" i="3" s="1"/>
  <c r="E1316" i="7"/>
  <c r="C1317" i="3" s="1"/>
  <c r="E1318" i="7"/>
  <c r="C1319" i="3" s="1"/>
  <c r="E1321" i="7"/>
  <c r="C1322" i="3" s="1"/>
  <c r="E1323" i="7"/>
  <c r="C1324" i="3" s="1"/>
  <c r="E1325" i="7"/>
  <c r="C1326" i="3" s="1"/>
  <c r="E1331" i="7"/>
  <c r="C1332" i="3" s="1"/>
  <c r="E1334" i="7"/>
  <c r="C1335" i="3" s="1"/>
  <c r="E1336" i="7"/>
  <c r="C1337" i="3" s="1"/>
  <c r="E1339" i="7"/>
  <c r="C1340" i="3" s="1"/>
  <c r="E1341" i="7"/>
  <c r="C1342" i="3" s="1"/>
  <c r="E1343" i="7"/>
  <c r="C1344" i="3" s="1"/>
  <c r="E1345" i="7"/>
  <c r="C1346" i="3" s="1"/>
  <c r="E1347" i="7"/>
  <c r="C1348" i="3" s="1"/>
  <c r="E1349" i="7"/>
  <c r="C1350" i="3" s="1"/>
  <c r="E1351" i="7"/>
  <c r="C1352" i="3" s="1"/>
  <c r="E1379" i="7"/>
  <c r="C1380" i="3" s="1"/>
  <c r="E1248" i="7"/>
  <c r="C1249" i="3" s="1"/>
  <c r="E1227" i="7"/>
  <c r="C1228" i="3" s="1"/>
  <c r="E1223" i="7"/>
  <c r="C1224" i="3" s="1"/>
  <c r="E1219" i="7"/>
  <c r="C1220" i="3" s="1"/>
  <c r="E882" i="7"/>
  <c r="C883" i="3" s="1"/>
  <c r="E878" i="7"/>
  <c r="C879" i="3" s="1"/>
  <c r="E874" i="7"/>
  <c r="C875" i="3" s="1"/>
  <c r="E866" i="7"/>
  <c r="C867" i="3" s="1"/>
  <c r="E862" i="7"/>
  <c r="C863" i="3" s="1"/>
  <c r="E1423" i="7"/>
  <c r="C1424" i="3" s="1"/>
  <c r="E1425" i="7"/>
  <c r="C1426" i="3" s="1"/>
  <c r="E1245" i="7"/>
  <c r="C1246" i="3" s="1"/>
  <c r="E1249" i="7"/>
  <c r="C1250" i="3" s="1"/>
  <c r="E1254" i="7"/>
  <c r="E1256" i="7"/>
  <c r="C1257" i="3" s="1"/>
  <c r="E1268" i="7"/>
  <c r="C1269" i="3" s="1"/>
  <c r="E1275" i="7"/>
  <c r="C1276" i="3" s="1"/>
  <c r="E1285" i="7"/>
  <c r="C1286" i="3" s="1"/>
  <c r="E1287" i="7"/>
  <c r="C1288" i="3" s="1"/>
  <c r="E1292" i="7"/>
  <c r="C1293" i="3" s="1"/>
  <c r="E1294" i="7"/>
  <c r="C1295" i="3" s="1"/>
  <c r="E1299" i="7"/>
  <c r="C1300" i="3" s="1"/>
  <c r="E1301" i="7"/>
  <c r="C1302" i="3" s="1"/>
  <c r="E1308" i="7"/>
  <c r="C1309" i="3" s="1"/>
  <c r="E1310" i="7"/>
  <c r="C1311" i="3" s="1"/>
  <c r="E1315" i="7"/>
  <c r="C1316" i="3" s="1"/>
  <c r="E1317" i="7"/>
  <c r="C1318" i="3" s="1"/>
  <c r="E1322" i="7"/>
  <c r="C1323" i="3" s="1"/>
  <c r="E1324" i="7"/>
  <c r="C1325" i="3" s="1"/>
  <c r="E1333" i="7"/>
  <c r="C1334" i="3" s="1"/>
  <c r="E1338" i="7"/>
  <c r="C1339" i="3" s="1"/>
  <c r="E1342" i="7"/>
  <c r="C1343" i="3" s="1"/>
  <c r="E1346" i="7"/>
  <c r="C1347" i="3" s="1"/>
  <c r="E1350" i="7"/>
  <c r="C1351" i="3" s="1"/>
  <c r="E1417" i="7"/>
  <c r="C1418" i="3" s="1"/>
  <c r="E1418" i="7"/>
  <c r="C1419" i="3" s="1"/>
  <c r="E1419" i="7"/>
  <c r="C1420" i="3" s="1"/>
  <c r="E1420" i="7"/>
  <c r="C1421" i="3" s="1"/>
  <c r="E1421" i="7"/>
  <c r="C1422" i="3" s="1"/>
  <c r="E1320" i="7"/>
  <c r="C1321" i="3" s="1"/>
  <c r="E1306" i="7"/>
  <c r="E871" i="7"/>
  <c r="C872" i="3" s="1"/>
  <c r="E843" i="7"/>
  <c r="C844" i="3" s="1"/>
  <c r="E839" i="7"/>
  <c r="C840" i="3" s="1"/>
  <c r="E837" i="7"/>
  <c r="C838" i="3" s="1"/>
  <c r="E835" i="7"/>
  <c r="C836" i="3" s="1"/>
  <c r="E833" i="7"/>
  <c r="C834" i="3" s="1"/>
  <c r="E831" i="7"/>
  <c r="C832" i="3" s="1"/>
  <c r="E824" i="7"/>
  <c r="C825" i="3" s="1"/>
  <c r="E822" i="7"/>
  <c r="C823" i="3" s="1"/>
  <c r="E820" i="7"/>
  <c r="C821" i="3" s="1"/>
  <c r="E818" i="7"/>
  <c r="C819" i="3" s="1"/>
  <c r="E816" i="7"/>
  <c r="C817" i="3" s="1"/>
  <c r="E814" i="7"/>
  <c r="C815" i="3" s="1"/>
  <c r="E812" i="7"/>
  <c r="C813" i="3" s="1"/>
  <c r="E810" i="7"/>
  <c r="C811" i="3" s="1"/>
  <c r="E806" i="7"/>
  <c r="C807" i="3" s="1"/>
  <c r="E804" i="7"/>
  <c r="C805" i="3" s="1"/>
  <c r="E802" i="7"/>
  <c r="C803" i="3" s="1"/>
  <c r="E800" i="7"/>
  <c r="C801" i="3" s="1"/>
  <c r="E798" i="7"/>
  <c r="C799" i="3" s="1"/>
  <c r="E768" i="7"/>
  <c r="C769" i="3" s="1"/>
  <c r="E766" i="7"/>
  <c r="C767" i="3" s="1"/>
  <c r="E1403" i="7"/>
  <c r="C1404" i="3" s="1"/>
  <c r="E1406" i="7"/>
  <c r="C1407" i="3" s="1"/>
  <c r="E788" i="7"/>
  <c r="C789" i="3" s="1"/>
  <c r="E790" i="7"/>
  <c r="C791" i="3" s="1"/>
  <c r="E792" i="7"/>
  <c r="C793" i="3" s="1"/>
  <c r="E778" i="7"/>
  <c r="C779" i="3" s="1"/>
  <c r="E780" i="7"/>
  <c r="C781" i="3" s="1"/>
  <c r="E782" i="7"/>
  <c r="C783" i="3" s="1"/>
  <c r="E784" i="7"/>
  <c r="C785" i="3" s="1"/>
  <c r="E786" i="7"/>
  <c r="C787" i="3" s="1"/>
  <c r="E772" i="7"/>
  <c r="C773" i="3" s="1"/>
  <c r="E774" i="7"/>
  <c r="C775" i="3" s="1"/>
  <c r="E776" i="7"/>
  <c r="C777" i="3" s="1"/>
  <c r="E750" i="7"/>
  <c r="C751" i="3" s="1"/>
  <c r="E752" i="7"/>
  <c r="C753" i="3" s="1"/>
  <c r="E355" i="7"/>
  <c r="C356" i="3" s="1"/>
  <c r="E357" i="7"/>
  <c r="C358" i="3" s="1"/>
  <c r="E341" i="7"/>
  <c r="C342" i="3" s="1"/>
  <c r="E343" i="7"/>
  <c r="C344" i="3" s="1"/>
  <c r="E331" i="7"/>
  <c r="C332" i="3" s="1"/>
  <c r="E333" i="7"/>
  <c r="C334" i="3" s="1"/>
  <c r="E321" i="7"/>
  <c r="C322" i="3" s="1"/>
  <c r="E323" i="7"/>
  <c r="C324" i="3" s="1"/>
  <c r="E239" i="7"/>
  <c r="C240" i="3" s="1"/>
  <c r="E241" i="7"/>
  <c r="C242" i="3" s="1"/>
  <c r="E229" i="7"/>
  <c r="C230" i="3" s="1"/>
  <c r="E231" i="7"/>
  <c r="C232" i="3" s="1"/>
  <c r="E225" i="7"/>
  <c r="C226" i="3" s="1"/>
  <c r="E227" i="7"/>
  <c r="C228" i="3" s="1"/>
  <c r="E215" i="7"/>
  <c r="C216" i="3" s="1"/>
  <c r="E217" i="7"/>
  <c r="C218" i="3" s="1"/>
  <c r="E189" i="7"/>
  <c r="C190" i="3" s="1"/>
  <c r="E191" i="7"/>
  <c r="C192" i="3" s="1"/>
  <c r="E185" i="7"/>
  <c r="C186" i="3" s="1"/>
  <c r="E187" i="7"/>
  <c r="C188" i="3" s="1"/>
  <c r="E181" i="7"/>
  <c r="C182" i="3" s="1"/>
  <c r="E183" i="7"/>
  <c r="C184" i="3" s="1"/>
  <c r="E177" i="7"/>
  <c r="C178" i="3" s="1"/>
  <c r="E179" i="7"/>
  <c r="C180" i="3" s="1"/>
  <c r="E141" i="7"/>
  <c r="C142" i="3" s="1"/>
  <c r="E143" i="7"/>
  <c r="C144" i="3" s="1"/>
  <c r="E102" i="7"/>
  <c r="C103" i="3" s="1"/>
  <c r="E107" i="7"/>
  <c r="C108" i="3" s="1"/>
  <c r="E81" i="7"/>
  <c r="C82" i="3" s="1"/>
  <c r="E83" i="7"/>
  <c r="C84" i="3" s="1"/>
  <c r="E67" i="7"/>
  <c r="C68" i="3" s="1"/>
  <c r="E69" i="7"/>
  <c r="C70" i="3" s="1"/>
  <c r="E63" i="7"/>
  <c r="C64" i="3" s="1"/>
  <c r="E65" i="7"/>
  <c r="C66" i="3" s="1"/>
  <c r="E45" i="7"/>
  <c r="C46" i="3" s="1"/>
  <c r="E47" i="7"/>
  <c r="C48" i="3" s="1"/>
  <c r="E49" i="7"/>
  <c r="C50" i="3" s="1"/>
  <c r="E51" i="7"/>
  <c r="C52" i="3" s="1"/>
  <c r="E1230" i="7"/>
  <c r="C1231" i="3" s="1"/>
  <c r="E1228" i="7"/>
  <c r="C1229" i="3" s="1"/>
  <c r="E1226" i="7"/>
  <c r="C1227" i="3" s="1"/>
  <c r="E1222" i="7"/>
  <c r="C1223" i="3" s="1"/>
  <c r="E1220" i="7"/>
  <c r="C1221" i="3" s="1"/>
  <c r="E879" i="7"/>
  <c r="C880" i="3" s="1"/>
  <c r="E877" i="7"/>
  <c r="C878" i="3" s="1"/>
  <c r="E875" i="7"/>
  <c r="C876" i="3" s="1"/>
  <c r="E867" i="7"/>
  <c r="C868" i="3" s="1"/>
  <c r="E865" i="7"/>
  <c r="C866" i="3" s="1"/>
  <c r="E863" i="7"/>
  <c r="C864" i="3" s="1"/>
  <c r="E859" i="7"/>
  <c r="C860" i="3" s="1"/>
  <c r="E855" i="7"/>
  <c r="C856" i="3" s="1"/>
  <c r="E853" i="7"/>
  <c r="C854" i="3" s="1"/>
  <c r="E851" i="7"/>
  <c r="C852" i="3" s="1"/>
  <c r="E849" i="7"/>
  <c r="C850" i="3" s="1"/>
  <c r="E847" i="7"/>
  <c r="C848" i="3" s="1"/>
  <c r="E793" i="7"/>
  <c r="C794" i="3" s="1"/>
  <c r="E789" i="7"/>
  <c r="C790" i="3" s="1"/>
  <c r="E785" i="7"/>
  <c r="C786" i="3" s="1"/>
  <c r="E781" i="7"/>
  <c r="C782" i="3" s="1"/>
  <c r="E777" i="7"/>
  <c r="C778" i="3" s="1"/>
  <c r="E773" i="7"/>
  <c r="C774" i="3" s="1"/>
  <c r="E581" i="7"/>
  <c r="E358" i="7"/>
  <c r="C359" i="3" s="1"/>
  <c r="E354" i="7"/>
  <c r="C355" i="3" s="1"/>
  <c r="E344" i="7"/>
  <c r="C345" i="3" s="1"/>
  <c r="E340" i="7"/>
  <c r="C341" i="3" s="1"/>
  <c r="E334" i="7"/>
  <c r="C335" i="3" s="1"/>
  <c r="E330" i="7"/>
  <c r="C331" i="3" s="1"/>
  <c r="E324" i="7"/>
  <c r="C325" i="3" s="1"/>
  <c r="E320" i="7"/>
  <c r="C321" i="3" s="1"/>
  <c r="E240" i="7"/>
  <c r="C241" i="3" s="1"/>
  <c r="E230" i="7"/>
  <c r="C231" i="3" s="1"/>
  <c r="E226" i="7"/>
  <c r="C227" i="3" s="1"/>
  <c r="E216" i="7"/>
  <c r="C217" i="3" s="1"/>
  <c r="E202" i="7"/>
  <c r="C203" i="3" s="1"/>
  <c r="E192" i="7"/>
  <c r="C193" i="3" s="1"/>
  <c r="E188" i="7"/>
  <c r="C189" i="3" s="1"/>
  <c r="E184" i="7"/>
  <c r="C185" i="3" s="1"/>
  <c r="E180" i="7"/>
  <c r="C181" i="3" s="1"/>
  <c r="E176" i="7"/>
  <c r="C177" i="3" s="1"/>
  <c r="E144" i="7"/>
  <c r="C145" i="3" s="1"/>
  <c r="E140" i="7"/>
  <c r="C141" i="3" s="1"/>
  <c r="E134" i="7"/>
  <c r="C135" i="3" s="1"/>
  <c r="E126" i="7"/>
  <c r="C127" i="3" s="1"/>
  <c r="E84" i="7"/>
  <c r="C85" i="3" s="1"/>
  <c r="E80" i="7"/>
  <c r="C81" i="3" s="1"/>
  <c r="E70" i="7"/>
  <c r="C71" i="3" s="1"/>
  <c r="E66" i="7"/>
  <c r="C67" i="3" s="1"/>
  <c r="E62" i="7"/>
  <c r="C63" i="3" s="1"/>
  <c r="E52" i="7"/>
  <c r="C53" i="3" s="1"/>
  <c r="E48" i="7"/>
  <c r="C49" i="3" s="1"/>
  <c r="E44" i="7"/>
  <c r="C45" i="3" s="1"/>
  <c r="E1208" i="7"/>
  <c r="C1209" i="3" s="1"/>
  <c r="E1209" i="7"/>
  <c r="C1210" i="3" s="1"/>
  <c r="E1210" i="7"/>
  <c r="C1211" i="3" s="1"/>
  <c r="E1211" i="7"/>
  <c r="C1212" i="3" s="1"/>
  <c r="E1212" i="7"/>
  <c r="C1213" i="3" s="1"/>
  <c r="E1194" i="7"/>
  <c r="C1195" i="3" s="1"/>
  <c r="E1195" i="7"/>
  <c r="C1196" i="3" s="1"/>
  <c r="E1196" i="7"/>
  <c r="C1197" i="3" s="1"/>
  <c r="E1197" i="7"/>
  <c r="C1198" i="3" s="1"/>
  <c r="E1198" i="7"/>
  <c r="C1199" i="3" s="1"/>
  <c r="E1184" i="7"/>
  <c r="C1185" i="3" s="1"/>
  <c r="E1185" i="7"/>
  <c r="C1186" i="3" s="1"/>
  <c r="E1186" i="7"/>
  <c r="C1187" i="3" s="1"/>
  <c r="E1187" i="7"/>
  <c r="C1188" i="3" s="1"/>
  <c r="E1188" i="7"/>
  <c r="C1189" i="3" s="1"/>
  <c r="E1174" i="7"/>
  <c r="C1175" i="3" s="1"/>
  <c r="E1175" i="7"/>
  <c r="C1176" i="3" s="1"/>
  <c r="E1176" i="7"/>
  <c r="C1177" i="3" s="1"/>
  <c r="E1177" i="7"/>
  <c r="C1178" i="3" s="1"/>
  <c r="E1178" i="7"/>
  <c r="C1179" i="3" s="1"/>
  <c r="E1164" i="7"/>
  <c r="C1165" i="3" s="1"/>
  <c r="E1165" i="7"/>
  <c r="C1166" i="3" s="1"/>
  <c r="E1166" i="7"/>
  <c r="C1167" i="3" s="1"/>
  <c r="E1167" i="7"/>
  <c r="C1168" i="3" s="1"/>
  <c r="E1168" i="7"/>
  <c r="C1169" i="3" s="1"/>
  <c r="E1160" i="7"/>
  <c r="C1161" i="3" s="1"/>
  <c r="E1161" i="7"/>
  <c r="C1162" i="3" s="1"/>
  <c r="E1162" i="7"/>
  <c r="C1163" i="3" s="1"/>
  <c r="E1163" i="7"/>
  <c r="C1164" i="3" s="1"/>
  <c r="E1118" i="7"/>
  <c r="C1119" i="3" s="1"/>
  <c r="E1119" i="7"/>
  <c r="C1120" i="3" s="1"/>
  <c r="E1120" i="7"/>
  <c r="C1121" i="3" s="1"/>
  <c r="E1121" i="7"/>
  <c r="C1122" i="3" s="1"/>
  <c r="E1122" i="7"/>
  <c r="C1123" i="3" s="1"/>
  <c r="E1123" i="7"/>
  <c r="C1124" i="3" s="1"/>
  <c r="E1124" i="7"/>
  <c r="C1125" i="3" s="1"/>
  <c r="E1125" i="7"/>
  <c r="C1126" i="3" s="1"/>
  <c r="E1126" i="7"/>
  <c r="C1127" i="3" s="1"/>
  <c r="E1127" i="7"/>
  <c r="C1128" i="3" s="1"/>
  <c r="E1128" i="7"/>
  <c r="C1129" i="3" s="1"/>
  <c r="E1129" i="7"/>
  <c r="C1130" i="3" s="1"/>
  <c r="E1130" i="7"/>
  <c r="C1131" i="3" s="1"/>
  <c r="E1131" i="7"/>
  <c r="C1132" i="3" s="1"/>
  <c r="E1132" i="7"/>
  <c r="C1133" i="3" s="1"/>
  <c r="E1133" i="7"/>
  <c r="C1134" i="3" s="1"/>
  <c r="E1134" i="7"/>
  <c r="C1135" i="3" s="1"/>
  <c r="E1135" i="7"/>
  <c r="C1136" i="3" s="1"/>
  <c r="E1136" i="7"/>
  <c r="C1137" i="3" s="1"/>
  <c r="E1137" i="7"/>
  <c r="C1138" i="3" s="1"/>
  <c r="E1138" i="7"/>
  <c r="C1139" i="3" s="1"/>
  <c r="E1106" i="7"/>
  <c r="C1107" i="3" s="1"/>
  <c r="E1107" i="7"/>
  <c r="C1108" i="3" s="1"/>
  <c r="E1108" i="7"/>
  <c r="C1109" i="3" s="1"/>
  <c r="E1109" i="7"/>
  <c r="C1110" i="3" s="1"/>
  <c r="E1110" i="7"/>
  <c r="C1111" i="3" s="1"/>
  <c r="E1111" i="7"/>
  <c r="C1112" i="3" s="1"/>
  <c r="E1112" i="7"/>
  <c r="C1113" i="3" s="1"/>
  <c r="E1113" i="7"/>
  <c r="C1114" i="3" s="1"/>
  <c r="E1114" i="7"/>
  <c r="C1115" i="3" s="1"/>
  <c r="E1115" i="7"/>
  <c r="C1116" i="3" s="1"/>
  <c r="E1116" i="7"/>
  <c r="C1117" i="3" s="1"/>
  <c r="E1117" i="7"/>
  <c r="C1118" i="3" s="1"/>
  <c r="E1078" i="7"/>
  <c r="C1079" i="3" s="1"/>
  <c r="E1079" i="7"/>
  <c r="C1080" i="3" s="1"/>
  <c r="E1080" i="7"/>
  <c r="C1081" i="3" s="1"/>
  <c r="E1081" i="7"/>
  <c r="C1082" i="3" s="1"/>
  <c r="E1082" i="7"/>
  <c r="C1083" i="3" s="1"/>
  <c r="E1083" i="7"/>
  <c r="C1084" i="3" s="1"/>
  <c r="E1084" i="7"/>
  <c r="C1085" i="3" s="1"/>
  <c r="E1085" i="7"/>
  <c r="C1086" i="3" s="1"/>
  <c r="E1086" i="7"/>
  <c r="C1087" i="3" s="1"/>
  <c r="E1087" i="7"/>
  <c r="C1088" i="3" s="1"/>
  <c r="E1088" i="7"/>
  <c r="C1089" i="3" s="1"/>
  <c r="E1089" i="7"/>
  <c r="C1090" i="3" s="1"/>
  <c r="E1090" i="7"/>
  <c r="C1091" i="3" s="1"/>
  <c r="E1091" i="7"/>
  <c r="C1092" i="3" s="1"/>
  <c r="E1092" i="7"/>
  <c r="C1093" i="3" s="1"/>
  <c r="E1093" i="7"/>
  <c r="C1094" i="3" s="1"/>
  <c r="E1094" i="7"/>
  <c r="C1095" i="3" s="1"/>
  <c r="E1095" i="7"/>
  <c r="C1096" i="3" s="1"/>
  <c r="E1096" i="7"/>
  <c r="C1097" i="3" s="1"/>
  <c r="E1097" i="7"/>
  <c r="C1098" i="3" s="1"/>
  <c r="E1098" i="7"/>
  <c r="C1099" i="3" s="1"/>
  <c r="E1066" i="7"/>
  <c r="C1067" i="3" s="1"/>
  <c r="E1067" i="7"/>
  <c r="C1068" i="3" s="1"/>
  <c r="E1068" i="7"/>
  <c r="C1069" i="3" s="1"/>
  <c r="E1069" i="7"/>
  <c r="C1070" i="3" s="1"/>
  <c r="E1070" i="7"/>
  <c r="C1071" i="3" s="1"/>
  <c r="E1071" i="7"/>
  <c r="C1072" i="3" s="1"/>
  <c r="E1072" i="7"/>
  <c r="C1073" i="3" s="1"/>
  <c r="E1073" i="7"/>
  <c r="C1074" i="3" s="1"/>
  <c r="E1074" i="7"/>
  <c r="C1075" i="3" s="1"/>
  <c r="E1075" i="7"/>
  <c r="C1076" i="3" s="1"/>
  <c r="E1076" i="7"/>
  <c r="C1077" i="3" s="1"/>
  <c r="E1077" i="7"/>
  <c r="C1078" i="3" s="1"/>
  <c r="E1044" i="7"/>
  <c r="C1045" i="3" s="1"/>
  <c r="E1045" i="7"/>
  <c r="C1046" i="3" s="1"/>
  <c r="E1046" i="7"/>
  <c r="C1047" i="3" s="1"/>
  <c r="E1047" i="7"/>
  <c r="C1048" i="3" s="1"/>
  <c r="E1048" i="7"/>
  <c r="C1049" i="3" s="1"/>
  <c r="E1024" i="7"/>
  <c r="C1025" i="3" s="1"/>
  <c r="E1025" i="7"/>
  <c r="C1026" i="3" s="1"/>
  <c r="E1026" i="7"/>
  <c r="C1027" i="3" s="1"/>
  <c r="E1027" i="7"/>
  <c r="C1028" i="3" s="1"/>
  <c r="E1028" i="7"/>
  <c r="C1029" i="3" s="1"/>
  <c r="E1029" i="7"/>
  <c r="C1030" i="3" s="1"/>
  <c r="E1030" i="7"/>
  <c r="C1031" i="3" s="1"/>
  <c r="E1031" i="7"/>
  <c r="C1032" i="3" s="1"/>
  <c r="E1032" i="7"/>
  <c r="C1033" i="3" s="1"/>
  <c r="E1033" i="7"/>
  <c r="C1034" i="3" s="1"/>
  <c r="E1034" i="7"/>
  <c r="C1035" i="3" s="1"/>
  <c r="E1018" i="7"/>
  <c r="C1019" i="3" s="1"/>
  <c r="E1019" i="7"/>
  <c r="C1020" i="3" s="1"/>
  <c r="E1020" i="7"/>
  <c r="C1021" i="3" s="1"/>
  <c r="E1021" i="7"/>
  <c r="C1022" i="3" s="1"/>
  <c r="E1022" i="7"/>
  <c r="C1023" i="3" s="1"/>
  <c r="E1023" i="7"/>
  <c r="C1024" i="3" s="1"/>
  <c r="E992" i="7"/>
  <c r="C993" i="3" s="1"/>
  <c r="E993" i="7"/>
  <c r="C994" i="3" s="1"/>
  <c r="E994" i="7"/>
  <c r="C995" i="3" s="1"/>
  <c r="E995" i="7"/>
  <c r="C996" i="3" s="1"/>
  <c r="E996" i="7"/>
  <c r="C997" i="3" s="1"/>
  <c r="E997" i="7"/>
  <c r="C998" i="3" s="1"/>
  <c r="E998" i="7"/>
  <c r="C999" i="3" s="1"/>
  <c r="E999" i="7"/>
  <c r="C1000" i="3" s="1"/>
  <c r="E1000" i="7"/>
  <c r="C1001" i="3" s="1"/>
  <c r="E988" i="7"/>
  <c r="C989" i="3" s="1"/>
  <c r="E989" i="7"/>
  <c r="C990" i="3" s="1"/>
  <c r="E990" i="7"/>
  <c r="C991" i="3" s="1"/>
  <c r="E991" i="7"/>
  <c r="C992" i="3" s="1"/>
  <c r="E956" i="7"/>
  <c r="C957" i="3" s="1"/>
  <c r="E957" i="7"/>
  <c r="C958" i="3" s="1"/>
  <c r="E958" i="7"/>
  <c r="C959" i="3" s="1"/>
  <c r="E959" i="7"/>
  <c r="C960" i="3" s="1"/>
  <c r="E960" i="7"/>
  <c r="C961" i="3" s="1"/>
  <c r="E961" i="7"/>
  <c r="C962" i="3" s="1"/>
  <c r="E962" i="7"/>
  <c r="C963" i="3" s="1"/>
  <c r="E942" i="7"/>
  <c r="C943" i="3" s="1"/>
  <c r="E943" i="7"/>
  <c r="C944" i="3" s="1"/>
  <c r="E944" i="7"/>
  <c r="C945" i="3" s="1"/>
  <c r="E945" i="7"/>
  <c r="C946" i="3" s="1"/>
  <c r="E946" i="7"/>
  <c r="C947" i="3" s="1"/>
  <c r="E924" i="7"/>
  <c r="C925" i="3" s="1"/>
  <c r="E925" i="7"/>
  <c r="C926" i="3" s="1"/>
  <c r="E926" i="7"/>
  <c r="C927" i="3" s="1"/>
  <c r="E927" i="7"/>
  <c r="C928" i="3" s="1"/>
  <c r="E928" i="7"/>
  <c r="C929" i="3" s="1"/>
  <c r="E929" i="7"/>
  <c r="C930" i="3" s="1"/>
  <c r="E930" i="7"/>
  <c r="C931" i="3" s="1"/>
  <c r="E931" i="7"/>
  <c r="C932" i="3" s="1"/>
  <c r="E932" i="7"/>
  <c r="C933" i="3" s="1"/>
  <c r="E933" i="7"/>
  <c r="C934" i="3" s="1"/>
  <c r="E934" i="7"/>
  <c r="C935" i="3" s="1"/>
  <c r="E935" i="7"/>
  <c r="C936" i="3" s="1"/>
  <c r="E936" i="7"/>
  <c r="C937" i="3" s="1"/>
  <c r="E937" i="7"/>
  <c r="C938" i="3" s="1"/>
  <c r="E938" i="7"/>
  <c r="C939" i="3" s="1"/>
  <c r="E939" i="7"/>
  <c r="C940" i="3" s="1"/>
  <c r="E940" i="7"/>
  <c r="C941" i="3" s="1"/>
  <c r="E941" i="7"/>
  <c r="C942" i="3" s="1"/>
  <c r="E920" i="7"/>
  <c r="C921" i="3" s="1"/>
  <c r="E921" i="7"/>
  <c r="C922" i="3" s="1"/>
  <c r="E922" i="7"/>
  <c r="C923" i="3" s="1"/>
  <c r="E923" i="7"/>
  <c r="C924" i="3" s="1"/>
  <c r="E910" i="7"/>
  <c r="C911" i="3" s="1"/>
  <c r="E911" i="7"/>
  <c r="C912" i="3" s="1"/>
  <c r="E912" i="7"/>
  <c r="C913" i="3" s="1"/>
  <c r="E913" i="7"/>
  <c r="C914" i="3" s="1"/>
  <c r="E914" i="7"/>
  <c r="C915" i="3" s="1"/>
  <c r="E915" i="7"/>
  <c r="C916" i="3" s="1"/>
  <c r="E916" i="7"/>
  <c r="C917" i="3" s="1"/>
  <c r="E917" i="7"/>
  <c r="C918" i="3" s="1"/>
  <c r="E918" i="7"/>
  <c r="C919" i="3" s="1"/>
  <c r="E919" i="7"/>
  <c r="C920" i="3" s="1"/>
  <c r="E1313" i="7"/>
  <c r="C1314" i="3" s="1"/>
  <c r="E1297" i="7"/>
  <c r="C1298" i="3" s="1"/>
  <c r="E1283" i="7"/>
  <c r="C1284" i="3" s="1"/>
  <c r="E1281" i="7"/>
  <c r="C1282" i="3" s="1"/>
  <c r="E1279" i="7"/>
  <c r="C1280" i="3" s="1"/>
  <c r="E1243" i="7"/>
  <c r="C1244" i="3" s="1"/>
  <c r="E1241" i="7"/>
  <c r="C1242" i="3" s="1"/>
  <c r="E1240" i="7"/>
  <c r="C1241" i="3" s="1"/>
  <c r="E1239" i="7"/>
  <c r="C1240" i="3" s="1"/>
  <c r="E1237" i="7"/>
  <c r="C1238" i="3" s="1"/>
  <c r="E1236" i="7"/>
  <c r="C1237" i="3" s="1"/>
  <c r="E1235" i="7"/>
  <c r="C1236" i="3" s="1"/>
  <c r="E1234" i="7"/>
  <c r="C1235" i="3" s="1"/>
  <c r="E1233" i="7"/>
  <c r="C1234" i="3" s="1"/>
  <c r="E1232" i="7"/>
  <c r="C1233" i="3" s="1"/>
  <c r="E1213" i="7"/>
  <c r="C1214" i="3" s="1"/>
  <c r="E1214" i="7"/>
  <c r="C1215" i="3" s="1"/>
  <c r="E1215" i="7"/>
  <c r="C1216" i="3" s="1"/>
  <c r="E1216" i="7"/>
  <c r="C1217" i="3" s="1"/>
  <c r="E1217" i="7"/>
  <c r="C1218" i="3" s="1"/>
  <c r="E1203" i="7"/>
  <c r="C1204" i="3" s="1"/>
  <c r="E1204" i="7"/>
  <c r="C1205" i="3" s="1"/>
  <c r="E1205" i="7"/>
  <c r="C1206" i="3" s="1"/>
  <c r="E1206" i="7"/>
  <c r="C1207" i="3" s="1"/>
  <c r="E1207" i="7"/>
  <c r="C1208" i="3" s="1"/>
  <c r="E1199" i="7"/>
  <c r="C1200" i="3" s="1"/>
  <c r="E1200" i="7"/>
  <c r="C1201" i="3" s="1"/>
  <c r="E1201" i="7"/>
  <c r="C1202" i="3" s="1"/>
  <c r="E1202" i="7"/>
  <c r="C1203" i="3" s="1"/>
  <c r="E1189" i="7"/>
  <c r="C1190" i="3" s="1"/>
  <c r="E1190" i="7"/>
  <c r="C1191" i="3" s="1"/>
  <c r="E1191" i="7"/>
  <c r="C1192" i="3" s="1"/>
  <c r="E1192" i="7"/>
  <c r="C1193" i="3" s="1"/>
  <c r="E1193" i="7"/>
  <c r="C1194" i="3" s="1"/>
  <c r="E1179" i="7"/>
  <c r="C1180" i="3" s="1"/>
  <c r="E1180" i="7"/>
  <c r="C1181" i="3" s="1"/>
  <c r="E1181" i="7"/>
  <c r="C1182" i="3" s="1"/>
  <c r="E1182" i="7"/>
  <c r="C1183" i="3" s="1"/>
  <c r="E1183" i="7"/>
  <c r="C1184" i="3" s="1"/>
  <c r="E1169" i="7"/>
  <c r="C1170" i="3" s="1"/>
  <c r="E1170" i="7"/>
  <c r="C1171" i="3" s="1"/>
  <c r="E1171" i="7"/>
  <c r="C1172" i="3" s="1"/>
  <c r="E1172" i="7"/>
  <c r="C1173" i="3" s="1"/>
  <c r="E1173" i="7"/>
  <c r="C1174" i="3" s="1"/>
  <c r="E1153" i="7"/>
  <c r="C1154" i="3" s="1"/>
  <c r="E1154" i="7"/>
  <c r="C1155" i="3" s="1"/>
  <c r="E1155" i="7"/>
  <c r="C1156" i="3" s="1"/>
  <c r="E1156" i="7"/>
  <c r="C1157" i="3" s="1"/>
  <c r="E1157" i="7"/>
  <c r="C1158" i="3" s="1"/>
  <c r="E1158" i="7"/>
  <c r="C1159" i="3" s="1"/>
  <c r="E1159" i="7"/>
  <c r="C1160" i="3" s="1"/>
  <c r="E1099" i="7"/>
  <c r="C1100" i="3" s="1"/>
  <c r="E1100" i="7"/>
  <c r="C1101" i="3" s="1"/>
  <c r="E1101" i="7"/>
  <c r="C1102" i="3" s="1"/>
  <c r="E1102" i="7"/>
  <c r="C1103" i="3" s="1"/>
  <c r="E1103" i="7"/>
  <c r="C1104" i="3" s="1"/>
  <c r="E1104" i="7"/>
  <c r="C1105" i="3" s="1"/>
  <c r="E1105" i="7"/>
  <c r="C1106" i="3" s="1"/>
  <c r="E1059" i="7"/>
  <c r="C1060" i="3" s="1"/>
  <c r="E1060" i="7"/>
  <c r="C1061" i="3" s="1"/>
  <c r="E1061" i="7"/>
  <c r="C1062" i="3" s="1"/>
  <c r="E1062" i="7"/>
  <c r="C1063" i="3" s="1"/>
  <c r="E1063" i="7"/>
  <c r="C1064" i="3" s="1"/>
  <c r="E1064" i="7"/>
  <c r="C1065" i="3" s="1"/>
  <c r="E1065" i="7"/>
  <c r="C1066" i="3" s="1"/>
  <c r="E1049" i="7"/>
  <c r="C1050" i="3" s="1"/>
  <c r="E1050" i="7"/>
  <c r="C1051" i="3" s="1"/>
  <c r="E1051" i="7"/>
  <c r="C1052" i="3" s="1"/>
  <c r="E1052" i="7"/>
  <c r="C1053" i="3" s="1"/>
  <c r="E1053" i="7"/>
  <c r="C1054" i="3" s="1"/>
  <c r="E1054" i="7"/>
  <c r="C1055" i="3" s="1"/>
  <c r="E1055" i="7"/>
  <c r="C1056" i="3" s="1"/>
  <c r="E1056" i="7"/>
  <c r="C1057" i="3" s="1"/>
  <c r="E1057" i="7"/>
  <c r="C1058" i="3" s="1"/>
  <c r="E1058" i="7"/>
  <c r="C1059" i="3" s="1"/>
  <c r="E1037" i="7"/>
  <c r="C1038" i="3" s="1"/>
  <c r="E1038" i="7"/>
  <c r="C1039" i="3" s="1"/>
  <c r="E1039" i="7"/>
  <c r="C1040" i="3" s="1"/>
  <c r="E1040" i="7"/>
  <c r="C1041" i="3" s="1"/>
  <c r="E1041" i="7"/>
  <c r="C1042" i="3" s="1"/>
  <c r="E1042" i="7"/>
  <c r="C1043" i="3" s="1"/>
  <c r="E1043" i="7"/>
  <c r="C1044" i="3" s="1"/>
  <c r="E1035" i="7"/>
  <c r="C1036" i="3" s="1"/>
  <c r="E1036" i="7"/>
  <c r="C1037" i="3" s="1"/>
  <c r="E1007" i="7"/>
  <c r="C1008" i="3" s="1"/>
  <c r="E1008" i="7"/>
  <c r="C1009" i="3" s="1"/>
  <c r="E1009" i="7"/>
  <c r="C1010" i="3" s="1"/>
  <c r="E1010" i="7"/>
  <c r="C1011" i="3" s="1"/>
  <c r="E1011" i="7"/>
  <c r="C1012" i="3" s="1"/>
  <c r="E1012" i="7"/>
  <c r="C1013" i="3" s="1"/>
  <c r="E1013" i="7"/>
  <c r="C1014" i="3" s="1"/>
  <c r="E1014" i="7"/>
  <c r="C1015" i="3" s="1"/>
  <c r="E1015" i="7"/>
  <c r="C1016" i="3" s="1"/>
  <c r="E1016" i="7"/>
  <c r="C1017" i="3" s="1"/>
  <c r="E1017" i="7"/>
  <c r="C1018" i="3" s="1"/>
  <c r="E1001" i="7"/>
  <c r="C1002" i="3" s="1"/>
  <c r="E1002" i="7"/>
  <c r="C1003" i="3" s="1"/>
  <c r="E1003" i="7"/>
  <c r="C1004" i="3" s="1"/>
  <c r="E1004" i="7"/>
  <c r="C1005" i="3" s="1"/>
  <c r="E1005" i="7"/>
  <c r="C1006" i="3" s="1"/>
  <c r="E1006" i="7"/>
  <c r="C1007" i="3" s="1"/>
  <c r="E979" i="7"/>
  <c r="C980" i="3" s="1"/>
  <c r="E980" i="7"/>
  <c r="C981" i="3" s="1"/>
  <c r="E981" i="7"/>
  <c r="C982" i="3" s="1"/>
  <c r="E982" i="7"/>
  <c r="C983" i="3" s="1"/>
  <c r="E983" i="7"/>
  <c r="C984" i="3" s="1"/>
  <c r="E984" i="7"/>
  <c r="C985" i="3" s="1"/>
  <c r="E985" i="7"/>
  <c r="C986" i="3" s="1"/>
  <c r="E986" i="7"/>
  <c r="C987" i="3" s="1"/>
  <c r="E987" i="7"/>
  <c r="C988" i="3" s="1"/>
  <c r="E975" i="7"/>
  <c r="C976" i="3" s="1"/>
  <c r="E976" i="7"/>
  <c r="C977" i="3" s="1"/>
  <c r="E977" i="7"/>
  <c r="C978" i="3" s="1"/>
  <c r="E978" i="7"/>
  <c r="C979" i="3" s="1"/>
  <c r="E963" i="7"/>
  <c r="C964" i="3" s="1"/>
  <c r="E964" i="7"/>
  <c r="C965" i="3" s="1"/>
  <c r="E965" i="7"/>
  <c r="C966" i="3" s="1"/>
  <c r="E966" i="7"/>
  <c r="C967" i="3" s="1"/>
  <c r="E967" i="7"/>
  <c r="C968" i="3" s="1"/>
  <c r="E968" i="7"/>
  <c r="C969" i="3" s="1"/>
  <c r="E969" i="7"/>
  <c r="C970" i="3" s="1"/>
  <c r="E970" i="7"/>
  <c r="C971" i="3" s="1"/>
  <c r="E971" i="7"/>
  <c r="C972" i="3" s="1"/>
  <c r="E972" i="7"/>
  <c r="C973" i="3" s="1"/>
  <c r="E973" i="7"/>
  <c r="C974" i="3" s="1"/>
  <c r="E974" i="7"/>
  <c r="C975" i="3" s="1"/>
  <c r="E947" i="7"/>
  <c r="C948" i="3" s="1"/>
  <c r="E948" i="7"/>
  <c r="C949" i="3" s="1"/>
  <c r="E949" i="7"/>
  <c r="C950" i="3" s="1"/>
  <c r="E950" i="7"/>
  <c r="C951" i="3" s="1"/>
  <c r="E951" i="7"/>
  <c r="C952" i="3" s="1"/>
  <c r="E952" i="7"/>
  <c r="C953" i="3" s="1"/>
  <c r="E953" i="7"/>
  <c r="C954" i="3" s="1"/>
  <c r="E954" i="7"/>
  <c r="C955" i="3" s="1"/>
  <c r="E955" i="7"/>
  <c r="C956" i="3" s="1"/>
  <c r="E905" i="7"/>
  <c r="C906" i="3" s="1"/>
  <c r="E906" i="7"/>
  <c r="C907" i="3" s="1"/>
  <c r="E907" i="7"/>
  <c r="C908" i="3" s="1"/>
  <c r="E908" i="7"/>
  <c r="C909" i="3" s="1"/>
  <c r="E909" i="7"/>
  <c r="C910" i="3" s="1"/>
  <c r="E895" i="7"/>
  <c r="C896" i="3" s="1"/>
  <c r="E896" i="7"/>
  <c r="C897" i="3" s="1"/>
  <c r="E897" i="7"/>
  <c r="C898" i="3" s="1"/>
  <c r="E898" i="7"/>
  <c r="C899" i="3" s="1"/>
  <c r="E899" i="7"/>
  <c r="C900" i="3" s="1"/>
  <c r="E900" i="7"/>
  <c r="C901" i="3" s="1"/>
  <c r="E901" i="7"/>
  <c r="C902" i="3" s="1"/>
  <c r="E902" i="7"/>
  <c r="C903" i="3" s="1"/>
  <c r="E903" i="7"/>
  <c r="C904" i="3" s="1"/>
  <c r="E904" i="7"/>
  <c r="C905" i="3" s="1"/>
  <c r="E734" i="7"/>
  <c r="C735" i="3" s="1"/>
  <c r="E733" i="7"/>
  <c r="C734" i="3" s="1"/>
  <c r="E732" i="7"/>
  <c r="C733" i="3" s="1"/>
  <c r="E731" i="7"/>
  <c r="C732" i="3" s="1"/>
  <c r="E729" i="7"/>
  <c r="C730" i="3" s="1"/>
  <c r="E728" i="7"/>
  <c r="C729" i="3" s="1"/>
  <c r="E727" i="7"/>
  <c r="C728" i="3" s="1"/>
  <c r="E726" i="7"/>
  <c r="E725" i="7"/>
  <c r="C726" i="3" s="1"/>
  <c r="E724" i="7"/>
  <c r="C725" i="3" s="1"/>
  <c r="E722" i="7"/>
  <c r="C723" i="3" s="1"/>
  <c r="E721" i="7"/>
  <c r="C722" i="3" s="1"/>
  <c r="E719" i="7"/>
  <c r="C720" i="3" s="1"/>
  <c r="E718" i="7"/>
  <c r="C719" i="3" s="1"/>
  <c r="E717" i="7"/>
  <c r="C718" i="3" s="1"/>
  <c r="E716" i="7"/>
  <c r="C717" i="3" s="1"/>
  <c r="E714" i="7"/>
  <c r="C715" i="3" s="1"/>
  <c r="E713" i="7"/>
  <c r="C714" i="3" s="1"/>
  <c r="E712" i="7"/>
  <c r="C713" i="3" s="1"/>
  <c r="E711" i="7"/>
  <c r="C712" i="3" s="1"/>
  <c r="E709" i="7"/>
  <c r="C710" i="3" s="1"/>
  <c r="E708" i="7"/>
  <c r="C709" i="3" s="1"/>
  <c r="E707" i="7"/>
  <c r="C708" i="3" s="1"/>
  <c r="E706" i="7"/>
  <c r="C707" i="3" s="1"/>
  <c r="E705" i="7"/>
  <c r="C706" i="3" s="1"/>
  <c r="E703" i="7"/>
  <c r="C704" i="3" s="1"/>
  <c r="E702" i="7"/>
  <c r="C703" i="3" s="1"/>
  <c r="E701" i="7"/>
  <c r="C702" i="3" s="1"/>
  <c r="E700" i="7"/>
  <c r="C701" i="3" s="1"/>
  <c r="E699" i="7"/>
  <c r="C700" i="3" s="1"/>
  <c r="E698" i="7"/>
  <c r="C699" i="3" s="1"/>
  <c r="E697" i="7"/>
  <c r="C698" i="3" s="1"/>
  <c r="E696" i="7"/>
  <c r="C697" i="3" s="1"/>
  <c r="E694" i="7"/>
  <c r="C695" i="3" s="1"/>
  <c r="E693" i="7"/>
  <c r="C694" i="3" s="1"/>
  <c r="E692" i="7"/>
  <c r="C693" i="3" s="1"/>
  <c r="E690" i="7"/>
  <c r="C691" i="3" s="1"/>
  <c r="E689" i="7"/>
  <c r="C690" i="3" s="1"/>
  <c r="E688" i="7"/>
  <c r="C689" i="3" s="1"/>
  <c r="E687" i="7"/>
  <c r="C688" i="3" s="1"/>
  <c r="E686" i="7"/>
  <c r="C687" i="3" s="1"/>
  <c r="E685" i="7"/>
  <c r="C686" i="3" s="1"/>
  <c r="E684" i="7"/>
  <c r="C685" i="3" s="1"/>
  <c r="E683" i="7"/>
  <c r="C684" i="3" s="1"/>
  <c r="E681" i="7"/>
  <c r="C682" i="3" s="1"/>
  <c r="E680" i="7"/>
  <c r="C681" i="3" s="1"/>
  <c r="E679" i="7"/>
  <c r="C680" i="3" s="1"/>
  <c r="E678" i="7"/>
  <c r="C679" i="3" s="1"/>
  <c r="E677" i="7"/>
  <c r="C678" i="3" s="1"/>
  <c r="E676" i="7"/>
  <c r="C677" i="3" s="1"/>
  <c r="E675" i="7"/>
  <c r="C676" i="3" s="1"/>
  <c r="E674" i="7"/>
  <c r="C675" i="3" s="1"/>
  <c r="E672" i="7"/>
  <c r="C673" i="3" s="1"/>
  <c r="E671" i="7"/>
  <c r="C672" i="3" s="1"/>
  <c r="E670" i="7"/>
  <c r="C671" i="3" s="1"/>
  <c r="E669" i="7"/>
  <c r="C670" i="3" s="1"/>
  <c r="E667" i="7"/>
  <c r="C668" i="3" s="1"/>
  <c r="E666" i="7"/>
  <c r="C667" i="3" s="1"/>
  <c r="E665" i="7"/>
  <c r="C666" i="3" s="1"/>
  <c r="E664" i="7"/>
  <c r="C665" i="3" s="1"/>
  <c r="E662" i="7"/>
  <c r="C663" i="3" s="1"/>
  <c r="E661" i="7"/>
  <c r="C662" i="3" s="1"/>
  <c r="E660" i="7"/>
  <c r="C661" i="3" s="1"/>
  <c r="E659" i="7"/>
  <c r="C660" i="3" s="1"/>
  <c r="E657" i="7"/>
  <c r="C658" i="3" s="1"/>
  <c r="E656" i="7"/>
  <c r="C657" i="3" s="1"/>
  <c r="E655" i="7"/>
  <c r="C656" i="3" s="1"/>
  <c r="E618" i="7"/>
  <c r="C619" i="3" s="1"/>
  <c r="E619" i="7"/>
  <c r="C620" i="3" s="1"/>
  <c r="E620" i="7"/>
  <c r="C621" i="3" s="1"/>
  <c r="E621" i="7"/>
  <c r="C622" i="3" s="1"/>
  <c r="E622" i="7"/>
  <c r="C623" i="3" s="1"/>
  <c r="E608" i="7"/>
  <c r="E609" i="7"/>
  <c r="C610" i="3" s="1"/>
  <c r="E610" i="7"/>
  <c r="C611" i="3" s="1"/>
  <c r="E611" i="7"/>
  <c r="C612" i="3" s="1"/>
  <c r="E597" i="7"/>
  <c r="C598" i="3" s="1"/>
  <c r="E598" i="7"/>
  <c r="C599" i="3" s="1"/>
  <c r="E599" i="7"/>
  <c r="C600" i="3" s="1"/>
  <c r="E600" i="7"/>
  <c r="C601" i="3" s="1"/>
  <c r="E576" i="7"/>
  <c r="C577" i="3" s="1"/>
  <c r="E577" i="7"/>
  <c r="C578" i="3" s="1"/>
  <c r="E578" i="7"/>
  <c r="C579" i="3" s="1"/>
  <c r="E570" i="7"/>
  <c r="C571" i="3" s="1"/>
  <c r="E571" i="7"/>
  <c r="C572" i="3" s="1"/>
  <c r="E572" i="7"/>
  <c r="C573" i="3" s="1"/>
  <c r="E556" i="7"/>
  <c r="C557" i="3" s="1"/>
  <c r="E557" i="7"/>
  <c r="C558" i="3" s="1"/>
  <c r="E558" i="7"/>
  <c r="C559" i="3" s="1"/>
  <c r="E559" i="7"/>
  <c r="C560" i="3" s="1"/>
  <c r="E552" i="7"/>
  <c r="C553" i="3" s="1"/>
  <c r="E553" i="7"/>
  <c r="C554" i="3" s="1"/>
  <c r="E554" i="7"/>
  <c r="C555" i="3" s="1"/>
  <c r="E555" i="7"/>
  <c r="C556" i="3" s="1"/>
  <c r="E542" i="7"/>
  <c r="C543" i="3" s="1"/>
  <c r="E543" i="7"/>
  <c r="C544" i="3" s="1"/>
  <c r="E544" i="7"/>
  <c r="C545" i="3" s="1"/>
  <c r="E545" i="7"/>
  <c r="C546" i="3" s="1"/>
  <c r="E546" i="7"/>
  <c r="C547" i="3" s="1"/>
  <c r="E532" i="7"/>
  <c r="C533" i="3" s="1"/>
  <c r="E533" i="7"/>
  <c r="C534" i="3" s="1"/>
  <c r="E534" i="7"/>
  <c r="C535" i="3" s="1"/>
  <c r="E535" i="7"/>
  <c r="C536" i="3" s="1"/>
  <c r="E536" i="7"/>
  <c r="C537" i="3" s="1"/>
  <c r="E511" i="7"/>
  <c r="C512" i="3" s="1"/>
  <c r="E510" i="7"/>
  <c r="C511" i="3" s="1"/>
  <c r="E509" i="7"/>
  <c r="C510" i="3" s="1"/>
  <c r="E505" i="7"/>
  <c r="C506" i="3" s="1"/>
  <c r="E506" i="7"/>
  <c r="E490" i="7"/>
  <c r="C491" i="3" s="1"/>
  <c r="E491" i="7"/>
  <c r="C492" i="3" s="1"/>
  <c r="E492" i="7"/>
  <c r="C493" i="3" s="1"/>
  <c r="E493" i="7"/>
  <c r="C494" i="3" s="1"/>
  <c r="E494" i="7"/>
  <c r="C495" i="3" s="1"/>
  <c r="E486" i="7"/>
  <c r="C487" i="3" s="1"/>
  <c r="E487" i="7"/>
  <c r="C488" i="3" s="1"/>
  <c r="E488" i="7"/>
  <c r="C489" i="3" s="1"/>
  <c r="E489" i="7"/>
  <c r="C490" i="3" s="1"/>
  <c r="E484" i="7"/>
  <c r="C485" i="3" s="1"/>
  <c r="E485" i="7"/>
  <c r="C486" i="3" s="1"/>
  <c r="E482" i="7"/>
  <c r="E483" i="7"/>
  <c r="C484" i="3" s="1"/>
  <c r="E480" i="7"/>
  <c r="E481" i="7"/>
  <c r="C482" i="3" s="1"/>
  <c r="E894" i="7"/>
  <c r="C895" i="3" s="1"/>
  <c r="E893" i="7"/>
  <c r="C894" i="3" s="1"/>
  <c r="E892" i="7"/>
  <c r="C893" i="3" s="1"/>
  <c r="E890" i="7"/>
  <c r="C891" i="3" s="1"/>
  <c r="E889" i="7"/>
  <c r="C890" i="3" s="1"/>
  <c r="E888" i="7"/>
  <c r="C889" i="3" s="1"/>
  <c r="E887" i="7"/>
  <c r="C888" i="3" s="1"/>
  <c r="E886" i="7"/>
  <c r="C887" i="3" s="1"/>
  <c r="E885" i="7"/>
  <c r="C886" i="3" s="1"/>
  <c r="E884" i="7"/>
  <c r="C885" i="3" s="1"/>
  <c r="E604" i="7"/>
  <c r="C605" i="3" s="1"/>
  <c r="E605" i="7"/>
  <c r="C606" i="3" s="1"/>
  <c r="E606" i="7"/>
  <c r="C607" i="3" s="1"/>
  <c r="E607" i="7"/>
  <c r="C608" i="3" s="1"/>
  <c r="E601" i="7"/>
  <c r="C602" i="3" s="1"/>
  <c r="E602" i="7"/>
  <c r="C603" i="3" s="1"/>
  <c r="E603" i="7"/>
  <c r="C604" i="3" s="1"/>
  <c r="E595" i="7"/>
  <c r="C596" i="3" s="1"/>
  <c r="E596" i="7"/>
  <c r="E592" i="7"/>
  <c r="C593" i="3" s="1"/>
  <c r="E593" i="7"/>
  <c r="C594" i="3" s="1"/>
  <c r="E594" i="7"/>
  <c r="C595" i="3" s="1"/>
  <c r="E589" i="7"/>
  <c r="C590" i="3" s="1"/>
  <c r="E590" i="7"/>
  <c r="C591" i="3" s="1"/>
  <c r="E591" i="7"/>
  <c r="C592" i="3" s="1"/>
  <c r="E586" i="7"/>
  <c r="C587" i="3" s="1"/>
  <c r="E587" i="7"/>
  <c r="C588" i="3" s="1"/>
  <c r="E588" i="7"/>
  <c r="C589" i="3" s="1"/>
  <c r="E579" i="7"/>
  <c r="C580" i="3" s="1"/>
  <c r="E573" i="7"/>
  <c r="C574" i="3" s="1"/>
  <c r="E574" i="7"/>
  <c r="C575" i="3" s="1"/>
  <c r="E575" i="7"/>
  <c r="C576" i="3" s="1"/>
  <c r="E567" i="7"/>
  <c r="C568" i="3" s="1"/>
  <c r="E568" i="7"/>
  <c r="E569" i="7"/>
  <c r="E565" i="7"/>
  <c r="C566" i="3" s="1"/>
  <c r="E566" i="7"/>
  <c r="C567" i="3" s="1"/>
  <c r="E547" i="7"/>
  <c r="C548" i="3" s="1"/>
  <c r="E548" i="7"/>
  <c r="C549" i="3" s="1"/>
  <c r="E549" i="7"/>
  <c r="C550" i="3" s="1"/>
  <c r="E550" i="7"/>
  <c r="C551" i="3" s="1"/>
  <c r="E551" i="7"/>
  <c r="C552" i="3" s="1"/>
  <c r="E537" i="7"/>
  <c r="C538" i="3" s="1"/>
  <c r="E538" i="7"/>
  <c r="C539" i="3" s="1"/>
  <c r="E539" i="7"/>
  <c r="C540" i="3" s="1"/>
  <c r="E540" i="7"/>
  <c r="C541" i="3" s="1"/>
  <c r="E541" i="7"/>
  <c r="C542" i="3" s="1"/>
  <c r="E527" i="7"/>
  <c r="C528" i="3" s="1"/>
  <c r="E528" i="7"/>
  <c r="C529" i="3" s="1"/>
  <c r="E529" i="7"/>
  <c r="C530" i="3" s="1"/>
  <c r="E530" i="7"/>
  <c r="C531" i="3" s="1"/>
  <c r="E531" i="7"/>
  <c r="C532" i="3" s="1"/>
  <c r="E523" i="7"/>
  <c r="C524" i="3" s="1"/>
  <c r="E524" i="7"/>
  <c r="C525" i="3" s="1"/>
  <c r="E525" i="7"/>
  <c r="C526" i="3" s="1"/>
  <c r="E526" i="7"/>
  <c r="C527" i="3" s="1"/>
  <c r="E517" i="7"/>
  <c r="C518" i="3" s="1"/>
  <c r="E518" i="7"/>
  <c r="C519" i="3" s="1"/>
  <c r="E519" i="7"/>
  <c r="C520" i="3" s="1"/>
  <c r="E520" i="7"/>
  <c r="C521" i="3" s="1"/>
  <c r="E521" i="7"/>
  <c r="C522" i="3" s="1"/>
  <c r="E522" i="7"/>
  <c r="C523" i="3" s="1"/>
  <c r="E513" i="7"/>
  <c r="C514" i="3" s="1"/>
  <c r="E514" i="7"/>
  <c r="C515" i="3" s="1"/>
  <c r="E515" i="7"/>
  <c r="C516" i="3" s="1"/>
  <c r="E516" i="7"/>
  <c r="C517" i="3" s="1"/>
  <c r="E507" i="7"/>
  <c r="C508" i="3" s="1"/>
  <c r="E508" i="7"/>
  <c r="C509" i="3" s="1"/>
  <c r="E503" i="7"/>
  <c r="C504" i="3" s="1"/>
  <c r="E504" i="7"/>
  <c r="C505" i="3" s="1"/>
  <c r="E495" i="7"/>
  <c r="C496" i="3" s="1"/>
  <c r="E496" i="7"/>
  <c r="C497" i="3" s="1"/>
  <c r="E497" i="7"/>
  <c r="C498" i="3" s="1"/>
  <c r="E498" i="7"/>
  <c r="C499" i="3" s="1"/>
  <c r="E457" i="7"/>
  <c r="C458" i="3" s="1"/>
  <c r="E456" i="7"/>
  <c r="C457" i="3" s="1"/>
  <c r="E454" i="7"/>
  <c r="C455" i="3" s="1"/>
  <c r="E453" i="7"/>
  <c r="C454" i="3" s="1"/>
  <c r="E452" i="7"/>
  <c r="C453" i="3" s="1"/>
  <c r="E450" i="7"/>
  <c r="E449" i="7"/>
  <c r="C450" i="3" s="1"/>
  <c r="E448" i="7"/>
  <c r="C449" i="3" s="1"/>
  <c r="E447" i="7"/>
  <c r="C448" i="3" s="1"/>
  <c r="E446" i="7"/>
  <c r="C447" i="3" s="1"/>
  <c r="E444" i="7"/>
  <c r="C445" i="3" s="1"/>
  <c r="E443" i="7"/>
  <c r="C444" i="3" s="1"/>
  <c r="E442" i="7"/>
  <c r="C443" i="3" s="1"/>
  <c r="E441" i="7"/>
  <c r="C442" i="3" s="1"/>
  <c r="E391" i="7"/>
  <c r="C392" i="3" s="1"/>
  <c r="E392" i="7"/>
  <c r="C393" i="3" s="1"/>
  <c r="E393" i="7"/>
  <c r="C394" i="3" s="1"/>
  <c r="E394" i="7"/>
  <c r="C395" i="3" s="1"/>
  <c r="E395" i="7"/>
  <c r="C396" i="3" s="1"/>
  <c r="E387" i="7"/>
  <c r="E388" i="7"/>
  <c r="C389" i="3" s="1"/>
  <c r="E389" i="7"/>
  <c r="E390" i="7"/>
  <c r="C391" i="3" s="1"/>
  <c r="E378" i="7"/>
  <c r="E379" i="7"/>
  <c r="C380" i="3" s="1"/>
  <c r="E380" i="7"/>
  <c r="C381" i="3" s="1"/>
  <c r="E374" i="7"/>
  <c r="C375" i="3" s="1"/>
  <c r="E377" i="7"/>
  <c r="E364" i="7"/>
  <c r="C365" i="3" s="1"/>
  <c r="E365" i="7"/>
  <c r="C366" i="3" s="1"/>
  <c r="E366" i="7"/>
  <c r="C367" i="3" s="1"/>
  <c r="E367" i="7"/>
  <c r="C368" i="3" s="1"/>
  <c r="E368" i="7"/>
  <c r="C369" i="3" s="1"/>
  <c r="E438" i="7"/>
  <c r="C439" i="3" s="1"/>
  <c r="E439" i="7"/>
  <c r="C440" i="3" s="1"/>
  <c r="E432" i="7"/>
  <c r="C433" i="3" s="1"/>
  <c r="E433" i="7"/>
  <c r="C434" i="3" s="1"/>
  <c r="E434" i="7"/>
  <c r="C435" i="3" s="1"/>
  <c r="E435" i="7"/>
  <c r="C436" i="3" s="1"/>
  <c r="E436" i="7"/>
  <c r="C437" i="3" s="1"/>
  <c r="E437" i="7"/>
  <c r="C438" i="3" s="1"/>
  <c r="E426" i="7"/>
  <c r="C427" i="3" s="1"/>
  <c r="E427" i="7"/>
  <c r="C428" i="3" s="1"/>
  <c r="E428" i="7"/>
  <c r="C429" i="3" s="1"/>
  <c r="E429" i="7"/>
  <c r="C430" i="3" s="1"/>
  <c r="E430" i="7"/>
  <c r="C431" i="3" s="1"/>
  <c r="E431" i="7"/>
  <c r="C432" i="3" s="1"/>
  <c r="E420" i="7"/>
  <c r="C421" i="3" s="1"/>
  <c r="E421" i="7"/>
  <c r="C422" i="3" s="1"/>
  <c r="E422" i="7"/>
  <c r="C423" i="3" s="1"/>
  <c r="E423" i="7"/>
  <c r="C424" i="3" s="1"/>
  <c r="E424" i="7"/>
  <c r="C425" i="3" s="1"/>
  <c r="E425" i="7"/>
  <c r="C426" i="3" s="1"/>
  <c r="E414" i="7"/>
  <c r="C415" i="3" s="1"/>
  <c r="E415" i="7"/>
  <c r="C416" i="3" s="1"/>
  <c r="E416" i="7"/>
  <c r="C417" i="3" s="1"/>
  <c r="E417" i="7"/>
  <c r="C418" i="3" s="1"/>
  <c r="E418" i="7"/>
  <c r="C419" i="3" s="1"/>
  <c r="E419" i="7"/>
  <c r="C420" i="3" s="1"/>
  <c r="E408" i="7"/>
  <c r="C409" i="3" s="1"/>
  <c r="E409" i="7"/>
  <c r="C410" i="3" s="1"/>
  <c r="E410" i="7"/>
  <c r="C411" i="3" s="1"/>
  <c r="E411" i="7"/>
  <c r="C412" i="3" s="1"/>
  <c r="E412" i="7"/>
  <c r="C413" i="3" s="1"/>
  <c r="E413" i="7"/>
  <c r="C414" i="3" s="1"/>
  <c r="E402" i="7"/>
  <c r="C403" i="3" s="1"/>
  <c r="E403" i="7"/>
  <c r="C404" i="3" s="1"/>
  <c r="E404" i="7"/>
  <c r="C405" i="3" s="1"/>
  <c r="E405" i="7"/>
  <c r="C406" i="3" s="1"/>
  <c r="E406" i="7"/>
  <c r="C407" i="3" s="1"/>
  <c r="E407" i="7"/>
  <c r="C408" i="3" s="1"/>
  <c r="E396" i="7"/>
  <c r="C397" i="3" s="1"/>
  <c r="E397" i="7"/>
  <c r="C398" i="3" s="1"/>
  <c r="E398" i="7"/>
  <c r="C399" i="3" s="1"/>
  <c r="E399" i="7"/>
  <c r="C400" i="3" s="1"/>
  <c r="E400" i="7"/>
  <c r="C401" i="3" s="1"/>
  <c r="E401" i="7"/>
  <c r="C402" i="3" s="1"/>
  <c r="E381" i="7"/>
  <c r="E382" i="7"/>
  <c r="C383" i="3" s="1"/>
  <c r="E386" i="7"/>
  <c r="C387" i="3" s="1"/>
  <c r="E369" i="7"/>
  <c r="C370" i="3" s="1"/>
  <c r="E370" i="7"/>
  <c r="C371" i="3" s="1"/>
  <c r="E371" i="7"/>
  <c r="C372" i="3" s="1"/>
  <c r="E372" i="7"/>
  <c r="C373" i="3" s="1"/>
  <c r="E373" i="7"/>
  <c r="C374" i="3" s="1"/>
  <c r="E363" i="7"/>
  <c r="C364" i="3" s="1"/>
  <c r="E362" i="7"/>
  <c r="C363" i="3" s="1"/>
  <c r="E361" i="7"/>
  <c r="C362" i="3" s="1"/>
  <c r="E360" i="7"/>
  <c r="C361" i="3" s="1"/>
  <c r="E301" i="7"/>
  <c r="C302" i="3" s="1"/>
  <c r="E302" i="7"/>
  <c r="C303" i="3" s="1"/>
  <c r="E303" i="7"/>
  <c r="C304" i="3" s="1"/>
  <c r="E304" i="7"/>
  <c r="C305" i="3" s="1"/>
  <c r="E305" i="7"/>
  <c r="C306" i="3" s="1"/>
  <c r="E291" i="7"/>
  <c r="C292" i="3" s="1"/>
  <c r="E292" i="7"/>
  <c r="C293" i="3" s="1"/>
  <c r="E293" i="7"/>
  <c r="C294" i="3" s="1"/>
  <c r="E294" i="7"/>
  <c r="C295" i="3" s="1"/>
  <c r="E295" i="7"/>
  <c r="C296" i="3" s="1"/>
  <c r="E286" i="7"/>
  <c r="E285" i="7"/>
  <c r="C286" i="3" s="1"/>
  <c r="E284" i="7"/>
  <c r="C285" i="3" s="1"/>
  <c r="E283" i="7"/>
  <c r="C284" i="3" s="1"/>
  <c r="E282" i="7"/>
  <c r="E281" i="7"/>
  <c r="E280" i="7"/>
  <c r="C281" i="3" s="1"/>
  <c r="E279" i="7"/>
  <c r="E278" i="7"/>
  <c r="C279" i="3" s="1"/>
  <c r="E277" i="7"/>
  <c r="E275" i="7"/>
  <c r="C276" i="3" s="1"/>
  <c r="E276" i="7"/>
  <c r="C277" i="3" s="1"/>
  <c r="E274" i="7"/>
  <c r="E273" i="7"/>
  <c r="C274" i="3" s="1"/>
  <c r="E272" i="7"/>
  <c r="C273" i="3" s="1"/>
  <c r="E271" i="7"/>
  <c r="E270" i="7"/>
  <c r="E269" i="7"/>
  <c r="E263" i="7"/>
  <c r="C264" i="3" s="1"/>
  <c r="E264" i="7"/>
  <c r="C265" i="3" s="1"/>
  <c r="E265" i="7"/>
  <c r="C266" i="3" s="1"/>
  <c r="E266" i="7"/>
  <c r="C267" i="3" s="1"/>
  <c r="E267" i="7"/>
  <c r="C268" i="3" s="1"/>
  <c r="E268" i="7"/>
  <c r="C269" i="3" s="1"/>
  <c r="E262" i="7"/>
  <c r="C263" i="3" s="1"/>
  <c r="E259" i="7"/>
  <c r="E258" i="7"/>
  <c r="C259" i="3" s="1"/>
  <c r="E257" i="7"/>
  <c r="C258" i="3" s="1"/>
  <c r="E256" i="7"/>
  <c r="C257" i="3" s="1"/>
  <c r="E255" i="7"/>
  <c r="E310" i="7"/>
  <c r="C311" i="3" s="1"/>
  <c r="E311" i="7"/>
  <c r="C312" i="3" s="1"/>
  <c r="E312" i="7"/>
  <c r="C313" i="3" s="1"/>
  <c r="E313" i="7"/>
  <c r="C314" i="3" s="1"/>
  <c r="E306" i="7"/>
  <c r="C307" i="3" s="1"/>
  <c r="E307" i="7"/>
  <c r="C308" i="3" s="1"/>
  <c r="E308" i="7"/>
  <c r="C309" i="3" s="1"/>
  <c r="E309" i="7"/>
  <c r="C310" i="3" s="1"/>
  <c r="E296" i="7"/>
  <c r="C297" i="3" s="1"/>
  <c r="E297" i="7"/>
  <c r="C298" i="3" s="1"/>
  <c r="E298" i="7"/>
  <c r="C299" i="3" s="1"/>
  <c r="E299" i="7"/>
  <c r="C300" i="3" s="1"/>
  <c r="E300" i="7"/>
  <c r="C301" i="3" s="1"/>
  <c r="E288" i="7"/>
  <c r="C289" i="3" s="1"/>
  <c r="E289" i="7"/>
  <c r="C290" i="3" s="1"/>
  <c r="E290" i="7"/>
  <c r="C291" i="3" s="1"/>
  <c r="E111" i="7"/>
  <c r="C112" i="3" s="1"/>
  <c r="E110" i="7"/>
  <c r="C111" i="3" s="1"/>
  <c r="E104" i="7"/>
  <c r="C105" i="3" s="1"/>
  <c r="E103" i="7"/>
  <c r="C104" i="3" s="1"/>
  <c r="E38" i="7"/>
  <c r="C39" i="3" s="1"/>
  <c r="E37" i="7"/>
  <c r="C38" i="3" s="1"/>
  <c r="E36" i="7"/>
  <c r="C37" i="3" s="1"/>
  <c r="E35" i="7"/>
  <c r="C36" i="3" s="1"/>
  <c r="E33" i="7"/>
  <c r="C34" i="3" s="1"/>
  <c r="E32" i="7"/>
  <c r="C33" i="3" s="1"/>
  <c r="E31" i="7"/>
  <c r="C32" i="3" s="1"/>
  <c r="E30" i="7"/>
  <c r="C31" i="3" s="1"/>
  <c r="E28" i="7"/>
  <c r="C29" i="3" s="1"/>
  <c r="E27" i="7"/>
  <c r="C28" i="3" s="1"/>
  <c r="E26" i="7"/>
  <c r="C27" i="3" s="1"/>
  <c r="E25" i="7"/>
  <c r="C26" i="3" s="1"/>
  <c r="E24" i="7"/>
  <c r="C25" i="3" s="1"/>
  <c r="E22" i="7"/>
  <c r="C23" i="3" s="1"/>
  <c r="E21" i="7"/>
  <c r="C22" i="3" s="1"/>
  <c r="E20" i="7"/>
  <c r="C21" i="3" s="1"/>
  <c r="E19" i="7"/>
  <c r="C20" i="3" s="1"/>
  <c r="E18" i="7"/>
  <c r="C19" i="3" s="1"/>
  <c r="E17" i="7"/>
  <c r="C18" i="3" s="1"/>
  <c r="E16" i="7"/>
  <c r="C17" i="3" s="1"/>
  <c r="E15" i="7"/>
  <c r="C16" i="3" s="1"/>
  <c r="E13" i="7"/>
  <c r="C14" i="3" s="1"/>
  <c r="E12" i="7"/>
  <c r="C13" i="3" s="1"/>
  <c r="E10" i="7"/>
  <c r="C11" i="3" s="1"/>
  <c r="E9" i="7"/>
  <c r="E7" i="7"/>
  <c r="C8" i="3" s="1"/>
  <c r="E5" i="7"/>
  <c r="C275" i="3" l="1"/>
  <c r="C287" i="3"/>
  <c r="C382" i="3"/>
  <c r="C378" i="3"/>
  <c r="C379" i="3"/>
  <c r="C390" i="3"/>
  <c r="C388" i="3"/>
  <c r="C451" i="3"/>
  <c r="C569" i="3"/>
  <c r="C727" i="3"/>
  <c r="C90" i="3"/>
  <c r="C582" i="3"/>
  <c r="C1255" i="3"/>
  <c r="C1401" i="3"/>
  <c r="C617" i="3"/>
  <c r="C251" i="3"/>
  <c r="C385" i="3"/>
  <c r="C1338" i="3"/>
  <c r="C1394" i="3"/>
  <c r="C6" i="3"/>
  <c r="C10" i="3"/>
  <c r="C271" i="3"/>
  <c r="C283" i="3"/>
  <c r="C256" i="3"/>
  <c r="C260" i="3"/>
  <c r="C270" i="3"/>
  <c r="C272" i="3"/>
  <c r="C278" i="3"/>
  <c r="C280" i="3"/>
  <c r="C282" i="3"/>
  <c r="C570" i="3"/>
  <c r="C597" i="3"/>
  <c r="C481" i="3"/>
  <c r="C483" i="3"/>
  <c r="C507" i="3"/>
  <c r="C609" i="3"/>
  <c r="C1307" i="3"/>
  <c r="C384" i="3"/>
  <c r="C1400" i="3"/>
  <c r="C249" i="3"/>
  <c r="C615" i="3"/>
  <c r="C585" i="3"/>
  <c r="C200" i="3"/>
  <c r="C120" i="3"/>
  <c r="C1379" i="3"/>
  <c r="C1395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G1231" i="3" l="1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G1147" i="3" l="1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A1147" i="3" l="1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G1140" i="3" l="1"/>
  <c r="G1141" i="3"/>
  <c r="G1142" i="3"/>
  <c r="G1143" i="3"/>
  <c r="G1144" i="3"/>
  <c r="G1145" i="3"/>
  <c r="G1146" i="3"/>
  <c r="A1140" i="3" l="1"/>
  <c r="A1141" i="3"/>
  <c r="A1142" i="3"/>
  <c r="A1143" i="3"/>
  <c r="A1144" i="3"/>
  <c r="A1145" i="3"/>
  <c r="A1146" i="3"/>
  <c r="G3" i="3" l="1"/>
  <c r="G189" i="3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A4" i="3" l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3" i="3" l="1"/>
  <c r="N102" i="3" l="1"/>
  <c r="R102" i="3"/>
  <c r="T102" i="3"/>
  <c r="V102" i="3"/>
  <c r="X102" i="3"/>
  <c r="Z102" i="3"/>
  <c r="AB102" i="3"/>
  <c r="AD102" i="3"/>
  <c r="AF102" i="3"/>
  <c r="AH102" i="3"/>
  <c r="AJ102" i="3"/>
  <c r="AL102" i="3"/>
  <c r="AN102" i="3"/>
  <c r="AP102" i="3"/>
  <c r="AR102" i="3"/>
  <c r="AT102" i="3"/>
  <c r="AV102" i="3"/>
  <c r="AX102" i="3"/>
  <c r="AZ102" i="3"/>
  <c r="BB102" i="3"/>
  <c r="BD102" i="3"/>
  <c r="BF102" i="3"/>
  <c r="BH102" i="3"/>
  <c r="BJ102" i="3"/>
  <c r="BL102" i="3"/>
  <c r="BN102" i="3"/>
  <c r="BP102" i="3"/>
  <c r="BR102" i="3"/>
  <c r="BT102" i="3"/>
  <c r="BV102" i="3"/>
  <c r="BX102" i="3"/>
  <c r="BZ102" i="3"/>
  <c r="CB102" i="3"/>
  <c r="CD102" i="3"/>
  <c r="CF102" i="3"/>
  <c r="CH102" i="3"/>
  <c r="CJ102" i="3"/>
  <c r="CL102" i="3"/>
  <c r="CN102" i="3"/>
  <c r="CP102" i="3"/>
  <c r="CR102" i="3"/>
  <c r="CT102" i="3"/>
  <c r="CV102" i="3"/>
  <c r="CX102" i="3"/>
  <c r="CZ102" i="3"/>
  <c r="DB102" i="3"/>
  <c r="DD102" i="3"/>
  <c r="DF102" i="3"/>
  <c r="DH102" i="3"/>
  <c r="DJ102" i="3"/>
  <c r="DL102" i="3"/>
  <c r="DN102" i="3"/>
  <c r="DP102" i="3"/>
  <c r="DR102" i="3"/>
  <c r="DT102" i="3"/>
  <c r="DV102" i="3"/>
  <c r="DX102" i="3"/>
  <c r="DZ102" i="3"/>
  <c r="EB102" i="3"/>
  <c r="ED102" i="3"/>
  <c r="EF102" i="3"/>
  <c r="EH102" i="3"/>
  <c r="L102" i="3"/>
  <c r="P102" i="3"/>
  <c r="S102" i="3"/>
  <c r="U102" i="3"/>
  <c r="W102" i="3"/>
  <c r="Y102" i="3"/>
  <c r="AA102" i="3"/>
  <c r="AC102" i="3"/>
  <c r="AE102" i="3"/>
  <c r="AG102" i="3"/>
  <c r="AI102" i="3"/>
  <c r="AK102" i="3"/>
  <c r="AM102" i="3"/>
  <c r="AO102" i="3"/>
  <c r="AQ102" i="3"/>
  <c r="AS102" i="3"/>
  <c r="AU102" i="3"/>
  <c r="AW102" i="3"/>
  <c r="AY102" i="3"/>
  <c r="BA102" i="3"/>
  <c r="BC102" i="3"/>
  <c r="BE102" i="3"/>
  <c r="BG102" i="3"/>
  <c r="BK102" i="3"/>
  <c r="BO102" i="3"/>
  <c r="BS102" i="3"/>
  <c r="BW102" i="3"/>
  <c r="CA102" i="3"/>
  <c r="CE102" i="3"/>
  <c r="CI102" i="3"/>
  <c r="CM102" i="3"/>
  <c r="CQ102" i="3"/>
  <c r="CU102" i="3"/>
  <c r="CY102" i="3"/>
  <c r="DC102" i="3"/>
  <c r="DG102" i="3"/>
  <c r="DK102" i="3"/>
  <c r="DO102" i="3"/>
  <c r="DW102" i="3"/>
  <c r="EE102" i="3"/>
  <c r="BI102" i="3"/>
  <c r="BM102" i="3"/>
  <c r="BQ102" i="3"/>
  <c r="BU102" i="3"/>
  <c r="BY102" i="3"/>
  <c r="CC102" i="3"/>
  <c r="CG102" i="3"/>
  <c r="CK102" i="3"/>
  <c r="CO102" i="3"/>
  <c r="CS102" i="3"/>
  <c r="CW102" i="3"/>
  <c r="DA102" i="3"/>
  <c r="DE102" i="3"/>
  <c r="DI102" i="3"/>
  <c r="DM102" i="3"/>
  <c r="DQ102" i="3"/>
  <c r="DU102" i="3"/>
  <c r="DY102" i="3"/>
  <c r="EC102" i="3"/>
  <c r="EG102" i="3"/>
  <c r="DS102" i="3"/>
  <c r="EA102" i="3"/>
  <c r="EI102" i="3"/>
  <c r="K102" i="3"/>
  <c r="Q102" i="3"/>
  <c r="M102" i="3"/>
  <c r="J102" i="3"/>
  <c r="O102" i="3"/>
  <c r="M4" i="3"/>
  <c r="O4" i="3"/>
  <c r="Q4" i="3"/>
  <c r="S4" i="3"/>
  <c r="U4" i="3"/>
  <c r="W4" i="3"/>
  <c r="Y4" i="3"/>
  <c r="AA4" i="3"/>
  <c r="AC4" i="3"/>
  <c r="AE4" i="3"/>
  <c r="AG4" i="3"/>
  <c r="AI4" i="3"/>
  <c r="AK4" i="3"/>
  <c r="AM4" i="3"/>
  <c r="AO4" i="3"/>
  <c r="AQ4" i="3"/>
  <c r="AS4" i="3"/>
  <c r="AU4" i="3"/>
  <c r="AW4" i="3"/>
  <c r="AY4" i="3"/>
  <c r="BA4" i="3"/>
  <c r="BC4" i="3"/>
  <c r="BE4" i="3"/>
  <c r="BG4" i="3"/>
  <c r="BI4" i="3"/>
  <c r="BK4" i="3"/>
  <c r="BM4" i="3"/>
  <c r="BO4" i="3"/>
  <c r="BQ4" i="3"/>
  <c r="BS4" i="3"/>
  <c r="BU4" i="3"/>
  <c r="BW4" i="3"/>
  <c r="BY4" i="3"/>
  <c r="CA4" i="3"/>
  <c r="CC4" i="3"/>
  <c r="CE4" i="3"/>
  <c r="CG4" i="3"/>
  <c r="CI4" i="3"/>
  <c r="CK4" i="3"/>
  <c r="CM4" i="3"/>
  <c r="CO4" i="3"/>
  <c r="CQ4" i="3"/>
  <c r="CS4" i="3"/>
  <c r="CU4" i="3"/>
  <c r="CW4" i="3"/>
  <c r="CY4" i="3"/>
  <c r="DA4" i="3"/>
  <c r="DC4" i="3"/>
  <c r="DE4" i="3"/>
  <c r="DG4" i="3"/>
  <c r="DI4" i="3"/>
  <c r="DK4" i="3"/>
  <c r="DM4" i="3"/>
  <c r="DO4" i="3"/>
  <c r="DQ4" i="3"/>
  <c r="DS4" i="3"/>
  <c r="DU4" i="3"/>
  <c r="DW4" i="3"/>
  <c r="DY4" i="3"/>
  <c r="EA4" i="3"/>
  <c r="EC4" i="3"/>
  <c r="EE4" i="3"/>
  <c r="EG4" i="3"/>
  <c r="EI4" i="3"/>
  <c r="P5" i="3"/>
  <c r="R5" i="3"/>
  <c r="T5" i="3"/>
  <c r="V5" i="3"/>
  <c r="X5" i="3"/>
  <c r="Z5" i="3"/>
  <c r="AB5" i="3"/>
  <c r="AD5" i="3"/>
  <c r="AF5" i="3"/>
  <c r="AH5" i="3"/>
  <c r="AJ5" i="3"/>
  <c r="AL5" i="3"/>
  <c r="AN5" i="3"/>
  <c r="AP5" i="3"/>
  <c r="AR5" i="3"/>
  <c r="AT5" i="3"/>
  <c r="AV5" i="3"/>
  <c r="AX5" i="3"/>
  <c r="AZ5" i="3"/>
  <c r="BB5" i="3"/>
  <c r="BD5" i="3"/>
  <c r="BF5" i="3"/>
  <c r="BH5" i="3"/>
  <c r="BJ5" i="3"/>
  <c r="BL5" i="3"/>
  <c r="BN5" i="3"/>
  <c r="BP5" i="3"/>
  <c r="BR5" i="3"/>
  <c r="BT5" i="3"/>
  <c r="BV5" i="3"/>
  <c r="BX5" i="3"/>
  <c r="BZ5" i="3"/>
  <c r="CB5" i="3"/>
  <c r="CD5" i="3"/>
  <c r="CF5" i="3"/>
  <c r="CH5" i="3"/>
  <c r="CJ5" i="3"/>
  <c r="CL5" i="3"/>
  <c r="CN5" i="3"/>
  <c r="CP5" i="3"/>
  <c r="CR5" i="3"/>
  <c r="CT5" i="3"/>
  <c r="CV5" i="3"/>
  <c r="CX5" i="3"/>
  <c r="CZ5" i="3"/>
  <c r="DB5" i="3"/>
  <c r="DD5" i="3"/>
  <c r="DF5" i="3"/>
  <c r="DH5" i="3"/>
  <c r="DJ5" i="3"/>
  <c r="DL5" i="3"/>
  <c r="DN5" i="3"/>
  <c r="DP5" i="3"/>
  <c r="DR5" i="3"/>
  <c r="DT5" i="3"/>
  <c r="DV5" i="3"/>
  <c r="DX5" i="3"/>
  <c r="DZ5" i="3"/>
  <c r="EB5" i="3"/>
  <c r="ED5" i="3"/>
  <c r="EF5" i="3"/>
  <c r="EH5" i="3"/>
  <c r="L6" i="3"/>
  <c r="N6" i="3"/>
  <c r="P6" i="3"/>
  <c r="R6" i="3"/>
  <c r="T6" i="3"/>
  <c r="V6" i="3"/>
  <c r="X6" i="3"/>
  <c r="Z6" i="3"/>
  <c r="AB6" i="3"/>
  <c r="AD6" i="3"/>
  <c r="AF6" i="3"/>
  <c r="AH6" i="3"/>
  <c r="AJ6" i="3"/>
  <c r="AL6" i="3"/>
  <c r="AN6" i="3"/>
  <c r="AP6" i="3"/>
  <c r="AR6" i="3"/>
  <c r="AT6" i="3"/>
  <c r="AV6" i="3"/>
  <c r="AX6" i="3"/>
  <c r="AZ6" i="3"/>
  <c r="BB6" i="3"/>
  <c r="BD6" i="3"/>
  <c r="BF6" i="3"/>
  <c r="BH6" i="3"/>
  <c r="BJ6" i="3"/>
  <c r="BL6" i="3"/>
  <c r="BN6" i="3"/>
  <c r="BP6" i="3"/>
  <c r="BR6" i="3"/>
  <c r="BT6" i="3"/>
  <c r="BV6" i="3"/>
  <c r="BX6" i="3"/>
  <c r="BZ6" i="3"/>
  <c r="CB6" i="3"/>
  <c r="CD6" i="3"/>
  <c r="CF6" i="3"/>
  <c r="CH6" i="3"/>
  <c r="CJ6" i="3"/>
  <c r="CL6" i="3"/>
  <c r="CN6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D4" i="3"/>
  <c r="CH4" i="3"/>
  <c r="CL4" i="3"/>
  <c r="CP4" i="3"/>
  <c r="CT4" i="3"/>
  <c r="CX4" i="3"/>
  <c r="DB4" i="3"/>
  <c r="DF4" i="3"/>
  <c r="DJ4" i="3"/>
  <c r="DN4" i="3"/>
  <c r="DR4" i="3"/>
  <c r="DV4" i="3"/>
  <c r="DZ4" i="3"/>
  <c r="ED4" i="3"/>
  <c r="EH4" i="3"/>
  <c r="Q5" i="3"/>
  <c r="U5" i="3"/>
  <c r="Y5" i="3"/>
  <c r="AC5" i="3"/>
  <c r="AG5" i="3"/>
  <c r="AK5" i="3"/>
  <c r="AO5" i="3"/>
  <c r="AS5" i="3"/>
  <c r="AW5" i="3"/>
  <c r="BA5" i="3"/>
  <c r="BE5" i="3"/>
  <c r="BI5" i="3"/>
  <c r="BM5" i="3"/>
  <c r="BQ5" i="3"/>
  <c r="BU5" i="3"/>
  <c r="BY5" i="3"/>
  <c r="CC5" i="3"/>
  <c r="CG5" i="3"/>
  <c r="CK5" i="3"/>
  <c r="CO5" i="3"/>
  <c r="CS5" i="3"/>
  <c r="CW5" i="3"/>
  <c r="DA5" i="3"/>
  <c r="DE5" i="3"/>
  <c r="DI5" i="3"/>
  <c r="DM5" i="3"/>
  <c r="DQ5" i="3"/>
  <c r="DU5" i="3"/>
  <c r="DY5" i="3"/>
  <c r="EC5" i="3"/>
  <c r="EG5" i="3"/>
  <c r="M6" i="3"/>
  <c r="Q6" i="3"/>
  <c r="U6" i="3"/>
  <c r="Y6" i="3"/>
  <c r="AC6" i="3"/>
  <c r="AG6" i="3"/>
  <c r="AK6" i="3"/>
  <c r="AO6" i="3"/>
  <c r="AS6" i="3"/>
  <c r="AW6" i="3"/>
  <c r="BA6" i="3"/>
  <c r="BE6" i="3"/>
  <c r="BI6" i="3"/>
  <c r="BM6" i="3"/>
  <c r="BQ6" i="3"/>
  <c r="BU6" i="3"/>
  <c r="BY6" i="3"/>
  <c r="CC6" i="3"/>
  <c r="CG6" i="3"/>
  <c r="CK6" i="3"/>
  <c r="CO6" i="3"/>
  <c r="CQ6" i="3"/>
  <c r="L4" i="3"/>
  <c r="P4" i="3"/>
  <c r="T4" i="3"/>
  <c r="X4" i="3"/>
  <c r="AB4" i="3"/>
  <c r="AF4" i="3"/>
  <c r="AJ4" i="3"/>
  <c r="AN4" i="3"/>
  <c r="AR4" i="3"/>
  <c r="AV4" i="3"/>
  <c r="AZ4" i="3"/>
  <c r="BD4" i="3"/>
  <c r="BH4" i="3"/>
  <c r="BL4" i="3"/>
  <c r="BP4" i="3"/>
  <c r="BT4" i="3"/>
  <c r="BX4" i="3"/>
  <c r="CB4" i="3"/>
  <c r="CF4" i="3"/>
  <c r="CJ4" i="3"/>
  <c r="CN4" i="3"/>
  <c r="CR4" i="3"/>
  <c r="CV4" i="3"/>
  <c r="CZ4" i="3"/>
  <c r="DD4" i="3"/>
  <c r="DH4" i="3"/>
  <c r="DL4" i="3"/>
  <c r="DP4" i="3"/>
  <c r="DT4" i="3"/>
  <c r="DX4" i="3"/>
  <c r="EB4" i="3"/>
  <c r="EF4" i="3"/>
  <c r="O5" i="3"/>
  <c r="S5" i="3"/>
  <c r="W5" i="3"/>
  <c r="AA5" i="3"/>
  <c r="AE5" i="3"/>
  <c r="AI5" i="3"/>
  <c r="AM5" i="3"/>
  <c r="AQ5" i="3"/>
  <c r="AU5" i="3"/>
  <c r="AY5" i="3"/>
  <c r="BC5" i="3"/>
  <c r="BG5" i="3"/>
  <c r="BK5" i="3"/>
  <c r="BO5" i="3"/>
  <c r="BS5" i="3"/>
  <c r="BW5" i="3"/>
  <c r="CA5" i="3"/>
  <c r="CE5" i="3"/>
  <c r="CI5" i="3"/>
  <c r="CM5" i="3"/>
  <c r="CQ5" i="3"/>
  <c r="CU5" i="3"/>
  <c r="CY5" i="3"/>
  <c r="DC5" i="3"/>
  <c r="DG5" i="3"/>
  <c r="DK5" i="3"/>
  <c r="DO5" i="3"/>
  <c r="DS5" i="3"/>
  <c r="DW5" i="3"/>
  <c r="EA5" i="3"/>
  <c r="EE5" i="3"/>
  <c r="EI5" i="3"/>
  <c r="O6" i="3"/>
  <c r="S6" i="3"/>
  <c r="W6" i="3"/>
  <c r="AA6" i="3"/>
  <c r="AE6" i="3"/>
  <c r="AI6" i="3"/>
  <c r="AM6" i="3"/>
  <c r="AQ6" i="3"/>
  <c r="AU6" i="3"/>
  <c r="AY6" i="3"/>
  <c r="BC6" i="3"/>
  <c r="BG6" i="3"/>
  <c r="BK6" i="3"/>
  <c r="BO6" i="3"/>
  <c r="BS6" i="3"/>
  <c r="BW6" i="3"/>
  <c r="CA6" i="3"/>
  <c r="CE6" i="3"/>
  <c r="CI6" i="3"/>
  <c r="CM6" i="3"/>
  <c r="CP6" i="3"/>
  <c r="CR6" i="3"/>
  <c r="CT6" i="3"/>
  <c r="CV6" i="3"/>
  <c r="CX6" i="3"/>
  <c r="CZ6" i="3"/>
  <c r="DB6" i="3"/>
  <c r="DD6" i="3"/>
  <c r="DF6" i="3"/>
  <c r="DH6" i="3"/>
  <c r="DJ6" i="3"/>
  <c r="DL6" i="3"/>
  <c r="DN6" i="3"/>
  <c r="DP6" i="3"/>
  <c r="DR6" i="3"/>
  <c r="DT6" i="3"/>
  <c r="DV6" i="3"/>
  <c r="DX6" i="3"/>
  <c r="DZ6" i="3"/>
  <c r="EB6" i="3"/>
  <c r="ED6" i="3"/>
  <c r="EF6" i="3"/>
  <c r="EH6" i="3"/>
  <c r="T7" i="3"/>
  <c r="V7" i="3"/>
  <c r="X7" i="3"/>
  <c r="Z7" i="3"/>
  <c r="AB7" i="3"/>
  <c r="AD7" i="3"/>
  <c r="AF7" i="3"/>
  <c r="AH7" i="3"/>
  <c r="AJ7" i="3"/>
  <c r="AL7" i="3"/>
  <c r="AN7" i="3"/>
  <c r="AP7" i="3"/>
  <c r="AR7" i="3"/>
  <c r="AT7" i="3"/>
  <c r="AV7" i="3"/>
  <c r="AX7" i="3"/>
  <c r="AZ7" i="3"/>
  <c r="BB7" i="3"/>
  <c r="BD7" i="3"/>
  <c r="BF7" i="3"/>
  <c r="BH7" i="3"/>
  <c r="BJ7" i="3"/>
  <c r="BL7" i="3"/>
  <c r="BN7" i="3"/>
  <c r="BP7" i="3"/>
  <c r="BR7" i="3"/>
  <c r="BT7" i="3"/>
  <c r="BV7" i="3"/>
  <c r="BX7" i="3"/>
  <c r="BZ7" i="3"/>
  <c r="CB7" i="3"/>
  <c r="CD7" i="3"/>
  <c r="CF7" i="3"/>
  <c r="CH7" i="3"/>
  <c r="CJ7" i="3"/>
  <c r="CL7" i="3"/>
  <c r="CN7" i="3"/>
  <c r="CP7" i="3"/>
  <c r="CR7" i="3"/>
  <c r="CT7" i="3"/>
  <c r="CV7" i="3"/>
  <c r="CX7" i="3"/>
  <c r="CZ7" i="3"/>
  <c r="DB7" i="3"/>
  <c r="DD7" i="3"/>
  <c r="DF7" i="3"/>
  <c r="DH7" i="3"/>
  <c r="DJ7" i="3"/>
  <c r="DL7" i="3"/>
  <c r="DN7" i="3"/>
  <c r="DP7" i="3"/>
  <c r="DR7" i="3"/>
  <c r="DT7" i="3"/>
  <c r="DV7" i="3"/>
  <c r="DX7" i="3"/>
  <c r="DZ7" i="3"/>
  <c r="EB7" i="3"/>
  <c r="ED7" i="3"/>
  <c r="EF7" i="3"/>
  <c r="EH7" i="3"/>
  <c r="M8" i="3"/>
  <c r="O8" i="3"/>
  <c r="Q8" i="3"/>
  <c r="S8" i="3"/>
  <c r="U8" i="3"/>
  <c r="W8" i="3"/>
  <c r="Y8" i="3"/>
  <c r="AA8" i="3"/>
  <c r="AC8" i="3"/>
  <c r="AE8" i="3"/>
  <c r="AG8" i="3"/>
  <c r="AI8" i="3"/>
  <c r="AK8" i="3"/>
  <c r="AM8" i="3"/>
  <c r="AO8" i="3"/>
  <c r="AQ8" i="3"/>
  <c r="AS8" i="3"/>
  <c r="AU8" i="3"/>
  <c r="AW8" i="3"/>
  <c r="AY8" i="3"/>
  <c r="BA8" i="3"/>
  <c r="BC8" i="3"/>
  <c r="BE8" i="3"/>
  <c r="BG8" i="3"/>
  <c r="BI8" i="3"/>
  <c r="BK8" i="3"/>
  <c r="BM8" i="3"/>
  <c r="BO8" i="3"/>
  <c r="BQ8" i="3"/>
  <c r="BS8" i="3"/>
  <c r="BU8" i="3"/>
  <c r="BW8" i="3"/>
  <c r="BY8" i="3"/>
  <c r="CA8" i="3"/>
  <c r="CC8" i="3"/>
  <c r="CE8" i="3"/>
  <c r="CG8" i="3"/>
  <c r="CI8" i="3"/>
  <c r="CK8" i="3"/>
  <c r="CM8" i="3"/>
  <c r="CO8" i="3"/>
  <c r="CQ8" i="3"/>
  <c r="CS8" i="3"/>
  <c r="CU8" i="3"/>
  <c r="CW8" i="3"/>
  <c r="CY8" i="3"/>
  <c r="DA8" i="3"/>
  <c r="DC8" i="3"/>
  <c r="DE8" i="3"/>
  <c r="DG8" i="3"/>
  <c r="DI8" i="3"/>
  <c r="DK8" i="3"/>
  <c r="DM8" i="3"/>
  <c r="DO8" i="3"/>
  <c r="DQ8" i="3"/>
  <c r="DS8" i="3"/>
  <c r="DU8" i="3"/>
  <c r="DW8" i="3"/>
  <c r="DY8" i="3"/>
  <c r="EA8" i="3"/>
  <c r="EC8" i="3"/>
  <c r="EE8" i="3"/>
  <c r="EG8" i="3"/>
  <c r="EI8" i="3"/>
  <c r="L9" i="3"/>
  <c r="N9" i="3"/>
  <c r="P9" i="3"/>
  <c r="R9" i="3"/>
  <c r="T9" i="3"/>
  <c r="V9" i="3"/>
  <c r="X9" i="3"/>
  <c r="Z9" i="3"/>
  <c r="AB9" i="3"/>
  <c r="AD9" i="3"/>
  <c r="AF9" i="3"/>
  <c r="AH9" i="3"/>
  <c r="AJ9" i="3"/>
  <c r="AL9" i="3"/>
  <c r="AN9" i="3"/>
  <c r="AP9" i="3"/>
  <c r="AR9" i="3"/>
  <c r="AT9" i="3"/>
  <c r="AV9" i="3"/>
  <c r="AX9" i="3"/>
  <c r="AZ9" i="3"/>
  <c r="BB9" i="3"/>
  <c r="BD9" i="3"/>
  <c r="BF9" i="3"/>
  <c r="BH9" i="3"/>
  <c r="CS6" i="3"/>
  <c r="CU6" i="3"/>
  <c r="CW6" i="3"/>
  <c r="CY6" i="3"/>
  <c r="DA6" i="3"/>
  <c r="DC6" i="3"/>
  <c r="DE6" i="3"/>
  <c r="DG6" i="3"/>
  <c r="DI6" i="3"/>
  <c r="DK6" i="3"/>
  <c r="DM6" i="3"/>
  <c r="DO6" i="3"/>
  <c r="DQ6" i="3"/>
  <c r="DS6" i="3"/>
  <c r="DU6" i="3"/>
  <c r="DW6" i="3"/>
  <c r="DY6" i="3"/>
  <c r="EA6" i="3"/>
  <c r="EC6" i="3"/>
  <c r="EE6" i="3"/>
  <c r="EG6" i="3"/>
  <c r="EI6" i="3"/>
  <c r="U7" i="3"/>
  <c r="W7" i="3"/>
  <c r="Y7" i="3"/>
  <c r="AA7" i="3"/>
  <c r="AC7" i="3"/>
  <c r="AE7" i="3"/>
  <c r="AG7" i="3"/>
  <c r="AI7" i="3"/>
  <c r="AK7" i="3"/>
  <c r="AM7" i="3"/>
  <c r="AO7" i="3"/>
  <c r="AQ7" i="3"/>
  <c r="AS7" i="3"/>
  <c r="AU7" i="3"/>
  <c r="AW7" i="3"/>
  <c r="AY7" i="3"/>
  <c r="BA7" i="3"/>
  <c r="BC7" i="3"/>
  <c r="BE7" i="3"/>
  <c r="BG7" i="3"/>
  <c r="BI7" i="3"/>
  <c r="BK7" i="3"/>
  <c r="BM7" i="3"/>
  <c r="BO7" i="3"/>
  <c r="BQ7" i="3"/>
  <c r="BS7" i="3"/>
  <c r="BU7" i="3"/>
  <c r="BW7" i="3"/>
  <c r="BY7" i="3"/>
  <c r="CA7" i="3"/>
  <c r="CC7" i="3"/>
  <c r="CE7" i="3"/>
  <c r="CG7" i="3"/>
  <c r="CI7" i="3"/>
  <c r="CK7" i="3"/>
  <c r="CM7" i="3"/>
  <c r="CO7" i="3"/>
  <c r="CQ7" i="3"/>
  <c r="CS7" i="3"/>
  <c r="CU7" i="3"/>
  <c r="CW7" i="3"/>
  <c r="CY7" i="3"/>
  <c r="DA7" i="3"/>
  <c r="DC7" i="3"/>
  <c r="DE7" i="3"/>
  <c r="DG7" i="3"/>
  <c r="DI7" i="3"/>
  <c r="DK7" i="3"/>
  <c r="DM7" i="3"/>
  <c r="DO7" i="3"/>
  <c r="DQ7" i="3"/>
  <c r="DS7" i="3"/>
  <c r="DU7" i="3"/>
  <c r="DW7" i="3"/>
  <c r="DY7" i="3"/>
  <c r="EA7" i="3"/>
  <c r="EC7" i="3"/>
  <c r="EE7" i="3"/>
  <c r="EG7" i="3"/>
  <c r="EI7" i="3"/>
  <c r="N8" i="3"/>
  <c r="P8" i="3"/>
  <c r="R8" i="3"/>
  <c r="T8" i="3"/>
  <c r="V8" i="3"/>
  <c r="X8" i="3"/>
  <c r="Z8" i="3"/>
  <c r="AB8" i="3"/>
  <c r="AD8" i="3"/>
  <c r="AF8" i="3"/>
  <c r="AH8" i="3"/>
  <c r="AJ8" i="3"/>
  <c r="AL8" i="3"/>
  <c r="AN8" i="3"/>
  <c r="AP8" i="3"/>
  <c r="AR8" i="3"/>
  <c r="AT8" i="3"/>
  <c r="AV8" i="3"/>
  <c r="AX8" i="3"/>
  <c r="AZ8" i="3"/>
  <c r="BB8" i="3"/>
  <c r="BD8" i="3"/>
  <c r="BF8" i="3"/>
  <c r="BH8" i="3"/>
  <c r="BJ8" i="3"/>
  <c r="BL8" i="3"/>
  <c r="BN8" i="3"/>
  <c r="BP8" i="3"/>
  <c r="BR8" i="3"/>
  <c r="BT8" i="3"/>
  <c r="BV8" i="3"/>
  <c r="BX8" i="3"/>
  <c r="BZ8" i="3"/>
  <c r="CB8" i="3"/>
  <c r="CD8" i="3"/>
  <c r="CF8" i="3"/>
  <c r="CH8" i="3"/>
  <c r="CJ8" i="3"/>
  <c r="CL8" i="3"/>
  <c r="CN8" i="3"/>
  <c r="CP8" i="3"/>
  <c r="CR8" i="3"/>
  <c r="CT8" i="3"/>
  <c r="CV8" i="3"/>
  <c r="CX8" i="3"/>
  <c r="CZ8" i="3"/>
  <c r="DB8" i="3"/>
  <c r="DD8" i="3"/>
  <c r="DF8" i="3"/>
  <c r="DH8" i="3"/>
  <c r="DJ8" i="3"/>
  <c r="DL8" i="3"/>
  <c r="DN8" i="3"/>
  <c r="DP8" i="3"/>
  <c r="DR8" i="3"/>
  <c r="DT8" i="3"/>
  <c r="DV8" i="3"/>
  <c r="DX8" i="3"/>
  <c r="DZ8" i="3"/>
  <c r="EB8" i="3"/>
  <c r="ED8" i="3"/>
  <c r="EF8" i="3"/>
  <c r="EH8" i="3"/>
  <c r="K9" i="3"/>
  <c r="M9" i="3"/>
  <c r="O9" i="3"/>
  <c r="Q9" i="3"/>
  <c r="S9" i="3"/>
  <c r="U9" i="3"/>
  <c r="W9" i="3"/>
  <c r="Y9" i="3"/>
  <c r="AA9" i="3"/>
  <c r="AC9" i="3"/>
  <c r="AE9" i="3"/>
  <c r="AG9" i="3"/>
  <c r="AI9" i="3"/>
  <c r="AK9" i="3"/>
  <c r="AM9" i="3"/>
  <c r="AO9" i="3"/>
  <c r="AQ9" i="3"/>
  <c r="AS9" i="3"/>
  <c r="AU9" i="3"/>
  <c r="AW9" i="3"/>
  <c r="AY9" i="3"/>
  <c r="BA9" i="3"/>
  <c r="BC9" i="3"/>
  <c r="BE9" i="3"/>
  <c r="BG9" i="3"/>
  <c r="BJ9" i="3"/>
  <c r="BL9" i="3"/>
  <c r="BN9" i="3"/>
  <c r="BP9" i="3"/>
  <c r="BR9" i="3"/>
  <c r="BT9" i="3"/>
  <c r="BV9" i="3"/>
  <c r="BX9" i="3"/>
  <c r="BZ9" i="3"/>
  <c r="CB9" i="3"/>
  <c r="CD9" i="3"/>
  <c r="CF9" i="3"/>
  <c r="CH9" i="3"/>
  <c r="CJ9" i="3"/>
  <c r="CL9" i="3"/>
  <c r="CN9" i="3"/>
  <c r="CP9" i="3"/>
  <c r="CR9" i="3"/>
  <c r="CT9" i="3"/>
  <c r="CV9" i="3"/>
  <c r="CX9" i="3"/>
  <c r="CZ9" i="3"/>
  <c r="DB9" i="3"/>
  <c r="DD9" i="3"/>
  <c r="DF9" i="3"/>
  <c r="DH9" i="3"/>
  <c r="DJ9" i="3"/>
  <c r="DL9" i="3"/>
  <c r="DN9" i="3"/>
  <c r="DP9" i="3"/>
  <c r="DR9" i="3"/>
  <c r="DT9" i="3"/>
  <c r="DV9" i="3"/>
  <c r="DX9" i="3"/>
  <c r="DZ9" i="3"/>
  <c r="EB9" i="3"/>
  <c r="ED9" i="3"/>
  <c r="EF9" i="3"/>
  <c r="EH9" i="3"/>
  <c r="M10" i="3"/>
  <c r="O10" i="3"/>
  <c r="Q10" i="3"/>
  <c r="S10" i="3"/>
  <c r="U10" i="3"/>
  <c r="W10" i="3"/>
  <c r="Y10" i="3"/>
  <c r="AA10" i="3"/>
  <c r="AC10" i="3"/>
  <c r="AE10" i="3"/>
  <c r="AG10" i="3"/>
  <c r="AI10" i="3"/>
  <c r="AK10" i="3"/>
  <c r="AM10" i="3"/>
  <c r="AO10" i="3"/>
  <c r="AQ10" i="3"/>
  <c r="AS10" i="3"/>
  <c r="AU10" i="3"/>
  <c r="AW10" i="3"/>
  <c r="AY10" i="3"/>
  <c r="BA10" i="3"/>
  <c r="BC10" i="3"/>
  <c r="BE10" i="3"/>
  <c r="BG10" i="3"/>
  <c r="BI10" i="3"/>
  <c r="BK10" i="3"/>
  <c r="BM10" i="3"/>
  <c r="BO10" i="3"/>
  <c r="BQ10" i="3"/>
  <c r="BS10" i="3"/>
  <c r="BU10" i="3"/>
  <c r="BW10" i="3"/>
  <c r="BY10" i="3"/>
  <c r="CA10" i="3"/>
  <c r="CC10" i="3"/>
  <c r="CE10" i="3"/>
  <c r="CG10" i="3"/>
  <c r="CI10" i="3"/>
  <c r="CK10" i="3"/>
  <c r="CM10" i="3"/>
  <c r="CO10" i="3"/>
  <c r="CQ10" i="3"/>
  <c r="CS10" i="3"/>
  <c r="CU10" i="3"/>
  <c r="CW10" i="3"/>
  <c r="CY10" i="3"/>
  <c r="DA10" i="3"/>
  <c r="DC10" i="3"/>
  <c r="DE10" i="3"/>
  <c r="DG10" i="3"/>
  <c r="DI10" i="3"/>
  <c r="DK10" i="3"/>
  <c r="DM10" i="3"/>
  <c r="DO10" i="3"/>
  <c r="DQ10" i="3"/>
  <c r="DS10" i="3"/>
  <c r="DU10" i="3"/>
  <c r="DW10" i="3"/>
  <c r="DY10" i="3"/>
  <c r="EA10" i="3"/>
  <c r="EC10" i="3"/>
  <c r="EE10" i="3"/>
  <c r="EG10" i="3"/>
  <c r="EI10" i="3"/>
  <c r="N11" i="3"/>
  <c r="P11" i="3"/>
  <c r="R11" i="3"/>
  <c r="T11" i="3"/>
  <c r="V11" i="3"/>
  <c r="X11" i="3"/>
  <c r="Z11" i="3"/>
  <c r="AB11" i="3"/>
  <c r="AD11" i="3"/>
  <c r="AF11" i="3"/>
  <c r="AH11" i="3"/>
  <c r="AJ11" i="3"/>
  <c r="AL11" i="3"/>
  <c r="AN11" i="3"/>
  <c r="AP11" i="3"/>
  <c r="AR11" i="3"/>
  <c r="AT11" i="3"/>
  <c r="AV11" i="3"/>
  <c r="AX11" i="3"/>
  <c r="AZ11" i="3"/>
  <c r="BB11" i="3"/>
  <c r="BD11" i="3"/>
  <c r="BF11" i="3"/>
  <c r="BH11" i="3"/>
  <c r="BJ11" i="3"/>
  <c r="BL11" i="3"/>
  <c r="BN11" i="3"/>
  <c r="BP11" i="3"/>
  <c r="BR11" i="3"/>
  <c r="BT11" i="3"/>
  <c r="BV11" i="3"/>
  <c r="BX11" i="3"/>
  <c r="BZ11" i="3"/>
  <c r="CB11" i="3"/>
  <c r="CD11" i="3"/>
  <c r="CF11" i="3"/>
  <c r="CH11" i="3"/>
  <c r="CJ11" i="3"/>
  <c r="CL11" i="3"/>
  <c r="CN11" i="3"/>
  <c r="CP11" i="3"/>
  <c r="CR11" i="3"/>
  <c r="CT11" i="3"/>
  <c r="CV11" i="3"/>
  <c r="CX11" i="3"/>
  <c r="CZ11" i="3"/>
  <c r="DB11" i="3"/>
  <c r="DD11" i="3"/>
  <c r="DF11" i="3"/>
  <c r="DH11" i="3"/>
  <c r="DJ11" i="3"/>
  <c r="DL11" i="3"/>
  <c r="DN11" i="3"/>
  <c r="DP11" i="3"/>
  <c r="DR11" i="3"/>
  <c r="DT11" i="3"/>
  <c r="DV11" i="3"/>
  <c r="DX11" i="3"/>
  <c r="DZ11" i="3"/>
  <c r="EB11" i="3"/>
  <c r="ED11" i="3"/>
  <c r="EF11" i="3"/>
  <c r="EH11" i="3"/>
  <c r="Q12" i="3"/>
  <c r="S12" i="3"/>
  <c r="U12" i="3"/>
  <c r="W12" i="3"/>
  <c r="Y12" i="3"/>
  <c r="AA12" i="3"/>
  <c r="AC12" i="3"/>
  <c r="AE12" i="3"/>
  <c r="AG12" i="3"/>
  <c r="AI12" i="3"/>
  <c r="AK12" i="3"/>
  <c r="AM12" i="3"/>
  <c r="AO12" i="3"/>
  <c r="AQ12" i="3"/>
  <c r="AS12" i="3"/>
  <c r="AU12" i="3"/>
  <c r="AW12" i="3"/>
  <c r="AY12" i="3"/>
  <c r="BA12" i="3"/>
  <c r="BC12" i="3"/>
  <c r="BE12" i="3"/>
  <c r="BG12" i="3"/>
  <c r="BI12" i="3"/>
  <c r="BK12" i="3"/>
  <c r="BM12" i="3"/>
  <c r="BO12" i="3"/>
  <c r="BQ12" i="3"/>
  <c r="BS12" i="3"/>
  <c r="BU12" i="3"/>
  <c r="BW12" i="3"/>
  <c r="BY12" i="3"/>
  <c r="CA12" i="3"/>
  <c r="CC12" i="3"/>
  <c r="CE12" i="3"/>
  <c r="CG12" i="3"/>
  <c r="CI12" i="3"/>
  <c r="CK12" i="3"/>
  <c r="CM12" i="3"/>
  <c r="CO12" i="3"/>
  <c r="CQ12" i="3"/>
  <c r="CS12" i="3"/>
  <c r="CU12" i="3"/>
  <c r="CW12" i="3"/>
  <c r="CY12" i="3"/>
  <c r="DA12" i="3"/>
  <c r="DC12" i="3"/>
  <c r="DE12" i="3"/>
  <c r="DG12" i="3"/>
  <c r="DI12" i="3"/>
  <c r="DK12" i="3"/>
  <c r="DM12" i="3"/>
  <c r="DO12" i="3"/>
  <c r="DQ12" i="3"/>
  <c r="DS12" i="3"/>
  <c r="DU12" i="3"/>
  <c r="DW12" i="3"/>
  <c r="DY12" i="3"/>
  <c r="EA12" i="3"/>
  <c r="EC12" i="3"/>
  <c r="EE12" i="3"/>
  <c r="EG12" i="3"/>
  <c r="EI12" i="3"/>
  <c r="L13" i="3"/>
  <c r="N13" i="3"/>
  <c r="P13" i="3"/>
  <c r="R13" i="3"/>
  <c r="T13" i="3"/>
  <c r="V13" i="3"/>
  <c r="X13" i="3"/>
  <c r="Z13" i="3"/>
  <c r="AB13" i="3"/>
  <c r="AD13" i="3"/>
  <c r="AF13" i="3"/>
  <c r="AH13" i="3"/>
  <c r="AJ13" i="3"/>
  <c r="AL13" i="3"/>
  <c r="AN13" i="3"/>
  <c r="AP13" i="3"/>
  <c r="AR13" i="3"/>
  <c r="AT13" i="3"/>
  <c r="AV13" i="3"/>
  <c r="AX13" i="3"/>
  <c r="AZ13" i="3"/>
  <c r="BB13" i="3"/>
  <c r="BD13" i="3"/>
  <c r="BF13" i="3"/>
  <c r="BH13" i="3"/>
  <c r="BJ13" i="3"/>
  <c r="BL13" i="3"/>
  <c r="BN13" i="3"/>
  <c r="BP13" i="3"/>
  <c r="BR13" i="3"/>
  <c r="BT13" i="3"/>
  <c r="BV13" i="3"/>
  <c r="BX13" i="3"/>
  <c r="BZ13" i="3"/>
  <c r="CB13" i="3"/>
  <c r="CD13" i="3"/>
  <c r="CF13" i="3"/>
  <c r="CH13" i="3"/>
  <c r="CJ13" i="3"/>
  <c r="CL13" i="3"/>
  <c r="CN13" i="3"/>
  <c r="CP13" i="3"/>
  <c r="CR13" i="3"/>
  <c r="CT13" i="3"/>
  <c r="CV13" i="3"/>
  <c r="CX13" i="3"/>
  <c r="CZ13" i="3"/>
  <c r="DB13" i="3"/>
  <c r="DD13" i="3"/>
  <c r="DF13" i="3"/>
  <c r="DH13" i="3"/>
  <c r="DJ13" i="3"/>
  <c r="DL13" i="3"/>
  <c r="DN13" i="3"/>
  <c r="DP13" i="3"/>
  <c r="DR13" i="3"/>
  <c r="DT13" i="3"/>
  <c r="DV13" i="3"/>
  <c r="DX13" i="3"/>
  <c r="DZ13" i="3"/>
  <c r="EB13" i="3"/>
  <c r="ED13" i="3"/>
  <c r="EF13" i="3"/>
  <c r="EH13" i="3"/>
  <c r="K14" i="3"/>
  <c r="M14" i="3"/>
  <c r="O14" i="3"/>
  <c r="Q14" i="3"/>
  <c r="S14" i="3"/>
  <c r="U14" i="3"/>
  <c r="W14" i="3"/>
  <c r="Y14" i="3"/>
  <c r="AA14" i="3"/>
  <c r="AC14" i="3"/>
  <c r="AE14" i="3"/>
  <c r="AG14" i="3"/>
  <c r="AI14" i="3"/>
  <c r="AK14" i="3"/>
  <c r="AM14" i="3"/>
  <c r="AO14" i="3"/>
  <c r="AQ14" i="3"/>
  <c r="AS14" i="3"/>
  <c r="AU14" i="3"/>
  <c r="AW14" i="3"/>
  <c r="AY14" i="3"/>
  <c r="BA14" i="3"/>
  <c r="BC14" i="3"/>
  <c r="BE14" i="3"/>
  <c r="BG14" i="3"/>
  <c r="BI14" i="3"/>
  <c r="BK14" i="3"/>
  <c r="BM14" i="3"/>
  <c r="BO14" i="3"/>
  <c r="BQ14" i="3"/>
  <c r="BS14" i="3"/>
  <c r="BU14" i="3"/>
  <c r="BW14" i="3"/>
  <c r="BY14" i="3"/>
  <c r="CA14" i="3"/>
  <c r="CC14" i="3"/>
  <c r="CE14" i="3"/>
  <c r="CG14" i="3"/>
  <c r="CI14" i="3"/>
  <c r="CK14" i="3"/>
  <c r="CM14" i="3"/>
  <c r="CO14" i="3"/>
  <c r="CQ14" i="3"/>
  <c r="CS14" i="3"/>
  <c r="CU14" i="3"/>
  <c r="CW14" i="3"/>
  <c r="BI9" i="3"/>
  <c r="BK9" i="3"/>
  <c r="BM9" i="3"/>
  <c r="BO9" i="3"/>
  <c r="BQ9" i="3"/>
  <c r="BS9" i="3"/>
  <c r="BU9" i="3"/>
  <c r="BW9" i="3"/>
  <c r="BY9" i="3"/>
  <c r="CA9" i="3"/>
  <c r="CC9" i="3"/>
  <c r="CE9" i="3"/>
  <c r="CG9" i="3"/>
  <c r="CI9" i="3"/>
  <c r="CK9" i="3"/>
  <c r="CM9" i="3"/>
  <c r="CO9" i="3"/>
  <c r="CQ9" i="3"/>
  <c r="CS9" i="3"/>
  <c r="CU9" i="3"/>
  <c r="CW9" i="3"/>
  <c r="CY9" i="3"/>
  <c r="DA9" i="3"/>
  <c r="DC9" i="3"/>
  <c r="DE9" i="3"/>
  <c r="DG9" i="3"/>
  <c r="DI9" i="3"/>
  <c r="DK9" i="3"/>
  <c r="DM9" i="3"/>
  <c r="DO9" i="3"/>
  <c r="DQ9" i="3"/>
  <c r="DS9" i="3"/>
  <c r="DU9" i="3"/>
  <c r="DW9" i="3"/>
  <c r="DY9" i="3"/>
  <c r="EA9" i="3"/>
  <c r="EC9" i="3"/>
  <c r="EE9" i="3"/>
  <c r="EG9" i="3"/>
  <c r="EI9" i="3"/>
  <c r="N10" i="3"/>
  <c r="P10" i="3"/>
  <c r="R10" i="3"/>
  <c r="T10" i="3"/>
  <c r="V10" i="3"/>
  <c r="X10" i="3"/>
  <c r="Z10" i="3"/>
  <c r="AB10" i="3"/>
  <c r="AD10" i="3"/>
  <c r="AF10" i="3"/>
  <c r="AH10" i="3"/>
  <c r="AJ10" i="3"/>
  <c r="AL10" i="3"/>
  <c r="AN10" i="3"/>
  <c r="AP10" i="3"/>
  <c r="AR10" i="3"/>
  <c r="AT10" i="3"/>
  <c r="AV10" i="3"/>
  <c r="AX10" i="3"/>
  <c r="AZ10" i="3"/>
  <c r="BB10" i="3"/>
  <c r="BD10" i="3"/>
  <c r="BF10" i="3"/>
  <c r="BH10" i="3"/>
  <c r="BJ10" i="3"/>
  <c r="BL10" i="3"/>
  <c r="BN10" i="3"/>
  <c r="BP10" i="3"/>
  <c r="BR10" i="3"/>
  <c r="BT10" i="3"/>
  <c r="BV10" i="3"/>
  <c r="BX10" i="3"/>
  <c r="BZ10" i="3"/>
  <c r="CB10" i="3"/>
  <c r="CD10" i="3"/>
  <c r="CF10" i="3"/>
  <c r="CH10" i="3"/>
  <c r="CJ10" i="3"/>
  <c r="CL10" i="3"/>
  <c r="CN10" i="3"/>
  <c r="CP10" i="3"/>
  <c r="CR10" i="3"/>
  <c r="CT10" i="3"/>
  <c r="CV10" i="3"/>
  <c r="CX10" i="3"/>
  <c r="CZ10" i="3"/>
  <c r="DB10" i="3"/>
  <c r="DD10" i="3"/>
  <c r="DF10" i="3"/>
  <c r="DH10" i="3"/>
  <c r="DJ10" i="3"/>
  <c r="DL10" i="3"/>
  <c r="DN10" i="3"/>
  <c r="DP10" i="3"/>
  <c r="DR10" i="3"/>
  <c r="DT10" i="3"/>
  <c r="DV10" i="3"/>
  <c r="DX10" i="3"/>
  <c r="DZ10" i="3"/>
  <c r="EB10" i="3"/>
  <c r="ED10" i="3"/>
  <c r="EF10" i="3"/>
  <c r="EH10" i="3"/>
  <c r="M11" i="3"/>
  <c r="O11" i="3"/>
  <c r="Q11" i="3"/>
  <c r="S11" i="3"/>
  <c r="U11" i="3"/>
  <c r="W11" i="3"/>
  <c r="Y11" i="3"/>
  <c r="AA11" i="3"/>
  <c r="AC11" i="3"/>
  <c r="AE11" i="3"/>
  <c r="AG11" i="3"/>
  <c r="AI11" i="3"/>
  <c r="AK11" i="3"/>
  <c r="AM11" i="3"/>
  <c r="AO11" i="3"/>
  <c r="AQ11" i="3"/>
  <c r="AS11" i="3"/>
  <c r="AU11" i="3"/>
  <c r="AW11" i="3"/>
  <c r="AY11" i="3"/>
  <c r="BA11" i="3"/>
  <c r="BC11" i="3"/>
  <c r="BE11" i="3"/>
  <c r="BG11" i="3"/>
  <c r="BI11" i="3"/>
  <c r="BK11" i="3"/>
  <c r="BM11" i="3"/>
  <c r="BO11" i="3"/>
  <c r="BQ11" i="3"/>
  <c r="BS11" i="3"/>
  <c r="BU11" i="3"/>
  <c r="BW11" i="3"/>
  <c r="BY11" i="3"/>
  <c r="CA11" i="3"/>
  <c r="CC11" i="3"/>
  <c r="CE11" i="3"/>
  <c r="CG11" i="3"/>
  <c r="CI11" i="3"/>
  <c r="CK11" i="3"/>
  <c r="CM11" i="3"/>
  <c r="CO11" i="3"/>
  <c r="CQ11" i="3"/>
  <c r="CS11" i="3"/>
  <c r="CU11" i="3"/>
  <c r="CW11" i="3"/>
  <c r="CY11" i="3"/>
  <c r="DA11" i="3"/>
  <c r="DC11" i="3"/>
  <c r="DE11" i="3"/>
  <c r="DG11" i="3"/>
  <c r="DI11" i="3"/>
  <c r="DK11" i="3"/>
  <c r="DM11" i="3"/>
  <c r="DO11" i="3"/>
  <c r="DQ11" i="3"/>
  <c r="DS11" i="3"/>
  <c r="DU11" i="3"/>
  <c r="DW11" i="3"/>
  <c r="DY11" i="3"/>
  <c r="EA11" i="3"/>
  <c r="EC11" i="3"/>
  <c r="EE11" i="3"/>
  <c r="EG11" i="3"/>
  <c r="EI11" i="3"/>
  <c r="R12" i="3"/>
  <c r="T12" i="3"/>
  <c r="V12" i="3"/>
  <c r="X12" i="3"/>
  <c r="Z12" i="3"/>
  <c r="AB12" i="3"/>
  <c r="AD12" i="3"/>
  <c r="AF12" i="3"/>
  <c r="AH12" i="3"/>
  <c r="AJ12" i="3"/>
  <c r="AL12" i="3"/>
  <c r="AN12" i="3"/>
  <c r="AP12" i="3"/>
  <c r="AR12" i="3"/>
  <c r="AT12" i="3"/>
  <c r="AV12" i="3"/>
  <c r="AX12" i="3"/>
  <c r="AZ12" i="3"/>
  <c r="BB12" i="3"/>
  <c r="BD12" i="3"/>
  <c r="BF12" i="3"/>
  <c r="BH12" i="3"/>
  <c r="BJ12" i="3"/>
  <c r="BL12" i="3"/>
  <c r="BN12" i="3"/>
  <c r="BP12" i="3"/>
  <c r="BR12" i="3"/>
  <c r="BT12" i="3"/>
  <c r="BV12" i="3"/>
  <c r="BX12" i="3"/>
  <c r="BZ12" i="3"/>
  <c r="CB12" i="3"/>
  <c r="CD12" i="3"/>
  <c r="CF12" i="3"/>
  <c r="CH12" i="3"/>
  <c r="CJ12" i="3"/>
  <c r="CL12" i="3"/>
  <c r="CN12" i="3"/>
  <c r="CP12" i="3"/>
  <c r="CR12" i="3"/>
  <c r="CT12" i="3"/>
  <c r="CV12" i="3"/>
  <c r="CX12" i="3"/>
  <c r="CZ12" i="3"/>
  <c r="DB12" i="3"/>
  <c r="DD12" i="3"/>
  <c r="DF12" i="3"/>
  <c r="DH12" i="3"/>
  <c r="DJ12" i="3"/>
  <c r="DL12" i="3"/>
  <c r="DN12" i="3"/>
  <c r="DP12" i="3"/>
  <c r="DR12" i="3"/>
  <c r="DT12" i="3"/>
  <c r="DV12" i="3"/>
  <c r="DX12" i="3"/>
  <c r="DZ12" i="3"/>
  <c r="EB12" i="3"/>
  <c r="ED12" i="3"/>
  <c r="EF12" i="3"/>
  <c r="EH12" i="3"/>
  <c r="K13" i="3"/>
  <c r="M13" i="3"/>
  <c r="O13" i="3"/>
  <c r="Q13" i="3"/>
  <c r="S13" i="3"/>
  <c r="U13" i="3"/>
  <c r="W13" i="3"/>
  <c r="Y13" i="3"/>
  <c r="AA13" i="3"/>
  <c r="AC13" i="3"/>
  <c r="AE13" i="3"/>
  <c r="AG13" i="3"/>
  <c r="AI13" i="3"/>
  <c r="AK13" i="3"/>
  <c r="AM13" i="3"/>
  <c r="AO13" i="3"/>
  <c r="AQ13" i="3"/>
  <c r="AS13" i="3"/>
  <c r="AU13" i="3"/>
  <c r="AW13" i="3"/>
  <c r="AY13" i="3"/>
  <c r="BA13" i="3"/>
  <c r="BC13" i="3"/>
  <c r="BE13" i="3"/>
  <c r="BG13" i="3"/>
  <c r="BI13" i="3"/>
  <c r="BK13" i="3"/>
  <c r="BM13" i="3"/>
  <c r="BO13" i="3"/>
  <c r="BQ13" i="3"/>
  <c r="BS13" i="3"/>
  <c r="BU13" i="3"/>
  <c r="BW13" i="3"/>
  <c r="BY13" i="3"/>
  <c r="CA13" i="3"/>
  <c r="CC13" i="3"/>
  <c r="CE13" i="3"/>
  <c r="CG13" i="3"/>
  <c r="CI13" i="3"/>
  <c r="CK13" i="3"/>
  <c r="CM13" i="3"/>
  <c r="CO13" i="3"/>
  <c r="CQ13" i="3"/>
  <c r="CS13" i="3"/>
  <c r="CU13" i="3"/>
  <c r="CW13" i="3"/>
  <c r="CY13" i="3"/>
  <c r="DA13" i="3"/>
  <c r="DC13" i="3"/>
  <c r="DE13" i="3"/>
  <c r="DG13" i="3"/>
  <c r="DI13" i="3"/>
  <c r="DK13" i="3"/>
  <c r="DM13" i="3"/>
  <c r="DO13" i="3"/>
  <c r="DQ13" i="3"/>
  <c r="DS13" i="3"/>
  <c r="DU13" i="3"/>
  <c r="DW13" i="3"/>
  <c r="DY13" i="3"/>
  <c r="EA13" i="3"/>
  <c r="EC13" i="3"/>
  <c r="EE13" i="3"/>
  <c r="EG13" i="3"/>
  <c r="EI13" i="3"/>
  <c r="L14" i="3"/>
  <c r="N14" i="3"/>
  <c r="P14" i="3"/>
  <c r="R14" i="3"/>
  <c r="T14" i="3"/>
  <c r="V14" i="3"/>
  <c r="X14" i="3"/>
  <c r="Z14" i="3"/>
  <c r="AB14" i="3"/>
  <c r="AD14" i="3"/>
  <c r="AF14" i="3"/>
  <c r="AH14" i="3"/>
  <c r="AJ14" i="3"/>
  <c r="AL14" i="3"/>
  <c r="AN14" i="3"/>
  <c r="AP14" i="3"/>
  <c r="AR14" i="3"/>
  <c r="AT14" i="3"/>
  <c r="AV14" i="3"/>
  <c r="AX14" i="3"/>
  <c r="AZ14" i="3"/>
  <c r="BB14" i="3"/>
  <c r="BD14" i="3"/>
  <c r="BF14" i="3"/>
  <c r="BH14" i="3"/>
  <c r="BJ14" i="3"/>
  <c r="BL14" i="3"/>
  <c r="BN14" i="3"/>
  <c r="BP14" i="3"/>
  <c r="BR14" i="3"/>
  <c r="BT14" i="3"/>
  <c r="BV14" i="3"/>
  <c r="BX14" i="3"/>
  <c r="BZ14" i="3"/>
  <c r="CB14" i="3"/>
  <c r="CD14" i="3"/>
  <c r="CF14" i="3"/>
  <c r="CH14" i="3"/>
  <c r="CJ14" i="3"/>
  <c r="CL14" i="3"/>
  <c r="CN14" i="3"/>
  <c r="CP14" i="3"/>
  <c r="CR14" i="3"/>
  <c r="CT14" i="3"/>
  <c r="CV14" i="3"/>
  <c r="CX14" i="3"/>
  <c r="CZ14" i="3"/>
  <c r="DB14" i="3"/>
  <c r="DA14" i="3"/>
  <c r="DD14" i="3"/>
  <c r="DF14" i="3"/>
  <c r="DH14" i="3"/>
  <c r="DJ14" i="3"/>
  <c r="DL14" i="3"/>
  <c r="DN14" i="3"/>
  <c r="DP14" i="3"/>
  <c r="DR14" i="3"/>
  <c r="DT14" i="3"/>
  <c r="DV14" i="3"/>
  <c r="DX14" i="3"/>
  <c r="DZ14" i="3"/>
  <c r="EB14" i="3"/>
  <c r="ED14" i="3"/>
  <c r="EF14" i="3"/>
  <c r="EH14" i="3"/>
  <c r="EG15" i="3"/>
  <c r="EI15" i="3"/>
  <c r="Z16" i="3"/>
  <c r="AB16" i="3"/>
  <c r="AD16" i="3"/>
  <c r="AF16" i="3"/>
  <c r="AH16" i="3"/>
  <c r="AJ16" i="3"/>
  <c r="AL16" i="3"/>
  <c r="AN16" i="3"/>
  <c r="AP16" i="3"/>
  <c r="AR16" i="3"/>
  <c r="AT16" i="3"/>
  <c r="AV16" i="3"/>
  <c r="AX16" i="3"/>
  <c r="AZ16" i="3"/>
  <c r="BB16" i="3"/>
  <c r="BD16" i="3"/>
  <c r="BF16" i="3"/>
  <c r="BH16" i="3"/>
  <c r="BJ16" i="3"/>
  <c r="BL16" i="3"/>
  <c r="BN16" i="3"/>
  <c r="BP16" i="3"/>
  <c r="BR16" i="3"/>
  <c r="BT16" i="3"/>
  <c r="BV16" i="3"/>
  <c r="BX16" i="3"/>
  <c r="BZ16" i="3"/>
  <c r="CB16" i="3"/>
  <c r="CD16" i="3"/>
  <c r="CF16" i="3"/>
  <c r="CH16" i="3"/>
  <c r="CJ16" i="3"/>
  <c r="CL16" i="3"/>
  <c r="CN16" i="3"/>
  <c r="CP16" i="3"/>
  <c r="CR16" i="3"/>
  <c r="CT16" i="3"/>
  <c r="CV16" i="3"/>
  <c r="CX16" i="3"/>
  <c r="CZ16" i="3"/>
  <c r="DB16" i="3"/>
  <c r="DD16" i="3"/>
  <c r="DF16" i="3"/>
  <c r="DH16" i="3"/>
  <c r="DJ16" i="3"/>
  <c r="DL16" i="3"/>
  <c r="DN16" i="3"/>
  <c r="DP16" i="3"/>
  <c r="DR16" i="3"/>
  <c r="DT16" i="3"/>
  <c r="DV16" i="3"/>
  <c r="DX16" i="3"/>
  <c r="DZ16" i="3"/>
  <c r="EB16" i="3"/>
  <c r="ED16" i="3"/>
  <c r="EF16" i="3"/>
  <c r="EH16" i="3"/>
  <c r="K17" i="3"/>
  <c r="M17" i="3"/>
  <c r="O17" i="3"/>
  <c r="Q17" i="3"/>
  <c r="S17" i="3"/>
  <c r="U17" i="3"/>
  <c r="W17" i="3"/>
  <c r="Y17" i="3"/>
  <c r="AA17" i="3"/>
  <c r="AC17" i="3"/>
  <c r="AE17" i="3"/>
  <c r="AG17" i="3"/>
  <c r="AI17" i="3"/>
  <c r="AK17" i="3"/>
  <c r="AM17" i="3"/>
  <c r="AO17" i="3"/>
  <c r="AQ17" i="3"/>
  <c r="AS17" i="3"/>
  <c r="AU17" i="3"/>
  <c r="AW17" i="3"/>
  <c r="AY17" i="3"/>
  <c r="BA17" i="3"/>
  <c r="BC17" i="3"/>
  <c r="BE17" i="3"/>
  <c r="BG17" i="3"/>
  <c r="BI17" i="3"/>
  <c r="BK17" i="3"/>
  <c r="BM17" i="3"/>
  <c r="BO17" i="3"/>
  <c r="BQ17" i="3"/>
  <c r="BS17" i="3"/>
  <c r="BU17" i="3"/>
  <c r="BW17" i="3"/>
  <c r="BY17" i="3"/>
  <c r="CA17" i="3"/>
  <c r="CC17" i="3"/>
  <c r="CE17" i="3"/>
  <c r="CG17" i="3"/>
  <c r="CI17" i="3"/>
  <c r="CK17" i="3"/>
  <c r="CM17" i="3"/>
  <c r="CO17" i="3"/>
  <c r="CQ17" i="3"/>
  <c r="CS17" i="3"/>
  <c r="CU17" i="3"/>
  <c r="CW17" i="3"/>
  <c r="CY17" i="3"/>
  <c r="DA17" i="3"/>
  <c r="DC17" i="3"/>
  <c r="DE17" i="3"/>
  <c r="DG17" i="3"/>
  <c r="DI17" i="3"/>
  <c r="DK17" i="3"/>
  <c r="DM17" i="3"/>
  <c r="DO17" i="3"/>
  <c r="DQ17" i="3"/>
  <c r="DS17" i="3"/>
  <c r="DU17" i="3"/>
  <c r="DW17" i="3"/>
  <c r="DY17" i="3"/>
  <c r="EA17" i="3"/>
  <c r="EC17" i="3"/>
  <c r="EE17" i="3"/>
  <c r="EG17" i="3"/>
  <c r="EI17" i="3"/>
  <c r="P18" i="3"/>
  <c r="R18" i="3"/>
  <c r="T18" i="3"/>
  <c r="V18" i="3"/>
  <c r="X18" i="3"/>
  <c r="Z18" i="3"/>
  <c r="AB18" i="3"/>
  <c r="AD18" i="3"/>
  <c r="AF18" i="3"/>
  <c r="AH18" i="3"/>
  <c r="AJ18" i="3"/>
  <c r="AL18" i="3"/>
  <c r="AN18" i="3"/>
  <c r="AP18" i="3"/>
  <c r="AR18" i="3"/>
  <c r="AT18" i="3"/>
  <c r="AV18" i="3"/>
  <c r="AX18" i="3"/>
  <c r="AZ18" i="3"/>
  <c r="BB18" i="3"/>
  <c r="BD18" i="3"/>
  <c r="BF18" i="3"/>
  <c r="BH18" i="3"/>
  <c r="BJ18" i="3"/>
  <c r="BL18" i="3"/>
  <c r="BN18" i="3"/>
  <c r="BP18" i="3"/>
  <c r="BR18" i="3"/>
  <c r="BT18" i="3"/>
  <c r="BV18" i="3"/>
  <c r="BX18" i="3"/>
  <c r="BZ18" i="3"/>
  <c r="CB18" i="3"/>
  <c r="CD18" i="3"/>
  <c r="CF18" i="3"/>
  <c r="CH18" i="3"/>
  <c r="CJ18" i="3"/>
  <c r="CL18" i="3"/>
  <c r="CN18" i="3"/>
  <c r="CP18" i="3"/>
  <c r="CR18" i="3"/>
  <c r="CT18" i="3"/>
  <c r="CV18" i="3"/>
  <c r="CX18" i="3"/>
  <c r="CZ18" i="3"/>
  <c r="DB18" i="3"/>
  <c r="DD18" i="3"/>
  <c r="DF18" i="3"/>
  <c r="DH18" i="3"/>
  <c r="DJ18" i="3"/>
  <c r="DL18" i="3"/>
  <c r="DN18" i="3"/>
  <c r="DP18" i="3"/>
  <c r="DR18" i="3"/>
  <c r="DT18" i="3"/>
  <c r="DV18" i="3"/>
  <c r="DX18" i="3"/>
  <c r="DZ18" i="3"/>
  <c r="EB18" i="3"/>
  <c r="ED18" i="3"/>
  <c r="EF18" i="3"/>
  <c r="EH18" i="3"/>
  <c r="K19" i="3"/>
  <c r="M19" i="3"/>
  <c r="O19" i="3"/>
  <c r="Q19" i="3"/>
  <c r="S19" i="3"/>
  <c r="U19" i="3"/>
  <c r="W19" i="3"/>
  <c r="Y19" i="3"/>
  <c r="AA19" i="3"/>
  <c r="AC19" i="3"/>
  <c r="AE19" i="3"/>
  <c r="AG19" i="3"/>
  <c r="AI19" i="3"/>
  <c r="AK19" i="3"/>
  <c r="AM19" i="3"/>
  <c r="AO19" i="3"/>
  <c r="AQ19" i="3"/>
  <c r="AS19" i="3"/>
  <c r="AU19" i="3"/>
  <c r="AW19" i="3"/>
  <c r="AY19" i="3"/>
  <c r="BA19" i="3"/>
  <c r="BC19" i="3"/>
  <c r="BE19" i="3"/>
  <c r="BG19" i="3"/>
  <c r="BI19" i="3"/>
  <c r="BK19" i="3"/>
  <c r="BM19" i="3"/>
  <c r="BO19" i="3"/>
  <c r="BQ19" i="3"/>
  <c r="BS19" i="3"/>
  <c r="BU19" i="3"/>
  <c r="BW19" i="3"/>
  <c r="BY19" i="3"/>
  <c r="CA19" i="3"/>
  <c r="CC19" i="3"/>
  <c r="CE19" i="3"/>
  <c r="CG19" i="3"/>
  <c r="CI19" i="3"/>
  <c r="CK19" i="3"/>
  <c r="CM19" i="3"/>
  <c r="CO19" i="3"/>
  <c r="CQ19" i="3"/>
  <c r="CS19" i="3"/>
  <c r="CU19" i="3"/>
  <c r="CW19" i="3"/>
  <c r="CY19" i="3"/>
  <c r="DA19" i="3"/>
  <c r="DC19" i="3"/>
  <c r="DE19" i="3"/>
  <c r="DG19" i="3"/>
  <c r="DI19" i="3"/>
  <c r="DK19" i="3"/>
  <c r="DM19" i="3"/>
  <c r="DO19" i="3"/>
  <c r="DQ19" i="3"/>
  <c r="DS19" i="3"/>
  <c r="DU19" i="3"/>
  <c r="DW19" i="3"/>
  <c r="DY19" i="3"/>
  <c r="EA19" i="3"/>
  <c r="EC19" i="3"/>
  <c r="EE19" i="3"/>
  <c r="EG19" i="3"/>
  <c r="EI19" i="3"/>
  <c r="L20" i="3"/>
  <c r="N20" i="3"/>
  <c r="P20" i="3"/>
  <c r="R20" i="3"/>
  <c r="T20" i="3"/>
  <c r="V20" i="3"/>
  <c r="X20" i="3"/>
  <c r="Z20" i="3"/>
  <c r="AB20" i="3"/>
  <c r="AD20" i="3"/>
  <c r="AF20" i="3"/>
  <c r="AH20" i="3"/>
  <c r="AJ20" i="3"/>
  <c r="AL20" i="3"/>
  <c r="AN20" i="3"/>
  <c r="AP20" i="3"/>
  <c r="AR20" i="3"/>
  <c r="AT20" i="3"/>
  <c r="AV20" i="3"/>
  <c r="AX20" i="3"/>
  <c r="AZ20" i="3"/>
  <c r="BB20" i="3"/>
  <c r="BD20" i="3"/>
  <c r="BF20" i="3"/>
  <c r="BH20" i="3"/>
  <c r="BJ20" i="3"/>
  <c r="BL20" i="3"/>
  <c r="BN20" i="3"/>
  <c r="BP20" i="3"/>
  <c r="BR20" i="3"/>
  <c r="BT20" i="3"/>
  <c r="BV20" i="3"/>
  <c r="BX20" i="3"/>
  <c r="BZ20" i="3"/>
  <c r="CB20" i="3"/>
  <c r="CD20" i="3"/>
  <c r="CF20" i="3"/>
  <c r="CH20" i="3"/>
  <c r="CJ20" i="3"/>
  <c r="CL20" i="3"/>
  <c r="CN20" i="3"/>
  <c r="CP20" i="3"/>
  <c r="CR20" i="3"/>
  <c r="CT20" i="3"/>
  <c r="CV20" i="3"/>
  <c r="CX20" i="3"/>
  <c r="CZ20" i="3"/>
  <c r="DB20" i="3"/>
  <c r="DD20" i="3"/>
  <c r="DF20" i="3"/>
  <c r="DH20" i="3"/>
  <c r="DJ20" i="3"/>
  <c r="DL20" i="3"/>
  <c r="DN20" i="3"/>
  <c r="DP20" i="3"/>
  <c r="DR20" i="3"/>
  <c r="DT20" i="3"/>
  <c r="DV20" i="3"/>
  <c r="DX20" i="3"/>
  <c r="DZ20" i="3"/>
  <c r="EB20" i="3"/>
  <c r="ED20" i="3"/>
  <c r="EF20" i="3"/>
  <c r="EH20" i="3"/>
  <c r="K21" i="3"/>
  <c r="M21" i="3"/>
  <c r="O21" i="3"/>
  <c r="Q21" i="3"/>
  <c r="S21" i="3"/>
  <c r="U21" i="3"/>
  <c r="W21" i="3"/>
  <c r="Y21" i="3"/>
  <c r="AA21" i="3"/>
  <c r="CY14" i="3"/>
  <c r="DC14" i="3"/>
  <c r="DE14" i="3"/>
  <c r="DG14" i="3"/>
  <c r="DI14" i="3"/>
  <c r="DK14" i="3"/>
  <c r="DM14" i="3"/>
  <c r="DO14" i="3"/>
  <c r="DQ14" i="3"/>
  <c r="DS14" i="3"/>
  <c r="DU14" i="3"/>
  <c r="DW14" i="3"/>
  <c r="DY14" i="3"/>
  <c r="EA14" i="3"/>
  <c r="EC14" i="3"/>
  <c r="EE14" i="3"/>
  <c r="EG14" i="3"/>
  <c r="EI14" i="3"/>
  <c r="EH15" i="3"/>
  <c r="Y16" i="3"/>
  <c r="AA16" i="3"/>
  <c r="AC16" i="3"/>
  <c r="AE16" i="3"/>
  <c r="AG16" i="3"/>
  <c r="AI16" i="3"/>
  <c r="AK16" i="3"/>
  <c r="AM16" i="3"/>
  <c r="AO16" i="3"/>
  <c r="AQ16" i="3"/>
  <c r="AS16" i="3"/>
  <c r="AU16" i="3"/>
  <c r="AW16" i="3"/>
  <c r="AY16" i="3"/>
  <c r="BA16" i="3"/>
  <c r="BC16" i="3"/>
  <c r="BE16" i="3"/>
  <c r="BG16" i="3"/>
  <c r="BI16" i="3"/>
  <c r="BK16" i="3"/>
  <c r="BM16" i="3"/>
  <c r="BO16" i="3"/>
  <c r="BQ16" i="3"/>
  <c r="BS16" i="3"/>
  <c r="BU16" i="3"/>
  <c r="BW16" i="3"/>
  <c r="BY16" i="3"/>
  <c r="CA16" i="3"/>
  <c r="CC16" i="3"/>
  <c r="CE16" i="3"/>
  <c r="CG16" i="3"/>
  <c r="CI16" i="3"/>
  <c r="CK16" i="3"/>
  <c r="CM16" i="3"/>
  <c r="CO16" i="3"/>
  <c r="CQ16" i="3"/>
  <c r="CS16" i="3"/>
  <c r="CU16" i="3"/>
  <c r="CW16" i="3"/>
  <c r="CY16" i="3"/>
  <c r="DA16" i="3"/>
  <c r="DC16" i="3"/>
  <c r="DE16" i="3"/>
  <c r="DG16" i="3"/>
  <c r="DI16" i="3"/>
  <c r="DK16" i="3"/>
  <c r="DM16" i="3"/>
  <c r="DO16" i="3"/>
  <c r="DQ16" i="3"/>
  <c r="DS16" i="3"/>
  <c r="DU16" i="3"/>
  <c r="DW16" i="3"/>
  <c r="DY16" i="3"/>
  <c r="EA16" i="3"/>
  <c r="EC16" i="3"/>
  <c r="EE16" i="3"/>
  <c r="EG16" i="3"/>
  <c r="EI16" i="3"/>
  <c r="L17" i="3"/>
  <c r="N17" i="3"/>
  <c r="P17" i="3"/>
  <c r="R17" i="3"/>
  <c r="T17" i="3"/>
  <c r="V17" i="3"/>
  <c r="X17" i="3"/>
  <c r="Z17" i="3"/>
  <c r="AB17" i="3"/>
  <c r="AD17" i="3"/>
  <c r="AF17" i="3"/>
  <c r="AH17" i="3"/>
  <c r="AJ17" i="3"/>
  <c r="AL17" i="3"/>
  <c r="AN17" i="3"/>
  <c r="AP17" i="3"/>
  <c r="AR17" i="3"/>
  <c r="AT17" i="3"/>
  <c r="AV17" i="3"/>
  <c r="AX17" i="3"/>
  <c r="AZ17" i="3"/>
  <c r="BB17" i="3"/>
  <c r="BD17" i="3"/>
  <c r="BF17" i="3"/>
  <c r="BH17" i="3"/>
  <c r="BJ17" i="3"/>
  <c r="BL17" i="3"/>
  <c r="BN17" i="3"/>
  <c r="BP17" i="3"/>
  <c r="BR17" i="3"/>
  <c r="BT17" i="3"/>
  <c r="BV17" i="3"/>
  <c r="BX17" i="3"/>
  <c r="BZ17" i="3"/>
  <c r="CB17" i="3"/>
  <c r="CD17" i="3"/>
  <c r="CF17" i="3"/>
  <c r="CH17" i="3"/>
  <c r="CJ17" i="3"/>
  <c r="CL17" i="3"/>
  <c r="CN17" i="3"/>
  <c r="CP17" i="3"/>
  <c r="CR17" i="3"/>
  <c r="CT17" i="3"/>
  <c r="CV17" i="3"/>
  <c r="CX17" i="3"/>
  <c r="CZ17" i="3"/>
  <c r="DB17" i="3"/>
  <c r="DD17" i="3"/>
  <c r="DF17" i="3"/>
  <c r="DH17" i="3"/>
  <c r="DJ17" i="3"/>
  <c r="DL17" i="3"/>
  <c r="DN17" i="3"/>
  <c r="DP17" i="3"/>
  <c r="DR17" i="3"/>
  <c r="DT17" i="3"/>
  <c r="DV17" i="3"/>
  <c r="DX17" i="3"/>
  <c r="DZ17" i="3"/>
  <c r="EB17" i="3"/>
  <c r="ED17" i="3"/>
  <c r="EF17" i="3"/>
  <c r="EH17" i="3"/>
  <c r="O18" i="3"/>
  <c r="Q18" i="3"/>
  <c r="S18" i="3"/>
  <c r="U18" i="3"/>
  <c r="W18" i="3"/>
  <c r="Y18" i="3"/>
  <c r="AA18" i="3"/>
  <c r="AC18" i="3"/>
  <c r="AE18" i="3"/>
  <c r="AG18" i="3"/>
  <c r="AI18" i="3"/>
  <c r="AK18" i="3"/>
  <c r="AM18" i="3"/>
  <c r="AO18" i="3"/>
  <c r="AQ18" i="3"/>
  <c r="AS18" i="3"/>
  <c r="AU18" i="3"/>
  <c r="AW18" i="3"/>
  <c r="AY18" i="3"/>
  <c r="BA18" i="3"/>
  <c r="BC18" i="3"/>
  <c r="BE18" i="3"/>
  <c r="BG18" i="3"/>
  <c r="BI18" i="3"/>
  <c r="BK18" i="3"/>
  <c r="BM18" i="3"/>
  <c r="BO18" i="3"/>
  <c r="BQ18" i="3"/>
  <c r="BS18" i="3"/>
  <c r="BU18" i="3"/>
  <c r="BW18" i="3"/>
  <c r="BY18" i="3"/>
  <c r="CA18" i="3"/>
  <c r="CC18" i="3"/>
  <c r="CE18" i="3"/>
  <c r="CG18" i="3"/>
  <c r="CI18" i="3"/>
  <c r="CK18" i="3"/>
  <c r="CM18" i="3"/>
  <c r="CO18" i="3"/>
  <c r="CQ18" i="3"/>
  <c r="CS18" i="3"/>
  <c r="CU18" i="3"/>
  <c r="CW18" i="3"/>
  <c r="CY18" i="3"/>
  <c r="DA18" i="3"/>
  <c r="DC18" i="3"/>
  <c r="DE18" i="3"/>
  <c r="DG18" i="3"/>
  <c r="DI18" i="3"/>
  <c r="DK18" i="3"/>
  <c r="DM18" i="3"/>
  <c r="DO18" i="3"/>
  <c r="DQ18" i="3"/>
  <c r="DS18" i="3"/>
  <c r="DU18" i="3"/>
  <c r="DW18" i="3"/>
  <c r="DY18" i="3"/>
  <c r="EA18" i="3"/>
  <c r="EC18" i="3"/>
  <c r="EE18" i="3"/>
  <c r="EG18" i="3"/>
  <c r="EI18" i="3"/>
  <c r="L19" i="3"/>
  <c r="N19" i="3"/>
  <c r="P19" i="3"/>
  <c r="R19" i="3"/>
  <c r="T19" i="3"/>
  <c r="V19" i="3"/>
  <c r="X19" i="3"/>
  <c r="Z19" i="3"/>
  <c r="AB19" i="3"/>
  <c r="AD19" i="3"/>
  <c r="AF19" i="3"/>
  <c r="AH19" i="3"/>
  <c r="AJ19" i="3"/>
  <c r="AL19" i="3"/>
  <c r="AN19" i="3"/>
  <c r="AP19" i="3"/>
  <c r="AR19" i="3"/>
  <c r="AT19" i="3"/>
  <c r="AV19" i="3"/>
  <c r="AX19" i="3"/>
  <c r="AZ19" i="3"/>
  <c r="BB19" i="3"/>
  <c r="BD19" i="3"/>
  <c r="BF19" i="3"/>
  <c r="BH19" i="3"/>
  <c r="BJ19" i="3"/>
  <c r="BL19" i="3"/>
  <c r="BN19" i="3"/>
  <c r="BP19" i="3"/>
  <c r="BR19" i="3"/>
  <c r="BT19" i="3"/>
  <c r="BV19" i="3"/>
  <c r="BX19" i="3"/>
  <c r="BZ19" i="3"/>
  <c r="CB19" i="3"/>
  <c r="CD19" i="3"/>
  <c r="CF19" i="3"/>
  <c r="CH19" i="3"/>
  <c r="CJ19" i="3"/>
  <c r="CL19" i="3"/>
  <c r="CN19" i="3"/>
  <c r="CP19" i="3"/>
  <c r="CR19" i="3"/>
  <c r="CT19" i="3"/>
  <c r="CV19" i="3"/>
  <c r="CX19" i="3"/>
  <c r="CZ19" i="3"/>
  <c r="DB19" i="3"/>
  <c r="DD19" i="3"/>
  <c r="DF19" i="3"/>
  <c r="DH19" i="3"/>
  <c r="DJ19" i="3"/>
  <c r="DL19" i="3"/>
  <c r="DN19" i="3"/>
  <c r="DP19" i="3"/>
  <c r="DR19" i="3"/>
  <c r="DT19" i="3"/>
  <c r="DV19" i="3"/>
  <c r="DX19" i="3"/>
  <c r="DZ19" i="3"/>
  <c r="EB19" i="3"/>
  <c r="ED19" i="3"/>
  <c r="EF19" i="3"/>
  <c r="EH19" i="3"/>
  <c r="K20" i="3"/>
  <c r="M20" i="3"/>
  <c r="O20" i="3"/>
  <c r="Q20" i="3"/>
  <c r="S20" i="3"/>
  <c r="U20" i="3"/>
  <c r="W20" i="3"/>
  <c r="Y20" i="3"/>
  <c r="AA20" i="3"/>
  <c r="AC20" i="3"/>
  <c r="AE20" i="3"/>
  <c r="AG20" i="3"/>
  <c r="AI20" i="3"/>
  <c r="AK20" i="3"/>
  <c r="AM20" i="3"/>
  <c r="AO20" i="3"/>
  <c r="AQ20" i="3"/>
  <c r="AS20" i="3"/>
  <c r="AU20" i="3"/>
  <c r="AW20" i="3"/>
  <c r="AY20" i="3"/>
  <c r="BA20" i="3"/>
  <c r="BC20" i="3"/>
  <c r="BE20" i="3"/>
  <c r="BG20" i="3"/>
  <c r="BI20" i="3"/>
  <c r="BK20" i="3"/>
  <c r="BM20" i="3"/>
  <c r="BO20" i="3"/>
  <c r="BQ20" i="3"/>
  <c r="BS20" i="3"/>
  <c r="BU20" i="3"/>
  <c r="BW20" i="3"/>
  <c r="BY20" i="3"/>
  <c r="CA20" i="3"/>
  <c r="CC20" i="3"/>
  <c r="CE20" i="3"/>
  <c r="CG20" i="3"/>
  <c r="CI20" i="3"/>
  <c r="CK20" i="3"/>
  <c r="CM20" i="3"/>
  <c r="CO20" i="3"/>
  <c r="CQ20" i="3"/>
  <c r="CS20" i="3"/>
  <c r="CU20" i="3"/>
  <c r="CW20" i="3"/>
  <c r="CY20" i="3"/>
  <c r="DA20" i="3"/>
  <c r="DC20" i="3"/>
  <c r="DE20" i="3"/>
  <c r="DG20" i="3"/>
  <c r="DI20" i="3"/>
  <c r="DK20" i="3"/>
  <c r="DM20" i="3"/>
  <c r="DO20" i="3"/>
  <c r="DQ20" i="3"/>
  <c r="DS20" i="3"/>
  <c r="DU20" i="3"/>
  <c r="DW20" i="3"/>
  <c r="DY20" i="3"/>
  <c r="EA20" i="3"/>
  <c r="EC20" i="3"/>
  <c r="EE20" i="3"/>
  <c r="EG20" i="3"/>
  <c r="EI20" i="3"/>
  <c r="L21" i="3"/>
  <c r="P21" i="3"/>
  <c r="T21" i="3"/>
  <c r="X21" i="3"/>
  <c r="AB21" i="3"/>
  <c r="AD21" i="3"/>
  <c r="AF21" i="3"/>
  <c r="AH21" i="3"/>
  <c r="AJ21" i="3"/>
  <c r="AL21" i="3"/>
  <c r="AN21" i="3"/>
  <c r="AP21" i="3"/>
  <c r="AR21" i="3"/>
  <c r="AT21" i="3"/>
  <c r="AV21" i="3"/>
  <c r="AX21" i="3"/>
  <c r="AZ21" i="3"/>
  <c r="BB21" i="3"/>
  <c r="BD21" i="3"/>
  <c r="BF21" i="3"/>
  <c r="BH21" i="3"/>
  <c r="BJ21" i="3"/>
  <c r="BL21" i="3"/>
  <c r="BN21" i="3"/>
  <c r="BP21" i="3"/>
  <c r="BR21" i="3"/>
  <c r="BT21" i="3"/>
  <c r="BV21" i="3"/>
  <c r="BX21" i="3"/>
  <c r="BZ21" i="3"/>
  <c r="CB21" i="3"/>
  <c r="CD21" i="3"/>
  <c r="CF21" i="3"/>
  <c r="CH21" i="3"/>
  <c r="CJ21" i="3"/>
  <c r="CL21" i="3"/>
  <c r="CN21" i="3"/>
  <c r="CP21" i="3"/>
  <c r="CR21" i="3"/>
  <c r="CT21" i="3"/>
  <c r="CV21" i="3"/>
  <c r="CX21" i="3"/>
  <c r="CZ21" i="3"/>
  <c r="DB21" i="3"/>
  <c r="DD21" i="3"/>
  <c r="DF21" i="3"/>
  <c r="DH21" i="3"/>
  <c r="DJ21" i="3"/>
  <c r="DL21" i="3"/>
  <c r="DN21" i="3"/>
  <c r="DP21" i="3"/>
  <c r="DR21" i="3"/>
  <c r="DT21" i="3"/>
  <c r="DV21" i="3"/>
  <c r="DX21" i="3"/>
  <c r="DZ21" i="3"/>
  <c r="EB21" i="3"/>
  <c r="ED21" i="3"/>
  <c r="EF21" i="3"/>
  <c r="EH21" i="3"/>
  <c r="K22" i="3"/>
  <c r="M22" i="3"/>
  <c r="O22" i="3"/>
  <c r="Q22" i="3"/>
  <c r="S22" i="3"/>
  <c r="U22" i="3"/>
  <c r="W22" i="3"/>
  <c r="Y22" i="3"/>
  <c r="AA22" i="3"/>
  <c r="AC22" i="3"/>
  <c r="AE22" i="3"/>
  <c r="AG22" i="3"/>
  <c r="AI22" i="3"/>
  <c r="AK22" i="3"/>
  <c r="AM22" i="3"/>
  <c r="AO22" i="3"/>
  <c r="AQ22" i="3"/>
  <c r="AS22" i="3"/>
  <c r="AU22" i="3"/>
  <c r="AW22" i="3"/>
  <c r="AY22" i="3"/>
  <c r="BA22" i="3"/>
  <c r="BC22" i="3"/>
  <c r="BE22" i="3"/>
  <c r="BG22" i="3"/>
  <c r="BI22" i="3"/>
  <c r="BK22" i="3"/>
  <c r="BM22" i="3"/>
  <c r="BO22" i="3"/>
  <c r="BQ22" i="3"/>
  <c r="BS22" i="3"/>
  <c r="BU22" i="3"/>
  <c r="BW22" i="3"/>
  <c r="BY22" i="3"/>
  <c r="CA22" i="3"/>
  <c r="CC22" i="3"/>
  <c r="CE22" i="3"/>
  <c r="CG22" i="3"/>
  <c r="CI22" i="3"/>
  <c r="CK22" i="3"/>
  <c r="CM22" i="3"/>
  <c r="CO22" i="3"/>
  <c r="CQ22" i="3"/>
  <c r="CS22" i="3"/>
  <c r="CU22" i="3"/>
  <c r="CW22" i="3"/>
  <c r="CY22" i="3"/>
  <c r="DA22" i="3"/>
  <c r="DC22" i="3"/>
  <c r="DE22" i="3"/>
  <c r="DG22" i="3"/>
  <c r="DI22" i="3"/>
  <c r="DK22" i="3"/>
  <c r="DM22" i="3"/>
  <c r="DO22" i="3"/>
  <c r="DQ22" i="3"/>
  <c r="DS22" i="3"/>
  <c r="DU22" i="3"/>
  <c r="DW22" i="3"/>
  <c r="DY22" i="3"/>
  <c r="EA22" i="3"/>
  <c r="EC22" i="3"/>
  <c r="EE22" i="3"/>
  <c r="EG22" i="3"/>
  <c r="EI22" i="3"/>
  <c r="M23" i="3"/>
  <c r="O23" i="3"/>
  <c r="Q23" i="3"/>
  <c r="S23" i="3"/>
  <c r="U23" i="3"/>
  <c r="W23" i="3"/>
  <c r="Y23" i="3"/>
  <c r="AA23" i="3"/>
  <c r="AC23" i="3"/>
  <c r="AE23" i="3"/>
  <c r="AG23" i="3"/>
  <c r="AI23" i="3"/>
  <c r="AK23" i="3"/>
  <c r="AM23" i="3"/>
  <c r="AO23" i="3"/>
  <c r="AQ23" i="3"/>
  <c r="AS23" i="3"/>
  <c r="AU23" i="3"/>
  <c r="AW23" i="3"/>
  <c r="AY23" i="3"/>
  <c r="BA23" i="3"/>
  <c r="BC23" i="3"/>
  <c r="BE23" i="3"/>
  <c r="BG23" i="3"/>
  <c r="BI23" i="3"/>
  <c r="BK23" i="3"/>
  <c r="BM23" i="3"/>
  <c r="BO23" i="3"/>
  <c r="BQ23" i="3"/>
  <c r="BS23" i="3"/>
  <c r="BU23" i="3"/>
  <c r="BW23" i="3"/>
  <c r="BY23" i="3"/>
  <c r="CA23" i="3"/>
  <c r="CC23" i="3"/>
  <c r="CE23" i="3"/>
  <c r="CG23" i="3"/>
  <c r="CI23" i="3"/>
  <c r="CK23" i="3"/>
  <c r="CM23" i="3"/>
  <c r="CO23" i="3"/>
  <c r="CQ23" i="3"/>
  <c r="CS23" i="3"/>
  <c r="CU23" i="3"/>
  <c r="CW23" i="3"/>
  <c r="CY23" i="3"/>
  <c r="DA23" i="3"/>
  <c r="DC23" i="3"/>
  <c r="DE23" i="3"/>
  <c r="DG23" i="3"/>
  <c r="DI23" i="3"/>
  <c r="DK23" i="3"/>
  <c r="DM23" i="3"/>
  <c r="DO23" i="3"/>
  <c r="DQ23" i="3"/>
  <c r="DS23" i="3"/>
  <c r="DU23" i="3"/>
  <c r="DW23" i="3"/>
  <c r="DY23" i="3"/>
  <c r="EA23" i="3"/>
  <c r="EC23" i="3"/>
  <c r="EE23" i="3"/>
  <c r="EG23" i="3"/>
  <c r="EI23" i="3"/>
  <c r="N24" i="3"/>
  <c r="P24" i="3"/>
  <c r="R24" i="3"/>
  <c r="T24" i="3"/>
  <c r="V24" i="3"/>
  <c r="X24" i="3"/>
  <c r="Z24" i="3"/>
  <c r="AB24" i="3"/>
  <c r="AD24" i="3"/>
  <c r="AF24" i="3"/>
  <c r="AH24" i="3"/>
  <c r="AJ24" i="3"/>
  <c r="AL24" i="3"/>
  <c r="AN24" i="3"/>
  <c r="AP24" i="3"/>
  <c r="AR24" i="3"/>
  <c r="AT24" i="3"/>
  <c r="AV24" i="3"/>
  <c r="AX24" i="3"/>
  <c r="AZ24" i="3"/>
  <c r="BB24" i="3"/>
  <c r="BD24" i="3"/>
  <c r="BF24" i="3"/>
  <c r="BH24" i="3"/>
  <c r="BJ24" i="3"/>
  <c r="BL24" i="3"/>
  <c r="BN24" i="3"/>
  <c r="BP24" i="3"/>
  <c r="BR24" i="3"/>
  <c r="BT24" i="3"/>
  <c r="BV24" i="3"/>
  <c r="BX24" i="3"/>
  <c r="BZ24" i="3"/>
  <c r="CB24" i="3"/>
  <c r="CD24" i="3"/>
  <c r="CF24" i="3"/>
  <c r="CH24" i="3"/>
  <c r="CJ24" i="3"/>
  <c r="CL24" i="3"/>
  <c r="CN24" i="3"/>
  <c r="CP24" i="3"/>
  <c r="CR24" i="3"/>
  <c r="CT24" i="3"/>
  <c r="CV24" i="3"/>
  <c r="CX24" i="3"/>
  <c r="CZ24" i="3"/>
  <c r="DB24" i="3"/>
  <c r="DD24" i="3"/>
  <c r="DF24" i="3"/>
  <c r="DH24" i="3"/>
  <c r="DJ24" i="3"/>
  <c r="DL24" i="3"/>
  <c r="DN24" i="3"/>
  <c r="DP24" i="3"/>
  <c r="DR24" i="3"/>
  <c r="DT24" i="3"/>
  <c r="DV24" i="3"/>
  <c r="DX24" i="3"/>
  <c r="DZ24" i="3"/>
  <c r="EB24" i="3"/>
  <c r="ED24" i="3"/>
  <c r="EF24" i="3"/>
  <c r="EH24" i="3"/>
  <c r="L25" i="3"/>
  <c r="N25" i="3"/>
  <c r="P25" i="3"/>
  <c r="R25" i="3"/>
  <c r="T25" i="3"/>
  <c r="V25" i="3"/>
  <c r="X25" i="3"/>
  <c r="Z25" i="3"/>
  <c r="AB25" i="3"/>
  <c r="AD25" i="3"/>
  <c r="AF25" i="3"/>
  <c r="AH25" i="3"/>
  <c r="AJ25" i="3"/>
  <c r="AL25" i="3"/>
  <c r="AN25" i="3"/>
  <c r="AP25" i="3"/>
  <c r="AR25" i="3"/>
  <c r="AT25" i="3"/>
  <c r="AV25" i="3"/>
  <c r="AX25" i="3"/>
  <c r="AZ25" i="3"/>
  <c r="BB25" i="3"/>
  <c r="BD25" i="3"/>
  <c r="BF25" i="3"/>
  <c r="BH25" i="3"/>
  <c r="BJ25" i="3"/>
  <c r="BL25" i="3"/>
  <c r="BN25" i="3"/>
  <c r="BP25" i="3"/>
  <c r="BR25" i="3"/>
  <c r="BT25" i="3"/>
  <c r="BV25" i="3"/>
  <c r="BX25" i="3"/>
  <c r="BZ25" i="3"/>
  <c r="CB25" i="3"/>
  <c r="CD25" i="3"/>
  <c r="CF25" i="3"/>
  <c r="CH25" i="3"/>
  <c r="CJ25" i="3"/>
  <c r="CL25" i="3"/>
  <c r="CN25" i="3"/>
  <c r="CP25" i="3"/>
  <c r="CR25" i="3"/>
  <c r="CT25" i="3"/>
  <c r="CV25" i="3"/>
  <c r="CX25" i="3"/>
  <c r="CZ25" i="3"/>
  <c r="DB25" i="3"/>
  <c r="DD25" i="3"/>
  <c r="DF25" i="3"/>
  <c r="DH25" i="3"/>
  <c r="DJ25" i="3"/>
  <c r="DL25" i="3"/>
  <c r="DN25" i="3"/>
  <c r="DP25" i="3"/>
  <c r="DR25" i="3"/>
  <c r="DT25" i="3"/>
  <c r="DV25" i="3"/>
  <c r="DX25" i="3"/>
  <c r="DZ25" i="3"/>
  <c r="EB25" i="3"/>
  <c r="ED25" i="3"/>
  <c r="EF25" i="3"/>
  <c r="EH25" i="3"/>
  <c r="K26" i="3"/>
  <c r="M26" i="3"/>
  <c r="O26" i="3"/>
  <c r="Q26" i="3"/>
  <c r="S26" i="3"/>
  <c r="U26" i="3"/>
  <c r="W26" i="3"/>
  <c r="Y26" i="3"/>
  <c r="AA26" i="3"/>
  <c r="AC26" i="3"/>
  <c r="AE26" i="3"/>
  <c r="AG26" i="3"/>
  <c r="AI26" i="3"/>
  <c r="AK26" i="3"/>
  <c r="AM26" i="3"/>
  <c r="AO26" i="3"/>
  <c r="AQ26" i="3"/>
  <c r="AS26" i="3"/>
  <c r="AU26" i="3"/>
  <c r="AW26" i="3"/>
  <c r="AY26" i="3"/>
  <c r="BA26" i="3"/>
  <c r="BC26" i="3"/>
  <c r="BE26" i="3"/>
  <c r="BG26" i="3"/>
  <c r="BI26" i="3"/>
  <c r="BK26" i="3"/>
  <c r="BM26" i="3"/>
  <c r="BO26" i="3"/>
  <c r="BQ26" i="3"/>
  <c r="BS26" i="3"/>
  <c r="BU26" i="3"/>
  <c r="BW26" i="3"/>
  <c r="BY26" i="3"/>
  <c r="CA26" i="3"/>
  <c r="CC26" i="3"/>
  <c r="CE26" i="3"/>
  <c r="CG26" i="3"/>
  <c r="CI26" i="3"/>
  <c r="CK26" i="3"/>
  <c r="CM26" i="3"/>
  <c r="CO26" i="3"/>
  <c r="CQ26" i="3"/>
  <c r="CS26" i="3"/>
  <c r="CU26" i="3"/>
  <c r="CW26" i="3"/>
  <c r="CY26" i="3"/>
  <c r="DA26" i="3"/>
  <c r="DC26" i="3"/>
  <c r="DE26" i="3"/>
  <c r="DG26" i="3"/>
  <c r="DI26" i="3"/>
  <c r="DK26" i="3"/>
  <c r="DM26" i="3"/>
  <c r="DO26" i="3"/>
  <c r="DQ26" i="3"/>
  <c r="DS26" i="3"/>
  <c r="DU26" i="3"/>
  <c r="DW26" i="3"/>
  <c r="DY26" i="3"/>
  <c r="EA26" i="3"/>
  <c r="EC26" i="3"/>
  <c r="EE26" i="3"/>
  <c r="EG26" i="3"/>
  <c r="EI26" i="3"/>
  <c r="L27" i="3"/>
  <c r="N27" i="3"/>
  <c r="P27" i="3"/>
  <c r="R27" i="3"/>
  <c r="T27" i="3"/>
  <c r="V27" i="3"/>
  <c r="X27" i="3"/>
  <c r="Z27" i="3"/>
  <c r="AB27" i="3"/>
  <c r="AD27" i="3"/>
  <c r="AF27" i="3"/>
  <c r="AH27" i="3"/>
  <c r="AJ27" i="3"/>
  <c r="AL27" i="3"/>
  <c r="AN27" i="3"/>
  <c r="AP27" i="3"/>
  <c r="AR27" i="3"/>
  <c r="AT27" i="3"/>
  <c r="AV27" i="3"/>
  <c r="AX27" i="3"/>
  <c r="AZ27" i="3"/>
  <c r="BB27" i="3"/>
  <c r="BD27" i="3"/>
  <c r="BF27" i="3"/>
  <c r="BH27" i="3"/>
  <c r="BJ27" i="3"/>
  <c r="BL27" i="3"/>
  <c r="BN27" i="3"/>
  <c r="BP27" i="3"/>
  <c r="BR27" i="3"/>
  <c r="BT27" i="3"/>
  <c r="BV27" i="3"/>
  <c r="BX27" i="3"/>
  <c r="BZ27" i="3"/>
  <c r="CB27" i="3"/>
  <c r="CD27" i="3"/>
  <c r="CF27" i="3"/>
  <c r="CH27" i="3"/>
  <c r="CJ27" i="3"/>
  <c r="CL27" i="3"/>
  <c r="CN27" i="3"/>
  <c r="CP27" i="3"/>
  <c r="CR27" i="3"/>
  <c r="CT27" i="3"/>
  <c r="CV27" i="3"/>
  <c r="CX27" i="3"/>
  <c r="CZ27" i="3"/>
  <c r="DB27" i="3"/>
  <c r="DD27" i="3"/>
  <c r="DF27" i="3"/>
  <c r="DH27" i="3"/>
  <c r="DJ27" i="3"/>
  <c r="DL27" i="3"/>
  <c r="DN27" i="3"/>
  <c r="DP27" i="3"/>
  <c r="DR27" i="3"/>
  <c r="DT27" i="3"/>
  <c r="DV27" i="3"/>
  <c r="DX27" i="3"/>
  <c r="DZ27" i="3"/>
  <c r="EB27" i="3"/>
  <c r="ED27" i="3"/>
  <c r="EF27" i="3"/>
  <c r="EH27" i="3"/>
  <c r="O28" i="3"/>
  <c r="Q28" i="3"/>
  <c r="S28" i="3"/>
  <c r="U28" i="3"/>
  <c r="W28" i="3"/>
  <c r="Y28" i="3"/>
  <c r="AA28" i="3"/>
  <c r="AC28" i="3"/>
  <c r="AE28" i="3"/>
  <c r="AG28" i="3"/>
  <c r="AI28" i="3"/>
  <c r="AK28" i="3"/>
  <c r="AM28" i="3"/>
  <c r="AO28" i="3"/>
  <c r="AQ28" i="3"/>
  <c r="AS28" i="3"/>
  <c r="AU28" i="3"/>
  <c r="AW28" i="3"/>
  <c r="AY28" i="3"/>
  <c r="BA28" i="3"/>
  <c r="BC28" i="3"/>
  <c r="BE28" i="3"/>
  <c r="BG28" i="3"/>
  <c r="BI28" i="3"/>
  <c r="BK28" i="3"/>
  <c r="BM28" i="3"/>
  <c r="BO28" i="3"/>
  <c r="BQ28" i="3"/>
  <c r="BS28" i="3"/>
  <c r="BU28" i="3"/>
  <c r="BW28" i="3"/>
  <c r="BY28" i="3"/>
  <c r="CA28" i="3"/>
  <c r="CC28" i="3"/>
  <c r="CE28" i="3"/>
  <c r="CG28" i="3"/>
  <c r="CI28" i="3"/>
  <c r="CK28" i="3"/>
  <c r="CM28" i="3"/>
  <c r="CO28" i="3"/>
  <c r="CQ28" i="3"/>
  <c r="CS28" i="3"/>
  <c r="CU28" i="3"/>
  <c r="CW28" i="3"/>
  <c r="CY28" i="3"/>
  <c r="DA28" i="3"/>
  <c r="DC28" i="3"/>
  <c r="DE28" i="3"/>
  <c r="DG28" i="3"/>
  <c r="DI28" i="3"/>
  <c r="DK28" i="3"/>
  <c r="DM28" i="3"/>
  <c r="DO28" i="3"/>
  <c r="DQ28" i="3"/>
  <c r="DS28" i="3"/>
  <c r="DU28" i="3"/>
  <c r="DW28" i="3"/>
  <c r="DY28" i="3"/>
  <c r="EA28" i="3"/>
  <c r="EC28" i="3"/>
  <c r="EE28" i="3"/>
  <c r="EG28" i="3"/>
  <c r="EI28" i="3"/>
  <c r="O29" i="3"/>
  <c r="Q29" i="3"/>
  <c r="S29" i="3"/>
  <c r="U29" i="3"/>
  <c r="W29" i="3"/>
  <c r="Y29" i="3"/>
  <c r="AA29" i="3"/>
  <c r="AC29" i="3"/>
  <c r="AE29" i="3"/>
  <c r="AG29" i="3"/>
  <c r="AI29" i="3"/>
  <c r="AK29" i="3"/>
  <c r="AM29" i="3"/>
  <c r="AO29" i="3"/>
  <c r="AQ29" i="3"/>
  <c r="AS29" i="3"/>
  <c r="AU29" i="3"/>
  <c r="AW29" i="3"/>
  <c r="AY29" i="3"/>
  <c r="BA29" i="3"/>
  <c r="BC29" i="3"/>
  <c r="BE29" i="3"/>
  <c r="BG29" i="3"/>
  <c r="BI29" i="3"/>
  <c r="BK29" i="3"/>
  <c r="BM29" i="3"/>
  <c r="BO29" i="3"/>
  <c r="BQ29" i="3"/>
  <c r="BS29" i="3"/>
  <c r="BU29" i="3"/>
  <c r="BW29" i="3"/>
  <c r="BY29" i="3"/>
  <c r="CA29" i="3"/>
  <c r="CC29" i="3"/>
  <c r="CE29" i="3"/>
  <c r="CG29" i="3"/>
  <c r="CI29" i="3"/>
  <c r="CK29" i="3"/>
  <c r="CM29" i="3"/>
  <c r="CO29" i="3"/>
  <c r="CQ29" i="3"/>
  <c r="CS29" i="3"/>
  <c r="CU29" i="3"/>
  <c r="CW29" i="3"/>
  <c r="CY29" i="3"/>
  <c r="DA29" i="3"/>
  <c r="DC29" i="3"/>
  <c r="DE29" i="3"/>
  <c r="DG29" i="3"/>
  <c r="DI29" i="3"/>
  <c r="DK29" i="3"/>
  <c r="DM29" i="3"/>
  <c r="DO29" i="3"/>
  <c r="DQ29" i="3"/>
  <c r="DS29" i="3"/>
  <c r="DU29" i="3"/>
  <c r="DW29" i="3"/>
  <c r="DY29" i="3"/>
  <c r="EA29" i="3"/>
  <c r="EC29" i="3"/>
  <c r="EE29" i="3"/>
  <c r="EG29" i="3"/>
  <c r="EI29" i="3"/>
  <c r="O30" i="3"/>
  <c r="Q30" i="3"/>
  <c r="S30" i="3"/>
  <c r="U30" i="3"/>
  <c r="W30" i="3"/>
  <c r="Y30" i="3"/>
  <c r="AA30" i="3"/>
  <c r="AC30" i="3"/>
  <c r="AE30" i="3"/>
  <c r="AG30" i="3"/>
  <c r="AI30" i="3"/>
  <c r="AK30" i="3"/>
  <c r="AM30" i="3"/>
  <c r="AO30" i="3"/>
  <c r="AQ30" i="3"/>
  <c r="AS30" i="3"/>
  <c r="AU30" i="3"/>
  <c r="AW30" i="3"/>
  <c r="AY30" i="3"/>
  <c r="BA30" i="3"/>
  <c r="BC30" i="3"/>
  <c r="BE30" i="3"/>
  <c r="BG30" i="3"/>
  <c r="BI30" i="3"/>
  <c r="BK30" i="3"/>
  <c r="BM30" i="3"/>
  <c r="BO30" i="3"/>
  <c r="BQ30" i="3"/>
  <c r="BS30" i="3"/>
  <c r="BU30" i="3"/>
  <c r="BW30" i="3"/>
  <c r="BY30" i="3"/>
  <c r="CA30" i="3"/>
  <c r="CC30" i="3"/>
  <c r="CE30" i="3"/>
  <c r="CG30" i="3"/>
  <c r="CI30" i="3"/>
  <c r="CK30" i="3"/>
  <c r="CM30" i="3"/>
  <c r="CO30" i="3"/>
  <c r="CQ30" i="3"/>
  <c r="CS30" i="3"/>
  <c r="CU30" i="3"/>
  <c r="CW30" i="3"/>
  <c r="CY30" i="3"/>
  <c r="DA30" i="3"/>
  <c r="DC30" i="3"/>
  <c r="DE30" i="3"/>
  <c r="DG30" i="3"/>
  <c r="DI30" i="3"/>
  <c r="DK30" i="3"/>
  <c r="DM30" i="3"/>
  <c r="DO30" i="3"/>
  <c r="DQ30" i="3"/>
  <c r="DS30" i="3"/>
  <c r="DU30" i="3"/>
  <c r="DW30" i="3"/>
  <c r="DY30" i="3"/>
  <c r="EA30" i="3"/>
  <c r="EC30" i="3"/>
  <c r="EE30" i="3"/>
  <c r="EG30" i="3"/>
  <c r="EI30" i="3"/>
  <c r="M31" i="3"/>
  <c r="O31" i="3"/>
  <c r="Q31" i="3"/>
  <c r="S31" i="3"/>
  <c r="U31" i="3"/>
  <c r="W31" i="3"/>
  <c r="Y31" i="3"/>
  <c r="AA31" i="3"/>
  <c r="AC31" i="3"/>
  <c r="AE31" i="3"/>
  <c r="AG31" i="3"/>
  <c r="AI31" i="3"/>
  <c r="AK31" i="3"/>
  <c r="AM31" i="3"/>
  <c r="AO31" i="3"/>
  <c r="AQ31" i="3"/>
  <c r="AS31" i="3"/>
  <c r="AU31" i="3"/>
  <c r="AW31" i="3"/>
  <c r="AY31" i="3"/>
  <c r="BA31" i="3"/>
  <c r="BC31" i="3"/>
  <c r="BE31" i="3"/>
  <c r="BG31" i="3"/>
  <c r="BI31" i="3"/>
  <c r="BK31" i="3"/>
  <c r="BM31" i="3"/>
  <c r="BO31" i="3"/>
  <c r="BQ31" i="3"/>
  <c r="BS31" i="3"/>
  <c r="BU31" i="3"/>
  <c r="BW31" i="3"/>
  <c r="BY31" i="3"/>
  <c r="CA31" i="3"/>
  <c r="CC31" i="3"/>
  <c r="CE31" i="3"/>
  <c r="CG31" i="3"/>
  <c r="CI31" i="3"/>
  <c r="CK31" i="3"/>
  <c r="CM31" i="3"/>
  <c r="CO31" i="3"/>
  <c r="CQ31" i="3"/>
  <c r="CS31" i="3"/>
  <c r="CU31" i="3"/>
  <c r="CW31" i="3"/>
  <c r="CY31" i="3"/>
  <c r="DA31" i="3"/>
  <c r="DC31" i="3"/>
  <c r="DE31" i="3"/>
  <c r="N21" i="3"/>
  <c r="R21" i="3"/>
  <c r="V21" i="3"/>
  <c r="Z21" i="3"/>
  <c r="AC21" i="3"/>
  <c r="AE21" i="3"/>
  <c r="AG21" i="3"/>
  <c r="AI21" i="3"/>
  <c r="AK21" i="3"/>
  <c r="AM21" i="3"/>
  <c r="AO21" i="3"/>
  <c r="AQ21" i="3"/>
  <c r="AS21" i="3"/>
  <c r="AU21" i="3"/>
  <c r="AW21" i="3"/>
  <c r="AY21" i="3"/>
  <c r="BA21" i="3"/>
  <c r="BC21" i="3"/>
  <c r="BE21" i="3"/>
  <c r="BG21" i="3"/>
  <c r="BI21" i="3"/>
  <c r="BK21" i="3"/>
  <c r="BM21" i="3"/>
  <c r="BO21" i="3"/>
  <c r="BQ21" i="3"/>
  <c r="BS21" i="3"/>
  <c r="BU21" i="3"/>
  <c r="BW21" i="3"/>
  <c r="BY21" i="3"/>
  <c r="CA21" i="3"/>
  <c r="CC21" i="3"/>
  <c r="CE21" i="3"/>
  <c r="CG21" i="3"/>
  <c r="CI21" i="3"/>
  <c r="CK21" i="3"/>
  <c r="CM21" i="3"/>
  <c r="CO21" i="3"/>
  <c r="CQ21" i="3"/>
  <c r="CS21" i="3"/>
  <c r="CU21" i="3"/>
  <c r="CW21" i="3"/>
  <c r="CY21" i="3"/>
  <c r="DA21" i="3"/>
  <c r="DC21" i="3"/>
  <c r="DE21" i="3"/>
  <c r="DG21" i="3"/>
  <c r="DI21" i="3"/>
  <c r="DK21" i="3"/>
  <c r="DM21" i="3"/>
  <c r="DO21" i="3"/>
  <c r="DQ21" i="3"/>
  <c r="DS21" i="3"/>
  <c r="DU21" i="3"/>
  <c r="DW21" i="3"/>
  <c r="DY21" i="3"/>
  <c r="EA21" i="3"/>
  <c r="EC21" i="3"/>
  <c r="EE21" i="3"/>
  <c r="EG21" i="3"/>
  <c r="EI21" i="3"/>
  <c r="L22" i="3"/>
  <c r="N22" i="3"/>
  <c r="P22" i="3"/>
  <c r="R22" i="3"/>
  <c r="T22" i="3"/>
  <c r="V22" i="3"/>
  <c r="X22" i="3"/>
  <c r="Z22" i="3"/>
  <c r="AB22" i="3"/>
  <c r="AD22" i="3"/>
  <c r="AF22" i="3"/>
  <c r="AH22" i="3"/>
  <c r="AJ22" i="3"/>
  <c r="AL22" i="3"/>
  <c r="AN22" i="3"/>
  <c r="AP22" i="3"/>
  <c r="AR22" i="3"/>
  <c r="AT22" i="3"/>
  <c r="AV22" i="3"/>
  <c r="AX22" i="3"/>
  <c r="AZ22" i="3"/>
  <c r="BB22" i="3"/>
  <c r="BD22" i="3"/>
  <c r="BF22" i="3"/>
  <c r="BH22" i="3"/>
  <c r="BJ22" i="3"/>
  <c r="BL22" i="3"/>
  <c r="BN22" i="3"/>
  <c r="BP22" i="3"/>
  <c r="BR22" i="3"/>
  <c r="BT22" i="3"/>
  <c r="BV22" i="3"/>
  <c r="BX22" i="3"/>
  <c r="BZ22" i="3"/>
  <c r="CB22" i="3"/>
  <c r="CD22" i="3"/>
  <c r="CF22" i="3"/>
  <c r="CH22" i="3"/>
  <c r="CJ22" i="3"/>
  <c r="CL22" i="3"/>
  <c r="CN22" i="3"/>
  <c r="CP22" i="3"/>
  <c r="CR22" i="3"/>
  <c r="CT22" i="3"/>
  <c r="CV22" i="3"/>
  <c r="CX22" i="3"/>
  <c r="CZ22" i="3"/>
  <c r="DB22" i="3"/>
  <c r="DD22" i="3"/>
  <c r="DF22" i="3"/>
  <c r="DH22" i="3"/>
  <c r="DJ22" i="3"/>
  <c r="DL22" i="3"/>
  <c r="DN22" i="3"/>
  <c r="DP22" i="3"/>
  <c r="DR22" i="3"/>
  <c r="DT22" i="3"/>
  <c r="DV22" i="3"/>
  <c r="DX22" i="3"/>
  <c r="DZ22" i="3"/>
  <c r="EB22" i="3"/>
  <c r="ED22" i="3"/>
  <c r="EF22" i="3"/>
  <c r="EH22" i="3"/>
  <c r="L23" i="3"/>
  <c r="N23" i="3"/>
  <c r="P23" i="3"/>
  <c r="R23" i="3"/>
  <c r="T23" i="3"/>
  <c r="V23" i="3"/>
  <c r="X23" i="3"/>
  <c r="Z23" i="3"/>
  <c r="AB23" i="3"/>
  <c r="AD23" i="3"/>
  <c r="AF23" i="3"/>
  <c r="AH23" i="3"/>
  <c r="AJ23" i="3"/>
  <c r="AL23" i="3"/>
  <c r="AN23" i="3"/>
  <c r="AP23" i="3"/>
  <c r="AR23" i="3"/>
  <c r="AT23" i="3"/>
  <c r="AV23" i="3"/>
  <c r="AX23" i="3"/>
  <c r="AZ23" i="3"/>
  <c r="BB23" i="3"/>
  <c r="BD23" i="3"/>
  <c r="BF23" i="3"/>
  <c r="BH23" i="3"/>
  <c r="BJ23" i="3"/>
  <c r="BL23" i="3"/>
  <c r="BN23" i="3"/>
  <c r="BP23" i="3"/>
  <c r="BR23" i="3"/>
  <c r="BT23" i="3"/>
  <c r="BV23" i="3"/>
  <c r="BX23" i="3"/>
  <c r="BZ23" i="3"/>
  <c r="CB23" i="3"/>
  <c r="CD23" i="3"/>
  <c r="CF23" i="3"/>
  <c r="CH23" i="3"/>
  <c r="CJ23" i="3"/>
  <c r="CL23" i="3"/>
  <c r="CN23" i="3"/>
  <c r="CP23" i="3"/>
  <c r="CR23" i="3"/>
  <c r="CT23" i="3"/>
  <c r="CV23" i="3"/>
  <c r="CX23" i="3"/>
  <c r="CZ23" i="3"/>
  <c r="DB23" i="3"/>
  <c r="DD23" i="3"/>
  <c r="DF23" i="3"/>
  <c r="DH23" i="3"/>
  <c r="DJ23" i="3"/>
  <c r="DL23" i="3"/>
  <c r="DN23" i="3"/>
  <c r="DP23" i="3"/>
  <c r="DR23" i="3"/>
  <c r="DT23" i="3"/>
  <c r="DV23" i="3"/>
  <c r="DX23" i="3"/>
  <c r="DZ23" i="3"/>
  <c r="EB23" i="3"/>
  <c r="ED23" i="3"/>
  <c r="EF23" i="3"/>
  <c r="EH23" i="3"/>
  <c r="M24" i="3"/>
  <c r="O24" i="3"/>
  <c r="Q24" i="3"/>
  <c r="S24" i="3"/>
  <c r="U24" i="3"/>
  <c r="W24" i="3"/>
  <c r="Y24" i="3"/>
  <c r="AA24" i="3"/>
  <c r="AC24" i="3"/>
  <c r="AE24" i="3"/>
  <c r="AG24" i="3"/>
  <c r="AI24" i="3"/>
  <c r="AK24" i="3"/>
  <c r="AM24" i="3"/>
  <c r="AO24" i="3"/>
  <c r="AQ24" i="3"/>
  <c r="AS24" i="3"/>
  <c r="AU24" i="3"/>
  <c r="AW24" i="3"/>
  <c r="AY24" i="3"/>
  <c r="BA24" i="3"/>
  <c r="BC24" i="3"/>
  <c r="BE24" i="3"/>
  <c r="BG24" i="3"/>
  <c r="BI24" i="3"/>
  <c r="BK24" i="3"/>
  <c r="BM24" i="3"/>
  <c r="BO24" i="3"/>
  <c r="BQ24" i="3"/>
  <c r="BS24" i="3"/>
  <c r="BU24" i="3"/>
  <c r="BW24" i="3"/>
  <c r="BY24" i="3"/>
  <c r="CA24" i="3"/>
  <c r="CC24" i="3"/>
  <c r="CE24" i="3"/>
  <c r="CG24" i="3"/>
  <c r="CI24" i="3"/>
  <c r="CK24" i="3"/>
  <c r="CM24" i="3"/>
  <c r="CO24" i="3"/>
  <c r="CQ24" i="3"/>
  <c r="CS24" i="3"/>
  <c r="CU24" i="3"/>
  <c r="CW24" i="3"/>
  <c r="CY24" i="3"/>
  <c r="DA24" i="3"/>
  <c r="DC24" i="3"/>
  <c r="DE24" i="3"/>
  <c r="DG24" i="3"/>
  <c r="DI24" i="3"/>
  <c r="DK24" i="3"/>
  <c r="DM24" i="3"/>
  <c r="DO24" i="3"/>
  <c r="DQ24" i="3"/>
  <c r="DS24" i="3"/>
  <c r="DU24" i="3"/>
  <c r="DW24" i="3"/>
  <c r="DY24" i="3"/>
  <c r="EA24" i="3"/>
  <c r="EC24" i="3"/>
  <c r="EE24" i="3"/>
  <c r="EG24" i="3"/>
  <c r="EI24" i="3"/>
  <c r="M25" i="3"/>
  <c r="O25" i="3"/>
  <c r="Q25" i="3"/>
  <c r="S25" i="3"/>
  <c r="U25" i="3"/>
  <c r="W25" i="3"/>
  <c r="Y25" i="3"/>
  <c r="AA25" i="3"/>
  <c r="AC25" i="3"/>
  <c r="AE25" i="3"/>
  <c r="AG25" i="3"/>
  <c r="AI25" i="3"/>
  <c r="AK25" i="3"/>
  <c r="AM25" i="3"/>
  <c r="AO25" i="3"/>
  <c r="AQ25" i="3"/>
  <c r="AS25" i="3"/>
  <c r="AU25" i="3"/>
  <c r="AW25" i="3"/>
  <c r="AY25" i="3"/>
  <c r="BA25" i="3"/>
  <c r="BC25" i="3"/>
  <c r="BE25" i="3"/>
  <c r="BG25" i="3"/>
  <c r="BI25" i="3"/>
  <c r="BK25" i="3"/>
  <c r="BM25" i="3"/>
  <c r="BO25" i="3"/>
  <c r="BQ25" i="3"/>
  <c r="BS25" i="3"/>
  <c r="BU25" i="3"/>
  <c r="BW25" i="3"/>
  <c r="BY25" i="3"/>
  <c r="CA25" i="3"/>
  <c r="CC25" i="3"/>
  <c r="CE25" i="3"/>
  <c r="CG25" i="3"/>
  <c r="CI25" i="3"/>
  <c r="CK25" i="3"/>
  <c r="CM25" i="3"/>
  <c r="CO25" i="3"/>
  <c r="CQ25" i="3"/>
  <c r="CS25" i="3"/>
  <c r="CU25" i="3"/>
  <c r="CW25" i="3"/>
  <c r="CY25" i="3"/>
  <c r="DA25" i="3"/>
  <c r="DC25" i="3"/>
  <c r="DE25" i="3"/>
  <c r="DG25" i="3"/>
  <c r="DI25" i="3"/>
  <c r="DK25" i="3"/>
  <c r="DM25" i="3"/>
  <c r="DO25" i="3"/>
  <c r="DQ25" i="3"/>
  <c r="DS25" i="3"/>
  <c r="DU25" i="3"/>
  <c r="DW25" i="3"/>
  <c r="DY25" i="3"/>
  <c r="EA25" i="3"/>
  <c r="EC25" i="3"/>
  <c r="EE25" i="3"/>
  <c r="EG25" i="3"/>
  <c r="EI25" i="3"/>
  <c r="L26" i="3"/>
  <c r="N26" i="3"/>
  <c r="P26" i="3"/>
  <c r="R26" i="3"/>
  <c r="T26" i="3"/>
  <c r="V26" i="3"/>
  <c r="X26" i="3"/>
  <c r="Z26" i="3"/>
  <c r="AB26" i="3"/>
  <c r="AD26" i="3"/>
  <c r="AF26" i="3"/>
  <c r="AH26" i="3"/>
  <c r="AJ26" i="3"/>
  <c r="AL26" i="3"/>
  <c r="AN26" i="3"/>
  <c r="AP26" i="3"/>
  <c r="AR26" i="3"/>
  <c r="AT26" i="3"/>
  <c r="AV26" i="3"/>
  <c r="AX26" i="3"/>
  <c r="AZ26" i="3"/>
  <c r="BB26" i="3"/>
  <c r="BD26" i="3"/>
  <c r="BF26" i="3"/>
  <c r="BH26" i="3"/>
  <c r="BJ26" i="3"/>
  <c r="BL26" i="3"/>
  <c r="BN26" i="3"/>
  <c r="BP26" i="3"/>
  <c r="BR26" i="3"/>
  <c r="BT26" i="3"/>
  <c r="BV26" i="3"/>
  <c r="BX26" i="3"/>
  <c r="BZ26" i="3"/>
  <c r="CB26" i="3"/>
  <c r="CD26" i="3"/>
  <c r="CF26" i="3"/>
  <c r="CH26" i="3"/>
  <c r="CJ26" i="3"/>
  <c r="CL26" i="3"/>
  <c r="CN26" i="3"/>
  <c r="CP26" i="3"/>
  <c r="CR26" i="3"/>
  <c r="CT26" i="3"/>
  <c r="CV26" i="3"/>
  <c r="CX26" i="3"/>
  <c r="CZ26" i="3"/>
  <c r="DB26" i="3"/>
  <c r="DD26" i="3"/>
  <c r="DF26" i="3"/>
  <c r="DH26" i="3"/>
  <c r="DJ26" i="3"/>
  <c r="DL26" i="3"/>
  <c r="DN26" i="3"/>
  <c r="DP26" i="3"/>
  <c r="DR26" i="3"/>
  <c r="DT26" i="3"/>
  <c r="DV26" i="3"/>
  <c r="DX26" i="3"/>
  <c r="DZ26" i="3"/>
  <c r="EB26" i="3"/>
  <c r="ED26" i="3"/>
  <c r="EF26" i="3"/>
  <c r="EH26" i="3"/>
  <c r="K27" i="3"/>
  <c r="M27" i="3"/>
  <c r="O27" i="3"/>
  <c r="Q27" i="3"/>
  <c r="S27" i="3"/>
  <c r="U27" i="3"/>
  <c r="W27" i="3"/>
  <c r="Y27" i="3"/>
  <c r="AA27" i="3"/>
  <c r="AC27" i="3"/>
  <c r="AE27" i="3"/>
  <c r="AG27" i="3"/>
  <c r="AI27" i="3"/>
  <c r="AK27" i="3"/>
  <c r="AM27" i="3"/>
  <c r="AO27" i="3"/>
  <c r="AQ27" i="3"/>
  <c r="AS27" i="3"/>
  <c r="AU27" i="3"/>
  <c r="AW27" i="3"/>
  <c r="AY27" i="3"/>
  <c r="BA27" i="3"/>
  <c r="BC27" i="3"/>
  <c r="BE27" i="3"/>
  <c r="BG27" i="3"/>
  <c r="BI27" i="3"/>
  <c r="BK27" i="3"/>
  <c r="BM27" i="3"/>
  <c r="BO27" i="3"/>
  <c r="BQ27" i="3"/>
  <c r="BS27" i="3"/>
  <c r="BU27" i="3"/>
  <c r="BW27" i="3"/>
  <c r="BY27" i="3"/>
  <c r="CA27" i="3"/>
  <c r="CC27" i="3"/>
  <c r="CE27" i="3"/>
  <c r="CG27" i="3"/>
  <c r="CI27" i="3"/>
  <c r="CK27" i="3"/>
  <c r="CM27" i="3"/>
  <c r="CO27" i="3"/>
  <c r="CQ27" i="3"/>
  <c r="CS27" i="3"/>
  <c r="CU27" i="3"/>
  <c r="CW27" i="3"/>
  <c r="CY27" i="3"/>
  <c r="DA27" i="3"/>
  <c r="DC27" i="3"/>
  <c r="DE27" i="3"/>
  <c r="DG27" i="3"/>
  <c r="DI27" i="3"/>
  <c r="DK27" i="3"/>
  <c r="DM27" i="3"/>
  <c r="DO27" i="3"/>
  <c r="DQ27" i="3"/>
  <c r="DS27" i="3"/>
  <c r="DU27" i="3"/>
  <c r="DW27" i="3"/>
  <c r="DY27" i="3"/>
  <c r="EA27" i="3"/>
  <c r="EC27" i="3"/>
  <c r="EE27" i="3"/>
  <c r="EG27" i="3"/>
  <c r="EI27" i="3"/>
  <c r="P28" i="3"/>
  <c r="R28" i="3"/>
  <c r="T28" i="3"/>
  <c r="V28" i="3"/>
  <c r="X28" i="3"/>
  <c r="Z28" i="3"/>
  <c r="AB28" i="3"/>
  <c r="AD28" i="3"/>
  <c r="AF28" i="3"/>
  <c r="AH28" i="3"/>
  <c r="AJ28" i="3"/>
  <c r="AL28" i="3"/>
  <c r="AN28" i="3"/>
  <c r="AP28" i="3"/>
  <c r="AR28" i="3"/>
  <c r="AT28" i="3"/>
  <c r="AV28" i="3"/>
  <c r="AX28" i="3"/>
  <c r="AZ28" i="3"/>
  <c r="BB28" i="3"/>
  <c r="BD28" i="3"/>
  <c r="BF28" i="3"/>
  <c r="BH28" i="3"/>
  <c r="BJ28" i="3"/>
  <c r="BL28" i="3"/>
  <c r="BN28" i="3"/>
  <c r="BP28" i="3"/>
  <c r="BR28" i="3"/>
  <c r="BT28" i="3"/>
  <c r="BV28" i="3"/>
  <c r="BX28" i="3"/>
  <c r="BZ28" i="3"/>
  <c r="CB28" i="3"/>
  <c r="CD28" i="3"/>
  <c r="CF28" i="3"/>
  <c r="CH28" i="3"/>
  <c r="CJ28" i="3"/>
  <c r="CL28" i="3"/>
  <c r="CN28" i="3"/>
  <c r="CP28" i="3"/>
  <c r="CR28" i="3"/>
  <c r="CT28" i="3"/>
  <c r="CV28" i="3"/>
  <c r="CX28" i="3"/>
  <c r="CZ28" i="3"/>
  <c r="DB28" i="3"/>
  <c r="DD28" i="3"/>
  <c r="DF28" i="3"/>
  <c r="DH28" i="3"/>
  <c r="DJ28" i="3"/>
  <c r="DL28" i="3"/>
  <c r="DN28" i="3"/>
  <c r="DP28" i="3"/>
  <c r="DR28" i="3"/>
  <c r="DT28" i="3"/>
  <c r="DV28" i="3"/>
  <c r="DX28" i="3"/>
  <c r="DZ28" i="3"/>
  <c r="EB28" i="3"/>
  <c r="ED28" i="3"/>
  <c r="EF28" i="3"/>
  <c r="EH28" i="3"/>
  <c r="N29" i="3"/>
  <c r="P29" i="3"/>
  <c r="R29" i="3"/>
  <c r="T29" i="3"/>
  <c r="V29" i="3"/>
  <c r="X29" i="3"/>
  <c r="Z29" i="3"/>
  <c r="AB29" i="3"/>
  <c r="AD29" i="3"/>
  <c r="AF29" i="3"/>
  <c r="AH29" i="3"/>
  <c r="AJ29" i="3"/>
  <c r="AL29" i="3"/>
  <c r="AN29" i="3"/>
  <c r="AP29" i="3"/>
  <c r="AR29" i="3"/>
  <c r="AT29" i="3"/>
  <c r="AV29" i="3"/>
  <c r="AX29" i="3"/>
  <c r="AZ29" i="3"/>
  <c r="BB29" i="3"/>
  <c r="BD29" i="3"/>
  <c r="BF29" i="3"/>
  <c r="BH29" i="3"/>
  <c r="BJ29" i="3"/>
  <c r="BL29" i="3"/>
  <c r="BN29" i="3"/>
  <c r="BP29" i="3"/>
  <c r="BR29" i="3"/>
  <c r="BT29" i="3"/>
  <c r="BV29" i="3"/>
  <c r="BX29" i="3"/>
  <c r="BZ29" i="3"/>
  <c r="CB29" i="3"/>
  <c r="CD29" i="3"/>
  <c r="CF29" i="3"/>
  <c r="CH29" i="3"/>
  <c r="CJ29" i="3"/>
  <c r="CL29" i="3"/>
  <c r="CN29" i="3"/>
  <c r="CP29" i="3"/>
  <c r="CR29" i="3"/>
  <c r="CT29" i="3"/>
  <c r="CV29" i="3"/>
  <c r="CX29" i="3"/>
  <c r="CZ29" i="3"/>
  <c r="DB29" i="3"/>
  <c r="DD29" i="3"/>
  <c r="DF29" i="3"/>
  <c r="DH29" i="3"/>
  <c r="DJ29" i="3"/>
  <c r="DL29" i="3"/>
  <c r="DN29" i="3"/>
  <c r="DP29" i="3"/>
  <c r="DR29" i="3"/>
  <c r="DT29" i="3"/>
  <c r="DV29" i="3"/>
  <c r="DX29" i="3"/>
  <c r="DZ29" i="3"/>
  <c r="EB29" i="3"/>
  <c r="ED29" i="3"/>
  <c r="EF29" i="3"/>
  <c r="EH29" i="3"/>
  <c r="N30" i="3"/>
  <c r="P30" i="3"/>
  <c r="R30" i="3"/>
  <c r="T30" i="3"/>
  <c r="V30" i="3"/>
  <c r="X30" i="3"/>
  <c r="Z30" i="3"/>
  <c r="AB30" i="3"/>
  <c r="AD30" i="3"/>
  <c r="AF30" i="3"/>
  <c r="AH30" i="3"/>
  <c r="AJ30" i="3"/>
  <c r="AL30" i="3"/>
  <c r="AN30" i="3"/>
  <c r="AP30" i="3"/>
  <c r="AR30" i="3"/>
  <c r="AT30" i="3"/>
  <c r="AV30" i="3"/>
  <c r="AX30" i="3"/>
  <c r="AZ30" i="3"/>
  <c r="BB30" i="3"/>
  <c r="BD30" i="3"/>
  <c r="BF30" i="3"/>
  <c r="BH30" i="3"/>
  <c r="BJ30" i="3"/>
  <c r="BL30" i="3"/>
  <c r="BN30" i="3"/>
  <c r="BP30" i="3"/>
  <c r="BR30" i="3"/>
  <c r="BT30" i="3"/>
  <c r="BV30" i="3"/>
  <c r="BX30" i="3"/>
  <c r="BZ30" i="3"/>
  <c r="CB30" i="3"/>
  <c r="CD30" i="3"/>
  <c r="CF30" i="3"/>
  <c r="CH30" i="3"/>
  <c r="CJ30" i="3"/>
  <c r="CL30" i="3"/>
  <c r="CN30" i="3"/>
  <c r="CP30" i="3"/>
  <c r="CR30" i="3"/>
  <c r="CT30" i="3"/>
  <c r="CV30" i="3"/>
  <c r="CX30" i="3"/>
  <c r="CZ30" i="3"/>
  <c r="DB30" i="3"/>
  <c r="DD30" i="3"/>
  <c r="DF30" i="3"/>
  <c r="DH30" i="3"/>
  <c r="DJ30" i="3"/>
  <c r="DL30" i="3"/>
  <c r="DN30" i="3"/>
  <c r="DP30" i="3"/>
  <c r="DR30" i="3"/>
  <c r="DT30" i="3"/>
  <c r="DV30" i="3"/>
  <c r="DX30" i="3"/>
  <c r="DZ30" i="3"/>
  <c r="EB30" i="3"/>
  <c r="ED30" i="3"/>
  <c r="EF30" i="3"/>
  <c r="EH30" i="3"/>
  <c r="L31" i="3"/>
  <c r="N31" i="3"/>
  <c r="P31" i="3"/>
  <c r="R31" i="3"/>
  <c r="T31" i="3"/>
  <c r="V31" i="3"/>
  <c r="X31" i="3"/>
  <c r="Z31" i="3"/>
  <c r="AB31" i="3"/>
  <c r="AD31" i="3"/>
  <c r="AF31" i="3"/>
  <c r="AH31" i="3"/>
  <c r="AJ31" i="3"/>
  <c r="AL31" i="3"/>
  <c r="AN31" i="3"/>
  <c r="AP31" i="3"/>
  <c r="AR31" i="3"/>
  <c r="AT31" i="3"/>
  <c r="AV31" i="3"/>
  <c r="AX31" i="3"/>
  <c r="AZ31" i="3"/>
  <c r="BB31" i="3"/>
  <c r="BD31" i="3"/>
  <c r="BF31" i="3"/>
  <c r="BH31" i="3"/>
  <c r="BJ31" i="3"/>
  <c r="BL31" i="3"/>
  <c r="BN31" i="3"/>
  <c r="BP31" i="3"/>
  <c r="BR31" i="3"/>
  <c r="BT31" i="3"/>
  <c r="BV31" i="3"/>
  <c r="BX31" i="3"/>
  <c r="BZ31" i="3"/>
  <c r="CB31" i="3"/>
  <c r="CD31" i="3"/>
  <c r="CF31" i="3"/>
  <c r="CH31" i="3"/>
  <c r="CJ31" i="3"/>
  <c r="CL31" i="3"/>
  <c r="CN31" i="3"/>
  <c r="CP31" i="3"/>
  <c r="CR31" i="3"/>
  <c r="CT31" i="3"/>
  <c r="CV31" i="3"/>
  <c r="CX31" i="3"/>
  <c r="CZ31" i="3"/>
  <c r="DD31" i="3"/>
  <c r="DG31" i="3"/>
  <c r="DI31" i="3"/>
  <c r="DK31" i="3"/>
  <c r="DM31" i="3"/>
  <c r="DO31" i="3"/>
  <c r="DQ31" i="3"/>
  <c r="DS31" i="3"/>
  <c r="DU31" i="3"/>
  <c r="DW31" i="3"/>
  <c r="DY31" i="3"/>
  <c r="EA31" i="3"/>
  <c r="EC31" i="3"/>
  <c r="EE31" i="3"/>
  <c r="EG31" i="3"/>
  <c r="EI31" i="3"/>
  <c r="U32" i="3"/>
  <c r="W32" i="3"/>
  <c r="Y32" i="3"/>
  <c r="AA32" i="3"/>
  <c r="AC32" i="3"/>
  <c r="AE32" i="3"/>
  <c r="AG32" i="3"/>
  <c r="AI32" i="3"/>
  <c r="AK32" i="3"/>
  <c r="AM32" i="3"/>
  <c r="AO32" i="3"/>
  <c r="AQ32" i="3"/>
  <c r="AS32" i="3"/>
  <c r="AU32" i="3"/>
  <c r="AW32" i="3"/>
  <c r="AY32" i="3"/>
  <c r="BA32" i="3"/>
  <c r="BC32" i="3"/>
  <c r="BE32" i="3"/>
  <c r="BG32" i="3"/>
  <c r="BI32" i="3"/>
  <c r="BK32" i="3"/>
  <c r="BM32" i="3"/>
  <c r="BO32" i="3"/>
  <c r="BQ32" i="3"/>
  <c r="BS32" i="3"/>
  <c r="BU32" i="3"/>
  <c r="BW32" i="3"/>
  <c r="BY32" i="3"/>
  <c r="CA32" i="3"/>
  <c r="CC32" i="3"/>
  <c r="CE32" i="3"/>
  <c r="CG32" i="3"/>
  <c r="CI32" i="3"/>
  <c r="CK32" i="3"/>
  <c r="CM32" i="3"/>
  <c r="CO32" i="3"/>
  <c r="CQ32" i="3"/>
  <c r="CS32" i="3"/>
  <c r="CU32" i="3"/>
  <c r="CW32" i="3"/>
  <c r="CY32" i="3"/>
  <c r="DA32" i="3"/>
  <c r="DC32" i="3"/>
  <c r="DE32" i="3"/>
  <c r="DG32" i="3"/>
  <c r="DI32" i="3"/>
  <c r="DK32" i="3"/>
  <c r="DM32" i="3"/>
  <c r="DO32" i="3"/>
  <c r="DQ32" i="3"/>
  <c r="DS32" i="3"/>
  <c r="DU32" i="3"/>
  <c r="DW32" i="3"/>
  <c r="DY32" i="3"/>
  <c r="EA32" i="3"/>
  <c r="EC32" i="3"/>
  <c r="EE32" i="3"/>
  <c r="EG32" i="3"/>
  <c r="EI32" i="3"/>
  <c r="L33" i="3"/>
  <c r="N33" i="3"/>
  <c r="P33" i="3"/>
  <c r="R33" i="3"/>
  <c r="T33" i="3"/>
  <c r="V33" i="3"/>
  <c r="X33" i="3"/>
  <c r="Z33" i="3"/>
  <c r="AB33" i="3"/>
  <c r="AD33" i="3"/>
  <c r="AF33" i="3"/>
  <c r="AH33" i="3"/>
  <c r="AJ33" i="3"/>
  <c r="AL33" i="3"/>
  <c r="AN33" i="3"/>
  <c r="AP33" i="3"/>
  <c r="AR33" i="3"/>
  <c r="AT33" i="3"/>
  <c r="AV33" i="3"/>
  <c r="AX33" i="3"/>
  <c r="AZ33" i="3"/>
  <c r="BB33" i="3"/>
  <c r="BD33" i="3"/>
  <c r="BF33" i="3"/>
  <c r="BH33" i="3"/>
  <c r="BJ33" i="3"/>
  <c r="BL33" i="3"/>
  <c r="BN33" i="3"/>
  <c r="BP33" i="3"/>
  <c r="BR33" i="3"/>
  <c r="BT33" i="3"/>
  <c r="BV33" i="3"/>
  <c r="BX33" i="3"/>
  <c r="BZ33" i="3"/>
  <c r="CB33" i="3"/>
  <c r="CD33" i="3"/>
  <c r="CF33" i="3"/>
  <c r="CH33" i="3"/>
  <c r="CJ33" i="3"/>
  <c r="CL33" i="3"/>
  <c r="CN33" i="3"/>
  <c r="CP33" i="3"/>
  <c r="CR33" i="3"/>
  <c r="CT33" i="3"/>
  <c r="CV33" i="3"/>
  <c r="CX33" i="3"/>
  <c r="CZ33" i="3"/>
  <c r="DB33" i="3"/>
  <c r="DD33" i="3"/>
  <c r="DF33" i="3"/>
  <c r="DH33" i="3"/>
  <c r="DJ33" i="3"/>
  <c r="DL33" i="3"/>
  <c r="DN33" i="3"/>
  <c r="DP33" i="3"/>
  <c r="DR33" i="3"/>
  <c r="DT33" i="3"/>
  <c r="DV33" i="3"/>
  <c r="DX33" i="3"/>
  <c r="DZ33" i="3"/>
  <c r="EB33" i="3"/>
  <c r="ED33" i="3"/>
  <c r="EF33" i="3"/>
  <c r="EH33" i="3"/>
  <c r="L34" i="3"/>
  <c r="N34" i="3"/>
  <c r="P34" i="3"/>
  <c r="R34" i="3"/>
  <c r="T34" i="3"/>
  <c r="V34" i="3"/>
  <c r="X34" i="3"/>
  <c r="Z34" i="3"/>
  <c r="AB34" i="3"/>
  <c r="AD34" i="3"/>
  <c r="AF34" i="3"/>
  <c r="AH34" i="3"/>
  <c r="AJ34" i="3"/>
  <c r="AL34" i="3"/>
  <c r="AN34" i="3"/>
  <c r="AP34" i="3"/>
  <c r="AR34" i="3"/>
  <c r="AT34" i="3"/>
  <c r="AV34" i="3"/>
  <c r="AX34" i="3"/>
  <c r="AZ34" i="3"/>
  <c r="BB34" i="3"/>
  <c r="BD34" i="3"/>
  <c r="BF34" i="3"/>
  <c r="BH34" i="3"/>
  <c r="BJ34" i="3"/>
  <c r="BL34" i="3"/>
  <c r="BN34" i="3"/>
  <c r="BP34" i="3"/>
  <c r="BR34" i="3"/>
  <c r="BT34" i="3"/>
  <c r="BV34" i="3"/>
  <c r="BX34" i="3"/>
  <c r="BZ34" i="3"/>
  <c r="CB34" i="3"/>
  <c r="CD34" i="3"/>
  <c r="CF34" i="3"/>
  <c r="CH34" i="3"/>
  <c r="CJ34" i="3"/>
  <c r="CL34" i="3"/>
  <c r="CN34" i="3"/>
  <c r="CP34" i="3"/>
  <c r="CR34" i="3"/>
  <c r="CT34" i="3"/>
  <c r="CV34" i="3"/>
  <c r="CX34" i="3"/>
  <c r="CZ34" i="3"/>
  <c r="DB34" i="3"/>
  <c r="DD34" i="3"/>
  <c r="DF34" i="3"/>
  <c r="DH34" i="3"/>
  <c r="DJ34" i="3"/>
  <c r="DL34" i="3"/>
  <c r="DN34" i="3"/>
  <c r="DP34" i="3"/>
  <c r="DR34" i="3"/>
  <c r="DT34" i="3"/>
  <c r="DV34" i="3"/>
  <c r="DX34" i="3"/>
  <c r="DZ34" i="3"/>
  <c r="EB34" i="3"/>
  <c r="ED34" i="3"/>
  <c r="EF34" i="3"/>
  <c r="EH34" i="3"/>
  <c r="L35" i="3"/>
  <c r="N35" i="3"/>
  <c r="P35" i="3"/>
  <c r="R35" i="3"/>
  <c r="T35" i="3"/>
  <c r="V35" i="3"/>
  <c r="X35" i="3"/>
  <c r="Z35" i="3"/>
  <c r="AB35" i="3"/>
  <c r="AD35" i="3"/>
  <c r="AF35" i="3"/>
  <c r="AH35" i="3"/>
  <c r="AJ35" i="3"/>
  <c r="AL35" i="3"/>
  <c r="AN35" i="3"/>
  <c r="AP35" i="3"/>
  <c r="AR35" i="3"/>
  <c r="AT35" i="3"/>
  <c r="AV35" i="3"/>
  <c r="AX35" i="3"/>
  <c r="AZ35" i="3"/>
  <c r="BB35" i="3"/>
  <c r="BD35" i="3"/>
  <c r="BF35" i="3"/>
  <c r="BH35" i="3"/>
  <c r="BJ35" i="3"/>
  <c r="BL35" i="3"/>
  <c r="BN35" i="3"/>
  <c r="BP35" i="3"/>
  <c r="BR35" i="3"/>
  <c r="BT35" i="3"/>
  <c r="BV35" i="3"/>
  <c r="BX35" i="3"/>
  <c r="BZ35" i="3"/>
  <c r="CB35" i="3"/>
  <c r="CD35" i="3"/>
  <c r="CF35" i="3"/>
  <c r="CH35" i="3"/>
  <c r="CJ35" i="3"/>
  <c r="CL35" i="3"/>
  <c r="CN35" i="3"/>
  <c r="CP35" i="3"/>
  <c r="CR35" i="3"/>
  <c r="CT35" i="3"/>
  <c r="CV35" i="3"/>
  <c r="CX35" i="3"/>
  <c r="CZ35" i="3"/>
  <c r="DB35" i="3"/>
  <c r="DD35" i="3"/>
  <c r="DF35" i="3"/>
  <c r="DH35" i="3"/>
  <c r="DJ35" i="3"/>
  <c r="DL35" i="3"/>
  <c r="DN35" i="3"/>
  <c r="DP35" i="3"/>
  <c r="DR35" i="3"/>
  <c r="DT35" i="3"/>
  <c r="DV35" i="3"/>
  <c r="DX35" i="3"/>
  <c r="DZ35" i="3"/>
  <c r="EB35" i="3"/>
  <c r="ED35" i="3"/>
  <c r="EF35" i="3"/>
  <c r="EH35" i="3"/>
  <c r="W36" i="3"/>
  <c r="Y36" i="3"/>
  <c r="AA36" i="3"/>
  <c r="AC36" i="3"/>
  <c r="AE36" i="3"/>
  <c r="AG36" i="3"/>
  <c r="AI36" i="3"/>
  <c r="AK36" i="3"/>
  <c r="AM36" i="3"/>
  <c r="AO36" i="3"/>
  <c r="AQ36" i="3"/>
  <c r="AS36" i="3"/>
  <c r="AU36" i="3"/>
  <c r="AW36" i="3"/>
  <c r="AY36" i="3"/>
  <c r="BA36" i="3"/>
  <c r="BC36" i="3"/>
  <c r="BE36" i="3"/>
  <c r="BG36" i="3"/>
  <c r="BI36" i="3"/>
  <c r="BK36" i="3"/>
  <c r="BM36" i="3"/>
  <c r="BO36" i="3"/>
  <c r="BQ36" i="3"/>
  <c r="BS36" i="3"/>
  <c r="BU36" i="3"/>
  <c r="BW36" i="3"/>
  <c r="BY36" i="3"/>
  <c r="CA36" i="3"/>
  <c r="CC36" i="3"/>
  <c r="CE36" i="3"/>
  <c r="CG36" i="3"/>
  <c r="CI36" i="3"/>
  <c r="CK36" i="3"/>
  <c r="CM36" i="3"/>
  <c r="CO36" i="3"/>
  <c r="CQ36" i="3"/>
  <c r="CS36" i="3"/>
  <c r="CU36" i="3"/>
  <c r="CW36" i="3"/>
  <c r="CY36" i="3"/>
  <c r="DA36" i="3"/>
  <c r="DC36" i="3"/>
  <c r="DE36" i="3"/>
  <c r="DG36" i="3"/>
  <c r="DI36" i="3"/>
  <c r="DK36" i="3"/>
  <c r="DM36" i="3"/>
  <c r="DO36" i="3"/>
  <c r="DQ36" i="3"/>
  <c r="DS36" i="3"/>
  <c r="DU36" i="3"/>
  <c r="DW36" i="3"/>
  <c r="DY36" i="3"/>
  <c r="EA36" i="3"/>
  <c r="EC36" i="3"/>
  <c r="EE36" i="3"/>
  <c r="EG36" i="3"/>
  <c r="EI36" i="3"/>
  <c r="M37" i="3"/>
  <c r="O37" i="3"/>
  <c r="Q37" i="3"/>
  <c r="S37" i="3"/>
  <c r="U37" i="3"/>
  <c r="W37" i="3"/>
  <c r="Y37" i="3"/>
  <c r="AA37" i="3"/>
  <c r="AC37" i="3"/>
  <c r="AE37" i="3"/>
  <c r="AG37" i="3"/>
  <c r="AI37" i="3"/>
  <c r="AK37" i="3"/>
  <c r="AM37" i="3"/>
  <c r="AO37" i="3"/>
  <c r="AQ37" i="3"/>
  <c r="AS37" i="3"/>
  <c r="AU37" i="3"/>
  <c r="AW37" i="3"/>
  <c r="AY37" i="3"/>
  <c r="BA37" i="3"/>
  <c r="BC37" i="3"/>
  <c r="BE37" i="3"/>
  <c r="BG37" i="3"/>
  <c r="BI37" i="3"/>
  <c r="BK37" i="3"/>
  <c r="BM37" i="3"/>
  <c r="BO37" i="3"/>
  <c r="BQ37" i="3"/>
  <c r="BS37" i="3"/>
  <c r="BU37" i="3"/>
  <c r="BW37" i="3"/>
  <c r="BY37" i="3"/>
  <c r="CA37" i="3"/>
  <c r="CC37" i="3"/>
  <c r="CE37" i="3"/>
  <c r="CG37" i="3"/>
  <c r="CI37" i="3"/>
  <c r="CK37" i="3"/>
  <c r="CM37" i="3"/>
  <c r="CO37" i="3"/>
  <c r="CQ37" i="3"/>
  <c r="CS37" i="3"/>
  <c r="CU37" i="3"/>
  <c r="CW37" i="3"/>
  <c r="CY37" i="3"/>
  <c r="DA37" i="3"/>
  <c r="DC37" i="3"/>
  <c r="DE37" i="3"/>
  <c r="DG37" i="3"/>
  <c r="DI37" i="3"/>
  <c r="DK37" i="3"/>
  <c r="DM37" i="3"/>
  <c r="DO37" i="3"/>
  <c r="DQ37" i="3"/>
  <c r="DS37" i="3"/>
  <c r="DU37" i="3"/>
  <c r="DW37" i="3"/>
  <c r="DY37" i="3"/>
  <c r="EA37" i="3"/>
  <c r="EC37" i="3"/>
  <c r="EE37" i="3"/>
  <c r="EG37" i="3"/>
  <c r="EI37" i="3"/>
  <c r="L38" i="3"/>
  <c r="N38" i="3"/>
  <c r="P38" i="3"/>
  <c r="R38" i="3"/>
  <c r="T38" i="3"/>
  <c r="V38" i="3"/>
  <c r="X38" i="3"/>
  <c r="Z38" i="3"/>
  <c r="AB38" i="3"/>
  <c r="AD38" i="3"/>
  <c r="AF38" i="3"/>
  <c r="AH38" i="3"/>
  <c r="AJ38" i="3"/>
  <c r="AL38" i="3"/>
  <c r="AN38" i="3"/>
  <c r="AP38" i="3"/>
  <c r="AR38" i="3"/>
  <c r="AT38" i="3"/>
  <c r="AV38" i="3"/>
  <c r="AX38" i="3"/>
  <c r="AZ38" i="3"/>
  <c r="BB38" i="3"/>
  <c r="BD38" i="3"/>
  <c r="BF38" i="3"/>
  <c r="BH38" i="3"/>
  <c r="BJ38" i="3"/>
  <c r="BL38" i="3"/>
  <c r="BN38" i="3"/>
  <c r="BP38" i="3"/>
  <c r="BR38" i="3"/>
  <c r="BT38" i="3"/>
  <c r="BV38" i="3"/>
  <c r="BX38" i="3"/>
  <c r="BZ38" i="3"/>
  <c r="CB38" i="3"/>
  <c r="CD38" i="3"/>
  <c r="CF38" i="3"/>
  <c r="CH38" i="3"/>
  <c r="CJ38" i="3"/>
  <c r="CL38" i="3"/>
  <c r="CN38" i="3"/>
  <c r="CP38" i="3"/>
  <c r="CR38" i="3"/>
  <c r="CT38" i="3"/>
  <c r="CV38" i="3"/>
  <c r="CX38" i="3"/>
  <c r="CZ38" i="3"/>
  <c r="DB38" i="3"/>
  <c r="DD38" i="3"/>
  <c r="DF38" i="3"/>
  <c r="DH38" i="3"/>
  <c r="DJ38" i="3"/>
  <c r="DL38" i="3"/>
  <c r="DN38" i="3"/>
  <c r="DP38" i="3"/>
  <c r="DR38" i="3"/>
  <c r="DT38" i="3"/>
  <c r="DV38" i="3"/>
  <c r="DX38" i="3"/>
  <c r="DZ38" i="3"/>
  <c r="EB38" i="3"/>
  <c r="ED38" i="3"/>
  <c r="EF38" i="3"/>
  <c r="EH38" i="3"/>
  <c r="K39" i="3"/>
  <c r="M39" i="3"/>
  <c r="O39" i="3"/>
  <c r="Q39" i="3"/>
  <c r="S39" i="3"/>
  <c r="U39" i="3"/>
  <c r="W39" i="3"/>
  <c r="Y39" i="3"/>
  <c r="AA39" i="3"/>
  <c r="AC39" i="3"/>
  <c r="AE39" i="3"/>
  <c r="AG39" i="3"/>
  <c r="AI39" i="3"/>
  <c r="AK39" i="3"/>
  <c r="AM39" i="3"/>
  <c r="AO39" i="3"/>
  <c r="AQ39" i="3"/>
  <c r="AS39" i="3"/>
  <c r="AU39" i="3"/>
  <c r="AW39" i="3"/>
  <c r="AY39" i="3"/>
  <c r="BA39" i="3"/>
  <c r="BC39" i="3"/>
  <c r="BE39" i="3"/>
  <c r="BG39" i="3"/>
  <c r="BI39" i="3"/>
  <c r="BK39" i="3"/>
  <c r="BM39" i="3"/>
  <c r="BO39" i="3"/>
  <c r="BQ39" i="3"/>
  <c r="BS39" i="3"/>
  <c r="BU39" i="3"/>
  <c r="BW39" i="3"/>
  <c r="BY39" i="3"/>
  <c r="CA39" i="3"/>
  <c r="CC39" i="3"/>
  <c r="CE39" i="3"/>
  <c r="CG39" i="3"/>
  <c r="CI39" i="3"/>
  <c r="CK39" i="3"/>
  <c r="CM39" i="3"/>
  <c r="CO39" i="3"/>
  <c r="CQ39" i="3"/>
  <c r="CS39" i="3"/>
  <c r="CU39" i="3"/>
  <c r="CW39" i="3"/>
  <c r="CY39" i="3"/>
  <c r="DA39" i="3"/>
  <c r="DC39" i="3"/>
  <c r="DE39" i="3"/>
  <c r="DG39" i="3"/>
  <c r="DI39" i="3"/>
  <c r="DK39" i="3"/>
  <c r="DM39" i="3"/>
  <c r="DO39" i="3"/>
  <c r="DQ39" i="3"/>
  <c r="DS39" i="3"/>
  <c r="DU39" i="3"/>
  <c r="DW39" i="3"/>
  <c r="DY39" i="3"/>
  <c r="EA39" i="3"/>
  <c r="EC39" i="3"/>
  <c r="EE39" i="3"/>
  <c r="EG39" i="3"/>
  <c r="EI39" i="3"/>
  <c r="L40" i="3"/>
  <c r="N40" i="3"/>
  <c r="P40" i="3"/>
  <c r="R40" i="3"/>
  <c r="T40" i="3"/>
  <c r="V40" i="3"/>
  <c r="X40" i="3"/>
  <c r="Z40" i="3"/>
  <c r="AB40" i="3"/>
  <c r="AD40" i="3"/>
  <c r="AF40" i="3"/>
  <c r="AH40" i="3"/>
  <c r="AJ40" i="3"/>
  <c r="AL40" i="3"/>
  <c r="AN40" i="3"/>
  <c r="AP40" i="3"/>
  <c r="AR40" i="3"/>
  <c r="AT40" i="3"/>
  <c r="AV40" i="3"/>
  <c r="AX40" i="3"/>
  <c r="AZ40" i="3"/>
  <c r="BB40" i="3"/>
  <c r="BD40" i="3"/>
  <c r="BF40" i="3"/>
  <c r="BH40" i="3"/>
  <c r="BJ40" i="3"/>
  <c r="BL40" i="3"/>
  <c r="BN40" i="3"/>
  <c r="BP40" i="3"/>
  <c r="BR40" i="3"/>
  <c r="BT40" i="3"/>
  <c r="BV40" i="3"/>
  <c r="BX40" i="3"/>
  <c r="BZ40" i="3"/>
  <c r="CB40" i="3"/>
  <c r="CD40" i="3"/>
  <c r="CF40" i="3"/>
  <c r="CH40" i="3"/>
  <c r="CJ40" i="3"/>
  <c r="CL40" i="3"/>
  <c r="CN40" i="3"/>
  <c r="CP40" i="3"/>
  <c r="CR40" i="3"/>
  <c r="CT40" i="3"/>
  <c r="CV40" i="3"/>
  <c r="CX40" i="3"/>
  <c r="CZ40" i="3"/>
  <c r="DB40" i="3"/>
  <c r="DD40" i="3"/>
  <c r="DF40" i="3"/>
  <c r="DH40" i="3"/>
  <c r="DJ40" i="3"/>
  <c r="DL40" i="3"/>
  <c r="DN40" i="3"/>
  <c r="DP40" i="3"/>
  <c r="DR40" i="3"/>
  <c r="DT40" i="3"/>
  <c r="DV40" i="3"/>
  <c r="DX40" i="3"/>
  <c r="DZ40" i="3"/>
  <c r="EB40" i="3"/>
  <c r="ED40" i="3"/>
  <c r="EF40" i="3"/>
  <c r="EH40" i="3"/>
  <c r="K41" i="3"/>
  <c r="M41" i="3"/>
  <c r="O41" i="3"/>
  <c r="Q41" i="3"/>
  <c r="S41" i="3"/>
  <c r="U41" i="3"/>
  <c r="W41" i="3"/>
  <c r="Y41" i="3"/>
  <c r="AA41" i="3"/>
  <c r="AC41" i="3"/>
  <c r="AE41" i="3"/>
  <c r="AG41" i="3"/>
  <c r="AI41" i="3"/>
  <c r="AK41" i="3"/>
  <c r="AM41" i="3"/>
  <c r="AO41" i="3"/>
  <c r="AQ41" i="3"/>
  <c r="AS41" i="3"/>
  <c r="AU41" i="3"/>
  <c r="AW41" i="3"/>
  <c r="AY41" i="3"/>
  <c r="BA41" i="3"/>
  <c r="BC41" i="3"/>
  <c r="BE41" i="3"/>
  <c r="BG41" i="3"/>
  <c r="BI41" i="3"/>
  <c r="BK41" i="3"/>
  <c r="BM41" i="3"/>
  <c r="BO41" i="3"/>
  <c r="BQ41" i="3"/>
  <c r="BS41" i="3"/>
  <c r="BU41" i="3"/>
  <c r="BW41" i="3"/>
  <c r="BY41" i="3"/>
  <c r="CA41" i="3"/>
  <c r="CC41" i="3"/>
  <c r="CE41" i="3"/>
  <c r="CG41" i="3"/>
  <c r="CI41" i="3"/>
  <c r="CK41" i="3"/>
  <c r="CM41" i="3"/>
  <c r="CO41" i="3"/>
  <c r="CQ41" i="3"/>
  <c r="CS41" i="3"/>
  <c r="CU41" i="3"/>
  <c r="CW41" i="3"/>
  <c r="CY41" i="3"/>
  <c r="DA41" i="3"/>
  <c r="DC41" i="3"/>
  <c r="DE41" i="3"/>
  <c r="DG41" i="3"/>
  <c r="DI41" i="3"/>
  <c r="DK41" i="3"/>
  <c r="DM41" i="3"/>
  <c r="DO41" i="3"/>
  <c r="DQ41" i="3"/>
  <c r="DS41" i="3"/>
  <c r="DU41" i="3"/>
  <c r="DW41" i="3"/>
  <c r="DY41" i="3"/>
  <c r="EA41" i="3"/>
  <c r="EC41" i="3"/>
  <c r="EE41" i="3"/>
  <c r="EG41" i="3"/>
  <c r="EI41" i="3"/>
  <c r="L42" i="3"/>
  <c r="N42" i="3"/>
  <c r="P42" i="3"/>
  <c r="R42" i="3"/>
  <c r="T42" i="3"/>
  <c r="V42" i="3"/>
  <c r="X42" i="3"/>
  <c r="Z42" i="3"/>
  <c r="AB42" i="3"/>
  <c r="AD42" i="3"/>
  <c r="AF42" i="3"/>
  <c r="AH42" i="3"/>
  <c r="AJ42" i="3"/>
  <c r="AL42" i="3"/>
  <c r="AN42" i="3"/>
  <c r="AP42" i="3"/>
  <c r="AR42" i="3"/>
  <c r="AT42" i="3"/>
  <c r="AV42" i="3"/>
  <c r="AX42" i="3"/>
  <c r="AZ42" i="3"/>
  <c r="BB42" i="3"/>
  <c r="BD42" i="3"/>
  <c r="BF42" i="3"/>
  <c r="BH42" i="3"/>
  <c r="BJ42" i="3"/>
  <c r="BL42" i="3"/>
  <c r="BN42" i="3"/>
  <c r="BP42" i="3"/>
  <c r="BR42" i="3"/>
  <c r="BT42" i="3"/>
  <c r="BV42" i="3"/>
  <c r="BX42" i="3"/>
  <c r="BZ42" i="3"/>
  <c r="CB42" i="3"/>
  <c r="CD42" i="3"/>
  <c r="CF42" i="3"/>
  <c r="CH42" i="3"/>
  <c r="CJ42" i="3"/>
  <c r="CL42" i="3"/>
  <c r="CN42" i="3"/>
  <c r="CP42" i="3"/>
  <c r="CR42" i="3"/>
  <c r="DB31" i="3"/>
  <c r="DF31" i="3"/>
  <c r="DH31" i="3"/>
  <c r="DJ31" i="3"/>
  <c r="DL31" i="3"/>
  <c r="DN31" i="3"/>
  <c r="DP31" i="3"/>
  <c r="DR31" i="3"/>
  <c r="DT31" i="3"/>
  <c r="DV31" i="3"/>
  <c r="DX31" i="3"/>
  <c r="DZ31" i="3"/>
  <c r="EB31" i="3"/>
  <c r="ED31" i="3"/>
  <c r="EF31" i="3"/>
  <c r="EH31" i="3"/>
  <c r="T32" i="3"/>
  <c r="V32" i="3"/>
  <c r="X32" i="3"/>
  <c r="Z32" i="3"/>
  <c r="AB32" i="3"/>
  <c r="AD32" i="3"/>
  <c r="AF32" i="3"/>
  <c r="AH32" i="3"/>
  <c r="AJ32" i="3"/>
  <c r="AL32" i="3"/>
  <c r="AN32" i="3"/>
  <c r="AP32" i="3"/>
  <c r="AR32" i="3"/>
  <c r="AT32" i="3"/>
  <c r="AV32" i="3"/>
  <c r="AX32" i="3"/>
  <c r="AZ32" i="3"/>
  <c r="BB32" i="3"/>
  <c r="BD32" i="3"/>
  <c r="BF32" i="3"/>
  <c r="BH32" i="3"/>
  <c r="BJ32" i="3"/>
  <c r="BL32" i="3"/>
  <c r="BN32" i="3"/>
  <c r="BP32" i="3"/>
  <c r="BR32" i="3"/>
  <c r="BT32" i="3"/>
  <c r="BV32" i="3"/>
  <c r="BX32" i="3"/>
  <c r="BZ32" i="3"/>
  <c r="CB32" i="3"/>
  <c r="CD32" i="3"/>
  <c r="CF32" i="3"/>
  <c r="CH32" i="3"/>
  <c r="CJ32" i="3"/>
  <c r="CL32" i="3"/>
  <c r="CN32" i="3"/>
  <c r="CP32" i="3"/>
  <c r="CR32" i="3"/>
  <c r="CT32" i="3"/>
  <c r="CV32" i="3"/>
  <c r="CX32" i="3"/>
  <c r="CZ32" i="3"/>
  <c r="DB32" i="3"/>
  <c r="DD32" i="3"/>
  <c r="DF32" i="3"/>
  <c r="DH32" i="3"/>
  <c r="DJ32" i="3"/>
  <c r="DL32" i="3"/>
  <c r="DN32" i="3"/>
  <c r="DP32" i="3"/>
  <c r="DR32" i="3"/>
  <c r="DT32" i="3"/>
  <c r="DV32" i="3"/>
  <c r="DX32" i="3"/>
  <c r="DZ32" i="3"/>
  <c r="EB32" i="3"/>
  <c r="ED32" i="3"/>
  <c r="EF32" i="3"/>
  <c r="EH32" i="3"/>
  <c r="K33" i="3"/>
  <c r="M33" i="3"/>
  <c r="O33" i="3"/>
  <c r="Q33" i="3"/>
  <c r="S33" i="3"/>
  <c r="U33" i="3"/>
  <c r="W33" i="3"/>
  <c r="Y33" i="3"/>
  <c r="AA33" i="3"/>
  <c r="AC33" i="3"/>
  <c r="AE33" i="3"/>
  <c r="AG33" i="3"/>
  <c r="AI33" i="3"/>
  <c r="AK33" i="3"/>
  <c r="AM33" i="3"/>
  <c r="AO33" i="3"/>
  <c r="AQ33" i="3"/>
  <c r="AS33" i="3"/>
  <c r="AU33" i="3"/>
  <c r="AW33" i="3"/>
  <c r="AY33" i="3"/>
  <c r="BA33" i="3"/>
  <c r="BC33" i="3"/>
  <c r="BE33" i="3"/>
  <c r="BG33" i="3"/>
  <c r="BI33" i="3"/>
  <c r="BK33" i="3"/>
  <c r="BM33" i="3"/>
  <c r="BO33" i="3"/>
  <c r="BQ33" i="3"/>
  <c r="BS33" i="3"/>
  <c r="BU33" i="3"/>
  <c r="BW33" i="3"/>
  <c r="BY33" i="3"/>
  <c r="CA33" i="3"/>
  <c r="CC33" i="3"/>
  <c r="CE33" i="3"/>
  <c r="CG33" i="3"/>
  <c r="CI33" i="3"/>
  <c r="CK33" i="3"/>
  <c r="CM33" i="3"/>
  <c r="CO33" i="3"/>
  <c r="CQ33" i="3"/>
  <c r="CS33" i="3"/>
  <c r="CU33" i="3"/>
  <c r="CW33" i="3"/>
  <c r="CY33" i="3"/>
  <c r="DA33" i="3"/>
  <c r="DC33" i="3"/>
  <c r="DE33" i="3"/>
  <c r="DG33" i="3"/>
  <c r="DI33" i="3"/>
  <c r="DK33" i="3"/>
  <c r="DM33" i="3"/>
  <c r="DO33" i="3"/>
  <c r="DQ33" i="3"/>
  <c r="DS33" i="3"/>
  <c r="DU33" i="3"/>
  <c r="DW33" i="3"/>
  <c r="DY33" i="3"/>
  <c r="EA33" i="3"/>
  <c r="EC33" i="3"/>
  <c r="EE33" i="3"/>
  <c r="EG33" i="3"/>
  <c r="EI33" i="3"/>
  <c r="M34" i="3"/>
  <c r="O34" i="3"/>
  <c r="Q34" i="3"/>
  <c r="S34" i="3"/>
  <c r="U34" i="3"/>
  <c r="W34" i="3"/>
  <c r="Y34" i="3"/>
  <c r="AA34" i="3"/>
  <c r="AC34" i="3"/>
  <c r="AE34" i="3"/>
  <c r="AG34" i="3"/>
  <c r="AI34" i="3"/>
  <c r="AK34" i="3"/>
  <c r="AM34" i="3"/>
  <c r="AO34" i="3"/>
  <c r="AQ34" i="3"/>
  <c r="AS34" i="3"/>
  <c r="AU34" i="3"/>
  <c r="AW34" i="3"/>
  <c r="AY34" i="3"/>
  <c r="BA34" i="3"/>
  <c r="BC34" i="3"/>
  <c r="BE34" i="3"/>
  <c r="BG34" i="3"/>
  <c r="BI34" i="3"/>
  <c r="BK34" i="3"/>
  <c r="BM34" i="3"/>
  <c r="BO34" i="3"/>
  <c r="BQ34" i="3"/>
  <c r="BS34" i="3"/>
  <c r="BU34" i="3"/>
  <c r="BW34" i="3"/>
  <c r="BY34" i="3"/>
  <c r="CA34" i="3"/>
  <c r="CC34" i="3"/>
  <c r="CE34" i="3"/>
  <c r="CG34" i="3"/>
  <c r="CI34" i="3"/>
  <c r="CK34" i="3"/>
  <c r="CM34" i="3"/>
  <c r="CO34" i="3"/>
  <c r="CQ34" i="3"/>
  <c r="CS34" i="3"/>
  <c r="CU34" i="3"/>
  <c r="CW34" i="3"/>
  <c r="CY34" i="3"/>
  <c r="DA34" i="3"/>
  <c r="DC34" i="3"/>
  <c r="DE34" i="3"/>
  <c r="DG34" i="3"/>
  <c r="DI34" i="3"/>
  <c r="DK34" i="3"/>
  <c r="DM34" i="3"/>
  <c r="DO34" i="3"/>
  <c r="DQ34" i="3"/>
  <c r="DS34" i="3"/>
  <c r="DU34" i="3"/>
  <c r="DW34" i="3"/>
  <c r="DY34" i="3"/>
  <c r="EA34" i="3"/>
  <c r="EC34" i="3"/>
  <c r="EE34" i="3"/>
  <c r="EG34" i="3"/>
  <c r="EI34" i="3"/>
  <c r="M35" i="3"/>
  <c r="O35" i="3"/>
  <c r="Q35" i="3"/>
  <c r="S35" i="3"/>
  <c r="U35" i="3"/>
  <c r="W35" i="3"/>
  <c r="Y35" i="3"/>
  <c r="AA35" i="3"/>
  <c r="AC35" i="3"/>
  <c r="AE35" i="3"/>
  <c r="AG35" i="3"/>
  <c r="AI35" i="3"/>
  <c r="AK35" i="3"/>
  <c r="AM35" i="3"/>
  <c r="AO35" i="3"/>
  <c r="AQ35" i="3"/>
  <c r="AS35" i="3"/>
  <c r="AU35" i="3"/>
  <c r="AW35" i="3"/>
  <c r="AY35" i="3"/>
  <c r="BA35" i="3"/>
  <c r="BC35" i="3"/>
  <c r="BE35" i="3"/>
  <c r="BG35" i="3"/>
  <c r="BI35" i="3"/>
  <c r="BK35" i="3"/>
  <c r="BM35" i="3"/>
  <c r="BO35" i="3"/>
  <c r="BQ35" i="3"/>
  <c r="BS35" i="3"/>
  <c r="BU35" i="3"/>
  <c r="BW35" i="3"/>
  <c r="BY35" i="3"/>
  <c r="CA35" i="3"/>
  <c r="CC35" i="3"/>
  <c r="CE35" i="3"/>
  <c r="CG35" i="3"/>
  <c r="CI35" i="3"/>
  <c r="CK35" i="3"/>
  <c r="CM35" i="3"/>
  <c r="CO35" i="3"/>
  <c r="CQ35" i="3"/>
  <c r="CS35" i="3"/>
  <c r="CU35" i="3"/>
  <c r="CW35" i="3"/>
  <c r="CY35" i="3"/>
  <c r="DA35" i="3"/>
  <c r="DC35" i="3"/>
  <c r="DE35" i="3"/>
  <c r="DG35" i="3"/>
  <c r="DI35" i="3"/>
  <c r="DK35" i="3"/>
  <c r="DM35" i="3"/>
  <c r="DO35" i="3"/>
  <c r="DQ35" i="3"/>
  <c r="DS35" i="3"/>
  <c r="DU35" i="3"/>
  <c r="DW35" i="3"/>
  <c r="DY35" i="3"/>
  <c r="EA35" i="3"/>
  <c r="EC35" i="3"/>
  <c r="EE35" i="3"/>
  <c r="EG35" i="3"/>
  <c r="EI35" i="3"/>
  <c r="X36" i="3"/>
  <c r="Z36" i="3"/>
  <c r="AB36" i="3"/>
  <c r="AD36" i="3"/>
  <c r="AF36" i="3"/>
  <c r="AH36" i="3"/>
  <c r="AJ36" i="3"/>
  <c r="AL36" i="3"/>
  <c r="AN36" i="3"/>
  <c r="AP36" i="3"/>
  <c r="AR36" i="3"/>
  <c r="AT36" i="3"/>
  <c r="AV36" i="3"/>
  <c r="AX36" i="3"/>
  <c r="AZ36" i="3"/>
  <c r="BB36" i="3"/>
  <c r="BD36" i="3"/>
  <c r="BF36" i="3"/>
  <c r="BH36" i="3"/>
  <c r="BJ36" i="3"/>
  <c r="BL36" i="3"/>
  <c r="BN36" i="3"/>
  <c r="BP36" i="3"/>
  <c r="BR36" i="3"/>
  <c r="BT36" i="3"/>
  <c r="BV36" i="3"/>
  <c r="BX36" i="3"/>
  <c r="BZ36" i="3"/>
  <c r="CB36" i="3"/>
  <c r="CD36" i="3"/>
  <c r="CF36" i="3"/>
  <c r="CH36" i="3"/>
  <c r="CJ36" i="3"/>
  <c r="CL36" i="3"/>
  <c r="CN36" i="3"/>
  <c r="CP36" i="3"/>
  <c r="CR36" i="3"/>
  <c r="CT36" i="3"/>
  <c r="CV36" i="3"/>
  <c r="CX36" i="3"/>
  <c r="CZ36" i="3"/>
  <c r="DB36" i="3"/>
  <c r="DD36" i="3"/>
  <c r="DF36" i="3"/>
  <c r="DH36" i="3"/>
  <c r="DJ36" i="3"/>
  <c r="DL36" i="3"/>
  <c r="DN36" i="3"/>
  <c r="DP36" i="3"/>
  <c r="DR36" i="3"/>
  <c r="DT36" i="3"/>
  <c r="DV36" i="3"/>
  <c r="DX36" i="3"/>
  <c r="DZ36" i="3"/>
  <c r="EB36" i="3"/>
  <c r="ED36" i="3"/>
  <c r="EF36" i="3"/>
  <c r="EH36" i="3"/>
  <c r="L37" i="3"/>
  <c r="N37" i="3"/>
  <c r="P37" i="3"/>
  <c r="R37" i="3"/>
  <c r="T37" i="3"/>
  <c r="V37" i="3"/>
  <c r="X37" i="3"/>
  <c r="Z37" i="3"/>
  <c r="AB37" i="3"/>
  <c r="AD37" i="3"/>
  <c r="AF37" i="3"/>
  <c r="AH37" i="3"/>
  <c r="AJ37" i="3"/>
  <c r="AL37" i="3"/>
  <c r="AN37" i="3"/>
  <c r="AP37" i="3"/>
  <c r="AR37" i="3"/>
  <c r="AT37" i="3"/>
  <c r="AV37" i="3"/>
  <c r="AX37" i="3"/>
  <c r="AZ37" i="3"/>
  <c r="BB37" i="3"/>
  <c r="BD37" i="3"/>
  <c r="BF37" i="3"/>
  <c r="BH37" i="3"/>
  <c r="BJ37" i="3"/>
  <c r="BL37" i="3"/>
  <c r="BN37" i="3"/>
  <c r="BP37" i="3"/>
  <c r="BR37" i="3"/>
  <c r="BT37" i="3"/>
  <c r="BV37" i="3"/>
  <c r="BX37" i="3"/>
  <c r="BZ37" i="3"/>
  <c r="CB37" i="3"/>
  <c r="CD37" i="3"/>
  <c r="CF37" i="3"/>
  <c r="CH37" i="3"/>
  <c r="CJ37" i="3"/>
  <c r="CL37" i="3"/>
  <c r="CN37" i="3"/>
  <c r="CP37" i="3"/>
  <c r="CR37" i="3"/>
  <c r="CT37" i="3"/>
  <c r="CV37" i="3"/>
  <c r="CX37" i="3"/>
  <c r="CZ37" i="3"/>
  <c r="DB37" i="3"/>
  <c r="DD37" i="3"/>
  <c r="DF37" i="3"/>
  <c r="DH37" i="3"/>
  <c r="DJ37" i="3"/>
  <c r="DL37" i="3"/>
  <c r="DN37" i="3"/>
  <c r="DP37" i="3"/>
  <c r="DR37" i="3"/>
  <c r="DT37" i="3"/>
  <c r="DV37" i="3"/>
  <c r="DX37" i="3"/>
  <c r="DZ37" i="3"/>
  <c r="EB37" i="3"/>
  <c r="ED37" i="3"/>
  <c r="EF37" i="3"/>
  <c r="EH37" i="3"/>
  <c r="K38" i="3"/>
  <c r="M38" i="3"/>
  <c r="O38" i="3"/>
  <c r="Q38" i="3"/>
  <c r="S38" i="3"/>
  <c r="U38" i="3"/>
  <c r="W38" i="3"/>
  <c r="Y38" i="3"/>
  <c r="AA38" i="3"/>
  <c r="AC38" i="3"/>
  <c r="AE38" i="3"/>
  <c r="AG38" i="3"/>
  <c r="AI38" i="3"/>
  <c r="AK38" i="3"/>
  <c r="AM38" i="3"/>
  <c r="AO38" i="3"/>
  <c r="AQ38" i="3"/>
  <c r="AS38" i="3"/>
  <c r="AU38" i="3"/>
  <c r="AW38" i="3"/>
  <c r="AY38" i="3"/>
  <c r="BA38" i="3"/>
  <c r="BC38" i="3"/>
  <c r="BE38" i="3"/>
  <c r="BG38" i="3"/>
  <c r="BI38" i="3"/>
  <c r="BK38" i="3"/>
  <c r="BM38" i="3"/>
  <c r="BO38" i="3"/>
  <c r="BQ38" i="3"/>
  <c r="BS38" i="3"/>
  <c r="BU38" i="3"/>
  <c r="BW38" i="3"/>
  <c r="BY38" i="3"/>
  <c r="CA38" i="3"/>
  <c r="CC38" i="3"/>
  <c r="CE38" i="3"/>
  <c r="CG38" i="3"/>
  <c r="CI38" i="3"/>
  <c r="CK38" i="3"/>
  <c r="CM38" i="3"/>
  <c r="CO38" i="3"/>
  <c r="CQ38" i="3"/>
  <c r="CS38" i="3"/>
  <c r="CU38" i="3"/>
  <c r="CW38" i="3"/>
  <c r="CY38" i="3"/>
  <c r="DA38" i="3"/>
  <c r="DC38" i="3"/>
  <c r="DE38" i="3"/>
  <c r="DG38" i="3"/>
  <c r="DI38" i="3"/>
  <c r="DK38" i="3"/>
  <c r="DM38" i="3"/>
  <c r="DO38" i="3"/>
  <c r="DQ38" i="3"/>
  <c r="DS38" i="3"/>
  <c r="DU38" i="3"/>
  <c r="DW38" i="3"/>
  <c r="DY38" i="3"/>
  <c r="EA38" i="3"/>
  <c r="EC38" i="3"/>
  <c r="EE38" i="3"/>
  <c r="EG38" i="3"/>
  <c r="EI38" i="3"/>
  <c r="L39" i="3"/>
  <c r="N39" i="3"/>
  <c r="P39" i="3"/>
  <c r="R39" i="3"/>
  <c r="T39" i="3"/>
  <c r="V39" i="3"/>
  <c r="X39" i="3"/>
  <c r="Z39" i="3"/>
  <c r="AB39" i="3"/>
  <c r="AD39" i="3"/>
  <c r="AF39" i="3"/>
  <c r="AH39" i="3"/>
  <c r="AJ39" i="3"/>
  <c r="AL39" i="3"/>
  <c r="AN39" i="3"/>
  <c r="AP39" i="3"/>
  <c r="AR39" i="3"/>
  <c r="AT39" i="3"/>
  <c r="AV39" i="3"/>
  <c r="AX39" i="3"/>
  <c r="AZ39" i="3"/>
  <c r="BB39" i="3"/>
  <c r="BD39" i="3"/>
  <c r="BF39" i="3"/>
  <c r="BH39" i="3"/>
  <c r="BJ39" i="3"/>
  <c r="BL39" i="3"/>
  <c r="BN39" i="3"/>
  <c r="BP39" i="3"/>
  <c r="BR39" i="3"/>
  <c r="BT39" i="3"/>
  <c r="BV39" i="3"/>
  <c r="BX39" i="3"/>
  <c r="BZ39" i="3"/>
  <c r="CB39" i="3"/>
  <c r="CD39" i="3"/>
  <c r="CF39" i="3"/>
  <c r="CH39" i="3"/>
  <c r="CJ39" i="3"/>
  <c r="CL39" i="3"/>
  <c r="CN39" i="3"/>
  <c r="CP39" i="3"/>
  <c r="CR39" i="3"/>
  <c r="CT39" i="3"/>
  <c r="CV39" i="3"/>
  <c r="CX39" i="3"/>
  <c r="CZ39" i="3"/>
  <c r="DB39" i="3"/>
  <c r="DD39" i="3"/>
  <c r="DF39" i="3"/>
  <c r="DH39" i="3"/>
  <c r="DJ39" i="3"/>
  <c r="DL39" i="3"/>
  <c r="DN39" i="3"/>
  <c r="DP39" i="3"/>
  <c r="DR39" i="3"/>
  <c r="DT39" i="3"/>
  <c r="DV39" i="3"/>
  <c r="DX39" i="3"/>
  <c r="DZ39" i="3"/>
  <c r="EB39" i="3"/>
  <c r="ED39" i="3"/>
  <c r="EF39" i="3"/>
  <c r="EH39" i="3"/>
  <c r="K40" i="3"/>
  <c r="M40" i="3"/>
  <c r="O40" i="3"/>
  <c r="Q40" i="3"/>
  <c r="S40" i="3"/>
  <c r="U40" i="3"/>
  <c r="W40" i="3"/>
  <c r="Y40" i="3"/>
  <c r="AA40" i="3"/>
  <c r="AC40" i="3"/>
  <c r="AE40" i="3"/>
  <c r="AG40" i="3"/>
  <c r="AI40" i="3"/>
  <c r="AK40" i="3"/>
  <c r="AM40" i="3"/>
  <c r="AO40" i="3"/>
  <c r="AQ40" i="3"/>
  <c r="AS40" i="3"/>
  <c r="AU40" i="3"/>
  <c r="AW40" i="3"/>
  <c r="AY40" i="3"/>
  <c r="BA40" i="3"/>
  <c r="BC40" i="3"/>
  <c r="BE40" i="3"/>
  <c r="BG40" i="3"/>
  <c r="BI40" i="3"/>
  <c r="BK40" i="3"/>
  <c r="BM40" i="3"/>
  <c r="BO40" i="3"/>
  <c r="BQ40" i="3"/>
  <c r="BS40" i="3"/>
  <c r="BU40" i="3"/>
  <c r="BW40" i="3"/>
  <c r="BY40" i="3"/>
  <c r="CA40" i="3"/>
  <c r="CC40" i="3"/>
  <c r="CE40" i="3"/>
  <c r="CG40" i="3"/>
  <c r="CI40" i="3"/>
  <c r="CK40" i="3"/>
  <c r="CM40" i="3"/>
  <c r="CO40" i="3"/>
  <c r="CQ40" i="3"/>
  <c r="CS40" i="3"/>
  <c r="CU40" i="3"/>
  <c r="CW40" i="3"/>
  <c r="CY40" i="3"/>
  <c r="DA40" i="3"/>
  <c r="DC40" i="3"/>
  <c r="DE40" i="3"/>
  <c r="DG40" i="3"/>
  <c r="DI40" i="3"/>
  <c r="DK40" i="3"/>
  <c r="DM40" i="3"/>
  <c r="DO40" i="3"/>
  <c r="DQ40" i="3"/>
  <c r="DS40" i="3"/>
  <c r="DU40" i="3"/>
  <c r="DW40" i="3"/>
  <c r="DY40" i="3"/>
  <c r="EA40" i="3"/>
  <c r="EC40" i="3"/>
  <c r="EE40" i="3"/>
  <c r="EG40" i="3"/>
  <c r="EI40" i="3"/>
  <c r="L41" i="3"/>
  <c r="N41" i="3"/>
  <c r="P41" i="3"/>
  <c r="R41" i="3"/>
  <c r="T41" i="3"/>
  <c r="V41" i="3"/>
  <c r="X41" i="3"/>
  <c r="Z41" i="3"/>
  <c r="AB41" i="3"/>
  <c r="AD41" i="3"/>
  <c r="AF41" i="3"/>
  <c r="AH41" i="3"/>
  <c r="AJ41" i="3"/>
  <c r="AL41" i="3"/>
  <c r="AN41" i="3"/>
  <c r="AP41" i="3"/>
  <c r="AR41" i="3"/>
  <c r="AT41" i="3"/>
  <c r="AV41" i="3"/>
  <c r="AX41" i="3"/>
  <c r="AZ41" i="3"/>
  <c r="BB41" i="3"/>
  <c r="BD41" i="3"/>
  <c r="BF41" i="3"/>
  <c r="BH41" i="3"/>
  <c r="BJ41" i="3"/>
  <c r="BL41" i="3"/>
  <c r="BN41" i="3"/>
  <c r="BP41" i="3"/>
  <c r="BR41" i="3"/>
  <c r="BT41" i="3"/>
  <c r="BV41" i="3"/>
  <c r="BX41" i="3"/>
  <c r="BZ41" i="3"/>
  <c r="CB41" i="3"/>
  <c r="CD41" i="3"/>
  <c r="CF41" i="3"/>
  <c r="CH41" i="3"/>
  <c r="CJ41" i="3"/>
  <c r="CL41" i="3"/>
  <c r="CN41" i="3"/>
  <c r="CP41" i="3"/>
  <c r="CR41" i="3"/>
  <c r="CT41" i="3"/>
  <c r="CV41" i="3"/>
  <c r="CX41" i="3"/>
  <c r="CZ41" i="3"/>
  <c r="DB41" i="3"/>
  <c r="DD41" i="3"/>
  <c r="DF41" i="3"/>
  <c r="DH41" i="3"/>
  <c r="DJ41" i="3"/>
  <c r="DL41" i="3"/>
  <c r="DN41" i="3"/>
  <c r="DP41" i="3"/>
  <c r="DR41" i="3"/>
  <c r="DT41" i="3"/>
  <c r="DV41" i="3"/>
  <c r="DX41" i="3"/>
  <c r="DZ41" i="3"/>
  <c r="EB41" i="3"/>
  <c r="ED41" i="3"/>
  <c r="EF41" i="3"/>
  <c r="EH41" i="3"/>
  <c r="K42" i="3"/>
  <c r="M42" i="3"/>
  <c r="O42" i="3"/>
  <c r="Q42" i="3"/>
  <c r="S42" i="3"/>
  <c r="U42" i="3"/>
  <c r="W42" i="3"/>
  <c r="Y42" i="3"/>
  <c r="AA42" i="3"/>
  <c r="AC42" i="3"/>
  <c r="AE42" i="3"/>
  <c r="AG42" i="3"/>
  <c r="AI42" i="3"/>
  <c r="AK42" i="3"/>
  <c r="AM42" i="3"/>
  <c r="AO42" i="3"/>
  <c r="AQ42" i="3"/>
  <c r="AS42" i="3"/>
  <c r="AU42" i="3"/>
  <c r="AW42" i="3"/>
  <c r="AY42" i="3"/>
  <c r="BA42" i="3"/>
  <c r="BC42" i="3"/>
  <c r="BE42" i="3"/>
  <c r="BG42" i="3"/>
  <c r="BI42" i="3"/>
  <c r="BK42" i="3"/>
  <c r="BM42" i="3"/>
  <c r="BO42" i="3"/>
  <c r="BQ42" i="3"/>
  <c r="BS42" i="3"/>
  <c r="BU42" i="3"/>
  <c r="BW42" i="3"/>
  <c r="CA42" i="3"/>
  <c r="CE42" i="3"/>
  <c r="CI42" i="3"/>
  <c r="CM42" i="3"/>
  <c r="CQ42" i="3"/>
  <c r="CT42" i="3"/>
  <c r="CV42" i="3"/>
  <c r="CX42" i="3"/>
  <c r="CZ42" i="3"/>
  <c r="DB42" i="3"/>
  <c r="DD42" i="3"/>
  <c r="DF42" i="3"/>
  <c r="DH42" i="3"/>
  <c r="DJ42" i="3"/>
  <c r="DL42" i="3"/>
  <c r="DN42" i="3"/>
  <c r="DP42" i="3"/>
  <c r="DR42" i="3"/>
  <c r="DT42" i="3"/>
  <c r="DV42" i="3"/>
  <c r="DX42" i="3"/>
  <c r="DZ42" i="3"/>
  <c r="EB42" i="3"/>
  <c r="ED42" i="3"/>
  <c r="EF42" i="3"/>
  <c r="EH42" i="3"/>
  <c r="L43" i="3"/>
  <c r="N43" i="3"/>
  <c r="P43" i="3"/>
  <c r="R43" i="3"/>
  <c r="T43" i="3"/>
  <c r="V43" i="3"/>
  <c r="X43" i="3"/>
  <c r="Z43" i="3"/>
  <c r="AB43" i="3"/>
  <c r="AD43" i="3"/>
  <c r="AF43" i="3"/>
  <c r="AH43" i="3"/>
  <c r="AJ43" i="3"/>
  <c r="AL43" i="3"/>
  <c r="AN43" i="3"/>
  <c r="AP43" i="3"/>
  <c r="AR43" i="3"/>
  <c r="AT43" i="3"/>
  <c r="AV43" i="3"/>
  <c r="AX43" i="3"/>
  <c r="AZ43" i="3"/>
  <c r="BB43" i="3"/>
  <c r="BD43" i="3"/>
  <c r="BF43" i="3"/>
  <c r="BH43" i="3"/>
  <c r="BJ43" i="3"/>
  <c r="BL43" i="3"/>
  <c r="BN43" i="3"/>
  <c r="BP43" i="3"/>
  <c r="BR43" i="3"/>
  <c r="BT43" i="3"/>
  <c r="BV43" i="3"/>
  <c r="BX43" i="3"/>
  <c r="BZ43" i="3"/>
  <c r="CB43" i="3"/>
  <c r="CD43" i="3"/>
  <c r="CF43" i="3"/>
  <c r="CH43" i="3"/>
  <c r="CJ43" i="3"/>
  <c r="CL43" i="3"/>
  <c r="CN43" i="3"/>
  <c r="CP43" i="3"/>
  <c r="CR43" i="3"/>
  <c r="CT43" i="3"/>
  <c r="CV43" i="3"/>
  <c r="CX43" i="3"/>
  <c r="CZ43" i="3"/>
  <c r="DB43" i="3"/>
  <c r="DD43" i="3"/>
  <c r="DF43" i="3"/>
  <c r="DH43" i="3"/>
  <c r="DJ43" i="3"/>
  <c r="DL43" i="3"/>
  <c r="DN43" i="3"/>
  <c r="DP43" i="3"/>
  <c r="DR43" i="3"/>
  <c r="DT43" i="3"/>
  <c r="DV43" i="3"/>
  <c r="DX43" i="3"/>
  <c r="DZ43" i="3"/>
  <c r="EB43" i="3"/>
  <c r="ED43" i="3"/>
  <c r="EF43" i="3"/>
  <c r="EH43" i="3"/>
  <c r="AA44" i="3"/>
  <c r="AC44" i="3"/>
  <c r="AE44" i="3"/>
  <c r="AG44" i="3"/>
  <c r="AI44" i="3"/>
  <c r="AK44" i="3"/>
  <c r="AM44" i="3"/>
  <c r="AO44" i="3"/>
  <c r="AQ44" i="3"/>
  <c r="AS44" i="3"/>
  <c r="AU44" i="3"/>
  <c r="AW44" i="3"/>
  <c r="AY44" i="3"/>
  <c r="BA44" i="3"/>
  <c r="BC44" i="3"/>
  <c r="BE44" i="3"/>
  <c r="BG44" i="3"/>
  <c r="BI44" i="3"/>
  <c r="BK44" i="3"/>
  <c r="BM44" i="3"/>
  <c r="BO44" i="3"/>
  <c r="BQ44" i="3"/>
  <c r="BS44" i="3"/>
  <c r="BU44" i="3"/>
  <c r="BW44" i="3"/>
  <c r="BY44" i="3"/>
  <c r="CA44" i="3"/>
  <c r="CC44" i="3"/>
  <c r="CE44" i="3"/>
  <c r="CG44" i="3"/>
  <c r="CI44" i="3"/>
  <c r="CK44" i="3"/>
  <c r="CM44" i="3"/>
  <c r="CO44" i="3"/>
  <c r="CQ44" i="3"/>
  <c r="CS44" i="3"/>
  <c r="CU44" i="3"/>
  <c r="CW44" i="3"/>
  <c r="CY44" i="3"/>
  <c r="DA44" i="3"/>
  <c r="DC44" i="3"/>
  <c r="DE44" i="3"/>
  <c r="DG44" i="3"/>
  <c r="DI44" i="3"/>
  <c r="DK44" i="3"/>
  <c r="DM44" i="3"/>
  <c r="DO44" i="3"/>
  <c r="DQ44" i="3"/>
  <c r="DS44" i="3"/>
  <c r="DU44" i="3"/>
  <c r="DW44" i="3"/>
  <c r="DY44" i="3"/>
  <c r="EA44" i="3"/>
  <c r="EC44" i="3"/>
  <c r="EE44" i="3"/>
  <c r="EG44" i="3"/>
  <c r="EI44" i="3"/>
  <c r="N45" i="3"/>
  <c r="P45" i="3"/>
  <c r="R45" i="3"/>
  <c r="T45" i="3"/>
  <c r="V45" i="3"/>
  <c r="X45" i="3"/>
  <c r="Z45" i="3"/>
  <c r="AB45" i="3"/>
  <c r="AD45" i="3"/>
  <c r="AF45" i="3"/>
  <c r="AH45" i="3"/>
  <c r="AJ45" i="3"/>
  <c r="AL45" i="3"/>
  <c r="AN45" i="3"/>
  <c r="AP45" i="3"/>
  <c r="AR45" i="3"/>
  <c r="AT45" i="3"/>
  <c r="AV45" i="3"/>
  <c r="AX45" i="3"/>
  <c r="AZ45" i="3"/>
  <c r="BB45" i="3"/>
  <c r="BD45" i="3"/>
  <c r="BF45" i="3"/>
  <c r="BH45" i="3"/>
  <c r="BJ45" i="3"/>
  <c r="BL45" i="3"/>
  <c r="BN45" i="3"/>
  <c r="BP45" i="3"/>
  <c r="BR45" i="3"/>
  <c r="BT45" i="3"/>
  <c r="BV45" i="3"/>
  <c r="BX45" i="3"/>
  <c r="BZ45" i="3"/>
  <c r="CB45" i="3"/>
  <c r="CD45" i="3"/>
  <c r="CF45" i="3"/>
  <c r="CH45" i="3"/>
  <c r="CJ45" i="3"/>
  <c r="CL45" i="3"/>
  <c r="CN45" i="3"/>
  <c r="CP45" i="3"/>
  <c r="CR45" i="3"/>
  <c r="CT45" i="3"/>
  <c r="CV45" i="3"/>
  <c r="CX45" i="3"/>
  <c r="CZ45" i="3"/>
  <c r="DB45" i="3"/>
  <c r="DD45" i="3"/>
  <c r="DF45" i="3"/>
  <c r="DH45" i="3"/>
  <c r="DJ45" i="3"/>
  <c r="DL45" i="3"/>
  <c r="DN45" i="3"/>
  <c r="DP45" i="3"/>
  <c r="DR45" i="3"/>
  <c r="DT45" i="3"/>
  <c r="DV45" i="3"/>
  <c r="DX45" i="3"/>
  <c r="DZ45" i="3"/>
  <c r="EB45" i="3"/>
  <c r="ED45" i="3"/>
  <c r="EF45" i="3"/>
  <c r="EH45" i="3"/>
  <c r="L46" i="3"/>
  <c r="N46" i="3"/>
  <c r="P46" i="3"/>
  <c r="R46" i="3"/>
  <c r="T46" i="3"/>
  <c r="V46" i="3"/>
  <c r="X46" i="3"/>
  <c r="Z46" i="3"/>
  <c r="AB46" i="3"/>
  <c r="AD46" i="3"/>
  <c r="AF46" i="3"/>
  <c r="AH46" i="3"/>
  <c r="AJ46" i="3"/>
  <c r="AL46" i="3"/>
  <c r="AN46" i="3"/>
  <c r="AP46" i="3"/>
  <c r="AR46" i="3"/>
  <c r="AT46" i="3"/>
  <c r="AV46" i="3"/>
  <c r="AX46" i="3"/>
  <c r="AZ46" i="3"/>
  <c r="BB46" i="3"/>
  <c r="BD46" i="3"/>
  <c r="BF46" i="3"/>
  <c r="BH46" i="3"/>
  <c r="BJ46" i="3"/>
  <c r="BL46" i="3"/>
  <c r="BN46" i="3"/>
  <c r="BP46" i="3"/>
  <c r="BR46" i="3"/>
  <c r="BT46" i="3"/>
  <c r="BV46" i="3"/>
  <c r="BX46" i="3"/>
  <c r="BZ46" i="3"/>
  <c r="CB46" i="3"/>
  <c r="CD46" i="3"/>
  <c r="CF46" i="3"/>
  <c r="CH46" i="3"/>
  <c r="CJ46" i="3"/>
  <c r="CL46" i="3"/>
  <c r="CN46" i="3"/>
  <c r="CP46" i="3"/>
  <c r="CR46" i="3"/>
  <c r="CT46" i="3"/>
  <c r="CV46" i="3"/>
  <c r="CX46" i="3"/>
  <c r="CZ46" i="3"/>
  <c r="DB46" i="3"/>
  <c r="DD46" i="3"/>
  <c r="DF46" i="3"/>
  <c r="DH46" i="3"/>
  <c r="DJ46" i="3"/>
  <c r="DL46" i="3"/>
  <c r="DN46" i="3"/>
  <c r="DP46" i="3"/>
  <c r="DR46" i="3"/>
  <c r="DT46" i="3"/>
  <c r="DV46" i="3"/>
  <c r="DX46" i="3"/>
  <c r="DZ46" i="3"/>
  <c r="EB46" i="3"/>
  <c r="ED46" i="3"/>
  <c r="EF46" i="3"/>
  <c r="EH46" i="3"/>
  <c r="M47" i="3"/>
  <c r="O47" i="3"/>
  <c r="Q47" i="3"/>
  <c r="S47" i="3"/>
  <c r="U47" i="3"/>
  <c r="W47" i="3"/>
  <c r="Y47" i="3"/>
  <c r="AA47" i="3"/>
  <c r="AC47" i="3"/>
  <c r="AE47" i="3"/>
  <c r="AG47" i="3"/>
  <c r="AI47" i="3"/>
  <c r="AK47" i="3"/>
  <c r="AM47" i="3"/>
  <c r="AO47" i="3"/>
  <c r="AQ47" i="3"/>
  <c r="AS47" i="3"/>
  <c r="AU47" i="3"/>
  <c r="AW47" i="3"/>
  <c r="AY47" i="3"/>
  <c r="BA47" i="3"/>
  <c r="BC47" i="3"/>
  <c r="BE47" i="3"/>
  <c r="BG47" i="3"/>
  <c r="BI47" i="3"/>
  <c r="BK47" i="3"/>
  <c r="BM47" i="3"/>
  <c r="BO47" i="3"/>
  <c r="BQ47" i="3"/>
  <c r="BS47" i="3"/>
  <c r="BU47" i="3"/>
  <c r="BW47" i="3"/>
  <c r="BY47" i="3"/>
  <c r="CA47" i="3"/>
  <c r="CC47" i="3"/>
  <c r="CE47" i="3"/>
  <c r="CG47" i="3"/>
  <c r="CI47" i="3"/>
  <c r="CK47" i="3"/>
  <c r="CM47" i="3"/>
  <c r="CO47" i="3"/>
  <c r="CQ47" i="3"/>
  <c r="CS47" i="3"/>
  <c r="CU47" i="3"/>
  <c r="CW47" i="3"/>
  <c r="CY47" i="3"/>
  <c r="DA47" i="3"/>
  <c r="DC47" i="3"/>
  <c r="DE47" i="3"/>
  <c r="DG47" i="3"/>
  <c r="DI47" i="3"/>
  <c r="DK47" i="3"/>
  <c r="DM47" i="3"/>
  <c r="DO47" i="3"/>
  <c r="DQ47" i="3"/>
  <c r="DS47" i="3"/>
  <c r="DU47" i="3"/>
  <c r="DW47" i="3"/>
  <c r="DY47" i="3"/>
  <c r="EA47" i="3"/>
  <c r="EC47" i="3"/>
  <c r="EE47" i="3"/>
  <c r="EG47" i="3"/>
  <c r="EI47" i="3"/>
  <c r="Y48" i="3"/>
  <c r="AA48" i="3"/>
  <c r="AC48" i="3"/>
  <c r="AE48" i="3"/>
  <c r="AG48" i="3"/>
  <c r="AI48" i="3"/>
  <c r="AK48" i="3"/>
  <c r="AM48" i="3"/>
  <c r="AO48" i="3"/>
  <c r="AQ48" i="3"/>
  <c r="AS48" i="3"/>
  <c r="AU48" i="3"/>
  <c r="AW48" i="3"/>
  <c r="AY48" i="3"/>
  <c r="BA48" i="3"/>
  <c r="BC48" i="3"/>
  <c r="BE48" i="3"/>
  <c r="BG48" i="3"/>
  <c r="BI48" i="3"/>
  <c r="BK48" i="3"/>
  <c r="BM48" i="3"/>
  <c r="BO48" i="3"/>
  <c r="BQ48" i="3"/>
  <c r="BS48" i="3"/>
  <c r="BU48" i="3"/>
  <c r="BW48" i="3"/>
  <c r="BY48" i="3"/>
  <c r="CA48" i="3"/>
  <c r="CC48" i="3"/>
  <c r="CE48" i="3"/>
  <c r="CG48" i="3"/>
  <c r="CI48" i="3"/>
  <c r="CK48" i="3"/>
  <c r="CM48" i="3"/>
  <c r="CO48" i="3"/>
  <c r="CQ48" i="3"/>
  <c r="CS48" i="3"/>
  <c r="CU48" i="3"/>
  <c r="CW48" i="3"/>
  <c r="CY48" i="3"/>
  <c r="DA48" i="3"/>
  <c r="DC48" i="3"/>
  <c r="DE48" i="3"/>
  <c r="DG48" i="3"/>
  <c r="DI48" i="3"/>
  <c r="DK48" i="3"/>
  <c r="DM48" i="3"/>
  <c r="DO48" i="3"/>
  <c r="DQ48" i="3"/>
  <c r="DS48" i="3"/>
  <c r="DU48" i="3"/>
  <c r="DW48" i="3"/>
  <c r="DY48" i="3"/>
  <c r="EA48" i="3"/>
  <c r="EC48" i="3"/>
  <c r="EE48" i="3"/>
  <c r="EG48" i="3"/>
  <c r="EI48" i="3"/>
  <c r="AB49" i="3"/>
  <c r="AD49" i="3"/>
  <c r="AF49" i="3"/>
  <c r="AH49" i="3"/>
  <c r="AJ49" i="3"/>
  <c r="AL49" i="3"/>
  <c r="AN49" i="3"/>
  <c r="AP49" i="3"/>
  <c r="AR49" i="3"/>
  <c r="AT49" i="3"/>
  <c r="AV49" i="3"/>
  <c r="AX49" i="3"/>
  <c r="AZ49" i="3"/>
  <c r="BB49" i="3"/>
  <c r="BD49" i="3"/>
  <c r="BF49" i="3"/>
  <c r="BH49" i="3"/>
  <c r="BJ49" i="3"/>
  <c r="BL49" i="3"/>
  <c r="BN49" i="3"/>
  <c r="BP49" i="3"/>
  <c r="BR49" i="3"/>
  <c r="BT49" i="3"/>
  <c r="BV49" i="3"/>
  <c r="BX49" i="3"/>
  <c r="BZ49" i="3"/>
  <c r="CB49" i="3"/>
  <c r="CD49" i="3"/>
  <c r="CF49" i="3"/>
  <c r="CH49" i="3"/>
  <c r="CJ49" i="3"/>
  <c r="CL49" i="3"/>
  <c r="CN49" i="3"/>
  <c r="CP49" i="3"/>
  <c r="CR49" i="3"/>
  <c r="CT49" i="3"/>
  <c r="CV49" i="3"/>
  <c r="CX49" i="3"/>
  <c r="CZ49" i="3"/>
  <c r="DB49" i="3"/>
  <c r="DD49" i="3"/>
  <c r="DF49" i="3"/>
  <c r="DH49" i="3"/>
  <c r="DJ49" i="3"/>
  <c r="DL49" i="3"/>
  <c r="DN49" i="3"/>
  <c r="DP49" i="3"/>
  <c r="DR49" i="3"/>
  <c r="DT49" i="3"/>
  <c r="DV49" i="3"/>
  <c r="DX49" i="3"/>
  <c r="DZ49" i="3"/>
  <c r="EB49" i="3"/>
  <c r="ED49" i="3"/>
  <c r="EF49" i="3"/>
  <c r="EH49" i="3"/>
  <c r="M50" i="3"/>
  <c r="O50" i="3"/>
  <c r="Q50" i="3"/>
  <c r="S50" i="3"/>
  <c r="U50" i="3"/>
  <c r="W50" i="3"/>
  <c r="Y50" i="3"/>
  <c r="AA50" i="3"/>
  <c r="AC50" i="3"/>
  <c r="AE50" i="3"/>
  <c r="AG50" i="3"/>
  <c r="AI50" i="3"/>
  <c r="AK50" i="3"/>
  <c r="AM50" i="3"/>
  <c r="AO50" i="3"/>
  <c r="AQ50" i="3"/>
  <c r="AS50" i="3"/>
  <c r="AU50" i="3"/>
  <c r="AW50" i="3"/>
  <c r="AY50" i="3"/>
  <c r="BA50" i="3"/>
  <c r="BC50" i="3"/>
  <c r="BE50" i="3"/>
  <c r="BG50" i="3"/>
  <c r="BI50" i="3"/>
  <c r="BK50" i="3"/>
  <c r="BM50" i="3"/>
  <c r="BO50" i="3"/>
  <c r="BQ50" i="3"/>
  <c r="BS50" i="3"/>
  <c r="BU50" i="3"/>
  <c r="BW50" i="3"/>
  <c r="BY50" i="3"/>
  <c r="CA50" i="3"/>
  <c r="CC50" i="3"/>
  <c r="CE50" i="3"/>
  <c r="CG50" i="3"/>
  <c r="CI50" i="3"/>
  <c r="CK50" i="3"/>
  <c r="CM50" i="3"/>
  <c r="CO50" i="3"/>
  <c r="CQ50" i="3"/>
  <c r="CS50" i="3"/>
  <c r="CU50" i="3"/>
  <c r="CW50" i="3"/>
  <c r="CY50" i="3"/>
  <c r="DA50" i="3"/>
  <c r="DC50" i="3"/>
  <c r="DE50" i="3"/>
  <c r="DG50" i="3"/>
  <c r="DI50" i="3"/>
  <c r="DK50" i="3"/>
  <c r="DM50" i="3"/>
  <c r="DO50" i="3"/>
  <c r="DQ50" i="3"/>
  <c r="DS50" i="3"/>
  <c r="DU50" i="3"/>
  <c r="DW50" i="3"/>
  <c r="DY50" i="3"/>
  <c r="EA50" i="3"/>
  <c r="EC50" i="3"/>
  <c r="EE50" i="3"/>
  <c r="EG50" i="3"/>
  <c r="EI50" i="3"/>
  <c r="S51" i="3"/>
  <c r="U51" i="3"/>
  <c r="W51" i="3"/>
  <c r="Y51" i="3"/>
  <c r="AA51" i="3"/>
  <c r="AC51" i="3"/>
  <c r="AE51" i="3"/>
  <c r="AG51" i="3"/>
  <c r="AI51" i="3"/>
  <c r="AK51" i="3"/>
  <c r="AM51" i="3"/>
  <c r="AO51" i="3"/>
  <c r="AQ51" i="3"/>
  <c r="AS51" i="3"/>
  <c r="AU51" i="3"/>
  <c r="AW51" i="3"/>
  <c r="AY51" i="3"/>
  <c r="BA51" i="3"/>
  <c r="BC51" i="3"/>
  <c r="BE51" i="3"/>
  <c r="BG51" i="3"/>
  <c r="BI51" i="3"/>
  <c r="BK51" i="3"/>
  <c r="BM51" i="3"/>
  <c r="BO51" i="3"/>
  <c r="BQ51" i="3"/>
  <c r="BS51" i="3"/>
  <c r="BU51" i="3"/>
  <c r="BW51" i="3"/>
  <c r="BY51" i="3"/>
  <c r="CA51" i="3"/>
  <c r="CC51" i="3"/>
  <c r="CE51" i="3"/>
  <c r="CG51" i="3"/>
  <c r="CI51" i="3"/>
  <c r="CK51" i="3"/>
  <c r="CM51" i="3"/>
  <c r="CO51" i="3"/>
  <c r="CQ51" i="3"/>
  <c r="CS51" i="3"/>
  <c r="CU51" i="3"/>
  <c r="CW51" i="3"/>
  <c r="CY51" i="3"/>
  <c r="DA51" i="3"/>
  <c r="DC51" i="3"/>
  <c r="DE51" i="3"/>
  <c r="DG51" i="3"/>
  <c r="DI51" i="3"/>
  <c r="DK51" i="3"/>
  <c r="DM51" i="3"/>
  <c r="DO51" i="3"/>
  <c r="DQ51" i="3"/>
  <c r="DS51" i="3"/>
  <c r="DU51" i="3"/>
  <c r="DW51" i="3"/>
  <c r="DY51" i="3"/>
  <c r="EA51" i="3"/>
  <c r="EC51" i="3"/>
  <c r="EE51" i="3"/>
  <c r="EG51" i="3"/>
  <c r="EI51" i="3"/>
  <c r="N52" i="3"/>
  <c r="P52" i="3"/>
  <c r="R52" i="3"/>
  <c r="T52" i="3"/>
  <c r="V52" i="3"/>
  <c r="X52" i="3"/>
  <c r="Z52" i="3"/>
  <c r="AB52" i="3"/>
  <c r="AD52" i="3"/>
  <c r="AF52" i="3"/>
  <c r="AH52" i="3"/>
  <c r="AJ52" i="3"/>
  <c r="AL52" i="3"/>
  <c r="AN52" i="3"/>
  <c r="AP52" i="3"/>
  <c r="AR52" i="3"/>
  <c r="AT52" i="3"/>
  <c r="AV52" i="3"/>
  <c r="AX52" i="3"/>
  <c r="AZ52" i="3"/>
  <c r="BB52" i="3"/>
  <c r="BD52" i="3"/>
  <c r="BF52" i="3"/>
  <c r="BH52" i="3"/>
  <c r="BJ52" i="3"/>
  <c r="BL52" i="3"/>
  <c r="BN52" i="3"/>
  <c r="BP52" i="3"/>
  <c r="BR52" i="3"/>
  <c r="BT52" i="3"/>
  <c r="BV52" i="3"/>
  <c r="BX52" i="3"/>
  <c r="BZ52" i="3"/>
  <c r="CB52" i="3"/>
  <c r="CD52" i="3"/>
  <c r="CF52" i="3"/>
  <c r="CH52" i="3"/>
  <c r="CJ52" i="3"/>
  <c r="CL52" i="3"/>
  <c r="CN52" i="3"/>
  <c r="CP52" i="3"/>
  <c r="CR52" i="3"/>
  <c r="CT52" i="3"/>
  <c r="CV52" i="3"/>
  <c r="CX52" i="3"/>
  <c r="CZ52" i="3"/>
  <c r="DB52" i="3"/>
  <c r="DD52" i="3"/>
  <c r="DF52" i="3"/>
  <c r="DH52" i="3"/>
  <c r="DJ52" i="3"/>
  <c r="DL52" i="3"/>
  <c r="DN52" i="3"/>
  <c r="DP52" i="3"/>
  <c r="DR52" i="3"/>
  <c r="DT52" i="3"/>
  <c r="DV52" i="3"/>
  <c r="DX52" i="3"/>
  <c r="DZ52" i="3"/>
  <c r="EB52" i="3"/>
  <c r="ED52" i="3"/>
  <c r="EF52" i="3"/>
  <c r="EH52" i="3"/>
  <c r="P53" i="3"/>
  <c r="R53" i="3"/>
  <c r="T53" i="3"/>
  <c r="V53" i="3"/>
  <c r="X53" i="3"/>
  <c r="Z53" i="3"/>
  <c r="AB53" i="3"/>
  <c r="AD53" i="3"/>
  <c r="AF53" i="3"/>
  <c r="AH53" i="3"/>
  <c r="AJ53" i="3"/>
  <c r="AL53" i="3"/>
  <c r="AN53" i="3"/>
  <c r="AP53" i="3"/>
  <c r="AR53" i="3"/>
  <c r="AT53" i="3"/>
  <c r="AV53" i="3"/>
  <c r="AX53" i="3"/>
  <c r="AZ53" i="3"/>
  <c r="BB53" i="3"/>
  <c r="BD53" i="3"/>
  <c r="BF53" i="3"/>
  <c r="BH53" i="3"/>
  <c r="BJ53" i="3"/>
  <c r="BL53" i="3"/>
  <c r="BN53" i="3"/>
  <c r="BP53" i="3"/>
  <c r="BR53" i="3"/>
  <c r="BT53" i="3"/>
  <c r="BV53" i="3"/>
  <c r="BX53" i="3"/>
  <c r="BZ53" i="3"/>
  <c r="CB53" i="3"/>
  <c r="CD53" i="3"/>
  <c r="CF53" i="3"/>
  <c r="CH53" i="3"/>
  <c r="CJ53" i="3"/>
  <c r="CL53" i="3"/>
  <c r="CN53" i="3"/>
  <c r="CP53" i="3"/>
  <c r="CR53" i="3"/>
  <c r="CT53" i="3"/>
  <c r="CV53" i="3"/>
  <c r="CX53" i="3"/>
  <c r="CZ53" i="3"/>
  <c r="DB53" i="3"/>
  <c r="DD53" i="3"/>
  <c r="DF53" i="3"/>
  <c r="DH53" i="3"/>
  <c r="DJ53" i="3"/>
  <c r="DL53" i="3"/>
  <c r="DN53" i="3"/>
  <c r="DP53" i="3"/>
  <c r="DR53" i="3"/>
  <c r="DT53" i="3"/>
  <c r="DV53" i="3"/>
  <c r="DX53" i="3"/>
  <c r="DZ53" i="3"/>
  <c r="EB53" i="3"/>
  <c r="ED53" i="3"/>
  <c r="EF53" i="3"/>
  <c r="EH53" i="3"/>
  <c r="AF54" i="3"/>
  <c r="AH54" i="3"/>
  <c r="AJ54" i="3"/>
  <c r="AL54" i="3"/>
  <c r="AN54" i="3"/>
  <c r="AP54" i="3"/>
  <c r="AR54" i="3"/>
  <c r="AT54" i="3"/>
  <c r="AV54" i="3"/>
  <c r="AX54" i="3"/>
  <c r="AZ54" i="3"/>
  <c r="BB54" i="3"/>
  <c r="BD54" i="3"/>
  <c r="BF54" i="3"/>
  <c r="BH54" i="3"/>
  <c r="BJ54" i="3"/>
  <c r="BL54" i="3"/>
  <c r="BN54" i="3"/>
  <c r="BP54" i="3"/>
  <c r="BR54" i="3"/>
  <c r="BT54" i="3"/>
  <c r="BV54" i="3"/>
  <c r="BX54" i="3"/>
  <c r="BZ54" i="3"/>
  <c r="CB54" i="3"/>
  <c r="CD54" i="3"/>
  <c r="CF54" i="3"/>
  <c r="CH54" i="3"/>
  <c r="CJ54" i="3"/>
  <c r="CL54" i="3"/>
  <c r="CN54" i="3"/>
  <c r="CP54" i="3"/>
  <c r="CR54" i="3"/>
  <c r="CT54" i="3"/>
  <c r="CV54" i="3"/>
  <c r="CX54" i="3"/>
  <c r="CZ54" i="3"/>
  <c r="DB54" i="3"/>
  <c r="DD54" i="3"/>
  <c r="DF54" i="3"/>
  <c r="DH54" i="3"/>
  <c r="DJ54" i="3"/>
  <c r="DL54" i="3"/>
  <c r="DN54" i="3"/>
  <c r="DP54" i="3"/>
  <c r="DR54" i="3"/>
  <c r="DT54" i="3"/>
  <c r="DV54" i="3"/>
  <c r="DX54" i="3"/>
  <c r="DZ54" i="3"/>
  <c r="EB54" i="3"/>
  <c r="ED54" i="3"/>
  <c r="EF54" i="3"/>
  <c r="EH54" i="3"/>
  <c r="AU55" i="3"/>
  <c r="AW55" i="3"/>
  <c r="AY55" i="3"/>
  <c r="BA55" i="3"/>
  <c r="BC55" i="3"/>
  <c r="BE55" i="3"/>
  <c r="BG55" i="3"/>
  <c r="BI55" i="3"/>
  <c r="BK55" i="3"/>
  <c r="BM55" i="3"/>
  <c r="BO55" i="3"/>
  <c r="BQ55" i="3"/>
  <c r="BS55" i="3"/>
  <c r="BU55" i="3"/>
  <c r="BW55" i="3"/>
  <c r="BY55" i="3"/>
  <c r="CA55" i="3"/>
  <c r="CC55" i="3"/>
  <c r="CE55" i="3"/>
  <c r="CG55" i="3"/>
  <c r="CI55" i="3"/>
  <c r="CK55" i="3"/>
  <c r="CM55" i="3"/>
  <c r="CO55" i="3"/>
  <c r="CQ55" i="3"/>
  <c r="CS55" i="3"/>
  <c r="CU55" i="3"/>
  <c r="CW55" i="3"/>
  <c r="CY55" i="3"/>
  <c r="DA55" i="3"/>
  <c r="DC55" i="3"/>
  <c r="DE55" i="3"/>
  <c r="DG55" i="3"/>
  <c r="DI55" i="3"/>
  <c r="DK55" i="3"/>
  <c r="DM55" i="3"/>
  <c r="DO55" i="3"/>
  <c r="DQ55" i="3"/>
  <c r="DS55" i="3"/>
  <c r="DU55" i="3"/>
  <c r="DW55" i="3"/>
  <c r="DY55" i="3"/>
  <c r="EA55" i="3"/>
  <c r="EC55" i="3"/>
  <c r="EE55" i="3"/>
  <c r="EG55" i="3"/>
  <c r="EI55" i="3"/>
  <c r="L56" i="3"/>
  <c r="N56" i="3"/>
  <c r="P56" i="3"/>
  <c r="R56" i="3"/>
  <c r="T56" i="3"/>
  <c r="V56" i="3"/>
  <c r="X56" i="3"/>
  <c r="Z56" i="3"/>
  <c r="AB56" i="3"/>
  <c r="AD56" i="3"/>
  <c r="AF56" i="3"/>
  <c r="AH56" i="3"/>
  <c r="AJ56" i="3"/>
  <c r="AL56" i="3"/>
  <c r="AN56" i="3"/>
  <c r="AP56" i="3"/>
  <c r="AR56" i="3"/>
  <c r="AT56" i="3"/>
  <c r="AV56" i="3"/>
  <c r="AX56" i="3"/>
  <c r="AZ56" i="3"/>
  <c r="BB56" i="3"/>
  <c r="BD56" i="3"/>
  <c r="BF56" i="3"/>
  <c r="BH56" i="3"/>
  <c r="BJ56" i="3"/>
  <c r="BL56" i="3"/>
  <c r="BN56" i="3"/>
  <c r="BP56" i="3"/>
  <c r="BR56" i="3"/>
  <c r="BT56" i="3"/>
  <c r="BV56" i="3"/>
  <c r="BX56" i="3"/>
  <c r="BZ56" i="3"/>
  <c r="CB56" i="3"/>
  <c r="CD56" i="3"/>
  <c r="CF56" i="3"/>
  <c r="CH56" i="3"/>
  <c r="CJ56" i="3"/>
  <c r="CL56" i="3"/>
  <c r="CN56" i="3"/>
  <c r="CP56" i="3"/>
  <c r="CR56" i="3"/>
  <c r="CT56" i="3"/>
  <c r="CV56" i="3"/>
  <c r="CX56" i="3"/>
  <c r="CZ56" i="3"/>
  <c r="DB56" i="3"/>
  <c r="DD56" i="3"/>
  <c r="DF56" i="3"/>
  <c r="DH56" i="3"/>
  <c r="DJ56" i="3"/>
  <c r="DL56" i="3"/>
  <c r="DN56" i="3"/>
  <c r="DP56" i="3"/>
  <c r="DR56" i="3"/>
  <c r="DT56" i="3"/>
  <c r="DV56" i="3"/>
  <c r="DX56" i="3"/>
  <c r="DZ56" i="3"/>
  <c r="EB56" i="3"/>
  <c r="ED56" i="3"/>
  <c r="EF56" i="3"/>
  <c r="EH56" i="3"/>
  <c r="N57" i="3"/>
  <c r="P57" i="3"/>
  <c r="R57" i="3"/>
  <c r="T57" i="3"/>
  <c r="V57" i="3"/>
  <c r="X57" i="3"/>
  <c r="Z57" i="3"/>
  <c r="AB57" i="3"/>
  <c r="AD57" i="3"/>
  <c r="AF57" i="3"/>
  <c r="AH57" i="3"/>
  <c r="AJ57" i="3"/>
  <c r="AL57" i="3"/>
  <c r="AN57" i="3"/>
  <c r="AP57" i="3"/>
  <c r="AR57" i="3"/>
  <c r="AT57" i="3"/>
  <c r="AV57" i="3"/>
  <c r="AX57" i="3"/>
  <c r="AZ57" i="3"/>
  <c r="BB57" i="3"/>
  <c r="BD57" i="3"/>
  <c r="BF57" i="3"/>
  <c r="BH57" i="3"/>
  <c r="BJ57" i="3"/>
  <c r="BL57" i="3"/>
  <c r="BN57" i="3"/>
  <c r="BP57" i="3"/>
  <c r="BR57" i="3"/>
  <c r="BT57" i="3"/>
  <c r="BV57" i="3"/>
  <c r="BX57" i="3"/>
  <c r="BZ57" i="3"/>
  <c r="CB57" i="3"/>
  <c r="CD57" i="3"/>
  <c r="CF57" i="3"/>
  <c r="CH57" i="3"/>
  <c r="CJ57" i="3"/>
  <c r="CL57" i="3"/>
  <c r="CN57" i="3"/>
  <c r="CP57" i="3"/>
  <c r="CR57" i="3"/>
  <c r="CT57" i="3"/>
  <c r="CV57" i="3"/>
  <c r="CX57" i="3"/>
  <c r="CZ57" i="3"/>
  <c r="DB57" i="3"/>
  <c r="DD57" i="3"/>
  <c r="DF57" i="3"/>
  <c r="DH57" i="3"/>
  <c r="DJ57" i="3"/>
  <c r="DL57" i="3"/>
  <c r="DN57" i="3"/>
  <c r="DP57" i="3"/>
  <c r="DR57" i="3"/>
  <c r="DT57" i="3"/>
  <c r="DV57" i="3"/>
  <c r="DX57" i="3"/>
  <c r="DZ57" i="3"/>
  <c r="EB57" i="3"/>
  <c r="ED57" i="3"/>
  <c r="EF57" i="3"/>
  <c r="EH57" i="3"/>
  <c r="N58" i="3"/>
  <c r="P58" i="3"/>
  <c r="R58" i="3"/>
  <c r="T58" i="3"/>
  <c r="V58" i="3"/>
  <c r="X58" i="3"/>
  <c r="Z58" i="3"/>
  <c r="AB58" i="3"/>
  <c r="AD58" i="3"/>
  <c r="AF58" i="3"/>
  <c r="AH58" i="3"/>
  <c r="AJ58" i="3"/>
  <c r="AL58" i="3"/>
  <c r="AN58" i="3"/>
  <c r="AP58" i="3"/>
  <c r="AR58" i="3"/>
  <c r="AT58" i="3"/>
  <c r="AV58" i="3"/>
  <c r="AX58" i="3"/>
  <c r="AZ58" i="3"/>
  <c r="BB58" i="3"/>
  <c r="BD58" i="3"/>
  <c r="BF58" i="3"/>
  <c r="BH58" i="3"/>
  <c r="BJ58" i="3"/>
  <c r="BL58" i="3"/>
  <c r="BN58" i="3"/>
  <c r="BP58" i="3"/>
  <c r="BR58" i="3"/>
  <c r="BT58" i="3"/>
  <c r="BV58" i="3"/>
  <c r="BX58" i="3"/>
  <c r="BZ58" i="3"/>
  <c r="CB58" i="3"/>
  <c r="CD58" i="3"/>
  <c r="CF58" i="3"/>
  <c r="CH58" i="3"/>
  <c r="CJ58" i="3"/>
  <c r="CL58" i="3"/>
  <c r="CN58" i="3"/>
  <c r="CP58" i="3"/>
  <c r="CR58" i="3"/>
  <c r="CT58" i="3"/>
  <c r="CV58" i="3"/>
  <c r="CX58" i="3"/>
  <c r="CZ58" i="3"/>
  <c r="DB58" i="3"/>
  <c r="DD58" i="3"/>
  <c r="DF58" i="3"/>
  <c r="DH58" i="3"/>
  <c r="DJ58" i="3"/>
  <c r="DL58" i="3"/>
  <c r="DN58" i="3"/>
  <c r="DP58" i="3"/>
  <c r="DR58" i="3"/>
  <c r="DT58" i="3"/>
  <c r="DV58" i="3"/>
  <c r="DX58" i="3"/>
  <c r="DZ58" i="3"/>
  <c r="EB58" i="3"/>
  <c r="ED58" i="3"/>
  <c r="EF58" i="3"/>
  <c r="EH58" i="3"/>
  <c r="N59" i="3"/>
  <c r="P59" i="3"/>
  <c r="R59" i="3"/>
  <c r="T59" i="3"/>
  <c r="V59" i="3"/>
  <c r="X59" i="3"/>
  <c r="Z59" i="3"/>
  <c r="AB59" i="3"/>
  <c r="AD59" i="3"/>
  <c r="AF59" i="3"/>
  <c r="AH59" i="3"/>
  <c r="AJ59" i="3"/>
  <c r="AL59" i="3"/>
  <c r="AN59" i="3"/>
  <c r="AP59" i="3"/>
  <c r="AR59" i="3"/>
  <c r="AT59" i="3"/>
  <c r="AV59" i="3"/>
  <c r="AX59" i="3"/>
  <c r="AZ59" i="3"/>
  <c r="BB59" i="3"/>
  <c r="BD59" i="3"/>
  <c r="BF59" i="3"/>
  <c r="BH59" i="3"/>
  <c r="BJ59" i="3"/>
  <c r="BL59" i="3"/>
  <c r="BN59" i="3"/>
  <c r="BP59" i="3"/>
  <c r="BR59" i="3"/>
  <c r="BT59" i="3"/>
  <c r="BV59" i="3"/>
  <c r="BX59" i="3"/>
  <c r="BZ59" i="3"/>
  <c r="CB59" i="3"/>
  <c r="CD59" i="3"/>
  <c r="CF59" i="3"/>
  <c r="CH59" i="3"/>
  <c r="CJ59" i="3"/>
  <c r="CL59" i="3"/>
  <c r="CN59" i="3"/>
  <c r="CP59" i="3"/>
  <c r="CR59" i="3"/>
  <c r="CT59" i="3"/>
  <c r="CV59" i="3"/>
  <c r="CX59" i="3"/>
  <c r="CZ59" i="3"/>
  <c r="DB59" i="3"/>
  <c r="DD59" i="3"/>
  <c r="DF59" i="3"/>
  <c r="DH59" i="3"/>
  <c r="DJ59" i="3"/>
  <c r="DL59" i="3"/>
  <c r="DN59" i="3"/>
  <c r="DP59" i="3"/>
  <c r="DR59" i="3"/>
  <c r="DT59" i="3"/>
  <c r="DV59" i="3"/>
  <c r="DX59" i="3"/>
  <c r="DZ59" i="3"/>
  <c r="EB59" i="3"/>
  <c r="ED59" i="3"/>
  <c r="EF59" i="3"/>
  <c r="EH59" i="3"/>
  <c r="M60" i="3"/>
  <c r="O60" i="3"/>
  <c r="Q60" i="3"/>
  <c r="S60" i="3"/>
  <c r="U60" i="3"/>
  <c r="W60" i="3"/>
  <c r="Y60" i="3"/>
  <c r="AA60" i="3"/>
  <c r="AC60" i="3"/>
  <c r="AE60" i="3"/>
  <c r="AG60" i="3"/>
  <c r="AI60" i="3"/>
  <c r="AK60" i="3"/>
  <c r="AM60" i="3"/>
  <c r="AO60" i="3"/>
  <c r="AQ60" i="3"/>
  <c r="AS60" i="3"/>
  <c r="AU60" i="3"/>
  <c r="AW60" i="3"/>
  <c r="AY60" i="3"/>
  <c r="BA60" i="3"/>
  <c r="BC60" i="3"/>
  <c r="BE60" i="3"/>
  <c r="BG60" i="3"/>
  <c r="BI60" i="3"/>
  <c r="BK60" i="3"/>
  <c r="BM60" i="3"/>
  <c r="BO60" i="3"/>
  <c r="BQ60" i="3"/>
  <c r="BS60" i="3"/>
  <c r="BU60" i="3"/>
  <c r="BW60" i="3"/>
  <c r="BY60" i="3"/>
  <c r="CA60" i="3"/>
  <c r="CC60" i="3"/>
  <c r="CE60" i="3"/>
  <c r="CG60" i="3"/>
  <c r="CI60" i="3"/>
  <c r="CK60" i="3"/>
  <c r="CM60" i="3"/>
  <c r="CO60" i="3"/>
  <c r="CQ60" i="3"/>
  <c r="CS60" i="3"/>
  <c r="CU60" i="3"/>
  <c r="CW60" i="3"/>
  <c r="CY60" i="3"/>
  <c r="DA60" i="3"/>
  <c r="DC60" i="3"/>
  <c r="DE60" i="3"/>
  <c r="DG60" i="3"/>
  <c r="DI60" i="3"/>
  <c r="DK60" i="3"/>
  <c r="DM60" i="3"/>
  <c r="DO60" i="3"/>
  <c r="DQ60" i="3"/>
  <c r="DS60" i="3"/>
  <c r="DU60" i="3"/>
  <c r="DW60" i="3"/>
  <c r="DY60" i="3"/>
  <c r="EA60" i="3"/>
  <c r="EC60" i="3"/>
  <c r="EE60" i="3"/>
  <c r="EG60" i="3"/>
  <c r="EI60" i="3"/>
  <c r="L61" i="3"/>
  <c r="N61" i="3"/>
  <c r="P61" i="3"/>
  <c r="R61" i="3"/>
  <c r="T61" i="3"/>
  <c r="V61" i="3"/>
  <c r="X61" i="3"/>
  <c r="Z61" i="3"/>
  <c r="AB61" i="3"/>
  <c r="AD61" i="3"/>
  <c r="AF61" i="3"/>
  <c r="AH61" i="3"/>
  <c r="AJ61" i="3"/>
  <c r="AL61" i="3"/>
  <c r="AN61" i="3"/>
  <c r="AP61" i="3"/>
  <c r="AR61" i="3"/>
  <c r="AT61" i="3"/>
  <c r="AV61" i="3"/>
  <c r="AX61" i="3"/>
  <c r="AZ61" i="3"/>
  <c r="BB61" i="3"/>
  <c r="BD61" i="3"/>
  <c r="BF61" i="3"/>
  <c r="BH61" i="3"/>
  <c r="BJ61" i="3"/>
  <c r="BL61" i="3"/>
  <c r="BN61" i="3"/>
  <c r="BP61" i="3"/>
  <c r="BR61" i="3"/>
  <c r="BT61" i="3"/>
  <c r="BV61" i="3"/>
  <c r="BX61" i="3"/>
  <c r="BZ61" i="3"/>
  <c r="CB61" i="3"/>
  <c r="CD61" i="3"/>
  <c r="CF61" i="3"/>
  <c r="CH61" i="3"/>
  <c r="CJ61" i="3"/>
  <c r="CL61" i="3"/>
  <c r="CN61" i="3"/>
  <c r="CP61" i="3"/>
  <c r="CR61" i="3"/>
  <c r="CT61" i="3"/>
  <c r="CV61" i="3"/>
  <c r="CX61" i="3"/>
  <c r="CZ61" i="3"/>
  <c r="DB61" i="3"/>
  <c r="DD61" i="3"/>
  <c r="DF61" i="3"/>
  <c r="DH61" i="3"/>
  <c r="DJ61" i="3"/>
  <c r="DL61" i="3"/>
  <c r="DN61" i="3"/>
  <c r="DP61" i="3"/>
  <c r="DR61" i="3"/>
  <c r="DT61" i="3"/>
  <c r="DV61" i="3"/>
  <c r="DX61" i="3"/>
  <c r="DZ61" i="3"/>
  <c r="EB61" i="3"/>
  <c r="ED61" i="3"/>
  <c r="EF61" i="3"/>
  <c r="EH61" i="3"/>
  <c r="K62" i="3"/>
  <c r="M62" i="3"/>
  <c r="O62" i="3"/>
  <c r="Q62" i="3"/>
  <c r="S62" i="3"/>
  <c r="U62" i="3"/>
  <c r="W62" i="3"/>
  <c r="Y62" i="3"/>
  <c r="AA62" i="3"/>
  <c r="AC62" i="3"/>
  <c r="AE62" i="3"/>
  <c r="AG62" i="3"/>
  <c r="AI62" i="3"/>
  <c r="AK62" i="3"/>
  <c r="AM62" i="3"/>
  <c r="AO62" i="3"/>
  <c r="AQ62" i="3"/>
  <c r="AS62" i="3"/>
  <c r="AU62" i="3"/>
  <c r="AW62" i="3"/>
  <c r="AY62" i="3"/>
  <c r="BA62" i="3"/>
  <c r="BC62" i="3"/>
  <c r="BE62" i="3"/>
  <c r="BG62" i="3"/>
  <c r="BI62" i="3"/>
  <c r="BK62" i="3"/>
  <c r="BM62" i="3"/>
  <c r="BO62" i="3"/>
  <c r="BQ62" i="3"/>
  <c r="BS62" i="3"/>
  <c r="BU62" i="3"/>
  <c r="BW62" i="3"/>
  <c r="BY62" i="3"/>
  <c r="CA62" i="3"/>
  <c r="CC62" i="3"/>
  <c r="CE62" i="3"/>
  <c r="CG62" i="3"/>
  <c r="CI62" i="3"/>
  <c r="CK62" i="3"/>
  <c r="CM62" i="3"/>
  <c r="CO62" i="3"/>
  <c r="CQ62" i="3"/>
  <c r="CS62" i="3"/>
  <c r="CU62" i="3"/>
  <c r="CW62" i="3"/>
  <c r="CY62" i="3"/>
  <c r="DA62" i="3"/>
  <c r="DC62" i="3"/>
  <c r="DE62" i="3"/>
  <c r="DG62" i="3"/>
  <c r="DI62" i="3"/>
  <c r="DK62" i="3"/>
  <c r="DM62" i="3"/>
  <c r="DO62" i="3"/>
  <c r="DQ62" i="3"/>
  <c r="DS62" i="3"/>
  <c r="DU62" i="3"/>
  <c r="DW62" i="3"/>
  <c r="DY62" i="3"/>
  <c r="EA62" i="3"/>
  <c r="EC62" i="3"/>
  <c r="EE62" i="3"/>
  <c r="EG62" i="3"/>
  <c r="EI62" i="3"/>
  <c r="O63" i="3"/>
  <c r="Q63" i="3"/>
  <c r="S63" i="3"/>
  <c r="U63" i="3"/>
  <c r="W63" i="3"/>
  <c r="Y63" i="3"/>
  <c r="AA63" i="3"/>
  <c r="AC63" i="3"/>
  <c r="AE63" i="3"/>
  <c r="AG63" i="3"/>
  <c r="AI63" i="3"/>
  <c r="AK63" i="3"/>
  <c r="AM63" i="3"/>
  <c r="AO63" i="3"/>
  <c r="AQ63" i="3"/>
  <c r="AS63" i="3"/>
  <c r="AU63" i="3"/>
  <c r="AW63" i="3"/>
  <c r="AY63" i="3"/>
  <c r="BA63" i="3"/>
  <c r="BC63" i="3"/>
  <c r="BE63" i="3"/>
  <c r="BG63" i="3"/>
  <c r="BI63" i="3"/>
  <c r="BK63" i="3"/>
  <c r="BM63" i="3"/>
  <c r="BO63" i="3"/>
  <c r="BQ63" i="3"/>
  <c r="BS63" i="3"/>
  <c r="BU63" i="3"/>
  <c r="BW63" i="3"/>
  <c r="BY63" i="3"/>
  <c r="CA63" i="3"/>
  <c r="CC63" i="3"/>
  <c r="CE63" i="3"/>
  <c r="CG63" i="3"/>
  <c r="CI63" i="3"/>
  <c r="CK63" i="3"/>
  <c r="CM63" i="3"/>
  <c r="CO63" i="3"/>
  <c r="CQ63" i="3"/>
  <c r="CS63" i="3"/>
  <c r="CU63" i="3"/>
  <c r="CW63" i="3"/>
  <c r="CY63" i="3"/>
  <c r="DA63" i="3"/>
  <c r="DC63" i="3"/>
  <c r="DE63" i="3"/>
  <c r="DG63" i="3"/>
  <c r="DI63" i="3"/>
  <c r="DK63" i="3"/>
  <c r="DM63" i="3"/>
  <c r="DO63" i="3"/>
  <c r="DQ63" i="3"/>
  <c r="DS63" i="3"/>
  <c r="DU63" i="3"/>
  <c r="DW63" i="3"/>
  <c r="DY63" i="3"/>
  <c r="EA63" i="3"/>
  <c r="BY42" i="3"/>
  <c r="CC42" i="3"/>
  <c r="CG42" i="3"/>
  <c r="CK42" i="3"/>
  <c r="CO42" i="3"/>
  <c r="CS42" i="3"/>
  <c r="CU42" i="3"/>
  <c r="CW42" i="3"/>
  <c r="CY42" i="3"/>
  <c r="DA42" i="3"/>
  <c r="DC42" i="3"/>
  <c r="DE42" i="3"/>
  <c r="DG42" i="3"/>
  <c r="DI42" i="3"/>
  <c r="DK42" i="3"/>
  <c r="DM42" i="3"/>
  <c r="DO42" i="3"/>
  <c r="DQ42" i="3"/>
  <c r="DS42" i="3"/>
  <c r="DU42" i="3"/>
  <c r="DW42" i="3"/>
  <c r="DY42" i="3"/>
  <c r="EA42" i="3"/>
  <c r="EC42" i="3"/>
  <c r="EE42" i="3"/>
  <c r="EG42" i="3"/>
  <c r="EI42" i="3"/>
  <c r="M43" i="3"/>
  <c r="O43" i="3"/>
  <c r="Q43" i="3"/>
  <c r="S43" i="3"/>
  <c r="U43" i="3"/>
  <c r="W43" i="3"/>
  <c r="Y43" i="3"/>
  <c r="AA43" i="3"/>
  <c r="AC43" i="3"/>
  <c r="AE43" i="3"/>
  <c r="AG43" i="3"/>
  <c r="AI43" i="3"/>
  <c r="AK43" i="3"/>
  <c r="AM43" i="3"/>
  <c r="AO43" i="3"/>
  <c r="AQ43" i="3"/>
  <c r="AS43" i="3"/>
  <c r="AU43" i="3"/>
  <c r="AW43" i="3"/>
  <c r="AY43" i="3"/>
  <c r="BA43" i="3"/>
  <c r="BC43" i="3"/>
  <c r="BE43" i="3"/>
  <c r="BG43" i="3"/>
  <c r="BI43" i="3"/>
  <c r="BK43" i="3"/>
  <c r="BM43" i="3"/>
  <c r="BO43" i="3"/>
  <c r="BQ43" i="3"/>
  <c r="BS43" i="3"/>
  <c r="BU43" i="3"/>
  <c r="BW43" i="3"/>
  <c r="BY43" i="3"/>
  <c r="CA43" i="3"/>
  <c r="CC43" i="3"/>
  <c r="CE43" i="3"/>
  <c r="CG43" i="3"/>
  <c r="CI43" i="3"/>
  <c r="CK43" i="3"/>
  <c r="CM43" i="3"/>
  <c r="CO43" i="3"/>
  <c r="CQ43" i="3"/>
  <c r="CS43" i="3"/>
  <c r="CU43" i="3"/>
  <c r="CW43" i="3"/>
  <c r="CY43" i="3"/>
  <c r="DA43" i="3"/>
  <c r="DC43" i="3"/>
  <c r="DE43" i="3"/>
  <c r="DG43" i="3"/>
  <c r="DI43" i="3"/>
  <c r="DK43" i="3"/>
  <c r="DM43" i="3"/>
  <c r="DO43" i="3"/>
  <c r="DQ43" i="3"/>
  <c r="DS43" i="3"/>
  <c r="DU43" i="3"/>
  <c r="DW43" i="3"/>
  <c r="DY43" i="3"/>
  <c r="EA43" i="3"/>
  <c r="EC43" i="3"/>
  <c r="EE43" i="3"/>
  <c r="EG43" i="3"/>
  <c r="EI43" i="3"/>
  <c r="AB44" i="3"/>
  <c r="AD44" i="3"/>
  <c r="AF44" i="3"/>
  <c r="AH44" i="3"/>
  <c r="AJ44" i="3"/>
  <c r="AL44" i="3"/>
  <c r="AN44" i="3"/>
  <c r="AP44" i="3"/>
  <c r="AR44" i="3"/>
  <c r="AT44" i="3"/>
  <c r="AV44" i="3"/>
  <c r="AX44" i="3"/>
  <c r="AZ44" i="3"/>
  <c r="BB44" i="3"/>
  <c r="BD44" i="3"/>
  <c r="BF44" i="3"/>
  <c r="BH44" i="3"/>
  <c r="BJ44" i="3"/>
  <c r="BL44" i="3"/>
  <c r="BN44" i="3"/>
  <c r="BP44" i="3"/>
  <c r="BR44" i="3"/>
  <c r="BT44" i="3"/>
  <c r="BV44" i="3"/>
  <c r="BX44" i="3"/>
  <c r="BZ44" i="3"/>
  <c r="CB44" i="3"/>
  <c r="CD44" i="3"/>
  <c r="CF44" i="3"/>
  <c r="CH44" i="3"/>
  <c r="CJ44" i="3"/>
  <c r="CL44" i="3"/>
  <c r="CN44" i="3"/>
  <c r="CP44" i="3"/>
  <c r="CR44" i="3"/>
  <c r="CT44" i="3"/>
  <c r="CV44" i="3"/>
  <c r="CX44" i="3"/>
  <c r="CZ44" i="3"/>
  <c r="DB44" i="3"/>
  <c r="DD44" i="3"/>
  <c r="DF44" i="3"/>
  <c r="DH44" i="3"/>
  <c r="DJ44" i="3"/>
  <c r="DL44" i="3"/>
  <c r="DN44" i="3"/>
  <c r="DP44" i="3"/>
  <c r="DR44" i="3"/>
  <c r="DT44" i="3"/>
  <c r="DV44" i="3"/>
  <c r="DX44" i="3"/>
  <c r="DZ44" i="3"/>
  <c r="EB44" i="3"/>
  <c r="ED44" i="3"/>
  <c r="EF44" i="3"/>
  <c r="EH44" i="3"/>
  <c r="M45" i="3"/>
  <c r="O45" i="3"/>
  <c r="Q45" i="3"/>
  <c r="S45" i="3"/>
  <c r="U45" i="3"/>
  <c r="W45" i="3"/>
  <c r="Y45" i="3"/>
  <c r="AA45" i="3"/>
  <c r="AC45" i="3"/>
  <c r="AE45" i="3"/>
  <c r="AG45" i="3"/>
  <c r="AI45" i="3"/>
  <c r="AK45" i="3"/>
  <c r="AM45" i="3"/>
  <c r="AO45" i="3"/>
  <c r="AQ45" i="3"/>
  <c r="AS45" i="3"/>
  <c r="AU45" i="3"/>
  <c r="AW45" i="3"/>
  <c r="AY45" i="3"/>
  <c r="BA45" i="3"/>
  <c r="BC45" i="3"/>
  <c r="BE45" i="3"/>
  <c r="BG45" i="3"/>
  <c r="BI45" i="3"/>
  <c r="BK45" i="3"/>
  <c r="BM45" i="3"/>
  <c r="BO45" i="3"/>
  <c r="BQ45" i="3"/>
  <c r="BS45" i="3"/>
  <c r="BU45" i="3"/>
  <c r="BW45" i="3"/>
  <c r="BY45" i="3"/>
  <c r="CA45" i="3"/>
  <c r="CC45" i="3"/>
  <c r="CE45" i="3"/>
  <c r="CG45" i="3"/>
  <c r="CI45" i="3"/>
  <c r="CK45" i="3"/>
  <c r="CM45" i="3"/>
  <c r="CO45" i="3"/>
  <c r="CQ45" i="3"/>
  <c r="CS45" i="3"/>
  <c r="CU45" i="3"/>
  <c r="CW45" i="3"/>
  <c r="CY45" i="3"/>
  <c r="DA45" i="3"/>
  <c r="DC45" i="3"/>
  <c r="DE45" i="3"/>
  <c r="DG45" i="3"/>
  <c r="DI45" i="3"/>
  <c r="DK45" i="3"/>
  <c r="DM45" i="3"/>
  <c r="DO45" i="3"/>
  <c r="DQ45" i="3"/>
  <c r="DS45" i="3"/>
  <c r="DU45" i="3"/>
  <c r="DW45" i="3"/>
  <c r="DY45" i="3"/>
  <c r="EA45" i="3"/>
  <c r="EC45" i="3"/>
  <c r="EE45" i="3"/>
  <c r="EG45" i="3"/>
  <c r="EI45" i="3"/>
  <c r="M46" i="3"/>
  <c r="O46" i="3"/>
  <c r="Q46" i="3"/>
  <c r="S46" i="3"/>
  <c r="U46" i="3"/>
  <c r="W46" i="3"/>
  <c r="Y46" i="3"/>
  <c r="AA46" i="3"/>
  <c r="AC46" i="3"/>
  <c r="AE46" i="3"/>
  <c r="AG46" i="3"/>
  <c r="AI46" i="3"/>
  <c r="AK46" i="3"/>
  <c r="AM46" i="3"/>
  <c r="AO46" i="3"/>
  <c r="AQ46" i="3"/>
  <c r="AS46" i="3"/>
  <c r="AU46" i="3"/>
  <c r="AW46" i="3"/>
  <c r="AY46" i="3"/>
  <c r="BA46" i="3"/>
  <c r="BC46" i="3"/>
  <c r="BE46" i="3"/>
  <c r="BG46" i="3"/>
  <c r="BI46" i="3"/>
  <c r="BK46" i="3"/>
  <c r="BM46" i="3"/>
  <c r="BO46" i="3"/>
  <c r="BQ46" i="3"/>
  <c r="BS46" i="3"/>
  <c r="BU46" i="3"/>
  <c r="BW46" i="3"/>
  <c r="BY46" i="3"/>
  <c r="CA46" i="3"/>
  <c r="CC46" i="3"/>
  <c r="CE46" i="3"/>
  <c r="CG46" i="3"/>
  <c r="CI46" i="3"/>
  <c r="CK46" i="3"/>
  <c r="CM46" i="3"/>
  <c r="CO46" i="3"/>
  <c r="CQ46" i="3"/>
  <c r="CS46" i="3"/>
  <c r="CU46" i="3"/>
  <c r="CW46" i="3"/>
  <c r="CY46" i="3"/>
  <c r="DA46" i="3"/>
  <c r="DC46" i="3"/>
  <c r="DE46" i="3"/>
  <c r="DG46" i="3"/>
  <c r="DI46" i="3"/>
  <c r="DK46" i="3"/>
  <c r="DM46" i="3"/>
  <c r="DO46" i="3"/>
  <c r="DQ46" i="3"/>
  <c r="DS46" i="3"/>
  <c r="DU46" i="3"/>
  <c r="DW46" i="3"/>
  <c r="DY46" i="3"/>
  <c r="EA46" i="3"/>
  <c r="EC46" i="3"/>
  <c r="EE46" i="3"/>
  <c r="EG46" i="3"/>
  <c r="EI46" i="3"/>
  <c r="N47" i="3"/>
  <c r="P47" i="3"/>
  <c r="R47" i="3"/>
  <c r="T47" i="3"/>
  <c r="V47" i="3"/>
  <c r="X47" i="3"/>
  <c r="Z47" i="3"/>
  <c r="AB47" i="3"/>
  <c r="AD47" i="3"/>
  <c r="AF47" i="3"/>
  <c r="AH47" i="3"/>
  <c r="AJ47" i="3"/>
  <c r="AL47" i="3"/>
  <c r="AN47" i="3"/>
  <c r="AP47" i="3"/>
  <c r="AR47" i="3"/>
  <c r="AT47" i="3"/>
  <c r="AV47" i="3"/>
  <c r="AX47" i="3"/>
  <c r="AZ47" i="3"/>
  <c r="BB47" i="3"/>
  <c r="BD47" i="3"/>
  <c r="BF47" i="3"/>
  <c r="BH47" i="3"/>
  <c r="BJ47" i="3"/>
  <c r="BL47" i="3"/>
  <c r="BN47" i="3"/>
  <c r="BP47" i="3"/>
  <c r="BR47" i="3"/>
  <c r="BT47" i="3"/>
  <c r="BV47" i="3"/>
  <c r="BX47" i="3"/>
  <c r="BZ47" i="3"/>
  <c r="CB47" i="3"/>
  <c r="CD47" i="3"/>
  <c r="CF47" i="3"/>
  <c r="CH47" i="3"/>
  <c r="CJ47" i="3"/>
  <c r="CL47" i="3"/>
  <c r="CN47" i="3"/>
  <c r="CP47" i="3"/>
  <c r="CR47" i="3"/>
  <c r="CT47" i="3"/>
  <c r="CV47" i="3"/>
  <c r="CX47" i="3"/>
  <c r="CZ47" i="3"/>
  <c r="DB47" i="3"/>
  <c r="DD47" i="3"/>
  <c r="DF47" i="3"/>
  <c r="DH47" i="3"/>
  <c r="DJ47" i="3"/>
  <c r="DL47" i="3"/>
  <c r="DN47" i="3"/>
  <c r="DP47" i="3"/>
  <c r="DR47" i="3"/>
  <c r="DT47" i="3"/>
  <c r="DV47" i="3"/>
  <c r="DX47" i="3"/>
  <c r="DZ47" i="3"/>
  <c r="EB47" i="3"/>
  <c r="ED47" i="3"/>
  <c r="EF47" i="3"/>
  <c r="EH47" i="3"/>
  <c r="X48" i="3"/>
  <c r="Z48" i="3"/>
  <c r="AB48" i="3"/>
  <c r="AD48" i="3"/>
  <c r="AF48" i="3"/>
  <c r="AH48" i="3"/>
  <c r="AJ48" i="3"/>
  <c r="AL48" i="3"/>
  <c r="AN48" i="3"/>
  <c r="AP48" i="3"/>
  <c r="AR48" i="3"/>
  <c r="AT48" i="3"/>
  <c r="AV48" i="3"/>
  <c r="AX48" i="3"/>
  <c r="AZ48" i="3"/>
  <c r="BB48" i="3"/>
  <c r="BD48" i="3"/>
  <c r="BF48" i="3"/>
  <c r="BH48" i="3"/>
  <c r="BJ48" i="3"/>
  <c r="BL48" i="3"/>
  <c r="BN48" i="3"/>
  <c r="BP48" i="3"/>
  <c r="BR48" i="3"/>
  <c r="BT48" i="3"/>
  <c r="BV48" i="3"/>
  <c r="BX48" i="3"/>
  <c r="BZ48" i="3"/>
  <c r="CB48" i="3"/>
  <c r="CD48" i="3"/>
  <c r="CF48" i="3"/>
  <c r="CH48" i="3"/>
  <c r="CJ48" i="3"/>
  <c r="CL48" i="3"/>
  <c r="CN48" i="3"/>
  <c r="CP48" i="3"/>
  <c r="CR48" i="3"/>
  <c r="CT48" i="3"/>
  <c r="CV48" i="3"/>
  <c r="CX48" i="3"/>
  <c r="CZ48" i="3"/>
  <c r="DB48" i="3"/>
  <c r="DD48" i="3"/>
  <c r="DF48" i="3"/>
  <c r="DH48" i="3"/>
  <c r="DJ48" i="3"/>
  <c r="DL48" i="3"/>
  <c r="DN48" i="3"/>
  <c r="DP48" i="3"/>
  <c r="DR48" i="3"/>
  <c r="DT48" i="3"/>
  <c r="DV48" i="3"/>
  <c r="DX48" i="3"/>
  <c r="DZ48" i="3"/>
  <c r="EB48" i="3"/>
  <c r="ED48" i="3"/>
  <c r="EF48" i="3"/>
  <c r="EH48" i="3"/>
  <c r="AA49" i="3"/>
  <c r="AC49" i="3"/>
  <c r="AE49" i="3"/>
  <c r="AG49" i="3"/>
  <c r="AI49" i="3"/>
  <c r="AK49" i="3"/>
  <c r="AM49" i="3"/>
  <c r="AO49" i="3"/>
  <c r="AQ49" i="3"/>
  <c r="AS49" i="3"/>
  <c r="AU49" i="3"/>
  <c r="AW49" i="3"/>
  <c r="AY49" i="3"/>
  <c r="BA49" i="3"/>
  <c r="BC49" i="3"/>
  <c r="BE49" i="3"/>
  <c r="BG49" i="3"/>
  <c r="BI49" i="3"/>
  <c r="BK49" i="3"/>
  <c r="BM49" i="3"/>
  <c r="BO49" i="3"/>
  <c r="BQ49" i="3"/>
  <c r="BS49" i="3"/>
  <c r="BU49" i="3"/>
  <c r="BW49" i="3"/>
  <c r="BY49" i="3"/>
  <c r="CA49" i="3"/>
  <c r="CC49" i="3"/>
  <c r="CE49" i="3"/>
  <c r="CG49" i="3"/>
  <c r="CI49" i="3"/>
  <c r="CK49" i="3"/>
  <c r="CM49" i="3"/>
  <c r="CO49" i="3"/>
  <c r="CQ49" i="3"/>
  <c r="CS49" i="3"/>
  <c r="CU49" i="3"/>
  <c r="CW49" i="3"/>
  <c r="CY49" i="3"/>
  <c r="DA49" i="3"/>
  <c r="DC49" i="3"/>
  <c r="DE49" i="3"/>
  <c r="DG49" i="3"/>
  <c r="DI49" i="3"/>
  <c r="DK49" i="3"/>
  <c r="DM49" i="3"/>
  <c r="DO49" i="3"/>
  <c r="DQ49" i="3"/>
  <c r="DS49" i="3"/>
  <c r="DU49" i="3"/>
  <c r="DW49" i="3"/>
  <c r="DY49" i="3"/>
  <c r="EA49" i="3"/>
  <c r="EC49" i="3"/>
  <c r="EE49" i="3"/>
  <c r="EG49" i="3"/>
  <c r="EI49" i="3"/>
  <c r="N50" i="3"/>
  <c r="P50" i="3"/>
  <c r="R50" i="3"/>
  <c r="T50" i="3"/>
  <c r="V50" i="3"/>
  <c r="X50" i="3"/>
  <c r="Z50" i="3"/>
  <c r="AB50" i="3"/>
  <c r="AD50" i="3"/>
  <c r="AF50" i="3"/>
  <c r="AH50" i="3"/>
  <c r="AJ50" i="3"/>
  <c r="AL50" i="3"/>
  <c r="AN50" i="3"/>
  <c r="AP50" i="3"/>
  <c r="AR50" i="3"/>
  <c r="AT50" i="3"/>
  <c r="AV50" i="3"/>
  <c r="AX50" i="3"/>
  <c r="AZ50" i="3"/>
  <c r="BB50" i="3"/>
  <c r="BD50" i="3"/>
  <c r="BF50" i="3"/>
  <c r="BH50" i="3"/>
  <c r="BJ50" i="3"/>
  <c r="BL50" i="3"/>
  <c r="BN50" i="3"/>
  <c r="BP50" i="3"/>
  <c r="BR50" i="3"/>
  <c r="BT50" i="3"/>
  <c r="BV50" i="3"/>
  <c r="BX50" i="3"/>
  <c r="BZ50" i="3"/>
  <c r="CB50" i="3"/>
  <c r="CD50" i="3"/>
  <c r="CF50" i="3"/>
  <c r="CH50" i="3"/>
  <c r="CJ50" i="3"/>
  <c r="CL50" i="3"/>
  <c r="CN50" i="3"/>
  <c r="CP50" i="3"/>
  <c r="CR50" i="3"/>
  <c r="CT50" i="3"/>
  <c r="CV50" i="3"/>
  <c r="CX50" i="3"/>
  <c r="CZ50" i="3"/>
  <c r="DB50" i="3"/>
  <c r="DD50" i="3"/>
  <c r="DF50" i="3"/>
  <c r="DH50" i="3"/>
  <c r="DJ50" i="3"/>
  <c r="DL50" i="3"/>
  <c r="DN50" i="3"/>
  <c r="DP50" i="3"/>
  <c r="DR50" i="3"/>
  <c r="DT50" i="3"/>
  <c r="DV50" i="3"/>
  <c r="DX50" i="3"/>
  <c r="DZ50" i="3"/>
  <c r="EB50" i="3"/>
  <c r="ED50" i="3"/>
  <c r="EF50" i="3"/>
  <c r="EH50" i="3"/>
  <c r="R51" i="3"/>
  <c r="T51" i="3"/>
  <c r="V51" i="3"/>
  <c r="X51" i="3"/>
  <c r="Z51" i="3"/>
  <c r="AB51" i="3"/>
  <c r="AD51" i="3"/>
  <c r="AF51" i="3"/>
  <c r="AH51" i="3"/>
  <c r="AJ51" i="3"/>
  <c r="AL51" i="3"/>
  <c r="AN51" i="3"/>
  <c r="AP51" i="3"/>
  <c r="AR51" i="3"/>
  <c r="AT51" i="3"/>
  <c r="AV51" i="3"/>
  <c r="AX51" i="3"/>
  <c r="AZ51" i="3"/>
  <c r="BB51" i="3"/>
  <c r="BD51" i="3"/>
  <c r="BF51" i="3"/>
  <c r="BH51" i="3"/>
  <c r="BJ51" i="3"/>
  <c r="BL51" i="3"/>
  <c r="BN51" i="3"/>
  <c r="BP51" i="3"/>
  <c r="BR51" i="3"/>
  <c r="BT51" i="3"/>
  <c r="BV51" i="3"/>
  <c r="BX51" i="3"/>
  <c r="BZ51" i="3"/>
  <c r="CB51" i="3"/>
  <c r="CD51" i="3"/>
  <c r="CF51" i="3"/>
  <c r="CH51" i="3"/>
  <c r="CJ51" i="3"/>
  <c r="CL51" i="3"/>
  <c r="CN51" i="3"/>
  <c r="CP51" i="3"/>
  <c r="CR51" i="3"/>
  <c r="CT51" i="3"/>
  <c r="CV51" i="3"/>
  <c r="CX51" i="3"/>
  <c r="CZ51" i="3"/>
  <c r="DB51" i="3"/>
  <c r="DD51" i="3"/>
  <c r="DF51" i="3"/>
  <c r="DH51" i="3"/>
  <c r="DJ51" i="3"/>
  <c r="DL51" i="3"/>
  <c r="DN51" i="3"/>
  <c r="DP51" i="3"/>
  <c r="DR51" i="3"/>
  <c r="DT51" i="3"/>
  <c r="DV51" i="3"/>
  <c r="DX51" i="3"/>
  <c r="DZ51" i="3"/>
  <c r="EB51" i="3"/>
  <c r="ED51" i="3"/>
  <c r="EF51" i="3"/>
  <c r="EH51" i="3"/>
  <c r="M52" i="3"/>
  <c r="O52" i="3"/>
  <c r="Q52" i="3"/>
  <c r="S52" i="3"/>
  <c r="U52" i="3"/>
  <c r="W52" i="3"/>
  <c r="Y52" i="3"/>
  <c r="AA52" i="3"/>
  <c r="AC52" i="3"/>
  <c r="AE52" i="3"/>
  <c r="AG52" i="3"/>
  <c r="AI52" i="3"/>
  <c r="AK52" i="3"/>
  <c r="AM52" i="3"/>
  <c r="AO52" i="3"/>
  <c r="AQ52" i="3"/>
  <c r="AS52" i="3"/>
  <c r="AU52" i="3"/>
  <c r="AW52" i="3"/>
  <c r="AY52" i="3"/>
  <c r="BA52" i="3"/>
  <c r="BC52" i="3"/>
  <c r="BE52" i="3"/>
  <c r="BG52" i="3"/>
  <c r="BI52" i="3"/>
  <c r="BK52" i="3"/>
  <c r="BM52" i="3"/>
  <c r="BO52" i="3"/>
  <c r="BQ52" i="3"/>
  <c r="BS52" i="3"/>
  <c r="BU52" i="3"/>
  <c r="BW52" i="3"/>
  <c r="BY52" i="3"/>
  <c r="CA52" i="3"/>
  <c r="CC52" i="3"/>
  <c r="CE52" i="3"/>
  <c r="CG52" i="3"/>
  <c r="CI52" i="3"/>
  <c r="CK52" i="3"/>
  <c r="CM52" i="3"/>
  <c r="CO52" i="3"/>
  <c r="CQ52" i="3"/>
  <c r="CS52" i="3"/>
  <c r="CU52" i="3"/>
  <c r="CW52" i="3"/>
  <c r="CY52" i="3"/>
  <c r="DA52" i="3"/>
  <c r="DC52" i="3"/>
  <c r="DE52" i="3"/>
  <c r="DG52" i="3"/>
  <c r="DI52" i="3"/>
  <c r="DK52" i="3"/>
  <c r="DM52" i="3"/>
  <c r="DO52" i="3"/>
  <c r="DQ52" i="3"/>
  <c r="DS52" i="3"/>
  <c r="DU52" i="3"/>
  <c r="DW52" i="3"/>
  <c r="DY52" i="3"/>
  <c r="EA52" i="3"/>
  <c r="EC52" i="3"/>
  <c r="EE52" i="3"/>
  <c r="EG52" i="3"/>
  <c r="EI52" i="3"/>
  <c r="Q53" i="3"/>
  <c r="S53" i="3"/>
  <c r="U53" i="3"/>
  <c r="W53" i="3"/>
  <c r="Y53" i="3"/>
  <c r="AA53" i="3"/>
  <c r="AC53" i="3"/>
  <c r="AE53" i="3"/>
  <c r="AG53" i="3"/>
  <c r="AI53" i="3"/>
  <c r="AK53" i="3"/>
  <c r="AM53" i="3"/>
  <c r="AO53" i="3"/>
  <c r="AQ53" i="3"/>
  <c r="AS53" i="3"/>
  <c r="AU53" i="3"/>
  <c r="AW53" i="3"/>
  <c r="AY53" i="3"/>
  <c r="BA53" i="3"/>
  <c r="BC53" i="3"/>
  <c r="BE53" i="3"/>
  <c r="BG53" i="3"/>
  <c r="BI53" i="3"/>
  <c r="BK53" i="3"/>
  <c r="BM53" i="3"/>
  <c r="BO53" i="3"/>
  <c r="BQ53" i="3"/>
  <c r="BS53" i="3"/>
  <c r="BU53" i="3"/>
  <c r="BW53" i="3"/>
  <c r="BY53" i="3"/>
  <c r="CA53" i="3"/>
  <c r="CC53" i="3"/>
  <c r="CE53" i="3"/>
  <c r="CG53" i="3"/>
  <c r="CI53" i="3"/>
  <c r="CK53" i="3"/>
  <c r="CM53" i="3"/>
  <c r="CO53" i="3"/>
  <c r="CQ53" i="3"/>
  <c r="CS53" i="3"/>
  <c r="CU53" i="3"/>
  <c r="CW53" i="3"/>
  <c r="CY53" i="3"/>
  <c r="DA53" i="3"/>
  <c r="DC53" i="3"/>
  <c r="DE53" i="3"/>
  <c r="DG53" i="3"/>
  <c r="DI53" i="3"/>
  <c r="DK53" i="3"/>
  <c r="DM53" i="3"/>
  <c r="DO53" i="3"/>
  <c r="DQ53" i="3"/>
  <c r="DS53" i="3"/>
  <c r="DU53" i="3"/>
  <c r="DW53" i="3"/>
  <c r="DY53" i="3"/>
  <c r="EA53" i="3"/>
  <c r="EC53" i="3"/>
  <c r="EE53" i="3"/>
  <c r="EG53" i="3"/>
  <c r="EI53" i="3"/>
  <c r="AG54" i="3"/>
  <c r="AI54" i="3"/>
  <c r="AK54" i="3"/>
  <c r="AM54" i="3"/>
  <c r="AO54" i="3"/>
  <c r="AQ54" i="3"/>
  <c r="AS54" i="3"/>
  <c r="AU54" i="3"/>
  <c r="AW54" i="3"/>
  <c r="AY54" i="3"/>
  <c r="BA54" i="3"/>
  <c r="BC54" i="3"/>
  <c r="BE54" i="3"/>
  <c r="BG54" i="3"/>
  <c r="BI54" i="3"/>
  <c r="BK54" i="3"/>
  <c r="BM54" i="3"/>
  <c r="BO54" i="3"/>
  <c r="BQ54" i="3"/>
  <c r="BS54" i="3"/>
  <c r="BU54" i="3"/>
  <c r="BW54" i="3"/>
  <c r="BY54" i="3"/>
  <c r="CA54" i="3"/>
  <c r="CC54" i="3"/>
  <c r="CE54" i="3"/>
  <c r="CG54" i="3"/>
  <c r="CI54" i="3"/>
  <c r="CK54" i="3"/>
  <c r="CM54" i="3"/>
  <c r="CO54" i="3"/>
  <c r="CQ54" i="3"/>
  <c r="CS54" i="3"/>
  <c r="CU54" i="3"/>
  <c r="CW54" i="3"/>
  <c r="CY54" i="3"/>
  <c r="DA54" i="3"/>
  <c r="DC54" i="3"/>
  <c r="DE54" i="3"/>
  <c r="DG54" i="3"/>
  <c r="DI54" i="3"/>
  <c r="DK54" i="3"/>
  <c r="DM54" i="3"/>
  <c r="DO54" i="3"/>
  <c r="DQ54" i="3"/>
  <c r="DS54" i="3"/>
  <c r="DU54" i="3"/>
  <c r="DW54" i="3"/>
  <c r="DY54" i="3"/>
  <c r="EA54" i="3"/>
  <c r="EC54" i="3"/>
  <c r="EE54" i="3"/>
  <c r="EG54" i="3"/>
  <c r="EI54" i="3"/>
  <c r="AV55" i="3"/>
  <c r="AX55" i="3"/>
  <c r="AZ55" i="3"/>
  <c r="BB55" i="3"/>
  <c r="BD55" i="3"/>
  <c r="BF55" i="3"/>
  <c r="BH55" i="3"/>
  <c r="BJ55" i="3"/>
  <c r="BL55" i="3"/>
  <c r="BN55" i="3"/>
  <c r="BP55" i="3"/>
  <c r="BR55" i="3"/>
  <c r="BT55" i="3"/>
  <c r="BV55" i="3"/>
  <c r="BX55" i="3"/>
  <c r="BZ55" i="3"/>
  <c r="CB55" i="3"/>
  <c r="CD55" i="3"/>
  <c r="CF55" i="3"/>
  <c r="CH55" i="3"/>
  <c r="CJ55" i="3"/>
  <c r="CL55" i="3"/>
  <c r="CN55" i="3"/>
  <c r="CP55" i="3"/>
  <c r="CR55" i="3"/>
  <c r="CT55" i="3"/>
  <c r="CV55" i="3"/>
  <c r="CX55" i="3"/>
  <c r="CZ55" i="3"/>
  <c r="DB55" i="3"/>
  <c r="DD55" i="3"/>
  <c r="DF55" i="3"/>
  <c r="DH55" i="3"/>
  <c r="DJ55" i="3"/>
  <c r="DL55" i="3"/>
  <c r="DN55" i="3"/>
  <c r="DP55" i="3"/>
  <c r="DR55" i="3"/>
  <c r="DT55" i="3"/>
  <c r="DV55" i="3"/>
  <c r="DX55" i="3"/>
  <c r="DZ55" i="3"/>
  <c r="EB55" i="3"/>
  <c r="ED55" i="3"/>
  <c r="EF55" i="3"/>
  <c r="EH55" i="3"/>
  <c r="K56" i="3"/>
  <c r="M56" i="3"/>
  <c r="O56" i="3"/>
  <c r="Q56" i="3"/>
  <c r="S56" i="3"/>
  <c r="U56" i="3"/>
  <c r="W56" i="3"/>
  <c r="Y56" i="3"/>
  <c r="AA56" i="3"/>
  <c r="AC56" i="3"/>
  <c r="AE56" i="3"/>
  <c r="AG56" i="3"/>
  <c r="AI56" i="3"/>
  <c r="AK56" i="3"/>
  <c r="AM56" i="3"/>
  <c r="AO56" i="3"/>
  <c r="AQ56" i="3"/>
  <c r="AS56" i="3"/>
  <c r="AU56" i="3"/>
  <c r="AW56" i="3"/>
  <c r="AY56" i="3"/>
  <c r="BA56" i="3"/>
  <c r="BC56" i="3"/>
  <c r="BE56" i="3"/>
  <c r="BG56" i="3"/>
  <c r="BI56" i="3"/>
  <c r="BK56" i="3"/>
  <c r="BM56" i="3"/>
  <c r="BO56" i="3"/>
  <c r="BQ56" i="3"/>
  <c r="BS56" i="3"/>
  <c r="BU56" i="3"/>
  <c r="BW56" i="3"/>
  <c r="BY56" i="3"/>
  <c r="CA56" i="3"/>
  <c r="CC56" i="3"/>
  <c r="CE56" i="3"/>
  <c r="CG56" i="3"/>
  <c r="CI56" i="3"/>
  <c r="CK56" i="3"/>
  <c r="CM56" i="3"/>
  <c r="CO56" i="3"/>
  <c r="CQ56" i="3"/>
  <c r="CS56" i="3"/>
  <c r="CU56" i="3"/>
  <c r="CW56" i="3"/>
  <c r="CY56" i="3"/>
  <c r="DA56" i="3"/>
  <c r="DC56" i="3"/>
  <c r="DE56" i="3"/>
  <c r="DG56" i="3"/>
  <c r="DI56" i="3"/>
  <c r="DK56" i="3"/>
  <c r="DM56" i="3"/>
  <c r="DO56" i="3"/>
  <c r="DQ56" i="3"/>
  <c r="DS56" i="3"/>
  <c r="DU56" i="3"/>
  <c r="DW56" i="3"/>
  <c r="DY56" i="3"/>
  <c r="EA56" i="3"/>
  <c r="EC56" i="3"/>
  <c r="EE56" i="3"/>
  <c r="EG56" i="3"/>
  <c r="EI56" i="3"/>
  <c r="O57" i="3"/>
  <c r="Q57" i="3"/>
  <c r="S57" i="3"/>
  <c r="U57" i="3"/>
  <c r="W57" i="3"/>
  <c r="Y57" i="3"/>
  <c r="AA57" i="3"/>
  <c r="AC57" i="3"/>
  <c r="AE57" i="3"/>
  <c r="AG57" i="3"/>
  <c r="AI57" i="3"/>
  <c r="AK57" i="3"/>
  <c r="AM57" i="3"/>
  <c r="AO57" i="3"/>
  <c r="AQ57" i="3"/>
  <c r="AS57" i="3"/>
  <c r="AU57" i="3"/>
  <c r="AW57" i="3"/>
  <c r="AY57" i="3"/>
  <c r="BA57" i="3"/>
  <c r="BC57" i="3"/>
  <c r="BE57" i="3"/>
  <c r="BG57" i="3"/>
  <c r="BI57" i="3"/>
  <c r="BK57" i="3"/>
  <c r="BM57" i="3"/>
  <c r="BO57" i="3"/>
  <c r="BQ57" i="3"/>
  <c r="BS57" i="3"/>
  <c r="BU57" i="3"/>
  <c r="BW57" i="3"/>
  <c r="BY57" i="3"/>
  <c r="CA57" i="3"/>
  <c r="CC57" i="3"/>
  <c r="CE57" i="3"/>
  <c r="CG57" i="3"/>
  <c r="CI57" i="3"/>
  <c r="CK57" i="3"/>
  <c r="CM57" i="3"/>
  <c r="CO57" i="3"/>
  <c r="CQ57" i="3"/>
  <c r="CS57" i="3"/>
  <c r="CU57" i="3"/>
  <c r="CW57" i="3"/>
  <c r="CY57" i="3"/>
  <c r="DA57" i="3"/>
  <c r="DC57" i="3"/>
  <c r="DE57" i="3"/>
  <c r="DG57" i="3"/>
  <c r="DI57" i="3"/>
  <c r="DK57" i="3"/>
  <c r="DM57" i="3"/>
  <c r="DO57" i="3"/>
  <c r="DQ57" i="3"/>
  <c r="DS57" i="3"/>
  <c r="DU57" i="3"/>
  <c r="DW57" i="3"/>
  <c r="DY57" i="3"/>
  <c r="EA57" i="3"/>
  <c r="EC57" i="3"/>
  <c r="EE57" i="3"/>
  <c r="EG57" i="3"/>
  <c r="EI57" i="3"/>
  <c r="O58" i="3"/>
  <c r="Q58" i="3"/>
  <c r="S58" i="3"/>
  <c r="U58" i="3"/>
  <c r="W58" i="3"/>
  <c r="Y58" i="3"/>
  <c r="AA58" i="3"/>
  <c r="AC58" i="3"/>
  <c r="AE58" i="3"/>
  <c r="AG58" i="3"/>
  <c r="AI58" i="3"/>
  <c r="AK58" i="3"/>
  <c r="AM58" i="3"/>
  <c r="AO58" i="3"/>
  <c r="AQ58" i="3"/>
  <c r="AS58" i="3"/>
  <c r="AU58" i="3"/>
  <c r="AW58" i="3"/>
  <c r="AY58" i="3"/>
  <c r="BA58" i="3"/>
  <c r="BC58" i="3"/>
  <c r="BE58" i="3"/>
  <c r="BG58" i="3"/>
  <c r="BI58" i="3"/>
  <c r="BK58" i="3"/>
  <c r="BM58" i="3"/>
  <c r="BO58" i="3"/>
  <c r="BQ58" i="3"/>
  <c r="BS58" i="3"/>
  <c r="BU58" i="3"/>
  <c r="BW58" i="3"/>
  <c r="BY58" i="3"/>
  <c r="CA58" i="3"/>
  <c r="CC58" i="3"/>
  <c r="CE58" i="3"/>
  <c r="CG58" i="3"/>
  <c r="CI58" i="3"/>
  <c r="CK58" i="3"/>
  <c r="CM58" i="3"/>
  <c r="CO58" i="3"/>
  <c r="CQ58" i="3"/>
  <c r="CS58" i="3"/>
  <c r="CU58" i="3"/>
  <c r="CW58" i="3"/>
  <c r="CY58" i="3"/>
  <c r="DA58" i="3"/>
  <c r="DC58" i="3"/>
  <c r="DE58" i="3"/>
  <c r="DG58" i="3"/>
  <c r="DI58" i="3"/>
  <c r="DK58" i="3"/>
  <c r="DM58" i="3"/>
  <c r="DO58" i="3"/>
  <c r="DQ58" i="3"/>
  <c r="DS58" i="3"/>
  <c r="DU58" i="3"/>
  <c r="DW58" i="3"/>
  <c r="DY58" i="3"/>
  <c r="EA58" i="3"/>
  <c r="EC58" i="3"/>
  <c r="EE58" i="3"/>
  <c r="EG58" i="3"/>
  <c r="EI58" i="3"/>
  <c r="O59" i="3"/>
  <c r="Q59" i="3"/>
  <c r="S59" i="3"/>
  <c r="U59" i="3"/>
  <c r="W59" i="3"/>
  <c r="Y59" i="3"/>
  <c r="AA59" i="3"/>
  <c r="AC59" i="3"/>
  <c r="AE59" i="3"/>
  <c r="AG59" i="3"/>
  <c r="AI59" i="3"/>
  <c r="AK59" i="3"/>
  <c r="AM59" i="3"/>
  <c r="AO59" i="3"/>
  <c r="AQ59" i="3"/>
  <c r="AS59" i="3"/>
  <c r="AU59" i="3"/>
  <c r="AW59" i="3"/>
  <c r="AY59" i="3"/>
  <c r="BA59" i="3"/>
  <c r="BC59" i="3"/>
  <c r="BE59" i="3"/>
  <c r="BG59" i="3"/>
  <c r="BI59" i="3"/>
  <c r="BK59" i="3"/>
  <c r="BM59" i="3"/>
  <c r="BO59" i="3"/>
  <c r="BQ59" i="3"/>
  <c r="BS59" i="3"/>
  <c r="BU59" i="3"/>
  <c r="BW59" i="3"/>
  <c r="BY59" i="3"/>
  <c r="CA59" i="3"/>
  <c r="CC59" i="3"/>
  <c r="CE59" i="3"/>
  <c r="CG59" i="3"/>
  <c r="CI59" i="3"/>
  <c r="CK59" i="3"/>
  <c r="CM59" i="3"/>
  <c r="CO59" i="3"/>
  <c r="CQ59" i="3"/>
  <c r="CS59" i="3"/>
  <c r="CU59" i="3"/>
  <c r="CW59" i="3"/>
  <c r="CY59" i="3"/>
  <c r="DA59" i="3"/>
  <c r="DC59" i="3"/>
  <c r="DE59" i="3"/>
  <c r="DG59" i="3"/>
  <c r="DI59" i="3"/>
  <c r="DK59" i="3"/>
  <c r="DM59" i="3"/>
  <c r="DO59" i="3"/>
  <c r="DQ59" i="3"/>
  <c r="DS59" i="3"/>
  <c r="DU59" i="3"/>
  <c r="DW59" i="3"/>
  <c r="DY59" i="3"/>
  <c r="EA59" i="3"/>
  <c r="EC59" i="3"/>
  <c r="EE59" i="3"/>
  <c r="EG59" i="3"/>
  <c r="EI59" i="3"/>
  <c r="N60" i="3"/>
  <c r="P60" i="3"/>
  <c r="R60" i="3"/>
  <c r="T60" i="3"/>
  <c r="V60" i="3"/>
  <c r="X60" i="3"/>
  <c r="Z60" i="3"/>
  <c r="AB60" i="3"/>
  <c r="AD60" i="3"/>
  <c r="AF60" i="3"/>
  <c r="AH60" i="3"/>
  <c r="AJ60" i="3"/>
  <c r="AL60" i="3"/>
  <c r="AN60" i="3"/>
  <c r="AP60" i="3"/>
  <c r="AR60" i="3"/>
  <c r="AT60" i="3"/>
  <c r="AV60" i="3"/>
  <c r="AX60" i="3"/>
  <c r="AZ60" i="3"/>
  <c r="BB60" i="3"/>
  <c r="BD60" i="3"/>
  <c r="BF60" i="3"/>
  <c r="BH60" i="3"/>
  <c r="BJ60" i="3"/>
  <c r="BL60" i="3"/>
  <c r="BN60" i="3"/>
  <c r="BP60" i="3"/>
  <c r="BR60" i="3"/>
  <c r="BT60" i="3"/>
  <c r="BV60" i="3"/>
  <c r="BX60" i="3"/>
  <c r="BZ60" i="3"/>
  <c r="CB60" i="3"/>
  <c r="CD60" i="3"/>
  <c r="CF60" i="3"/>
  <c r="CH60" i="3"/>
  <c r="CJ60" i="3"/>
  <c r="CL60" i="3"/>
  <c r="CN60" i="3"/>
  <c r="CP60" i="3"/>
  <c r="CR60" i="3"/>
  <c r="CT60" i="3"/>
  <c r="CV60" i="3"/>
  <c r="CX60" i="3"/>
  <c r="CZ60" i="3"/>
  <c r="DB60" i="3"/>
  <c r="DD60" i="3"/>
  <c r="DF60" i="3"/>
  <c r="DH60" i="3"/>
  <c r="DJ60" i="3"/>
  <c r="DL60" i="3"/>
  <c r="DN60" i="3"/>
  <c r="DP60" i="3"/>
  <c r="DR60" i="3"/>
  <c r="DT60" i="3"/>
  <c r="DV60" i="3"/>
  <c r="DX60" i="3"/>
  <c r="DZ60" i="3"/>
  <c r="EB60" i="3"/>
  <c r="ED60" i="3"/>
  <c r="EF60" i="3"/>
  <c r="EH60" i="3"/>
  <c r="K61" i="3"/>
  <c r="M61" i="3"/>
  <c r="O61" i="3"/>
  <c r="Q61" i="3"/>
  <c r="S61" i="3"/>
  <c r="U61" i="3"/>
  <c r="W61" i="3"/>
  <c r="Y61" i="3"/>
  <c r="AA61" i="3"/>
  <c r="AC61" i="3"/>
  <c r="AE61" i="3"/>
  <c r="AG61" i="3"/>
  <c r="AI61" i="3"/>
  <c r="AK61" i="3"/>
  <c r="AM61" i="3"/>
  <c r="AO61" i="3"/>
  <c r="AQ61" i="3"/>
  <c r="AS61" i="3"/>
  <c r="AU61" i="3"/>
  <c r="AW61" i="3"/>
  <c r="AY61" i="3"/>
  <c r="BA61" i="3"/>
  <c r="BC61" i="3"/>
  <c r="BE61" i="3"/>
  <c r="BG61" i="3"/>
  <c r="BI61" i="3"/>
  <c r="BK61" i="3"/>
  <c r="BM61" i="3"/>
  <c r="BO61" i="3"/>
  <c r="BQ61" i="3"/>
  <c r="BS61" i="3"/>
  <c r="BU61" i="3"/>
  <c r="BW61" i="3"/>
  <c r="BY61" i="3"/>
  <c r="CA61" i="3"/>
  <c r="CC61" i="3"/>
  <c r="CE61" i="3"/>
  <c r="CG61" i="3"/>
  <c r="CI61" i="3"/>
  <c r="CK61" i="3"/>
  <c r="CM61" i="3"/>
  <c r="CO61" i="3"/>
  <c r="CQ61" i="3"/>
  <c r="CS61" i="3"/>
  <c r="CU61" i="3"/>
  <c r="CW61" i="3"/>
  <c r="CY61" i="3"/>
  <c r="DA61" i="3"/>
  <c r="DC61" i="3"/>
  <c r="DE61" i="3"/>
  <c r="DG61" i="3"/>
  <c r="DI61" i="3"/>
  <c r="DK61" i="3"/>
  <c r="DM61" i="3"/>
  <c r="DO61" i="3"/>
  <c r="DQ61" i="3"/>
  <c r="DS61" i="3"/>
  <c r="DU61" i="3"/>
  <c r="DW61" i="3"/>
  <c r="DY61" i="3"/>
  <c r="EA61" i="3"/>
  <c r="EC61" i="3"/>
  <c r="EE61" i="3"/>
  <c r="EG61" i="3"/>
  <c r="EI61" i="3"/>
  <c r="L62" i="3"/>
  <c r="N62" i="3"/>
  <c r="P62" i="3"/>
  <c r="R62" i="3"/>
  <c r="T62" i="3"/>
  <c r="V62" i="3"/>
  <c r="X62" i="3"/>
  <c r="Z62" i="3"/>
  <c r="AB62" i="3"/>
  <c r="AD62" i="3"/>
  <c r="AF62" i="3"/>
  <c r="AH62" i="3"/>
  <c r="AJ62" i="3"/>
  <c r="AL62" i="3"/>
  <c r="AN62" i="3"/>
  <c r="AP62" i="3"/>
  <c r="AR62" i="3"/>
  <c r="AT62" i="3"/>
  <c r="AV62" i="3"/>
  <c r="AX62" i="3"/>
  <c r="AZ62" i="3"/>
  <c r="BB62" i="3"/>
  <c r="BD62" i="3"/>
  <c r="BF62" i="3"/>
  <c r="BH62" i="3"/>
  <c r="BJ62" i="3"/>
  <c r="BL62" i="3"/>
  <c r="BN62" i="3"/>
  <c r="BP62" i="3"/>
  <c r="BR62" i="3"/>
  <c r="BT62" i="3"/>
  <c r="BV62" i="3"/>
  <c r="BX62" i="3"/>
  <c r="BZ62" i="3"/>
  <c r="CB62" i="3"/>
  <c r="CD62" i="3"/>
  <c r="CF62" i="3"/>
  <c r="CH62" i="3"/>
  <c r="CJ62" i="3"/>
  <c r="CL62" i="3"/>
  <c r="CN62" i="3"/>
  <c r="CP62" i="3"/>
  <c r="CR62" i="3"/>
  <c r="CT62" i="3"/>
  <c r="CV62" i="3"/>
  <c r="CX62" i="3"/>
  <c r="CZ62" i="3"/>
  <c r="DB62" i="3"/>
  <c r="DD62" i="3"/>
  <c r="DF62" i="3"/>
  <c r="DH62" i="3"/>
  <c r="DJ62" i="3"/>
  <c r="DL62" i="3"/>
  <c r="DN62" i="3"/>
  <c r="DP62" i="3"/>
  <c r="DR62" i="3"/>
  <c r="DT62" i="3"/>
  <c r="DV62" i="3"/>
  <c r="DX62" i="3"/>
  <c r="DZ62" i="3"/>
  <c r="EB62" i="3"/>
  <c r="ED62" i="3"/>
  <c r="EF62" i="3"/>
  <c r="EH62" i="3"/>
  <c r="N63" i="3"/>
  <c r="P63" i="3"/>
  <c r="R63" i="3"/>
  <c r="T63" i="3"/>
  <c r="V63" i="3"/>
  <c r="X63" i="3"/>
  <c r="Z63" i="3"/>
  <c r="AB63" i="3"/>
  <c r="AD63" i="3"/>
  <c r="AF63" i="3"/>
  <c r="AH63" i="3"/>
  <c r="AJ63" i="3"/>
  <c r="AL63" i="3"/>
  <c r="AN63" i="3"/>
  <c r="AP63" i="3"/>
  <c r="AR63" i="3"/>
  <c r="AT63" i="3"/>
  <c r="AV63" i="3"/>
  <c r="AX63" i="3"/>
  <c r="AZ63" i="3"/>
  <c r="BB63" i="3"/>
  <c r="BD63" i="3"/>
  <c r="BF63" i="3"/>
  <c r="BH63" i="3"/>
  <c r="BJ63" i="3"/>
  <c r="BL63" i="3"/>
  <c r="BN63" i="3"/>
  <c r="BP63" i="3"/>
  <c r="BR63" i="3"/>
  <c r="BT63" i="3"/>
  <c r="BV63" i="3"/>
  <c r="BX63" i="3"/>
  <c r="BZ63" i="3"/>
  <c r="CB63" i="3"/>
  <c r="CD63" i="3"/>
  <c r="CF63" i="3"/>
  <c r="CH63" i="3"/>
  <c r="CJ63" i="3"/>
  <c r="CL63" i="3"/>
  <c r="CN63" i="3"/>
  <c r="CP63" i="3"/>
  <c r="CR63" i="3"/>
  <c r="CT63" i="3"/>
  <c r="CV63" i="3"/>
  <c r="CX63" i="3"/>
  <c r="CZ63" i="3"/>
  <c r="DB63" i="3"/>
  <c r="DD63" i="3"/>
  <c r="DF63" i="3"/>
  <c r="DH63" i="3"/>
  <c r="DJ63" i="3"/>
  <c r="DL63" i="3"/>
  <c r="DN63" i="3"/>
  <c r="DP63" i="3"/>
  <c r="DR63" i="3"/>
  <c r="DT63" i="3"/>
  <c r="DV63" i="3"/>
  <c r="DX63" i="3"/>
  <c r="DZ63" i="3"/>
  <c r="EB63" i="3"/>
  <c r="ED63" i="3"/>
  <c r="EF63" i="3"/>
  <c r="EH63" i="3"/>
  <c r="N64" i="3"/>
  <c r="P64" i="3"/>
  <c r="R64" i="3"/>
  <c r="T64" i="3"/>
  <c r="V64" i="3"/>
  <c r="X64" i="3"/>
  <c r="Z64" i="3"/>
  <c r="AB64" i="3"/>
  <c r="AD64" i="3"/>
  <c r="AF64" i="3"/>
  <c r="AH64" i="3"/>
  <c r="AJ64" i="3"/>
  <c r="AL64" i="3"/>
  <c r="AN64" i="3"/>
  <c r="AP64" i="3"/>
  <c r="AR64" i="3"/>
  <c r="AT64" i="3"/>
  <c r="AV64" i="3"/>
  <c r="AX64" i="3"/>
  <c r="AZ64" i="3"/>
  <c r="BB64" i="3"/>
  <c r="BD64" i="3"/>
  <c r="BF64" i="3"/>
  <c r="BH64" i="3"/>
  <c r="BJ64" i="3"/>
  <c r="BL64" i="3"/>
  <c r="BN64" i="3"/>
  <c r="BP64" i="3"/>
  <c r="BR64" i="3"/>
  <c r="BT64" i="3"/>
  <c r="BV64" i="3"/>
  <c r="BX64" i="3"/>
  <c r="BZ64" i="3"/>
  <c r="CB64" i="3"/>
  <c r="CD64" i="3"/>
  <c r="CF64" i="3"/>
  <c r="CH64" i="3"/>
  <c r="CJ64" i="3"/>
  <c r="CL64" i="3"/>
  <c r="CN64" i="3"/>
  <c r="CP64" i="3"/>
  <c r="CR64" i="3"/>
  <c r="CT64" i="3"/>
  <c r="CV64" i="3"/>
  <c r="CX64" i="3"/>
  <c r="CZ64" i="3"/>
  <c r="DB64" i="3"/>
  <c r="DD64" i="3"/>
  <c r="DF64" i="3"/>
  <c r="DH64" i="3"/>
  <c r="DJ64" i="3"/>
  <c r="DL64" i="3"/>
  <c r="DN64" i="3"/>
  <c r="EE63" i="3"/>
  <c r="EI63" i="3"/>
  <c r="Q64" i="3"/>
  <c r="U64" i="3"/>
  <c r="Y64" i="3"/>
  <c r="AC64" i="3"/>
  <c r="AG64" i="3"/>
  <c r="AK64" i="3"/>
  <c r="AO64" i="3"/>
  <c r="AS64" i="3"/>
  <c r="AW64" i="3"/>
  <c r="BA64" i="3"/>
  <c r="BE64" i="3"/>
  <c r="BI64" i="3"/>
  <c r="BM64" i="3"/>
  <c r="BQ64" i="3"/>
  <c r="BU64" i="3"/>
  <c r="BY64" i="3"/>
  <c r="CC64" i="3"/>
  <c r="CG64" i="3"/>
  <c r="CK64" i="3"/>
  <c r="CO64" i="3"/>
  <c r="CS64" i="3"/>
  <c r="CW64" i="3"/>
  <c r="DA64" i="3"/>
  <c r="DE64" i="3"/>
  <c r="DI64" i="3"/>
  <c r="DM64" i="3"/>
  <c r="DP64" i="3"/>
  <c r="DR64" i="3"/>
  <c r="DT64" i="3"/>
  <c r="DV64" i="3"/>
  <c r="DX64" i="3"/>
  <c r="DZ64" i="3"/>
  <c r="EB64" i="3"/>
  <c r="ED64" i="3"/>
  <c r="EF64" i="3"/>
  <c r="EH64" i="3"/>
  <c r="S65" i="3"/>
  <c r="U65" i="3"/>
  <c r="W65" i="3"/>
  <c r="Y65" i="3"/>
  <c r="AA65" i="3"/>
  <c r="AC65" i="3"/>
  <c r="AE65" i="3"/>
  <c r="AG65" i="3"/>
  <c r="AI65" i="3"/>
  <c r="AK65" i="3"/>
  <c r="AM65" i="3"/>
  <c r="AO65" i="3"/>
  <c r="AQ65" i="3"/>
  <c r="AS65" i="3"/>
  <c r="AU65" i="3"/>
  <c r="AW65" i="3"/>
  <c r="AY65" i="3"/>
  <c r="BA65" i="3"/>
  <c r="BC65" i="3"/>
  <c r="BE65" i="3"/>
  <c r="BG65" i="3"/>
  <c r="BI65" i="3"/>
  <c r="BK65" i="3"/>
  <c r="BM65" i="3"/>
  <c r="BO65" i="3"/>
  <c r="BQ65" i="3"/>
  <c r="BS65" i="3"/>
  <c r="BU65" i="3"/>
  <c r="BW65" i="3"/>
  <c r="BY65" i="3"/>
  <c r="CA65" i="3"/>
  <c r="CC65" i="3"/>
  <c r="CE65" i="3"/>
  <c r="CG65" i="3"/>
  <c r="CI65" i="3"/>
  <c r="CK65" i="3"/>
  <c r="CM65" i="3"/>
  <c r="CO65" i="3"/>
  <c r="CQ65" i="3"/>
  <c r="CS65" i="3"/>
  <c r="CU65" i="3"/>
  <c r="CW65" i="3"/>
  <c r="CY65" i="3"/>
  <c r="DA65" i="3"/>
  <c r="DC65" i="3"/>
  <c r="DE65" i="3"/>
  <c r="DG65" i="3"/>
  <c r="DI65" i="3"/>
  <c r="DK65" i="3"/>
  <c r="DM65" i="3"/>
  <c r="DO65" i="3"/>
  <c r="DQ65" i="3"/>
  <c r="DS65" i="3"/>
  <c r="DU65" i="3"/>
  <c r="DW65" i="3"/>
  <c r="DY65" i="3"/>
  <c r="EA65" i="3"/>
  <c r="EC65" i="3"/>
  <c r="EE65" i="3"/>
  <c r="EG65" i="3"/>
  <c r="EI65" i="3"/>
  <c r="M66" i="3"/>
  <c r="O66" i="3"/>
  <c r="Q66" i="3"/>
  <c r="S66" i="3"/>
  <c r="U66" i="3"/>
  <c r="W66" i="3"/>
  <c r="Y66" i="3"/>
  <c r="AA66" i="3"/>
  <c r="AC66" i="3"/>
  <c r="AE66" i="3"/>
  <c r="AG66" i="3"/>
  <c r="AI66" i="3"/>
  <c r="AK66" i="3"/>
  <c r="AM66" i="3"/>
  <c r="AO66" i="3"/>
  <c r="AQ66" i="3"/>
  <c r="AS66" i="3"/>
  <c r="AU66" i="3"/>
  <c r="AW66" i="3"/>
  <c r="AY66" i="3"/>
  <c r="BA66" i="3"/>
  <c r="BC66" i="3"/>
  <c r="BE66" i="3"/>
  <c r="BG66" i="3"/>
  <c r="BI66" i="3"/>
  <c r="BK66" i="3"/>
  <c r="BM66" i="3"/>
  <c r="BO66" i="3"/>
  <c r="BQ66" i="3"/>
  <c r="BS66" i="3"/>
  <c r="BU66" i="3"/>
  <c r="BW66" i="3"/>
  <c r="BY66" i="3"/>
  <c r="CA66" i="3"/>
  <c r="CC66" i="3"/>
  <c r="CE66" i="3"/>
  <c r="CG66" i="3"/>
  <c r="CI66" i="3"/>
  <c r="CK66" i="3"/>
  <c r="CM66" i="3"/>
  <c r="CO66" i="3"/>
  <c r="CQ66" i="3"/>
  <c r="CS66" i="3"/>
  <c r="CU66" i="3"/>
  <c r="CW66" i="3"/>
  <c r="CY66" i="3"/>
  <c r="DA66" i="3"/>
  <c r="DC66" i="3"/>
  <c r="DE66" i="3"/>
  <c r="DG66" i="3"/>
  <c r="DI66" i="3"/>
  <c r="DK66" i="3"/>
  <c r="DM66" i="3"/>
  <c r="DO66" i="3"/>
  <c r="DQ66" i="3"/>
  <c r="DS66" i="3"/>
  <c r="DU66" i="3"/>
  <c r="DW66" i="3"/>
  <c r="DY66" i="3"/>
  <c r="EA66" i="3"/>
  <c r="EC66" i="3"/>
  <c r="EE66" i="3"/>
  <c r="EG66" i="3"/>
  <c r="EI66" i="3"/>
  <c r="CO67" i="3"/>
  <c r="CQ67" i="3"/>
  <c r="CS67" i="3"/>
  <c r="CU67" i="3"/>
  <c r="CW67" i="3"/>
  <c r="CY67" i="3"/>
  <c r="DA67" i="3"/>
  <c r="DC67" i="3"/>
  <c r="DE67" i="3"/>
  <c r="DG67" i="3"/>
  <c r="DI67" i="3"/>
  <c r="DK67" i="3"/>
  <c r="DM67" i="3"/>
  <c r="DO67" i="3"/>
  <c r="DQ67" i="3"/>
  <c r="DS67" i="3"/>
  <c r="DU67" i="3"/>
  <c r="DW67" i="3"/>
  <c r="DY67" i="3"/>
  <c r="EA67" i="3"/>
  <c r="EC67" i="3"/>
  <c r="EE67" i="3"/>
  <c r="EG67" i="3"/>
  <c r="EI67" i="3"/>
  <c r="N68" i="3"/>
  <c r="P68" i="3"/>
  <c r="R68" i="3"/>
  <c r="T68" i="3"/>
  <c r="V68" i="3"/>
  <c r="X68" i="3"/>
  <c r="Z68" i="3"/>
  <c r="AB68" i="3"/>
  <c r="AD68" i="3"/>
  <c r="AF68" i="3"/>
  <c r="AH68" i="3"/>
  <c r="AJ68" i="3"/>
  <c r="AL68" i="3"/>
  <c r="AN68" i="3"/>
  <c r="AP68" i="3"/>
  <c r="AR68" i="3"/>
  <c r="AT68" i="3"/>
  <c r="AV68" i="3"/>
  <c r="AX68" i="3"/>
  <c r="AZ68" i="3"/>
  <c r="BB68" i="3"/>
  <c r="BD68" i="3"/>
  <c r="BF68" i="3"/>
  <c r="BH68" i="3"/>
  <c r="BJ68" i="3"/>
  <c r="BL68" i="3"/>
  <c r="BN68" i="3"/>
  <c r="BP68" i="3"/>
  <c r="BR68" i="3"/>
  <c r="BT68" i="3"/>
  <c r="BV68" i="3"/>
  <c r="BX68" i="3"/>
  <c r="BZ68" i="3"/>
  <c r="CB68" i="3"/>
  <c r="CD68" i="3"/>
  <c r="CF68" i="3"/>
  <c r="CH68" i="3"/>
  <c r="CJ68" i="3"/>
  <c r="CL68" i="3"/>
  <c r="CN68" i="3"/>
  <c r="CP68" i="3"/>
  <c r="CR68" i="3"/>
  <c r="CT68" i="3"/>
  <c r="CV68" i="3"/>
  <c r="CX68" i="3"/>
  <c r="CZ68" i="3"/>
  <c r="DB68" i="3"/>
  <c r="DD68" i="3"/>
  <c r="DF68" i="3"/>
  <c r="DH68" i="3"/>
  <c r="DJ68" i="3"/>
  <c r="DL68" i="3"/>
  <c r="DN68" i="3"/>
  <c r="DP68" i="3"/>
  <c r="DR68" i="3"/>
  <c r="DT68" i="3"/>
  <c r="DV68" i="3"/>
  <c r="DX68" i="3"/>
  <c r="DZ68" i="3"/>
  <c r="EB68" i="3"/>
  <c r="ED68" i="3"/>
  <c r="EF68" i="3"/>
  <c r="EH68" i="3"/>
  <c r="O69" i="3"/>
  <c r="Q69" i="3"/>
  <c r="S69" i="3"/>
  <c r="U69" i="3"/>
  <c r="W69" i="3"/>
  <c r="Y69" i="3"/>
  <c r="AA69" i="3"/>
  <c r="AC69" i="3"/>
  <c r="AE69" i="3"/>
  <c r="AG69" i="3"/>
  <c r="AI69" i="3"/>
  <c r="AK69" i="3"/>
  <c r="AM69" i="3"/>
  <c r="AO69" i="3"/>
  <c r="AQ69" i="3"/>
  <c r="AS69" i="3"/>
  <c r="AU69" i="3"/>
  <c r="AW69" i="3"/>
  <c r="AY69" i="3"/>
  <c r="BA69" i="3"/>
  <c r="BC69" i="3"/>
  <c r="BE69" i="3"/>
  <c r="BG69" i="3"/>
  <c r="BI69" i="3"/>
  <c r="BK69" i="3"/>
  <c r="BM69" i="3"/>
  <c r="BO69" i="3"/>
  <c r="BQ69" i="3"/>
  <c r="BS69" i="3"/>
  <c r="BU69" i="3"/>
  <c r="BW69" i="3"/>
  <c r="BY69" i="3"/>
  <c r="CA69" i="3"/>
  <c r="CC69" i="3"/>
  <c r="CE69" i="3"/>
  <c r="CG69" i="3"/>
  <c r="CI69" i="3"/>
  <c r="CK69" i="3"/>
  <c r="CM69" i="3"/>
  <c r="CO69" i="3"/>
  <c r="CQ69" i="3"/>
  <c r="CS69" i="3"/>
  <c r="CU69" i="3"/>
  <c r="CW69" i="3"/>
  <c r="CY69" i="3"/>
  <c r="DA69" i="3"/>
  <c r="DC69" i="3"/>
  <c r="DE69" i="3"/>
  <c r="DG69" i="3"/>
  <c r="DI69" i="3"/>
  <c r="DK69" i="3"/>
  <c r="DM69" i="3"/>
  <c r="DO69" i="3"/>
  <c r="DQ69" i="3"/>
  <c r="DS69" i="3"/>
  <c r="DU69" i="3"/>
  <c r="DW69" i="3"/>
  <c r="DY69" i="3"/>
  <c r="EA69" i="3"/>
  <c r="EC69" i="3"/>
  <c r="EE69" i="3"/>
  <c r="EG69" i="3"/>
  <c r="EI69" i="3"/>
  <c r="L70" i="3"/>
  <c r="N70" i="3"/>
  <c r="P70" i="3"/>
  <c r="R70" i="3"/>
  <c r="T70" i="3"/>
  <c r="V70" i="3"/>
  <c r="X70" i="3"/>
  <c r="Z70" i="3"/>
  <c r="AB70" i="3"/>
  <c r="AD70" i="3"/>
  <c r="AF70" i="3"/>
  <c r="AH70" i="3"/>
  <c r="AJ70" i="3"/>
  <c r="AL70" i="3"/>
  <c r="AN70" i="3"/>
  <c r="AP70" i="3"/>
  <c r="AR70" i="3"/>
  <c r="AT70" i="3"/>
  <c r="AV70" i="3"/>
  <c r="AX70" i="3"/>
  <c r="AZ70" i="3"/>
  <c r="BB70" i="3"/>
  <c r="BD70" i="3"/>
  <c r="BF70" i="3"/>
  <c r="BH70" i="3"/>
  <c r="BJ70" i="3"/>
  <c r="BL70" i="3"/>
  <c r="BN70" i="3"/>
  <c r="BP70" i="3"/>
  <c r="BR70" i="3"/>
  <c r="BT70" i="3"/>
  <c r="BV70" i="3"/>
  <c r="BX70" i="3"/>
  <c r="BZ70" i="3"/>
  <c r="CB70" i="3"/>
  <c r="CD70" i="3"/>
  <c r="CF70" i="3"/>
  <c r="CH70" i="3"/>
  <c r="CJ70" i="3"/>
  <c r="CL70" i="3"/>
  <c r="CN70" i="3"/>
  <c r="CP70" i="3"/>
  <c r="CR70" i="3"/>
  <c r="CT70" i="3"/>
  <c r="CV70" i="3"/>
  <c r="CX70" i="3"/>
  <c r="CZ70" i="3"/>
  <c r="DB70" i="3"/>
  <c r="DD70" i="3"/>
  <c r="DF70" i="3"/>
  <c r="DH70" i="3"/>
  <c r="DJ70" i="3"/>
  <c r="DL70" i="3"/>
  <c r="DN70" i="3"/>
  <c r="DP70" i="3"/>
  <c r="DR70" i="3"/>
  <c r="DT70" i="3"/>
  <c r="DV70" i="3"/>
  <c r="DX70" i="3"/>
  <c r="DZ70" i="3"/>
  <c r="EB70" i="3"/>
  <c r="ED70" i="3"/>
  <c r="EF70" i="3"/>
  <c r="EH70" i="3"/>
  <c r="K71" i="3"/>
  <c r="M71" i="3"/>
  <c r="O71" i="3"/>
  <c r="Q71" i="3"/>
  <c r="S71" i="3"/>
  <c r="U71" i="3"/>
  <c r="W71" i="3"/>
  <c r="Y71" i="3"/>
  <c r="AA71" i="3"/>
  <c r="AC71" i="3"/>
  <c r="AE71" i="3"/>
  <c r="AG71" i="3"/>
  <c r="AI71" i="3"/>
  <c r="AK71" i="3"/>
  <c r="AM71" i="3"/>
  <c r="AO71" i="3"/>
  <c r="AQ71" i="3"/>
  <c r="AS71" i="3"/>
  <c r="AU71" i="3"/>
  <c r="AW71" i="3"/>
  <c r="AY71" i="3"/>
  <c r="BA71" i="3"/>
  <c r="BC71" i="3"/>
  <c r="BE71" i="3"/>
  <c r="BG71" i="3"/>
  <c r="BI71" i="3"/>
  <c r="BK71" i="3"/>
  <c r="BM71" i="3"/>
  <c r="BO71" i="3"/>
  <c r="BQ71" i="3"/>
  <c r="BS71" i="3"/>
  <c r="BU71" i="3"/>
  <c r="BW71" i="3"/>
  <c r="BY71" i="3"/>
  <c r="CA71" i="3"/>
  <c r="CC71" i="3"/>
  <c r="CE71" i="3"/>
  <c r="CG71" i="3"/>
  <c r="CI71" i="3"/>
  <c r="CK71" i="3"/>
  <c r="CM71" i="3"/>
  <c r="CO71" i="3"/>
  <c r="CQ71" i="3"/>
  <c r="CS71" i="3"/>
  <c r="CU71" i="3"/>
  <c r="CW71" i="3"/>
  <c r="CY71" i="3"/>
  <c r="DA71" i="3"/>
  <c r="DC71" i="3"/>
  <c r="DE71" i="3"/>
  <c r="DG71" i="3"/>
  <c r="DI71" i="3"/>
  <c r="DK71" i="3"/>
  <c r="DM71" i="3"/>
  <c r="DO71" i="3"/>
  <c r="DQ71" i="3"/>
  <c r="DS71" i="3"/>
  <c r="DU71" i="3"/>
  <c r="DW71" i="3"/>
  <c r="DY71" i="3"/>
  <c r="EA71" i="3"/>
  <c r="EC71" i="3"/>
  <c r="EE71" i="3"/>
  <c r="EG71" i="3"/>
  <c r="EI71" i="3"/>
  <c r="L72" i="3"/>
  <c r="N72" i="3"/>
  <c r="P72" i="3"/>
  <c r="R72" i="3"/>
  <c r="T72" i="3"/>
  <c r="V72" i="3"/>
  <c r="X72" i="3"/>
  <c r="Z72" i="3"/>
  <c r="AB72" i="3"/>
  <c r="AD72" i="3"/>
  <c r="AF72" i="3"/>
  <c r="AH72" i="3"/>
  <c r="AJ72" i="3"/>
  <c r="AL72" i="3"/>
  <c r="AN72" i="3"/>
  <c r="AP72" i="3"/>
  <c r="AR72" i="3"/>
  <c r="AT72" i="3"/>
  <c r="AV72" i="3"/>
  <c r="AX72" i="3"/>
  <c r="AZ72" i="3"/>
  <c r="BB72" i="3"/>
  <c r="BD72" i="3"/>
  <c r="BF72" i="3"/>
  <c r="BH72" i="3"/>
  <c r="BJ72" i="3"/>
  <c r="BL72" i="3"/>
  <c r="BN72" i="3"/>
  <c r="BP72" i="3"/>
  <c r="BR72" i="3"/>
  <c r="BT72" i="3"/>
  <c r="BV72" i="3"/>
  <c r="BX72" i="3"/>
  <c r="BZ72" i="3"/>
  <c r="CB72" i="3"/>
  <c r="CD72" i="3"/>
  <c r="CF72" i="3"/>
  <c r="CH72" i="3"/>
  <c r="CJ72" i="3"/>
  <c r="CL72" i="3"/>
  <c r="CN72" i="3"/>
  <c r="CP72" i="3"/>
  <c r="CR72" i="3"/>
  <c r="CT72" i="3"/>
  <c r="CV72" i="3"/>
  <c r="CX72" i="3"/>
  <c r="CZ72" i="3"/>
  <c r="DB72" i="3"/>
  <c r="DD72" i="3"/>
  <c r="DF72" i="3"/>
  <c r="DH72" i="3"/>
  <c r="DJ72" i="3"/>
  <c r="DL72" i="3"/>
  <c r="DN72" i="3"/>
  <c r="DP72" i="3"/>
  <c r="DR72" i="3"/>
  <c r="DT72" i="3"/>
  <c r="DV72" i="3"/>
  <c r="DX72" i="3"/>
  <c r="DZ72" i="3"/>
  <c r="EB72" i="3"/>
  <c r="ED72" i="3"/>
  <c r="EF72" i="3"/>
  <c r="EH72" i="3"/>
  <c r="K73" i="3"/>
  <c r="M73" i="3"/>
  <c r="O73" i="3"/>
  <c r="Q73" i="3"/>
  <c r="S73" i="3"/>
  <c r="U73" i="3"/>
  <c r="W73" i="3"/>
  <c r="Y73" i="3"/>
  <c r="AA73" i="3"/>
  <c r="AC73" i="3"/>
  <c r="AE73" i="3"/>
  <c r="AG73" i="3"/>
  <c r="AI73" i="3"/>
  <c r="AK73" i="3"/>
  <c r="AM73" i="3"/>
  <c r="AO73" i="3"/>
  <c r="AQ73" i="3"/>
  <c r="AS73" i="3"/>
  <c r="AU73" i="3"/>
  <c r="AW73" i="3"/>
  <c r="AY73" i="3"/>
  <c r="BA73" i="3"/>
  <c r="BC73" i="3"/>
  <c r="BE73" i="3"/>
  <c r="BG73" i="3"/>
  <c r="BI73" i="3"/>
  <c r="BK73" i="3"/>
  <c r="BM73" i="3"/>
  <c r="BO73" i="3"/>
  <c r="BQ73" i="3"/>
  <c r="BS73" i="3"/>
  <c r="BU73" i="3"/>
  <c r="BW73" i="3"/>
  <c r="BY73" i="3"/>
  <c r="CA73" i="3"/>
  <c r="CC73" i="3"/>
  <c r="CE73" i="3"/>
  <c r="CG73" i="3"/>
  <c r="CI73" i="3"/>
  <c r="CK73" i="3"/>
  <c r="CM73" i="3"/>
  <c r="CO73" i="3"/>
  <c r="CQ73" i="3"/>
  <c r="CS73" i="3"/>
  <c r="CU73" i="3"/>
  <c r="CW73" i="3"/>
  <c r="CY73" i="3"/>
  <c r="DA73" i="3"/>
  <c r="DC73" i="3"/>
  <c r="DE73" i="3"/>
  <c r="DG73" i="3"/>
  <c r="DI73" i="3"/>
  <c r="DK73" i="3"/>
  <c r="DM73" i="3"/>
  <c r="DO73" i="3"/>
  <c r="DQ73" i="3"/>
  <c r="DS73" i="3"/>
  <c r="DU73" i="3"/>
  <c r="DW73" i="3"/>
  <c r="DY73" i="3"/>
  <c r="EA73" i="3"/>
  <c r="EC73" i="3"/>
  <c r="EE73" i="3"/>
  <c r="EG73" i="3"/>
  <c r="EI73" i="3"/>
  <c r="U74" i="3"/>
  <c r="W74" i="3"/>
  <c r="Y74" i="3"/>
  <c r="AA74" i="3"/>
  <c r="AC74" i="3"/>
  <c r="AE74" i="3"/>
  <c r="AG74" i="3"/>
  <c r="AI74" i="3"/>
  <c r="AK74" i="3"/>
  <c r="AM74" i="3"/>
  <c r="AO74" i="3"/>
  <c r="AQ74" i="3"/>
  <c r="AS74" i="3"/>
  <c r="AU74" i="3"/>
  <c r="AW74" i="3"/>
  <c r="AY74" i="3"/>
  <c r="BA74" i="3"/>
  <c r="BC74" i="3"/>
  <c r="BE74" i="3"/>
  <c r="BG74" i="3"/>
  <c r="BI74" i="3"/>
  <c r="BK74" i="3"/>
  <c r="BM74" i="3"/>
  <c r="BO74" i="3"/>
  <c r="BQ74" i="3"/>
  <c r="BS74" i="3"/>
  <c r="BU74" i="3"/>
  <c r="BW74" i="3"/>
  <c r="BY74" i="3"/>
  <c r="CA74" i="3"/>
  <c r="CC74" i="3"/>
  <c r="CE74" i="3"/>
  <c r="CG74" i="3"/>
  <c r="CI74" i="3"/>
  <c r="CK74" i="3"/>
  <c r="CM74" i="3"/>
  <c r="CO74" i="3"/>
  <c r="CQ74" i="3"/>
  <c r="CS74" i="3"/>
  <c r="CU74" i="3"/>
  <c r="CW74" i="3"/>
  <c r="CY74" i="3"/>
  <c r="DA74" i="3"/>
  <c r="DC74" i="3"/>
  <c r="DE74" i="3"/>
  <c r="DG74" i="3"/>
  <c r="DI74" i="3"/>
  <c r="DK74" i="3"/>
  <c r="DM74" i="3"/>
  <c r="DO74" i="3"/>
  <c r="DQ74" i="3"/>
  <c r="DS74" i="3"/>
  <c r="DU74" i="3"/>
  <c r="DW74" i="3"/>
  <c r="DY74" i="3"/>
  <c r="EA74" i="3"/>
  <c r="EC74" i="3"/>
  <c r="EE74" i="3"/>
  <c r="EG74" i="3"/>
  <c r="EI74" i="3"/>
  <c r="N75" i="3"/>
  <c r="P75" i="3"/>
  <c r="R75" i="3"/>
  <c r="T75" i="3"/>
  <c r="V75" i="3"/>
  <c r="X75" i="3"/>
  <c r="Z75" i="3"/>
  <c r="AB75" i="3"/>
  <c r="AD75" i="3"/>
  <c r="AF75" i="3"/>
  <c r="AH75" i="3"/>
  <c r="AJ75" i="3"/>
  <c r="AL75" i="3"/>
  <c r="AN75" i="3"/>
  <c r="AP75" i="3"/>
  <c r="AR75" i="3"/>
  <c r="AT75" i="3"/>
  <c r="AV75" i="3"/>
  <c r="AX75" i="3"/>
  <c r="AZ75" i="3"/>
  <c r="BB75" i="3"/>
  <c r="BD75" i="3"/>
  <c r="BF75" i="3"/>
  <c r="BH75" i="3"/>
  <c r="BJ75" i="3"/>
  <c r="BL75" i="3"/>
  <c r="BN75" i="3"/>
  <c r="BP75" i="3"/>
  <c r="BR75" i="3"/>
  <c r="BT75" i="3"/>
  <c r="BV75" i="3"/>
  <c r="BX75" i="3"/>
  <c r="BZ75" i="3"/>
  <c r="CB75" i="3"/>
  <c r="CD75" i="3"/>
  <c r="CF75" i="3"/>
  <c r="CH75" i="3"/>
  <c r="CJ75" i="3"/>
  <c r="CL75" i="3"/>
  <c r="CN75" i="3"/>
  <c r="CP75" i="3"/>
  <c r="CR75" i="3"/>
  <c r="CT75" i="3"/>
  <c r="CV75" i="3"/>
  <c r="CX75" i="3"/>
  <c r="CZ75" i="3"/>
  <c r="DB75" i="3"/>
  <c r="DD75" i="3"/>
  <c r="DF75" i="3"/>
  <c r="DH75" i="3"/>
  <c r="DJ75" i="3"/>
  <c r="DL75" i="3"/>
  <c r="DN75" i="3"/>
  <c r="DP75" i="3"/>
  <c r="DR75" i="3"/>
  <c r="DT75" i="3"/>
  <c r="DV75" i="3"/>
  <c r="DX75" i="3"/>
  <c r="DZ75" i="3"/>
  <c r="EB75" i="3"/>
  <c r="ED75" i="3"/>
  <c r="EF75" i="3"/>
  <c r="EH75" i="3"/>
  <c r="L76" i="3"/>
  <c r="N76" i="3"/>
  <c r="P76" i="3"/>
  <c r="R76" i="3"/>
  <c r="T76" i="3"/>
  <c r="V76" i="3"/>
  <c r="X76" i="3"/>
  <c r="Z76" i="3"/>
  <c r="AB76" i="3"/>
  <c r="AD76" i="3"/>
  <c r="AF76" i="3"/>
  <c r="AH76" i="3"/>
  <c r="AJ76" i="3"/>
  <c r="AL76" i="3"/>
  <c r="AN76" i="3"/>
  <c r="AP76" i="3"/>
  <c r="AR76" i="3"/>
  <c r="AT76" i="3"/>
  <c r="AV76" i="3"/>
  <c r="AX76" i="3"/>
  <c r="AZ76" i="3"/>
  <c r="BB76" i="3"/>
  <c r="BD76" i="3"/>
  <c r="BF76" i="3"/>
  <c r="BH76" i="3"/>
  <c r="BJ76" i="3"/>
  <c r="BL76" i="3"/>
  <c r="BN76" i="3"/>
  <c r="BP76" i="3"/>
  <c r="BR76" i="3"/>
  <c r="BT76" i="3"/>
  <c r="BV76" i="3"/>
  <c r="BX76" i="3"/>
  <c r="BZ76" i="3"/>
  <c r="CB76" i="3"/>
  <c r="CD76" i="3"/>
  <c r="CF76" i="3"/>
  <c r="CH76" i="3"/>
  <c r="CJ76" i="3"/>
  <c r="CL76" i="3"/>
  <c r="CN76" i="3"/>
  <c r="CP76" i="3"/>
  <c r="CR76" i="3"/>
  <c r="CT76" i="3"/>
  <c r="CV76" i="3"/>
  <c r="CX76" i="3"/>
  <c r="CZ76" i="3"/>
  <c r="DB76" i="3"/>
  <c r="DD76" i="3"/>
  <c r="DF76" i="3"/>
  <c r="DH76" i="3"/>
  <c r="DJ76" i="3"/>
  <c r="DL76" i="3"/>
  <c r="DN76" i="3"/>
  <c r="DP76" i="3"/>
  <c r="DR76" i="3"/>
  <c r="DT76" i="3"/>
  <c r="DV76" i="3"/>
  <c r="DX76" i="3"/>
  <c r="DZ76" i="3"/>
  <c r="EB76" i="3"/>
  <c r="ED76" i="3"/>
  <c r="EF76" i="3"/>
  <c r="EH76" i="3"/>
  <c r="Q77" i="3"/>
  <c r="S77" i="3"/>
  <c r="U77" i="3"/>
  <c r="W77" i="3"/>
  <c r="Y77" i="3"/>
  <c r="AA77" i="3"/>
  <c r="AC77" i="3"/>
  <c r="AE77" i="3"/>
  <c r="AG77" i="3"/>
  <c r="AI77" i="3"/>
  <c r="AK77" i="3"/>
  <c r="AM77" i="3"/>
  <c r="AO77" i="3"/>
  <c r="AQ77" i="3"/>
  <c r="AS77" i="3"/>
  <c r="AU77" i="3"/>
  <c r="AW77" i="3"/>
  <c r="AY77" i="3"/>
  <c r="BA77" i="3"/>
  <c r="BC77" i="3"/>
  <c r="BE77" i="3"/>
  <c r="BG77" i="3"/>
  <c r="BI77" i="3"/>
  <c r="BK77" i="3"/>
  <c r="BM77" i="3"/>
  <c r="BO77" i="3"/>
  <c r="BQ77" i="3"/>
  <c r="BS77" i="3"/>
  <c r="BU77" i="3"/>
  <c r="BW77" i="3"/>
  <c r="BY77" i="3"/>
  <c r="CA77" i="3"/>
  <c r="CC77" i="3"/>
  <c r="CE77" i="3"/>
  <c r="CG77" i="3"/>
  <c r="CI77" i="3"/>
  <c r="CK77" i="3"/>
  <c r="CM77" i="3"/>
  <c r="CO77" i="3"/>
  <c r="CQ77" i="3"/>
  <c r="CS77" i="3"/>
  <c r="CU77" i="3"/>
  <c r="CW77" i="3"/>
  <c r="CY77" i="3"/>
  <c r="DA77" i="3"/>
  <c r="DC77" i="3"/>
  <c r="DE77" i="3"/>
  <c r="DG77" i="3"/>
  <c r="DI77" i="3"/>
  <c r="DK77" i="3"/>
  <c r="DM77" i="3"/>
  <c r="DO77" i="3"/>
  <c r="DQ77" i="3"/>
  <c r="DS77" i="3"/>
  <c r="DU77" i="3"/>
  <c r="DW77" i="3"/>
  <c r="DY77" i="3"/>
  <c r="EA77" i="3"/>
  <c r="EC77" i="3"/>
  <c r="EE77" i="3"/>
  <c r="EG77" i="3"/>
  <c r="EI77" i="3"/>
  <c r="N78" i="3"/>
  <c r="P78" i="3"/>
  <c r="R78" i="3"/>
  <c r="T78" i="3"/>
  <c r="V78" i="3"/>
  <c r="X78" i="3"/>
  <c r="Z78" i="3"/>
  <c r="AB78" i="3"/>
  <c r="AD78" i="3"/>
  <c r="AF78" i="3"/>
  <c r="AH78" i="3"/>
  <c r="AJ78" i="3"/>
  <c r="AL78" i="3"/>
  <c r="AN78" i="3"/>
  <c r="AP78" i="3"/>
  <c r="AR78" i="3"/>
  <c r="AT78" i="3"/>
  <c r="AV78" i="3"/>
  <c r="AX78" i="3"/>
  <c r="AZ78" i="3"/>
  <c r="BB78" i="3"/>
  <c r="BD78" i="3"/>
  <c r="BF78" i="3"/>
  <c r="BH78" i="3"/>
  <c r="BJ78" i="3"/>
  <c r="BL78" i="3"/>
  <c r="BN78" i="3"/>
  <c r="BP78" i="3"/>
  <c r="BR78" i="3"/>
  <c r="BT78" i="3"/>
  <c r="BV78" i="3"/>
  <c r="BX78" i="3"/>
  <c r="BZ78" i="3"/>
  <c r="CB78" i="3"/>
  <c r="CD78" i="3"/>
  <c r="CF78" i="3"/>
  <c r="CH78" i="3"/>
  <c r="CJ78" i="3"/>
  <c r="CL78" i="3"/>
  <c r="CN78" i="3"/>
  <c r="CP78" i="3"/>
  <c r="CR78" i="3"/>
  <c r="CT78" i="3"/>
  <c r="CV78" i="3"/>
  <c r="CX78" i="3"/>
  <c r="CZ78" i="3"/>
  <c r="DB78" i="3"/>
  <c r="DD78" i="3"/>
  <c r="DF78" i="3"/>
  <c r="DH78" i="3"/>
  <c r="DJ78" i="3"/>
  <c r="DL78" i="3"/>
  <c r="DN78" i="3"/>
  <c r="DP78" i="3"/>
  <c r="DR78" i="3"/>
  <c r="DT78" i="3"/>
  <c r="DV78" i="3"/>
  <c r="DX78" i="3"/>
  <c r="DZ78" i="3"/>
  <c r="EB78" i="3"/>
  <c r="ED78" i="3"/>
  <c r="EF78" i="3"/>
  <c r="EH78" i="3"/>
  <c r="L79" i="3"/>
  <c r="N79" i="3"/>
  <c r="P79" i="3"/>
  <c r="R79" i="3"/>
  <c r="T79" i="3"/>
  <c r="V79" i="3"/>
  <c r="X79" i="3"/>
  <c r="Z79" i="3"/>
  <c r="AB79" i="3"/>
  <c r="AD79" i="3"/>
  <c r="AF79" i="3"/>
  <c r="AH79" i="3"/>
  <c r="AJ79" i="3"/>
  <c r="AL79" i="3"/>
  <c r="AN79" i="3"/>
  <c r="AP79" i="3"/>
  <c r="AR79" i="3"/>
  <c r="AT79" i="3"/>
  <c r="AV79" i="3"/>
  <c r="AX79" i="3"/>
  <c r="AZ79" i="3"/>
  <c r="BB79" i="3"/>
  <c r="BD79" i="3"/>
  <c r="BF79" i="3"/>
  <c r="BH79" i="3"/>
  <c r="BJ79" i="3"/>
  <c r="BL79" i="3"/>
  <c r="BN79" i="3"/>
  <c r="BP79" i="3"/>
  <c r="BR79" i="3"/>
  <c r="BT79" i="3"/>
  <c r="BV79" i="3"/>
  <c r="BX79" i="3"/>
  <c r="BZ79" i="3"/>
  <c r="CB79" i="3"/>
  <c r="CD79" i="3"/>
  <c r="CF79" i="3"/>
  <c r="CH79" i="3"/>
  <c r="CJ79" i="3"/>
  <c r="CL79" i="3"/>
  <c r="CN79" i="3"/>
  <c r="CP79" i="3"/>
  <c r="CR79" i="3"/>
  <c r="CT79" i="3"/>
  <c r="CV79" i="3"/>
  <c r="CX79" i="3"/>
  <c r="CZ79" i="3"/>
  <c r="DB79" i="3"/>
  <c r="DD79" i="3"/>
  <c r="DF79" i="3"/>
  <c r="DH79" i="3"/>
  <c r="DJ79" i="3"/>
  <c r="DL79" i="3"/>
  <c r="DN79" i="3"/>
  <c r="DP79" i="3"/>
  <c r="DR79" i="3"/>
  <c r="DT79" i="3"/>
  <c r="DV79" i="3"/>
  <c r="DX79" i="3"/>
  <c r="DZ79" i="3"/>
  <c r="EB79" i="3"/>
  <c r="ED79" i="3"/>
  <c r="EF79" i="3"/>
  <c r="EH79" i="3"/>
  <c r="L80" i="3"/>
  <c r="N80" i="3"/>
  <c r="P80" i="3"/>
  <c r="R80" i="3"/>
  <c r="T80" i="3"/>
  <c r="V80" i="3"/>
  <c r="X80" i="3"/>
  <c r="Z80" i="3"/>
  <c r="AB80" i="3"/>
  <c r="AD80" i="3"/>
  <c r="AF80" i="3"/>
  <c r="AH80" i="3"/>
  <c r="AJ80" i="3"/>
  <c r="AL80" i="3"/>
  <c r="AN80" i="3"/>
  <c r="AP80" i="3"/>
  <c r="AR80" i="3"/>
  <c r="AT80" i="3"/>
  <c r="AV80" i="3"/>
  <c r="AX80" i="3"/>
  <c r="AZ80" i="3"/>
  <c r="BB80" i="3"/>
  <c r="BD80" i="3"/>
  <c r="BF80" i="3"/>
  <c r="BH80" i="3"/>
  <c r="BJ80" i="3"/>
  <c r="BL80" i="3"/>
  <c r="BN80" i="3"/>
  <c r="BP80" i="3"/>
  <c r="BR80" i="3"/>
  <c r="BT80" i="3"/>
  <c r="BV80" i="3"/>
  <c r="BX80" i="3"/>
  <c r="BZ80" i="3"/>
  <c r="CB80" i="3"/>
  <c r="CD80" i="3"/>
  <c r="CF80" i="3"/>
  <c r="CH80" i="3"/>
  <c r="CJ80" i="3"/>
  <c r="CL80" i="3"/>
  <c r="CN80" i="3"/>
  <c r="CP80" i="3"/>
  <c r="CR80" i="3"/>
  <c r="CT80" i="3"/>
  <c r="CV80" i="3"/>
  <c r="CX80" i="3"/>
  <c r="CZ80" i="3"/>
  <c r="DB80" i="3"/>
  <c r="DD80" i="3"/>
  <c r="DF80" i="3"/>
  <c r="DH80" i="3"/>
  <c r="DJ80" i="3"/>
  <c r="DL80" i="3"/>
  <c r="DN80" i="3"/>
  <c r="DP80" i="3"/>
  <c r="DR80" i="3"/>
  <c r="DT80" i="3"/>
  <c r="DV80" i="3"/>
  <c r="DX80" i="3"/>
  <c r="DZ80" i="3"/>
  <c r="EB80" i="3"/>
  <c r="ED80" i="3"/>
  <c r="EF80" i="3"/>
  <c r="EH80" i="3"/>
  <c r="K81" i="3"/>
  <c r="M81" i="3"/>
  <c r="O81" i="3"/>
  <c r="Q81" i="3"/>
  <c r="S81" i="3"/>
  <c r="U81" i="3"/>
  <c r="W81" i="3"/>
  <c r="Y81" i="3"/>
  <c r="AA81" i="3"/>
  <c r="AC81" i="3"/>
  <c r="AE81" i="3"/>
  <c r="AG81" i="3"/>
  <c r="AI81" i="3"/>
  <c r="AK81" i="3"/>
  <c r="AM81" i="3"/>
  <c r="AO81" i="3"/>
  <c r="AQ81" i="3"/>
  <c r="AS81" i="3"/>
  <c r="AU81" i="3"/>
  <c r="AW81" i="3"/>
  <c r="AY81" i="3"/>
  <c r="BA81" i="3"/>
  <c r="BC81" i="3"/>
  <c r="BE81" i="3"/>
  <c r="BG81" i="3"/>
  <c r="BI81" i="3"/>
  <c r="BK81" i="3"/>
  <c r="BM81" i="3"/>
  <c r="BO81" i="3"/>
  <c r="BQ81" i="3"/>
  <c r="BS81" i="3"/>
  <c r="BU81" i="3"/>
  <c r="BW81" i="3"/>
  <c r="BY81" i="3"/>
  <c r="CA81" i="3"/>
  <c r="CC81" i="3"/>
  <c r="CE81" i="3"/>
  <c r="CG81" i="3"/>
  <c r="CI81" i="3"/>
  <c r="CK81" i="3"/>
  <c r="CM81" i="3"/>
  <c r="CO81" i="3"/>
  <c r="CQ81" i="3"/>
  <c r="CS81" i="3"/>
  <c r="CU81" i="3"/>
  <c r="CW81" i="3"/>
  <c r="CY81" i="3"/>
  <c r="DA81" i="3"/>
  <c r="DC81" i="3"/>
  <c r="DE81" i="3"/>
  <c r="DG81" i="3"/>
  <c r="DI81" i="3"/>
  <c r="DK81" i="3"/>
  <c r="DM81" i="3"/>
  <c r="DO81" i="3"/>
  <c r="DQ81" i="3"/>
  <c r="DS81" i="3"/>
  <c r="DU81" i="3"/>
  <c r="DW81" i="3"/>
  <c r="DY81" i="3"/>
  <c r="EA81" i="3"/>
  <c r="EC81" i="3"/>
  <c r="EE81" i="3"/>
  <c r="EG81" i="3"/>
  <c r="EI81" i="3"/>
  <c r="Q82" i="3"/>
  <c r="S82" i="3"/>
  <c r="U82" i="3"/>
  <c r="W82" i="3"/>
  <c r="Y82" i="3"/>
  <c r="AA82" i="3"/>
  <c r="AC82" i="3"/>
  <c r="AE82" i="3"/>
  <c r="AG82" i="3"/>
  <c r="AI82" i="3"/>
  <c r="AK82" i="3"/>
  <c r="AM82" i="3"/>
  <c r="AO82" i="3"/>
  <c r="AQ82" i="3"/>
  <c r="AS82" i="3"/>
  <c r="AU82" i="3"/>
  <c r="AW82" i="3"/>
  <c r="AY82" i="3"/>
  <c r="BA82" i="3"/>
  <c r="BC82" i="3"/>
  <c r="BE82" i="3"/>
  <c r="BG82" i="3"/>
  <c r="BI82" i="3"/>
  <c r="BK82" i="3"/>
  <c r="BM82" i="3"/>
  <c r="BO82" i="3"/>
  <c r="BQ82" i="3"/>
  <c r="BS82" i="3"/>
  <c r="BU82" i="3"/>
  <c r="BW82" i="3"/>
  <c r="BY82" i="3"/>
  <c r="CA82" i="3"/>
  <c r="CC82" i="3"/>
  <c r="CE82" i="3"/>
  <c r="CG82" i="3"/>
  <c r="CI82" i="3"/>
  <c r="CK82" i="3"/>
  <c r="CM82" i="3"/>
  <c r="CO82" i="3"/>
  <c r="CQ82" i="3"/>
  <c r="CS82" i="3"/>
  <c r="CU82" i="3"/>
  <c r="CW82" i="3"/>
  <c r="CY82" i="3"/>
  <c r="DA82" i="3"/>
  <c r="DC82" i="3"/>
  <c r="DE82" i="3"/>
  <c r="DG82" i="3"/>
  <c r="DI82" i="3"/>
  <c r="DK82" i="3"/>
  <c r="DM82" i="3"/>
  <c r="DO82" i="3"/>
  <c r="DQ82" i="3"/>
  <c r="DS82" i="3"/>
  <c r="DU82" i="3"/>
  <c r="DW82" i="3"/>
  <c r="DY82" i="3"/>
  <c r="EA82" i="3"/>
  <c r="EC82" i="3"/>
  <c r="EE82" i="3"/>
  <c r="EG82" i="3"/>
  <c r="EI82" i="3"/>
  <c r="AB83" i="3"/>
  <c r="AD83" i="3"/>
  <c r="AF83" i="3"/>
  <c r="AH83" i="3"/>
  <c r="AJ83" i="3"/>
  <c r="AL83" i="3"/>
  <c r="AN83" i="3"/>
  <c r="AP83" i="3"/>
  <c r="AR83" i="3"/>
  <c r="AT83" i="3"/>
  <c r="AV83" i="3"/>
  <c r="AX83" i="3"/>
  <c r="AZ83" i="3"/>
  <c r="BB83" i="3"/>
  <c r="BD83" i="3"/>
  <c r="BF83" i="3"/>
  <c r="BH83" i="3"/>
  <c r="BJ83" i="3"/>
  <c r="BL83" i="3"/>
  <c r="BN83" i="3"/>
  <c r="BP83" i="3"/>
  <c r="BR83" i="3"/>
  <c r="BT83" i="3"/>
  <c r="BV83" i="3"/>
  <c r="BX83" i="3"/>
  <c r="BZ83" i="3"/>
  <c r="CB83" i="3"/>
  <c r="CD83" i="3"/>
  <c r="CF83" i="3"/>
  <c r="CH83" i="3"/>
  <c r="CJ83" i="3"/>
  <c r="CL83" i="3"/>
  <c r="CN83" i="3"/>
  <c r="CP83" i="3"/>
  <c r="CR83" i="3"/>
  <c r="CT83" i="3"/>
  <c r="CV83" i="3"/>
  <c r="CX83" i="3"/>
  <c r="CZ83" i="3"/>
  <c r="DB83" i="3"/>
  <c r="DD83" i="3"/>
  <c r="DF83" i="3"/>
  <c r="DH83" i="3"/>
  <c r="DJ83" i="3"/>
  <c r="DL83" i="3"/>
  <c r="DN83" i="3"/>
  <c r="DP83" i="3"/>
  <c r="DR83" i="3"/>
  <c r="DT83" i="3"/>
  <c r="DV83" i="3"/>
  <c r="DX83" i="3"/>
  <c r="DZ83" i="3"/>
  <c r="EB83" i="3"/>
  <c r="ED83" i="3"/>
  <c r="EF83" i="3"/>
  <c r="EH83" i="3"/>
  <c r="O84" i="3"/>
  <c r="Q84" i="3"/>
  <c r="S84" i="3"/>
  <c r="U84" i="3"/>
  <c r="W84" i="3"/>
  <c r="Y84" i="3"/>
  <c r="AA84" i="3"/>
  <c r="AC84" i="3"/>
  <c r="AE84" i="3"/>
  <c r="AG84" i="3"/>
  <c r="AI84" i="3"/>
  <c r="AK84" i="3"/>
  <c r="AM84" i="3"/>
  <c r="AO84" i="3"/>
  <c r="AQ84" i="3"/>
  <c r="AS84" i="3"/>
  <c r="AU84" i="3"/>
  <c r="AW84" i="3"/>
  <c r="AY84" i="3"/>
  <c r="BA84" i="3"/>
  <c r="BC84" i="3"/>
  <c r="BE84" i="3"/>
  <c r="BG84" i="3"/>
  <c r="BI84" i="3"/>
  <c r="BK84" i="3"/>
  <c r="BM84" i="3"/>
  <c r="BO84" i="3"/>
  <c r="BQ84" i="3"/>
  <c r="BS84" i="3"/>
  <c r="BU84" i="3"/>
  <c r="BW84" i="3"/>
  <c r="BY84" i="3"/>
  <c r="CA84" i="3"/>
  <c r="CC84" i="3"/>
  <c r="CE84" i="3"/>
  <c r="CG84" i="3"/>
  <c r="CI84" i="3"/>
  <c r="CK84" i="3"/>
  <c r="CM84" i="3"/>
  <c r="CO84" i="3"/>
  <c r="CQ84" i="3"/>
  <c r="CS84" i="3"/>
  <c r="CU84" i="3"/>
  <c r="CW84" i="3"/>
  <c r="CY84" i="3"/>
  <c r="DA84" i="3"/>
  <c r="DC84" i="3"/>
  <c r="DE84" i="3"/>
  <c r="DG84" i="3"/>
  <c r="DI84" i="3"/>
  <c r="DK84" i="3"/>
  <c r="DM84" i="3"/>
  <c r="DO84" i="3"/>
  <c r="DQ84" i="3"/>
  <c r="DS84" i="3"/>
  <c r="DU84" i="3"/>
  <c r="DW84" i="3"/>
  <c r="DY84" i="3"/>
  <c r="EA84" i="3"/>
  <c r="EC84" i="3"/>
  <c r="EE84" i="3"/>
  <c r="EG84" i="3"/>
  <c r="EI84" i="3"/>
  <c r="L85" i="3"/>
  <c r="N85" i="3"/>
  <c r="P85" i="3"/>
  <c r="R85" i="3"/>
  <c r="T85" i="3"/>
  <c r="V85" i="3"/>
  <c r="X85" i="3"/>
  <c r="Z85" i="3"/>
  <c r="AB85" i="3"/>
  <c r="AD85" i="3"/>
  <c r="AF85" i="3"/>
  <c r="AH85" i="3"/>
  <c r="AJ85" i="3"/>
  <c r="AL85" i="3"/>
  <c r="AN85" i="3"/>
  <c r="AP85" i="3"/>
  <c r="AR85" i="3"/>
  <c r="AT85" i="3"/>
  <c r="AV85" i="3"/>
  <c r="AX85" i="3"/>
  <c r="AZ85" i="3"/>
  <c r="BB85" i="3"/>
  <c r="BD85" i="3"/>
  <c r="BF85" i="3"/>
  <c r="BH85" i="3"/>
  <c r="BJ85" i="3"/>
  <c r="BL85" i="3"/>
  <c r="BN85" i="3"/>
  <c r="BP85" i="3"/>
  <c r="BR85" i="3"/>
  <c r="BT85" i="3"/>
  <c r="BV85" i="3"/>
  <c r="BX85" i="3"/>
  <c r="BZ85" i="3"/>
  <c r="CB85" i="3"/>
  <c r="CD85" i="3"/>
  <c r="CF85" i="3"/>
  <c r="CH85" i="3"/>
  <c r="CJ85" i="3"/>
  <c r="CL85" i="3"/>
  <c r="CN85" i="3"/>
  <c r="CP85" i="3"/>
  <c r="CR85" i="3"/>
  <c r="CT85" i="3"/>
  <c r="CV85" i="3"/>
  <c r="CX85" i="3"/>
  <c r="CZ85" i="3"/>
  <c r="DB85" i="3"/>
  <c r="DD85" i="3"/>
  <c r="DF85" i="3"/>
  <c r="DH85" i="3"/>
  <c r="DJ85" i="3"/>
  <c r="DL85" i="3"/>
  <c r="DN85" i="3"/>
  <c r="DP85" i="3"/>
  <c r="DR85" i="3"/>
  <c r="DT85" i="3"/>
  <c r="DV85" i="3"/>
  <c r="DX85" i="3"/>
  <c r="DZ85" i="3"/>
  <c r="EB85" i="3"/>
  <c r="ED85" i="3"/>
  <c r="EF85" i="3"/>
  <c r="EH85" i="3"/>
  <c r="L86" i="3"/>
  <c r="N86" i="3"/>
  <c r="P86" i="3"/>
  <c r="R86" i="3"/>
  <c r="T86" i="3"/>
  <c r="V86" i="3"/>
  <c r="X86" i="3"/>
  <c r="Z86" i="3"/>
  <c r="AB86" i="3"/>
  <c r="AD86" i="3"/>
  <c r="AF86" i="3"/>
  <c r="AH86" i="3"/>
  <c r="AJ86" i="3"/>
  <c r="AL86" i="3"/>
  <c r="AN86" i="3"/>
  <c r="AP86" i="3"/>
  <c r="AR86" i="3"/>
  <c r="AT86" i="3"/>
  <c r="AV86" i="3"/>
  <c r="AX86" i="3"/>
  <c r="AZ86" i="3"/>
  <c r="BB86" i="3"/>
  <c r="BD86" i="3"/>
  <c r="BF86" i="3"/>
  <c r="BH86" i="3"/>
  <c r="BJ86" i="3"/>
  <c r="BL86" i="3"/>
  <c r="BN86" i="3"/>
  <c r="BP86" i="3"/>
  <c r="BR86" i="3"/>
  <c r="BT86" i="3"/>
  <c r="BV86" i="3"/>
  <c r="BX86" i="3"/>
  <c r="BZ86" i="3"/>
  <c r="CB86" i="3"/>
  <c r="CD86" i="3"/>
  <c r="CF86" i="3"/>
  <c r="CH86" i="3"/>
  <c r="CJ86" i="3"/>
  <c r="CL86" i="3"/>
  <c r="CN86" i="3"/>
  <c r="CP86" i="3"/>
  <c r="CR86" i="3"/>
  <c r="CT86" i="3"/>
  <c r="EC63" i="3"/>
  <c r="EG63" i="3"/>
  <c r="O64" i="3"/>
  <c r="S64" i="3"/>
  <c r="W64" i="3"/>
  <c r="AA64" i="3"/>
  <c r="AE64" i="3"/>
  <c r="AI64" i="3"/>
  <c r="AM64" i="3"/>
  <c r="AQ64" i="3"/>
  <c r="AU64" i="3"/>
  <c r="AY64" i="3"/>
  <c r="BC64" i="3"/>
  <c r="BG64" i="3"/>
  <c r="BK64" i="3"/>
  <c r="BO64" i="3"/>
  <c r="BS64" i="3"/>
  <c r="BW64" i="3"/>
  <c r="CA64" i="3"/>
  <c r="CE64" i="3"/>
  <c r="CI64" i="3"/>
  <c r="CM64" i="3"/>
  <c r="CQ64" i="3"/>
  <c r="CU64" i="3"/>
  <c r="CY64" i="3"/>
  <c r="DC64" i="3"/>
  <c r="DG64" i="3"/>
  <c r="DK64" i="3"/>
  <c r="DO64" i="3"/>
  <c r="DQ64" i="3"/>
  <c r="DS64" i="3"/>
  <c r="DU64" i="3"/>
  <c r="DW64" i="3"/>
  <c r="DY64" i="3"/>
  <c r="EA64" i="3"/>
  <c r="EC64" i="3"/>
  <c r="EE64" i="3"/>
  <c r="EG64" i="3"/>
  <c r="EI64" i="3"/>
  <c r="T65" i="3"/>
  <c r="V65" i="3"/>
  <c r="X65" i="3"/>
  <c r="Z65" i="3"/>
  <c r="AB65" i="3"/>
  <c r="AD65" i="3"/>
  <c r="AF65" i="3"/>
  <c r="AH65" i="3"/>
  <c r="AJ65" i="3"/>
  <c r="AL65" i="3"/>
  <c r="AN65" i="3"/>
  <c r="AP65" i="3"/>
  <c r="AR65" i="3"/>
  <c r="AT65" i="3"/>
  <c r="AV65" i="3"/>
  <c r="AX65" i="3"/>
  <c r="AZ65" i="3"/>
  <c r="BB65" i="3"/>
  <c r="BD65" i="3"/>
  <c r="BF65" i="3"/>
  <c r="BH65" i="3"/>
  <c r="BJ65" i="3"/>
  <c r="BL65" i="3"/>
  <c r="BN65" i="3"/>
  <c r="BP65" i="3"/>
  <c r="BR65" i="3"/>
  <c r="BT65" i="3"/>
  <c r="BV65" i="3"/>
  <c r="BX65" i="3"/>
  <c r="BZ65" i="3"/>
  <c r="CB65" i="3"/>
  <c r="CD65" i="3"/>
  <c r="CF65" i="3"/>
  <c r="CH65" i="3"/>
  <c r="CJ65" i="3"/>
  <c r="CL65" i="3"/>
  <c r="CN65" i="3"/>
  <c r="CP65" i="3"/>
  <c r="CR65" i="3"/>
  <c r="CT65" i="3"/>
  <c r="CV65" i="3"/>
  <c r="CX65" i="3"/>
  <c r="CZ65" i="3"/>
  <c r="DB65" i="3"/>
  <c r="DD65" i="3"/>
  <c r="DF65" i="3"/>
  <c r="DH65" i="3"/>
  <c r="DJ65" i="3"/>
  <c r="DL65" i="3"/>
  <c r="DN65" i="3"/>
  <c r="DP65" i="3"/>
  <c r="DR65" i="3"/>
  <c r="DT65" i="3"/>
  <c r="DV65" i="3"/>
  <c r="DX65" i="3"/>
  <c r="DZ65" i="3"/>
  <c r="EB65" i="3"/>
  <c r="ED65" i="3"/>
  <c r="EF65" i="3"/>
  <c r="EH65" i="3"/>
  <c r="L66" i="3"/>
  <c r="N66" i="3"/>
  <c r="P66" i="3"/>
  <c r="R66" i="3"/>
  <c r="T66" i="3"/>
  <c r="V66" i="3"/>
  <c r="X66" i="3"/>
  <c r="Z66" i="3"/>
  <c r="AB66" i="3"/>
  <c r="AD66" i="3"/>
  <c r="AF66" i="3"/>
  <c r="AH66" i="3"/>
  <c r="AJ66" i="3"/>
  <c r="AL66" i="3"/>
  <c r="AN66" i="3"/>
  <c r="AP66" i="3"/>
  <c r="AR66" i="3"/>
  <c r="AT66" i="3"/>
  <c r="AV66" i="3"/>
  <c r="AX66" i="3"/>
  <c r="AZ66" i="3"/>
  <c r="BB66" i="3"/>
  <c r="BD66" i="3"/>
  <c r="BF66" i="3"/>
  <c r="BH66" i="3"/>
  <c r="BJ66" i="3"/>
  <c r="BL66" i="3"/>
  <c r="BN66" i="3"/>
  <c r="BP66" i="3"/>
  <c r="BR66" i="3"/>
  <c r="BT66" i="3"/>
  <c r="BV66" i="3"/>
  <c r="BX66" i="3"/>
  <c r="BZ66" i="3"/>
  <c r="CB66" i="3"/>
  <c r="CD66" i="3"/>
  <c r="CF66" i="3"/>
  <c r="CH66" i="3"/>
  <c r="CJ66" i="3"/>
  <c r="CL66" i="3"/>
  <c r="CN66" i="3"/>
  <c r="CP66" i="3"/>
  <c r="CR66" i="3"/>
  <c r="CT66" i="3"/>
  <c r="CV66" i="3"/>
  <c r="CX66" i="3"/>
  <c r="CZ66" i="3"/>
  <c r="DB66" i="3"/>
  <c r="DD66" i="3"/>
  <c r="DF66" i="3"/>
  <c r="DH66" i="3"/>
  <c r="DJ66" i="3"/>
  <c r="DL66" i="3"/>
  <c r="DN66" i="3"/>
  <c r="DP66" i="3"/>
  <c r="DR66" i="3"/>
  <c r="DT66" i="3"/>
  <c r="DV66" i="3"/>
  <c r="DX66" i="3"/>
  <c r="DZ66" i="3"/>
  <c r="EB66" i="3"/>
  <c r="ED66" i="3"/>
  <c r="EF66" i="3"/>
  <c r="EH66" i="3"/>
  <c r="CN67" i="3"/>
  <c r="CP67" i="3"/>
  <c r="CR67" i="3"/>
  <c r="CT67" i="3"/>
  <c r="CV67" i="3"/>
  <c r="CX67" i="3"/>
  <c r="CZ67" i="3"/>
  <c r="DB67" i="3"/>
  <c r="DD67" i="3"/>
  <c r="DF67" i="3"/>
  <c r="DH67" i="3"/>
  <c r="DJ67" i="3"/>
  <c r="DL67" i="3"/>
  <c r="DN67" i="3"/>
  <c r="DP67" i="3"/>
  <c r="DR67" i="3"/>
  <c r="DT67" i="3"/>
  <c r="DV67" i="3"/>
  <c r="DX67" i="3"/>
  <c r="DZ67" i="3"/>
  <c r="EB67" i="3"/>
  <c r="ED67" i="3"/>
  <c r="EF67" i="3"/>
  <c r="EH67" i="3"/>
  <c r="M68" i="3"/>
  <c r="O68" i="3"/>
  <c r="Q68" i="3"/>
  <c r="S68" i="3"/>
  <c r="U68" i="3"/>
  <c r="W68" i="3"/>
  <c r="Y68" i="3"/>
  <c r="AA68" i="3"/>
  <c r="AC68" i="3"/>
  <c r="AE68" i="3"/>
  <c r="AG68" i="3"/>
  <c r="AI68" i="3"/>
  <c r="AK68" i="3"/>
  <c r="AM68" i="3"/>
  <c r="AO68" i="3"/>
  <c r="AQ68" i="3"/>
  <c r="AS68" i="3"/>
  <c r="AU68" i="3"/>
  <c r="AW68" i="3"/>
  <c r="AY68" i="3"/>
  <c r="BA68" i="3"/>
  <c r="BC68" i="3"/>
  <c r="BE68" i="3"/>
  <c r="BG68" i="3"/>
  <c r="BI68" i="3"/>
  <c r="BK68" i="3"/>
  <c r="BM68" i="3"/>
  <c r="BO68" i="3"/>
  <c r="BQ68" i="3"/>
  <c r="BS68" i="3"/>
  <c r="BU68" i="3"/>
  <c r="BW68" i="3"/>
  <c r="BY68" i="3"/>
  <c r="CA68" i="3"/>
  <c r="CC68" i="3"/>
  <c r="CE68" i="3"/>
  <c r="CG68" i="3"/>
  <c r="CI68" i="3"/>
  <c r="CK68" i="3"/>
  <c r="CM68" i="3"/>
  <c r="CO68" i="3"/>
  <c r="CQ68" i="3"/>
  <c r="CS68" i="3"/>
  <c r="CU68" i="3"/>
  <c r="CW68" i="3"/>
  <c r="CY68" i="3"/>
  <c r="DA68" i="3"/>
  <c r="DC68" i="3"/>
  <c r="DE68" i="3"/>
  <c r="DG68" i="3"/>
  <c r="DI68" i="3"/>
  <c r="DK68" i="3"/>
  <c r="DM68" i="3"/>
  <c r="DO68" i="3"/>
  <c r="DQ68" i="3"/>
  <c r="DS68" i="3"/>
  <c r="DU68" i="3"/>
  <c r="DW68" i="3"/>
  <c r="DY68" i="3"/>
  <c r="EA68" i="3"/>
  <c r="EC68" i="3"/>
  <c r="EE68" i="3"/>
  <c r="EG68" i="3"/>
  <c r="EI68" i="3"/>
  <c r="P69" i="3"/>
  <c r="R69" i="3"/>
  <c r="T69" i="3"/>
  <c r="V69" i="3"/>
  <c r="X69" i="3"/>
  <c r="Z69" i="3"/>
  <c r="AB69" i="3"/>
  <c r="AD69" i="3"/>
  <c r="AF69" i="3"/>
  <c r="AH69" i="3"/>
  <c r="AJ69" i="3"/>
  <c r="AL69" i="3"/>
  <c r="AN69" i="3"/>
  <c r="AP69" i="3"/>
  <c r="AR69" i="3"/>
  <c r="AT69" i="3"/>
  <c r="AV69" i="3"/>
  <c r="AX69" i="3"/>
  <c r="AZ69" i="3"/>
  <c r="BB69" i="3"/>
  <c r="BD69" i="3"/>
  <c r="BF69" i="3"/>
  <c r="BH69" i="3"/>
  <c r="BJ69" i="3"/>
  <c r="BL69" i="3"/>
  <c r="BN69" i="3"/>
  <c r="BP69" i="3"/>
  <c r="BR69" i="3"/>
  <c r="BT69" i="3"/>
  <c r="BV69" i="3"/>
  <c r="BX69" i="3"/>
  <c r="BZ69" i="3"/>
  <c r="CB69" i="3"/>
  <c r="CD69" i="3"/>
  <c r="CF69" i="3"/>
  <c r="CH69" i="3"/>
  <c r="CJ69" i="3"/>
  <c r="CL69" i="3"/>
  <c r="CN69" i="3"/>
  <c r="CP69" i="3"/>
  <c r="CR69" i="3"/>
  <c r="CT69" i="3"/>
  <c r="CV69" i="3"/>
  <c r="CX69" i="3"/>
  <c r="CZ69" i="3"/>
  <c r="DB69" i="3"/>
  <c r="DD69" i="3"/>
  <c r="DF69" i="3"/>
  <c r="DH69" i="3"/>
  <c r="DJ69" i="3"/>
  <c r="DL69" i="3"/>
  <c r="DN69" i="3"/>
  <c r="DP69" i="3"/>
  <c r="DR69" i="3"/>
  <c r="DT69" i="3"/>
  <c r="DV69" i="3"/>
  <c r="DX69" i="3"/>
  <c r="DZ69" i="3"/>
  <c r="EB69" i="3"/>
  <c r="ED69" i="3"/>
  <c r="EF69" i="3"/>
  <c r="EH69" i="3"/>
  <c r="K70" i="3"/>
  <c r="M70" i="3"/>
  <c r="O70" i="3"/>
  <c r="Q70" i="3"/>
  <c r="S70" i="3"/>
  <c r="U70" i="3"/>
  <c r="W70" i="3"/>
  <c r="Y70" i="3"/>
  <c r="AA70" i="3"/>
  <c r="AC70" i="3"/>
  <c r="AE70" i="3"/>
  <c r="AG70" i="3"/>
  <c r="AI70" i="3"/>
  <c r="AK70" i="3"/>
  <c r="AM70" i="3"/>
  <c r="AO70" i="3"/>
  <c r="AQ70" i="3"/>
  <c r="AS70" i="3"/>
  <c r="AU70" i="3"/>
  <c r="AW70" i="3"/>
  <c r="AY70" i="3"/>
  <c r="BA70" i="3"/>
  <c r="BC70" i="3"/>
  <c r="BE70" i="3"/>
  <c r="BG70" i="3"/>
  <c r="BI70" i="3"/>
  <c r="BK70" i="3"/>
  <c r="BM70" i="3"/>
  <c r="BO70" i="3"/>
  <c r="BQ70" i="3"/>
  <c r="BS70" i="3"/>
  <c r="BU70" i="3"/>
  <c r="BW70" i="3"/>
  <c r="BY70" i="3"/>
  <c r="CA70" i="3"/>
  <c r="CC70" i="3"/>
  <c r="CE70" i="3"/>
  <c r="CG70" i="3"/>
  <c r="CI70" i="3"/>
  <c r="CK70" i="3"/>
  <c r="CM70" i="3"/>
  <c r="CO70" i="3"/>
  <c r="CQ70" i="3"/>
  <c r="CS70" i="3"/>
  <c r="CU70" i="3"/>
  <c r="CW70" i="3"/>
  <c r="CY70" i="3"/>
  <c r="DA70" i="3"/>
  <c r="DC70" i="3"/>
  <c r="DE70" i="3"/>
  <c r="DG70" i="3"/>
  <c r="DI70" i="3"/>
  <c r="DK70" i="3"/>
  <c r="DM70" i="3"/>
  <c r="DO70" i="3"/>
  <c r="DQ70" i="3"/>
  <c r="DS70" i="3"/>
  <c r="DU70" i="3"/>
  <c r="DW70" i="3"/>
  <c r="DY70" i="3"/>
  <c r="EA70" i="3"/>
  <c r="EC70" i="3"/>
  <c r="EE70" i="3"/>
  <c r="EG70" i="3"/>
  <c r="EI70" i="3"/>
  <c r="L71" i="3"/>
  <c r="N71" i="3"/>
  <c r="P71" i="3"/>
  <c r="R71" i="3"/>
  <c r="T71" i="3"/>
  <c r="V71" i="3"/>
  <c r="X71" i="3"/>
  <c r="Z71" i="3"/>
  <c r="AB71" i="3"/>
  <c r="AD71" i="3"/>
  <c r="AF71" i="3"/>
  <c r="AH71" i="3"/>
  <c r="AJ71" i="3"/>
  <c r="AL71" i="3"/>
  <c r="AN71" i="3"/>
  <c r="AP71" i="3"/>
  <c r="AR71" i="3"/>
  <c r="AT71" i="3"/>
  <c r="AV71" i="3"/>
  <c r="AX71" i="3"/>
  <c r="AZ71" i="3"/>
  <c r="BB71" i="3"/>
  <c r="BD71" i="3"/>
  <c r="BF71" i="3"/>
  <c r="BH71" i="3"/>
  <c r="BJ71" i="3"/>
  <c r="BL71" i="3"/>
  <c r="BN71" i="3"/>
  <c r="BP71" i="3"/>
  <c r="BR71" i="3"/>
  <c r="BT71" i="3"/>
  <c r="BV71" i="3"/>
  <c r="BX71" i="3"/>
  <c r="BZ71" i="3"/>
  <c r="CB71" i="3"/>
  <c r="CD71" i="3"/>
  <c r="CF71" i="3"/>
  <c r="CH71" i="3"/>
  <c r="CJ71" i="3"/>
  <c r="CL71" i="3"/>
  <c r="CN71" i="3"/>
  <c r="CP71" i="3"/>
  <c r="CR71" i="3"/>
  <c r="CT71" i="3"/>
  <c r="CV71" i="3"/>
  <c r="CX71" i="3"/>
  <c r="CZ71" i="3"/>
  <c r="DB71" i="3"/>
  <c r="DD71" i="3"/>
  <c r="DF71" i="3"/>
  <c r="DH71" i="3"/>
  <c r="DJ71" i="3"/>
  <c r="DL71" i="3"/>
  <c r="DN71" i="3"/>
  <c r="DP71" i="3"/>
  <c r="DR71" i="3"/>
  <c r="DT71" i="3"/>
  <c r="DV71" i="3"/>
  <c r="DX71" i="3"/>
  <c r="DZ71" i="3"/>
  <c r="EB71" i="3"/>
  <c r="ED71" i="3"/>
  <c r="EF71" i="3"/>
  <c r="EH71" i="3"/>
  <c r="K72" i="3"/>
  <c r="M72" i="3"/>
  <c r="O72" i="3"/>
  <c r="Q72" i="3"/>
  <c r="S72" i="3"/>
  <c r="U72" i="3"/>
  <c r="W72" i="3"/>
  <c r="Y72" i="3"/>
  <c r="AA72" i="3"/>
  <c r="AC72" i="3"/>
  <c r="AE72" i="3"/>
  <c r="AG72" i="3"/>
  <c r="AI72" i="3"/>
  <c r="AK72" i="3"/>
  <c r="AM72" i="3"/>
  <c r="AO72" i="3"/>
  <c r="AQ72" i="3"/>
  <c r="AS72" i="3"/>
  <c r="AU72" i="3"/>
  <c r="AW72" i="3"/>
  <c r="AY72" i="3"/>
  <c r="BA72" i="3"/>
  <c r="BC72" i="3"/>
  <c r="BE72" i="3"/>
  <c r="BG72" i="3"/>
  <c r="BI72" i="3"/>
  <c r="BK72" i="3"/>
  <c r="BM72" i="3"/>
  <c r="BO72" i="3"/>
  <c r="BQ72" i="3"/>
  <c r="BS72" i="3"/>
  <c r="BU72" i="3"/>
  <c r="BW72" i="3"/>
  <c r="BY72" i="3"/>
  <c r="CA72" i="3"/>
  <c r="CC72" i="3"/>
  <c r="CE72" i="3"/>
  <c r="CG72" i="3"/>
  <c r="CI72" i="3"/>
  <c r="CK72" i="3"/>
  <c r="CM72" i="3"/>
  <c r="CO72" i="3"/>
  <c r="CQ72" i="3"/>
  <c r="CS72" i="3"/>
  <c r="CU72" i="3"/>
  <c r="CW72" i="3"/>
  <c r="CY72" i="3"/>
  <c r="DA72" i="3"/>
  <c r="DC72" i="3"/>
  <c r="DE72" i="3"/>
  <c r="DG72" i="3"/>
  <c r="DI72" i="3"/>
  <c r="DK72" i="3"/>
  <c r="DM72" i="3"/>
  <c r="DO72" i="3"/>
  <c r="DQ72" i="3"/>
  <c r="DS72" i="3"/>
  <c r="DU72" i="3"/>
  <c r="DW72" i="3"/>
  <c r="DY72" i="3"/>
  <c r="EA72" i="3"/>
  <c r="EC72" i="3"/>
  <c r="EE72" i="3"/>
  <c r="EG72" i="3"/>
  <c r="EI72" i="3"/>
  <c r="L73" i="3"/>
  <c r="N73" i="3"/>
  <c r="P73" i="3"/>
  <c r="R73" i="3"/>
  <c r="T73" i="3"/>
  <c r="V73" i="3"/>
  <c r="X73" i="3"/>
  <c r="Z73" i="3"/>
  <c r="AB73" i="3"/>
  <c r="AD73" i="3"/>
  <c r="AF73" i="3"/>
  <c r="AH73" i="3"/>
  <c r="AJ73" i="3"/>
  <c r="AL73" i="3"/>
  <c r="AN73" i="3"/>
  <c r="AP73" i="3"/>
  <c r="AR73" i="3"/>
  <c r="AT73" i="3"/>
  <c r="AV73" i="3"/>
  <c r="AX73" i="3"/>
  <c r="AZ73" i="3"/>
  <c r="BB73" i="3"/>
  <c r="BD73" i="3"/>
  <c r="BF73" i="3"/>
  <c r="BH73" i="3"/>
  <c r="BJ73" i="3"/>
  <c r="BL73" i="3"/>
  <c r="BN73" i="3"/>
  <c r="BP73" i="3"/>
  <c r="BR73" i="3"/>
  <c r="BT73" i="3"/>
  <c r="BV73" i="3"/>
  <c r="BX73" i="3"/>
  <c r="BZ73" i="3"/>
  <c r="CB73" i="3"/>
  <c r="CD73" i="3"/>
  <c r="CF73" i="3"/>
  <c r="CH73" i="3"/>
  <c r="CJ73" i="3"/>
  <c r="CL73" i="3"/>
  <c r="CN73" i="3"/>
  <c r="CP73" i="3"/>
  <c r="CR73" i="3"/>
  <c r="CT73" i="3"/>
  <c r="CV73" i="3"/>
  <c r="CX73" i="3"/>
  <c r="CZ73" i="3"/>
  <c r="DB73" i="3"/>
  <c r="DD73" i="3"/>
  <c r="DF73" i="3"/>
  <c r="DH73" i="3"/>
  <c r="DJ73" i="3"/>
  <c r="DL73" i="3"/>
  <c r="DN73" i="3"/>
  <c r="DP73" i="3"/>
  <c r="DR73" i="3"/>
  <c r="DT73" i="3"/>
  <c r="DV73" i="3"/>
  <c r="DX73" i="3"/>
  <c r="DZ73" i="3"/>
  <c r="EB73" i="3"/>
  <c r="ED73" i="3"/>
  <c r="EF73" i="3"/>
  <c r="EH73" i="3"/>
  <c r="T74" i="3"/>
  <c r="V74" i="3"/>
  <c r="X74" i="3"/>
  <c r="Z74" i="3"/>
  <c r="AB74" i="3"/>
  <c r="AD74" i="3"/>
  <c r="AF74" i="3"/>
  <c r="AH74" i="3"/>
  <c r="AJ74" i="3"/>
  <c r="AL74" i="3"/>
  <c r="AN74" i="3"/>
  <c r="AP74" i="3"/>
  <c r="AR74" i="3"/>
  <c r="AT74" i="3"/>
  <c r="AV74" i="3"/>
  <c r="AX74" i="3"/>
  <c r="AZ74" i="3"/>
  <c r="BB74" i="3"/>
  <c r="BD74" i="3"/>
  <c r="BF74" i="3"/>
  <c r="BH74" i="3"/>
  <c r="BJ74" i="3"/>
  <c r="BL74" i="3"/>
  <c r="BN74" i="3"/>
  <c r="BP74" i="3"/>
  <c r="BR74" i="3"/>
  <c r="BT74" i="3"/>
  <c r="BV74" i="3"/>
  <c r="BX74" i="3"/>
  <c r="BZ74" i="3"/>
  <c r="CB74" i="3"/>
  <c r="CD74" i="3"/>
  <c r="CF74" i="3"/>
  <c r="CH74" i="3"/>
  <c r="CJ74" i="3"/>
  <c r="CL74" i="3"/>
  <c r="CN74" i="3"/>
  <c r="CP74" i="3"/>
  <c r="CR74" i="3"/>
  <c r="CT74" i="3"/>
  <c r="CV74" i="3"/>
  <c r="CX74" i="3"/>
  <c r="CZ74" i="3"/>
  <c r="DB74" i="3"/>
  <c r="DD74" i="3"/>
  <c r="DF74" i="3"/>
  <c r="DH74" i="3"/>
  <c r="DJ74" i="3"/>
  <c r="DL74" i="3"/>
  <c r="DN74" i="3"/>
  <c r="DP74" i="3"/>
  <c r="DR74" i="3"/>
  <c r="DT74" i="3"/>
  <c r="DV74" i="3"/>
  <c r="DX74" i="3"/>
  <c r="DZ74" i="3"/>
  <c r="EB74" i="3"/>
  <c r="ED74" i="3"/>
  <c r="EF74" i="3"/>
  <c r="EH74" i="3"/>
  <c r="M75" i="3"/>
  <c r="O75" i="3"/>
  <c r="Q75" i="3"/>
  <c r="S75" i="3"/>
  <c r="U75" i="3"/>
  <c r="W75" i="3"/>
  <c r="Y75" i="3"/>
  <c r="AA75" i="3"/>
  <c r="AC75" i="3"/>
  <c r="AE75" i="3"/>
  <c r="AG75" i="3"/>
  <c r="AI75" i="3"/>
  <c r="AK75" i="3"/>
  <c r="AM75" i="3"/>
  <c r="AO75" i="3"/>
  <c r="AQ75" i="3"/>
  <c r="AS75" i="3"/>
  <c r="AU75" i="3"/>
  <c r="AW75" i="3"/>
  <c r="AY75" i="3"/>
  <c r="BA75" i="3"/>
  <c r="BC75" i="3"/>
  <c r="BE75" i="3"/>
  <c r="BG75" i="3"/>
  <c r="BI75" i="3"/>
  <c r="BK75" i="3"/>
  <c r="BM75" i="3"/>
  <c r="BO75" i="3"/>
  <c r="BQ75" i="3"/>
  <c r="BS75" i="3"/>
  <c r="BU75" i="3"/>
  <c r="BW75" i="3"/>
  <c r="BY75" i="3"/>
  <c r="CA75" i="3"/>
  <c r="CC75" i="3"/>
  <c r="CE75" i="3"/>
  <c r="CG75" i="3"/>
  <c r="CI75" i="3"/>
  <c r="CK75" i="3"/>
  <c r="CM75" i="3"/>
  <c r="CO75" i="3"/>
  <c r="CQ75" i="3"/>
  <c r="CS75" i="3"/>
  <c r="CU75" i="3"/>
  <c r="CW75" i="3"/>
  <c r="CY75" i="3"/>
  <c r="DA75" i="3"/>
  <c r="DC75" i="3"/>
  <c r="DE75" i="3"/>
  <c r="DG75" i="3"/>
  <c r="DI75" i="3"/>
  <c r="DK75" i="3"/>
  <c r="DM75" i="3"/>
  <c r="DO75" i="3"/>
  <c r="DQ75" i="3"/>
  <c r="DS75" i="3"/>
  <c r="DU75" i="3"/>
  <c r="DW75" i="3"/>
  <c r="DY75" i="3"/>
  <c r="EA75" i="3"/>
  <c r="EC75" i="3"/>
  <c r="EE75" i="3"/>
  <c r="EG75" i="3"/>
  <c r="EI75" i="3"/>
  <c r="M76" i="3"/>
  <c r="O76" i="3"/>
  <c r="Q76" i="3"/>
  <c r="S76" i="3"/>
  <c r="U76" i="3"/>
  <c r="W76" i="3"/>
  <c r="Y76" i="3"/>
  <c r="AA76" i="3"/>
  <c r="AC76" i="3"/>
  <c r="AE76" i="3"/>
  <c r="AG76" i="3"/>
  <c r="AI76" i="3"/>
  <c r="AK76" i="3"/>
  <c r="AM76" i="3"/>
  <c r="AO76" i="3"/>
  <c r="AQ76" i="3"/>
  <c r="AS76" i="3"/>
  <c r="AU76" i="3"/>
  <c r="AW76" i="3"/>
  <c r="AY76" i="3"/>
  <c r="BA76" i="3"/>
  <c r="BC76" i="3"/>
  <c r="BE76" i="3"/>
  <c r="BG76" i="3"/>
  <c r="BI76" i="3"/>
  <c r="BK76" i="3"/>
  <c r="BM76" i="3"/>
  <c r="BO76" i="3"/>
  <c r="BQ76" i="3"/>
  <c r="BS76" i="3"/>
  <c r="BU76" i="3"/>
  <c r="BW76" i="3"/>
  <c r="BY76" i="3"/>
  <c r="CA76" i="3"/>
  <c r="CC76" i="3"/>
  <c r="CE76" i="3"/>
  <c r="CG76" i="3"/>
  <c r="CI76" i="3"/>
  <c r="CK76" i="3"/>
  <c r="CM76" i="3"/>
  <c r="CO76" i="3"/>
  <c r="CQ76" i="3"/>
  <c r="CS76" i="3"/>
  <c r="CU76" i="3"/>
  <c r="CW76" i="3"/>
  <c r="CY76" i="3"/>
  <c r="DA76" i="3"/>
  <c r="DC76" i="3"/>
  <c r="DE76" i="3"/>
  <c r="DG76" i="3"/>
  <c r="DI76" i="3"/>
  <c r="DK76" i="3"/>
  <c r="DM76" i="3"/>
  <c r="DO76" i="3"/>
  <c r="DQ76" i="3"/>
  <c r="DS76" i="3"/>
  <c r="DU76" i="3"/>
  <c r="DW76" i="3"/>
  <c r="DY76" i="3"/>
  <c r="EA76" i="3"/>
  <c r="EC76" i="3"/>
  <c r="EE76" i="3"/>
  <c r="EG76" i="3"/>
  <c r="EI76" i="3"/>
  <c r="R77" i="3"/>
  <c r="T77" i="3"/>
  <c r="V77" i="3"/>
  <c r="X77" i="3"/>
  <c r="Z77" i="3"/>
  <c r="AB77" i="3"/>
  <c r="AD77" i="3"/>
  <c r="AF77" i="3"/>
  <c r="AH77" i="3"/>
  <c r="AJ77" i="3"/>
  <c r="AL77" i="3"/>
  <c r="AN77" i="3"/>
  <c r="AP77" i="3"/>
  <c r="AR77" i="3"/>
  <c r="AT77" i="3"/>
  <c r="AV77" i="3"/>
  <c r="AX77" i="3"/>
  <c r="AZ77" i="3"/>
  <c r="BB77" i="3"/>
  <c r="BD77" i="3"/>
  <c r="BF77" i="3"/>
  <c r="BH77" i="3"/>
  <c r="BJ77" i="3"/>
  <c r="BL77" i="3"/>
  <c r="BN77" i="3"/>
  <c r="BP77" i="3"/>
  <c r="BR77" i="3"/>
  <c r="BT77" i="3"/>
  <c r="BV77" i="3"/>
  <c r="BX77" i="3"/>
  <c r="BZ77" i="3"/>
  <c r="CB77" i="3"/>
  <c r="CD77" i="3"/>
  <c r="CF77" i="3"/>
  <c r="CH77" i="3"/>
  <c r="CJ77" i="3"/>
  <c r="CL77" i="3"/>
  <c r="CN77" i="3"/>
  <c r="CP77" i="3"/>
  <c r="CR77" i="3"/>
  <c r="CT77" i="3"/>
  <c r="CV77" i="3"/>
  <c r="CX77" i="3"/>
  <c r="CZ77" i="3"/>
  <c r="DB77" i="3"/>
  <c r="DD77" i="3"/>
  <c r="DF77" i="3"/>
  <c r="DH77" i="3"/>
  <c r="DJ77" i="3"/>
  <c r="DL77" i="3"/>
  <c r="DN77" i="3"/>
  <c r="DP77" i="3"/>
  <c r="DR77" i="3"/>
  <c r="DT77" i="3"/>
  <c r="DV77" i="3"/>
  <c r="DX77" i="3"/>
  <c r="DZ77" i="3"/>
  <c r="EB77" i="3"/>
  <c r="ED77" i="3"/>
  <c r="EF77" i="3"/>
  <c r="EH77" i="3"/>
  <c r="M78" i="3"/>
  <c r="O78" i="3"/>
  <c r="Q78" i="3"/>
  <c r="S78" i="3"/>
  <c r="U78" i="3"/>
  <c r="W78" i="3"/>
  <c r="Y78" i="3"/>
  <c r="AA78" i="3"/>
  <c r="AC78" i="3"/>
  <c r="AE78" i="3"/>
  <c r="AG78" i="3"/>
  <c r="AI78" i="3"/>
  <c r="AK78" i="3"/>
  <c r="AM78" i="3"/>
  <c r="AO78" i="3"/>
  <c r="AQ78" i="3"/>
  <c r="AS78" i="3"/>
  <c r="AU78" i="3"/>
  <c r="AW78" i="3"/>
  <c r="AY78" i="3"/>
  <c r="BA78" i="3"/>
  <c r="BC78" i="3"/>
  <c r="BE78" i="3"/>
  <c r="BG78" i="3"/>
  <c r="BI78" i="3"/>
  <c r="BK78" i="3"/>
  <c r="BM78" i="3"/>
  <c r="BO78" i="3"/>
  <c r="BQ78" i="3"/>
  <c r="BS78" i="3"/>
  <c r="BU78" i="3"/>
  <c r="BW78" i="3"/>
  <c r="BY78" i="3"/>
  <c r="CA78" i="3"/>
  <c r="CC78" i="3"/>
  <c r="CE78" i="3"/>
  <c r="CG78" i="3"/>
  <c r="CI78" i="3"/>
  <c r="CK78" i="3"/>
  <c r="CM78" i="3"/>
  <c r="CO78" i="3"/>
  <c r="CQ78" i="3"/>
  <c r="CS78" i="3"/>
  <c r="CU78" i="3"/>
  <c r="CW78" i="3"/>
  <c r="CY78" i="3"/>
  <c r="DA78" i="3"/>
  <c r="DC78" i="3"/>
  <c r="DE78" i="3"/>
  <c r="DG78" i="3"/>
  <c r="DI78" i="3"/>
  <c r="DK78" i="3"/>
  <c r="DM78" i="3"/>
  <c r="DO78" i="3"/>
  <c r="DQ78" i="3"/>
  <c r="DS78" i="3"/>
  <c r="DU78" i="3"/>
  <c r="DW78" i="3"/>
  <c r="DY78" i="3"/>
  <c r="EA78" i="3"/>
  <c r="EC78" i="3"/>
  <c r="EE78" i="3"/>
  <c r="EG78" i="3"/>
  <c r="EI78" i="3"/>
  <c r="M79" i="3"/>
  <c r="O79" i="3"/>
  <c r="Q79" i="3"/>
  <c r="S79" i="3"/>
  <c r="U79" i="3"/>
  <c r="W79" i="3"/>
  <c r="Y79" i="3"/>
  <c r="AA79" i="3"/>
  <c r="AC79" i="3"/>
  <c r="AE79" i="3"/>
  <c r="AG79" i="3"/>
  <c r="AI79" i="3"/>
  <c r="AK79" i="3"/>
  <c r="AM79" i="3"/>
  <c r="AO79" i="3"/>
  <c r="AQ79" i="3"/>
  <c r="AS79" i="3"/>
  <c r="AU79" i="3"/>
  <c r="AW79" i="3"/>
  <c r="AY79" i="3"/>
  <c r="BA79" i="3"/>
  <c r="BC79" i="3"/>
  <c r="BE79" i="3"/>
  <c r="BG79" i="3"/>
  <c r="BI79" i="3"/>
  <c r="BK79" i="3"/>
  <c r="BM79" i="3"/>
  <c r="BO79" i="3"/>
  <c r="BQ79" i="3"/>
  <c r="BS79" i="3"/>
  <c r="BU79" i="3"/>
  <c r="BW79" i="3"/>
  <c r="BY79" i="3"/>
  <c r="CA79" i="3"/>
  <c r="CC79" i="3"/>
  <c r="CE79" i="3"/>
  <c r="CG79" i="3"/>
  <c r="CI79" i="3"/>
  <c r="CK79" i="3"/>
  <c r="CM79" i="3"/>
  <c r="CO79" i="3"/>
  <c r="CQ79" i="3"/>
  <c r="CS79" i="3"/>
  <c r="CU79" i="3"/>
  <c r="CW79" i="3"/>
  <c r="CY79" i="3"/>
  <c r="DA79" i="3"/>
  <c r="DC79" i="3"/>
  <c r="DE79" i="3"/>
  <c r="DG79" i="3"/>
  <c r="DI79" i="3"/>
  <c r="DK79" i="3"/>
  <c r="DM79" i="3"/>
  <c r="DO79" i="3"/>
  <c r="DQ79" i="3"/>
  <c r="DS79" i="3"/>
  <c r="DU79" i="3"/>
  <c r="DW79" i="3"/>
  <c r="DY79" i="3"/>
  <c r="EA79" i="3"/>
  <c r="EC79" i="3"/>
  <c r="EE79" i="3"/>
  <c r="EG79" i="3"/>
  <c r="EI79" i="3"/>
  <c r="M80" i="3"/>
  <c r="O80" i="3"/>
  <c r="Q80" i="3"/>
  <c r="S80" i="3"/>
  <c r="U80" i="3"/>
  <c r="W80" i="3"/>
  <c r="Y80" i="3"/>
  <c r="AA80" i="3"/>
  <c r="AC80" i="3"/>
  <c r="AE80" i="3"/>
  <c r="AG80" i="3"/>
  <c r="AI80" i="3"/>
  <c r="AK80" i="3"/>
  <c r="AM80" i="3"/>
  <c r="AO80" i="3"/>
  <c r="AQ80" i="3"/>
  <c r="AS80" i="3"/>
  <c r="AU80" i="3"/>
  <c r="AW80" i="3"/>
  <c r="AY80" i="3"/>
  <c r="BA80" i="3"/>
  <c r="BC80" i="3"/>
  <c r="BE80" i="3"/>
  <c r="BG80" i="3"/>
  <c r="BI80" i="3"/>
  <c r="BK80" i="3"/>
  <c r="BM80" i="3"/>
  <c r="BO80" i="3"/>
  <c r="BQ80" i="3"/>
  <c r="BS80" i="3"/>
  <c r="BU80" i="3"/>
  <c r="BW80" i="3"/>
  <c r="BY80" i="3"/>
  <c r="CA80" i="3"/>
  <c r="CC80" i="3"/>
  <c r="CE80" i="3"/>
  <c r="CG80" i="3"/>
  <c r="CI80" i="3"/>
  <c r="CK80" i="3"/>
  <c r="CM80" i="3"/>
  <c r="CO80" i="3"/>
  <c r="CQ80" i="3"/>
  <c r="CS80" i="3"/>
  <c r="CU80" i="3"/>
  <c r="CW80" i="3"/>
  <c r="CY80" i="3"/>
  <c r="DA80" i="3"/>
  <c r="DC80" i="3"/>
  <c r="DE80" i="3"/>
  <c r="DG80" i="3"/>
  <c r="DI80" i="3"/>
  <c r="DK80" i="3"/>
  <c r="DM80" i="3"/>
  <c r="DO80" i="3"/>
  <c r="DQ80" i="3"/>
  <c r="DS80" i="3"/>
  <c r="DU80" i="3"/>
  <c r="DW80" i="3"/>
  <c r="DY80" i="3"/>
  <c r="EA80" i="3"/>
  <c r="EC80" i="3"/>
  <c r="EE80" i="3"/>
  <c r="EG80" i="3"/>
  <c r="EI80" i="3"/>
  <c r="L81" i="3"/>
  <c r="N81" i="3"/>
  <c r="P81" i="3"/>
  <c r="R81" i="3"/>
  <c r="T81" i="3"/>
  <c r="V81" i="3"/>
  <c r="X81" i="3"/>
  <c r="Z81" i="3"/>
  <c r="AB81" i="3"/>
  <c r="AD81" i="3"/>
  <c r="AF81" i="3"/>
  <c r="AH81" i="3"/>
  <c r="AJ81" i="3"/>
  <c r="AL81" i="3"/>
  <c r="AN81" i="3"/>
  <c r="AP81" i="3"/>
  <c r="AR81" i="3"/>
  <c r="AT81" i="3"/>
  <c r="AV81" i="3"/>
  <c r="AX81" i="3"/>
  <c r="AZ81" i="3"/>
  <c r="BB81" i="3"/>
  <c r="BD81" i="3"/>
  <c r="BF81" i="3"/>
  <c r="BH81" i="3"/>
  <c r="BJ81" i="3"/>
  <c r="BL81" i="3"/>
  <c r="BN81" i="3"/>
  <c r="BP81" i="3"/>
  <c r="BR81" i="3"/>
  <c r="BT81" i="3"/>
  <c r="BV81" i="3"/>
  <c r="BX81" i="3"/>
  <c r="BZ81" i="3"/>
  <c r="CB81" i="3"/>
  <c r="CD81" i="3"/>
  <c r="CF81" i="3"/>
  <c r="CH81" i="3"/>
  <c r="CJ81" i="3"/>
  <c r="CL81" i="3"/>
  <c r="CN81" i="3"/>
  <c r="CP81" i="3"/>
  <c r="CR81" i="3"/>
  <c r="CT81" i="3"/>
  <c r="CV81" i="3"/>
  <c r="CX81" i="3"/>
  <c r="CZ81" i="3"/>
  <c r="DB81" i="3"/>
  <c r="DD81" i="3"/>
  <c r="DF81" i="3"/>
  <c r="DH81" i="3"/>
  <c r="DJ81" i="3"/>
  <c r="DL81" i="3"/>
  <c r="DN81" i="3"/>
  <c r="DP81" i="3"/>
  <c r="DR81" i="3"/>
  <c r="DT81" i="3"/>
  <c r="DV81" i="3"/>
  <c r="DX81" i="3"/>
  <c r="DZ81" i="3"/>
  <c r="EB81" i="3"/>
  <c r="ED81" i="3"/>
  <c r="EF81" i="3"/>
  <c r="EH81" i="3"/>
  <c r="P82" i="3"/>
  <c r="R82" i="3"/>
  <c r="T82" i="3"/>
  <c r="V82" i="3"/>
  <c r="X82" i="3"/>
  <c r="Z82" i="3"/>
  <c r="AB82" i="3"/>
  <c r="AD82" i="3"/>
  <c r="AF82" i="3"/>
  <c r="AH82" i="3"/>
  <c r="AJ82" i="3"/>
  <c r="AL82" i="3"/>
  <c r="AN82" i="3"/>
  <c r="AP82" i="3"/>
  <c r="AR82" i="3"/>
  <c r="AT82" i="3"/>
  <c r="AV82" i="3"/>
  <c r="AX82" i="3"/>
  <c r="AZ82" i="3"/>
  <c r="BB82" i="3"/>
  <c r="BD82" i="3"/>
  <c r="BF82" i="3"/>
  <c r="BH82" i="3"/>
  <c r="BJ82" i="3"/>
  <c r="BL82" i="3"/>
  <c r="BN82" i="3"/>
  <c r="BP82" i="3"/>
  <c r="BR82" i="3"/>
  <c r="BT82" i="3"/>
  <c r="BV82" i="3"/>
  <c r="BX82" i="3"/>
  <c r="BZ82" i="3"/>
  <c r="CB82" i="3"/>
  <c r="CD82" i="3"/>
  <c r="CF82" i="3"/>
  <c r="CH82" i="3"/>
  <c r="CJ82" i="3"/>
  <c r="CL82" i="3"/>
  <c r="CN82" i="3"/>
  <c r="CP82" i="3"/>
  <c r="CR82" i="3"/>
  <c r="CT82" i="3"/>
  <c r="CV82" i="3"/>
  <c r="CX82" i="3"/>
  <c r="CZ82" i="3"/>
  <c r="DB82" i="3"/>
  <c r="DD82" i="3"/>
  <c r="DF82" i="3"/>
  <c r="DH82" i="3"/>
  <c r="DJ82" i="3"/>
  <c r="DL82" i="3"/>
  <c r="DN82" i="3"/>
  <c r="DP82" i="3"/>
  <c r="DR82" i="3"/>
  <c r="DT82" i="3"/>
  <c r="DV82" i="3"/>
  <c r="DX82" i="3"/>
  <c r="DZ82" i="3"/>
  <c r="EB82" i="3"/>
  <c r="ED82" i="3"/>
  <c r="EF82" i="3"/>
  <c r="EH82" i="3"/>
  <c r="AA83" i="3"/>
  <c r="AC83" i="3"/>
  <c r="AE83" i="3"/>
  <c r="AG83" i="3"/>
  <c r="AI83" i="3"/>
  <c r="AK83" i="3"/>
  <c r="AM83" i="3"/>
  <c r="AO83" i="3"/>
  <c r="AQ83" i="3"/>
  <c r="AS83" i="3"/>
  <c r="AU83" i="3"/>
  <c r="AW83" i="3"/>
  <c r="AY83" i="3"/>
  <c r="BA83" i="3"/>
  <c r="BC83" i="3"/>
  <c r="BE83" i="3"/>
  <c r="BG83" i="3"/>
  <c r="BI83" i="3"/>
  <c r="BK83" i="3"/>
  <c r="BM83" i="3"/>
  <c r="BO83" i="3"/>
  <c r="BQ83" i="3"/>
  <c r="BS83" i="3"/>
  <c r="BU83" i="3"/>
  <c r="BW83" i="3"/>
  <c r="BY83" i="3"/>
  <c r="CA83" i="3"/>
  <c r="CC83" i="3"/>
  <c r="CE83" i="3"/>
  <c r="CG83" i="3"/>
  <c r="CI83" i="3"/>
  <c r="CK83" i="3"/>
  <c r="CM83" i="3"/>
  <c r="CO83" i="3"/>
  <c r="CQ83" i="3"/>
  <c r="CS83" i="3"/>
  <c r="CU83" i="3"/>
  <c r="CW83" i="3"/>
  <c r="CY83" i="3"/>
  <c r="DA83" i="3"/>
  <c r="DC83" i="3"/>
  <c r="DE83" i="3"/>
  <c r="DG83" i="3"/>
  <c r="DI83" i="3"/>
  <c r="DK83" i="3"/>
  <c r="DM83" i="3"/>
  <c r="DO83" i="3"/>
  <c r="DQ83" i="3"/>
  <c r="DS83" i="3"/>
  <c r="DU83" i="3"/>
  <c r="DW83" i="3"/>
  <c r="DY83" i="3"/>
  <c r="EA83" i="3"/>
  <c r="EC83" i="3"/>
  <c r="EE83" i="3"/>
  <c r="EG83" i="3"/>
  <c r="EI83" i="3"/>
  <c r="P84" i="3"/>
  <c r="R84" i="3"/>
  <c r="T84" i="3"/>
  <c r="V84" i="3"/>
  <c r="X84" i="3"/>
  <c r="Z84" i="3"/>
  <c r="AB84" i="3"/>
  <c r="AD84" i="3"/>
  <c r="AF84" i="3"/>
  <c r="AH84" i="3"/>
  <c r="AJ84" i="3"/>
  <c r="AL84" i="3"/>
  <c r="AN84" i="3"/>
  <c r="AP84" i="3"/>
  <c r="AR84" i="3"/>
  <c r="AT84" i="3"/>
  <c r="AV84" i="3"/>
  <c r="AX84" i="3"/>
  <c r="AZ84" i="3"/>
  <c r="BB84" i="3"/>
  <c r="BD84" i="3"/>
  <c r="BF84" i="3"/>
  <c r="BH84" i="3"/>
  <c r="BJ84" i="3"/>
  <c r="BL84" i="3"/>
  <c r="BN84" i="3"/>
  <c r="BP84" i="3"/>
  <c r="BR84" i="3"/>
  <c r="BT84" i="3"/>
  <c r="BV84" i="3"/>
  <c r="BX84" i="3"/>
  <c r="BZ84" i="3"/>
  <c r="CB84" i="3"/>
  <c r="CD84" i="3"/>
  <c r="CF84" i="3"/>
  <c r="CH84" i="3"/>
  <c r="CJ84" i="3"/>
  <c r="CL84" i="3"/>
  <c r="CN84" i="3"/>
  <c r="CP84" i="3"/>
  <c r="CR84" i="3"/>
  <c r="CT84" i="3"/>
  <c r="CV84" i="3"/>
  <c r="CX84" i="3"/>
  <c r="CZ84" i="3"/>
  <c r="DB84" i="3"/>
  <c r="DD84" i="3"/>
  <c r="DF84" i="3"/>
  <c r="DH84" i="3"/>
  <c r="DJ84" i="3"/>
  <c r="DL84" i="3"/>
  <c r="DN84" i="3"/>
  <c r="DP84" i="3"/>
  <c r="DR84" i="3"/>
  <c r="DT84" i="3"/>
  <c r="DV84" i="3"/>
  <c r="DX84" i="3"/>
  <c r="DZ84" i="3"/>
  <c r="EB84" i="3"/>
  <c r="ED84" i="3"/>
  <c r="EF84" i="3"/>
  <c r="EH84" i="3"/>
  <c r="K85" i="3"/>
  <c r="M85" i="3"/>
  <c r="O85" i="3"/>
  <c r="Q85" i="3"/>
  <c r="S85" i="3"/>
  <c r="U85" i="3"/>
  <c r="W85" i="3"/>
  <c r="Y85" i="3"/>
  <c r="AA85" i="3"/>
  <c r="AC85" i="3"/>
  <c r="AE85" i="3"/>
  <c r="AG85" i="3"/>
  <c r="AI85" i="3"/>
  <c r="AK85" i="3"/>
  <c r="AM85" i="3"/>
  <c r="AO85" i="3"/>
  <c r="AQ85" i="3"/>
  <c r="AS85" i="3"/>
  <c r="AU85" i="3"/>
  <c r="AW85" i="3"/>
  <c r="AY85" i="3"/>
  <c r="BA85" i="3"/>
  <c r="BC85" i="3"/>
  <c r="BE85" i="3"/>
  <c r="BG85" i="3"/>
  <c r="BI85" i="3"/>
  <c r="BK85" i="3"/>
  <c r="BM85" i="3"/>
  <c r="BO85" i="3"/>
  <c r="BQ85" i="3"/>
  <c r="BS85" i="3"/>
  <c r="BU85" i="3"/>
  <c r="BW85" i="3"/>
  <c r="BY85" i="3"/>
  <c r="CA85" i="3"/>
  <c r="CC85" i="3"/>
  <c r="CE85" i="3"/>
  <c r="CG85" i="3"/>
  <c r="CI85" i="3"/>
  <c r="CK85" i="3"/>
  <c r="CM85" i="3"/>
  <c r="CO85" i="3"/>
  <c r="CQ85" i="3"/>
  <c r="CS85" i="3"/>
  <c r="CU85" i="3"/>
  <c r="CW85" i="3"/>
  <c r="CY85" i="3"/>
  <c r="DA85" i="3"/>
  <c r="DC85" i="3"/>
  <c r="DE85" i="3"/>
  <c r="DG85" i="3"/>
  <c r="DI85" i="3"/>
  <c r="DK85" i="3"/>
  <c r="DM85" i="3"/>
  <c r="DO85" i="3"/>
  <c r="DQ85" i="3"/>
  <c r="DS85" i="3"/>
  <c r="DU85" i="3"/>
  <c r="DW85" i="3"/>
  <c r="DY85" i="3"/>
  <c r="EA85" i="3"/>
  <c r="EC85" i="3"/>
  <c r="EE85" i="3"/>
  <c r="EG85" i="3"/>
  <c r="EI85" i="3"/>
  <c r="M86" i="3"/>
  <c r="O86" i="3"/>
  <c r="Q86" i="3"/>
  <c r="S86" i="3"/>
  <c r="U86" i="3"/>
  <c r="W86" i="3"/>
  <c r="Y86" i="3"/>
  <c r="AA86" i="3"/>
  <c r="AC86" i="3"/>
  <c r="AE86" i="3"/>
  <c r="AG86" i="3"/>
  <c r="AI86" i="3"/>
  <c r="AK86" i="3"/>
  <c r="AM86" i="3"/>
  <c r="AO86" i="3"/>
  <c r="AQ86" i="3"/>
  <c r="AS86" i="3"/>
  <c r="AU86" i="3"/>
  <c r="AW86" i="3"/>
  <c r="AY86" i="3"/>
  <c r="BA86" i="3"/>
  <c r="BC86" i="3"/>
  <c r="BE86" i="3"/>
  <c r="BG86" i="3"/>
  <c r="BI86" i="3"/>
  <c r="BK86" i="3"/>
  <c r="BM86" i="3"/>
  <c r="BO86" i="3"/>
  <c r="BQ86" i="3"/>
  <c r="BS86" i="3"/>
  <c r="BU86" i="3"/>
  <c r="BW86" i="3"/>
  <c r="BY86" i="3"/>
  <c r="CC86" i="3"/>
  <c r="CG86" i="3"/>
  <c r="CK86" i="3"/>
  <c r="CO86" i="3"/>
  <c r="CS86" i="3"/>
  <c r="CV86" i="3"/>
  <c r="CX86" i="3"/>
  <c r="CZ86" i="3"/>
  <c r="DB86" i="3"/>
  <c r="DD86" i="3"/>
  <c r="DF86" i="3"/>
  <c r="DH86" i="3"/>
  <c r="DJ86" i="3"/>
  <c r="DL86" i="3"/>
  <c r="DN86" i="3"/>
  <c r="DP86" i="3"/>
  <c r="DR86" i="3"/>
  <c r="DT86" i="3"/>
  <c r="DV86" i="3"/>
  <c r="DX86" i="3"/>
  <c r="DZ86" i="3"/>
  <c r="EB86" i="3"/>
  <c r="ED86" i="3"/>
  <c r="EF86" i="3"/>
  <c r="EH86" i="3"/>
  <c r="M87" i="3"/>
  <c r="O87" i="3"/>
  <c r="Q87" i="3"/>
  <c r="S87" i="3"/>
  <c r="U87" i="3"/>
  <c r="W87" i="3"/>
  <c r="Y87" i="3"/>
  <c r="AA87" i="3"/>
  <c r="AC87" i="3"/>
  <c r="AE87" i="3"/>
  <c r="AG87" i="3"/>
  <c r="AI87" i="3"/>
  <c r="AK87" i="3"/>
  <c r="AM87" i="3"/>
  <c r="AO87" i="3"/>
  <c r="AQ87" i="3"/>
  <c r="AS87" i="3"/>
  <c r="AU87" i="3"/>
  <c r="AW87" i="3"/>
  <c r="AY87" i="3"/>
  <c r="BA87" i="3"/>
  <c r="BC87" i="3"/>
  <c r="BE87" i="3"/>
  <c r="BG87" i="3"/>
  <c r="BI87" i="3"/>
  <c r="BK87" i="3"/>
  <c r="BM87" i="3"/>
  <c r="BO87" i="3"/>
  <c r="BQ87" i="3"/>
  <c r="BS87" i="3"/>
  <c r="BU87" i="3"/>
  <c r="BW87" i="3"/>
  <c r="BY87" i="3"/>
  <c r="CA87" i="3"/>
  <c r="CC87" i="3"/>
  <c r="CE87" i="3"/>
  <c r="CG87" i="3"/>
  <c r="CI87" i="3"/>
  <c r="CK87" i="3"/>
  <c r="CM87" i="3"/>
  <c r="CO87" i="3"/>
  <c r="CQ87" i="3"/>
  <c r="CS87" i="3"/>
  <c r="CU87" i="3"/>
  <c r="CW87" i="3"/>
  <c r="CY87" i="3"/>
  <c r="DA87" i="3"/>
  <c r="DC87" i="3"/>
  <c r="DE87" i="3"/>
  <c r="DG87" i="3"/>
  <c r="DI87" i="3"/>
  <c r="DK87" i="3"/>
  <c r="DM87" i="3"/>
  <c r="DO87" i="3"/>
  <c r="DQ87" i="3"/>
  <c r="DS87" i="3"/>
  <c r="DU87" i="3"/>
  <c r="DW87" i="3"/>
  <c r="DY87" i="3"/>
  <c r="EA87" i="3"/>
  <c r="EC87" i="3"/>
  <c r="EE87" i="3"/>
  <c r="EG87" i="3"/>
  <c r="EI87" i="3"/>
  <c r="N88" i="3"/>
  <c r="P88" i="3"/>
  <c r="R88" i="3"/>
  <c r="T88" i="3"/>
  <c r="V88" i="3"/>
  <c r="X88" i="3"/>
  <c r="Z88" i="3"/>
  <c r="AB88" i="3"/>
  <c r="AD88" i="3"/>
  <c r="AF88" i="3"/>
  <c r="AH88" i="3"/>
  <c r="AJ88" i="3"/>
  <c r="AL88" i="3"/>
  <c r="AN88" i="3"/>
  <c r="AP88" i="3"/>
  <c r="AR88" i="3"/>
  <c r="AT88" i="3"/>
  <c r="AV88" i="3"/>
  <c r="AX88" i="3"/>
  <c r="AZ88" i="3"/>
  <c r="BB88" i="3"/>
  <c r="BD88" i="3"/>
  <c r="BF88" i="3"/>
  <c r="BH88" i="3"/>
  <c r="BJ88" i="3"/>
  <c r="BL88" i="3"/>
  <c r="BN88" i="3"/>
  <c r="BP88" i="3"/>
  <c r="BR88" i="3"/>
  <c r="BT88" i="3"/>
  <c r="BV88" i="3"/>
  <c r="BX88" i="3"/>
  <c r="BZ88" i="3"/>
  <c r="CB88" i="3"/>
  <c r="CD88" i="3"/>
  <c r="CF88" i="3"/>
  <c r="CH88" i="3"/>
  <c r="CJ88" i="3"/>
  <c r="CL88" i="3"/>
  <c r="CN88" i="3"/>
  <c r="CP88" i="3"/>
  <c r="CR88" i="3"/>
  <c r="CT88" i="3"/>
  <c r="CV88" i="3"/>
  <c r="CX88" i="3"/>
  <c r="CZ88" i="3"/>
  <c r="DB88" i="3"/>
  <c r="DD88" i="3"/>
  <c r="DF88" i="3"/>
  <c r="DH88" i="3"/>
  <c r="DJ88" i="3"/>
  <c r="DL88" i="3"/>
  <c r="DN88" i="3"/>
  <c r="DP88" i="3"/>
  <c r="DR88" i="3"/>
  <c r="DT88" i="3"/>
  <c r="DV88" i="3"/>
  <c r="DX88" i="3"/>
  <c r="DZ88" i="3"/>
  <c r="EB88" i="3"/>
  <c r="ED88" i="3"/>
  <c r="EF88" i="3"/>
  <c r="EH88" i="3"/>
  <c r="O89" i="3"/>
  <c r="Q89" i="3"/>
  <c r="S89" i="3"/>
  <c r="U89" i="3"/>
  <c r="W89" i="3"/>
  <c r="Y89" i="3"/>
  <c r="AA89" i="3"/>
  <c r="AC89" i="3"/>
  <c r="AE89" i="3"/>
  <c r="AG89" i="3"/>
  <c r="AI89" i="3"/>
  <c r="AK89" i="3"/>
  <c r="AM89" i="3"/>
  <c r="AO89" i="3"/>
  <c r="AQ89" i="3"/>
  <c r="AS89" i="3"/>
  <c r="AU89" i="3"/>
  <c r="AW89" i="3"/>
  <c r="AY89" i="3"/>
  <c r="BA89" i="3"/>
  <c r="BC89" i="3"/>
  <c r="BE89" i="3"/>
  <c r="BG89" i="3"/>
  <c r="BI89" i="3"/>
  <c r="BK89" i="3"/>
  <c r="BM89" i="3"/>
  <c r="BO89" i="3"/>
  <c r="BQ89" i="3"/>
  <c r="BS89" i="3"/>
  <c r="BU89" i="3"/>
  <c r="BW89" i="3"/>
  <c r="BY89" i="3"/>
  <c r="CA89" i="3"/>
  <c r="CC89" i="3"/>
  <c r="CE89" i="3"/>
  <c r="CG89" i="3"/>
  <c r="CI89" i="3"/>
  <c r="CK89" i="3"/>
  <c r="CM89" i="3"/>
  <c r="CO89" i="3"/>
  <c r="CQ89" i="3"/>
  <c r="CS89" i="3"/>
  <c r="CU89" i="3"/>
  <c r="CW89" i="3"/>
  <c r="CY89" i="3"/>
  <c r="DA89" i="3"/>
  <c r="DC89" i="3"/>
  <c r="DE89" i="3"/>
  <c r="DG89" i="3"/>
  <c r="DI89" i="3"/>
  <c r="DK89" i="3"/>
  <c r="DM89" i="3"/>
  <c r="DO89" i="3"/>
  <c r="DQ89" i="3"/>
  <c r="DS89" i="3"/>
  <c r="DU89" i="3"/>
  <c r="DW89" i="3"/>
  <c r="DY89" i="3"/>
  <c r="EA89" i="3"/>
  <c r="EC89" i="3"/>
  <c r="EE89" i="3"/>
  <c r="EG89" i="3"/>
  <c r="EI89" i="3"/>
  <c r="L90" i="3"/>
  <c r="N90" i="3"/>
  <c r="P90" i="3"/>
  <c r="R90" i="3"/>
  <c r="T90" i="3"/>
  <c r="V90" i="3"/>
  <c r="X90" i="3"/>
  <c r="Z90" i="3"/>
  <c r="AB90" i="3"/>
  <c r="AD90" i="3"/>
  <c r="AF90" i="3"/>
  <c r="AH90" i="3"/>
  <c r="AJ90" i="3"/>
  <c r="AL90" i="3"/>
  <c r="AN90" i="3"/>
  <c r="AP90" i="3"/>
  <c r="AR90" i="3"/>
  <c r="AT90" i="3"/>
  <c r="AV90" i="3"/>
  <c r="AX90" i="3"/>
  <c r="AZ90" i="3"/>
  <c r="BB90" i="3"/>
  <c r="BD90" i="3"/>
  <c r="BF90" i="3"/>
  <c r="BH90" i="3"/>
  <c r="BJ90" i="3"/>
  <c r="BL90" i="3"/>
  <c r="BN90" i="3"/>
  <c r="BP90" i="3"/>
  <c r="BR90" i="3"/>
  <c r="BT90" i="3"/>
  <c r="BV90" i="3"/>
  <c r="BX90" i="3"/>
  <c r="BZ90" i="3"/>
  <c r="CB90" i="3"/>
  <c r="CD90" i="3"/>
  <c r="CF90" i="3"/>
  <c r="CH90" i="3"/>
  <c r="CJ90" i="3"/>
  <c r="CL90" i="3"/>
  <c r="CN90" i="3"/>
  <c r="CP90" i="3"/>
  <c r="CR90" i="3"/>
  <c r="CT90" i="3"/>
  <c r="CV90" i="3"/>
  <c r="CX90" i="3"/>
  <c r="CZ90" i="3"/>
  <c r="DB90" i="3"/>
  <c r="DD90" i="3"/>
  <c r="DF90" i="3"/>
  <c r="DH90" i="3"/>
  <c r="DJ90" i="3"/>
  <c r="DL90" i="3"/>
  <c r="DN90" i="3"/>
  <c r="DP90" i="3"/>
  <c r="DR90" i="3"/>
  <c r="DT90" i="3"/>
  <c r="DV90" i="3"/>
  <c r="DX90" i="3"/>
  <c r="DZ90" i="3"/>
  <c r="EB90" i="3"/>
  <c r="ED90" i="3"/>
  <c r="EF90" i="3"/>
  <c r="EH90" i="3"/>
  <c r="K91" i="3"/>
  <c r="M91" i="3"/>
  <c r="O91" i="3"/>
  <c r="Q91" i="3"/>
  <c r="S91" i="3"/>
  <c r="U91" i="3"/>
  <c r="W91" i="3"/>
  <c r="Y91" i="3"/>
  <c r="AA91" i="3"/>
  <c r="AC91" i="3"/>
  <c r="AE91" i="3"/>
  <c r="AG91" i="3"/>
  <c r="AI91" i="3"/>
  <c r="AK91" i="3"/>
  <c r="AM91" i="3"/>
  <c r="AO91" i="3"/>
  <c r="AQ91" i="3"/>
  <c r="AS91" i="3"/>
  <c r="AU91" i="3"/>
  <c r="AW91" i="3"/>
  <c r="AY91" i="3"/>
  <c r="BA91" i="3"/>
  <c r="BC91" i="3"/>
  <c r="BE91" i="3"/>
  <c r="BG91" i="3"/>
  <c r="BI91" i="3"/>
  <c r="BK91" i="3"/>
  <c r="BM91" i="3"/>
  <c r="BO91" i="3"/>
  <c r="BQ91" i="3"/>
  <c r="BS91" i="3"/>
  <c r="BU91" i="3"/>
  <c r="BW91" i="3"/>
  <c r="BY91" i="3"/>
  <c r="CA91" i="3"/>
  <c r="CC91" i="3"/>
  <c r="CE91" i="3"/>
  <c r="CG91" i="3"/>
  <c r="CI91" i="3"/>
  <c r="CK91" i="3"/>
  <c r="CM91" i="3"/>
  <c r="CO91" i="3"/>
  <c r="CQ91" i="3"/>
  <c r="CS91" i="3"/>
  <c r="CU91" i="3"/>
  <c r="CW91" i="3"/>
  <c r="CY91" i="3"/>
  <c r="DA91" i="3"/>
  <c r="DC91" i="3"/>
  <c r="DE91" i="3"/>
  <c r="DG91" i="3"/>
  <c r="DI91" i="3"/>
  <c r="DK91" i="3"/>
  <c r="DM91" i="3"/>
  <c r="DO91" i="3"/>
  <c r="DQ91" i="3"/>
  <c r="DS91" i="3"/>
  <c r="DU91" i="3"/>
  <c r="DW91" i="3"/>
  <c r="DY91" i="3"/>
  <c r="EA91" i="3"/>
  <c r="EC91" i="3"/>
  <c r="EE91" i="3"/>
  <c r="EG91" i="3"/>
  <c r="EI91" i="3"/>
  <c r="L92" i="3"/>
  <c r="N92" i="3"/>
  <c r="P92" i="3"/>
  <c r="R92" i="3"/>
  <c r="T92" i="3"/>
  <c r="V92" i="3"/>
  <c r="X92" i="3"/>
  <c r="Z92" i="3"/>
  <c r="AB92" i="3"/>
  <c r="AD92" i="3"/>
  <c r="AF92" i="3"/>
  <c r="AH92" i="3"/>
  <c r="AJ92" i="3"/>
  <c r="AL92" i="3"/>
  <c r="AN92" i="3"/>
  <c r="AP92" i="3"/>
  <c r="AR92" i="3"/>
  <c r="AT92" i="3"/>
  <c r="AV92" i="3"/>
  <c r="AX92" i="3"/>
  <c r="AZ92" i="3"/>
  <c r="BB92" i="3"/>
  <c r="BD92" i="3"/>
  <c r="BF92" i="3"/>
  <c r="BH92" i="3"/>
  <c r="BJ92" i="3"/>
  <c r="BL92" i="3"/>
  <c r="BN92" i="3"/>
  <c r="BP92" i="3"/>
  <c r="BR92" i="3"/>
  <c r="BT92" i="3"/>
  <c r="BV92" i="3"/>
  <c r="BX92" i="3"/>
  <c r="BZ92" i="3"/>
  <c r="CB92" i="3"/>
  <c r="CD92" i="3"/>
  <c r="CF92" i="3"/>
  <c r="CH92" i="3"/>
  <c r="CJ92" i="3"/>
  <c r="CL92" i="3"/>
  <c r="CN92" i="3"/>
  <c r="CP92" i="3"/>
  <c r="CR92" i="3"/>
  <c r="CT92" i="3"/>
  <c r="CV92" i="3"/>
  <c r="CX92" i="3"/>
  <c r="CZ92" i="3"/>
  <c r="DB92" i="3"/>
  <c r="DD92" i="3"/>
  <c r="DF92" i="3"/>
  <c r="DH92" i="3"/>
  <c r="DJ92" i="3"/>
  <c r="DL92" i="3"/>
  <c r="DN92" i="3"/>
  <c r="DP92" i="3"/>
  <c r="DR92" i="3"/>
  <c r="DT92" i="3"/>
  <c r="DV92" i="3"/>
  <c r="DX92" i="3"/>
  <c r="DZ92" i="3"/>
  <c r="EB92" i="3"/>
  <c r="ED92" i="3"/>
  <c r="EF92" i="3"/>
  <c r="EH92" i="3"/>
  <c r="R93" i="3"/>
  <c r="T93" i="3"/>
  <c r="V93" i="3"/>
  <c r="X93" i="3"/>
  <c r="Z93" i="3"/>
  <c r="AB93" i="3"/>
  <c r="AD93" i="3"/>
  <c r="AF93" i="3"/>
  <c r="AH93" i="3"/>
  <c r="AJ93" i="3"/>
  <c r="AL93" i="3"/>
  <c r="AN93" i="3"/>
  <c r="AP93" i="3"/>
  <c r="AR93" i="3"/>
  <c r="AT93" i="3"/>
  <c r="AV93" i="3"/>
  <c r="AX93" i="3"/>
  <c r="AZ93" i="3"/>
  <c r="BB93" i="3"/>
  <c r="BD93" i="3"/>
  <c r="BF93" i="3"/>
  <c r="BH93" i="3"/>
  <c r="BJ93" i="3"/>
  <c r="BL93" i="3"/>
  <c r="BN93" i="3"/>
  <c r="BP93" i="3"/>
  <c r="BR93" i="3"/>
  <c r="BT93" i="3"/>
  <c r="BV93" i="3"/>
  <c r="BX93" i="3"/>
  <c r="BZ93" i="3"/>
  <c r="CB93" i="3"/>
  <c r="CD93" i="3"/>
  <c r="CF93" i="3"/>
  <c r="CH93" i="3"/>
  <c r="CJ93" i="3"/>
  <c r="CL93" i="3"/>
  <c r="CN93" i="3"/>
  <c r="CP93" i="3"/>
  <c r="CR93" i="3"/>
  <c r="CT93" i="3"/>
  <c r="CV93" i="3"/>
  <c r="CX93" i="3"/>
  <c r="CZ93" i="3"/>
  <c r="DB93" i="3"/>
  <c r="DD93" i="3"/>
  <c r="DF93" i="3"/>
  <c r="DH93" i="3"/>
  <c r="DJ93" i="3"/>
  <c r="DL93" i="3"/>
  <c r="DN93" i="3"/>
  <c r="DP93" i="3"/>
  <c r="DR93" i="3"/>
  <c r="DT93" i="3"/>
  <c r="DV93" i="3"/>
  <c r="DX93" i="3"/>
  <c r="DZ93" i="3"/>
  <c r="EB93" i="3"/>
  <c r="ED93" i="3"/>
  <c r="EF93" i="3"/>
  <c r="EH93" i="3"/>
  <c r="S94" i="3"/>
  <c r="U94" i="3"/>
  <c r="W94" i="3"/>
  <c r="Y94" i="3"/>
  <c r="AA94" i="3"/>
  <c r="AC94" i="3"/>
  <c r="AE94" i="3"/>
  <c r="AG94" i="3"/>
  <c r="AI94" i="3"/>
  <c r="AK94" i="3"/>
  <c r="AM94" i="3"/>
  <c r="AO94" i="3"/>
  <c r="AQ94" i="3"/>
  <c r="AS94" i="3"/>
  <c r="AU94" i="3"/>
  <c r="AW94" i="3"/>
  <c r="AY94" i="3"/>
  <c r="BA94" i="3"/>
  <c r="BC94" i="3"/>
  <c r="BE94" i="3"/>
  <c r="BG94" i="3"/>
  <c r="BI94" i="3"/>
  <c r="BK94" i="3"/>
  <c r="BM94" i="3"/>
  <c r="BO94" i="3"/>
  <c r="BQ94" i="3"/>
  <c r="BS94" i="3"/>
  <c r="BU94" i="3"/>
  <c r="BW94" i="3"/>
  <c r="BY94" i="3"/>
  <c r="CA94" i="3"/>
  <c r="CC94" i="3"/>
  <c r="CE94" i="3"/>
  <c r="CG94" i="3"/>
  <c r="CI94" i="3"/>
  <c r="CK94" i="3"/>
  <c r="CM94" i="3"/>
  <c r="CO94" i="3"/>
  <c r="CQ94" i="3"/>
  <c r="CS94" i="3"/>
  <c r="CA86" i="3"/>
  <c r="CE86" i="3"/>
  <c r="CI86" i="3"/>
  <c r="CM86" i="3"/>
  <c r="CQ86" i="3"/>
  <c r="CU86" i="3"/>
  <c r="CW86" i="3"/>
  <c r="CY86" i="3"/>
  <c r="DA86" i="3"/>
  <c r="DC86" i="3"/>
  <c r="DE86" i="3"/>
  <c r="DG86" i="3"/>
  <c r="DI86" i="3"/>
  <c r="DK86" i="3"/>
  <c r="DM86" i="3"/>
  <c r="DO86" i="3"/>
  <c r="DQ86" i="3"/>
  <c r="DS86" i="3"/>
  <c r="DU86" i="3"/>
  <c r="DW86" i="3"/>
  <c r="DY86" i="3"/>
  <c r="EA86" i="3"/>
  <c r="EC86" i="3"/>
  <c r="EE86" i="3"/>
  <c r="EG86" i="3"/>
  <c r="EI86" i="3"/>
  <c r="N87" i="3"/>
  <c r="P87" i="3"/>
  <c r="R87" i="3"/>
  <c r="T87" i="3"/>
  <c r="V87" i="3"/>
  <c r="X87" i="3"/>
  <c r="Z87" i="3"/>
  <c r="AB87" i="3"/>
  <c r="AD87" i="3"/>
  <c r="AF87" i="3"/>
  <c r="AH87" i="3"/>
  <c r="AJ87" i="3"/>
  <c r="AL87" i="3"/>
  <c r="AN87" i="3"/>
  <c r="AP87" i="3"/>
  <c r="AR87" i="3"/>
  <c r="AT87" i="3"/>
  <c r="AV87" i="3"/>
  <c r="AX87" i="3"/>
  <c r="AZ87" i="3"/>
  <c r="BB87" i="3"/>
  <c r="BD87" i="3"/>
  <c r="BF87" i="3"/>
  <c r="BH87" i="3"/>
  <c r="BJ87" i="3"/>
  <c r="BL87" i="3"/>
  <c r="BN87" i="3"/>
  <c r="BP87" i="3"/>
  <c r="BR87" i="3"/>
  <c r="BT87" i="3"/>
  <c r="BV87" i="3"/>
  <c r="BX87" i="3"/>
  <c r="BZ87" i="3"/>
  <c r="CB87" i="3"/>
  <c r="CD87" i="3"/>
  <c r="CF87" i="3"/>
  <c r="CH87" i="3"/>
  <c r="CJ87" i="3"/>
  <c r="CL87" i="3"/>
  <c r="CN87" i="3"/>
  <c r="CP87" i="3"/>
  <c r="CR87" i="3"/>
  <c r="CT87" i="3"/>
  <c r="CV87" i="3"/>
  <c r="CX87" i="3"/>
  <c r="CZ87" i="3"/>
  <c r="DB87" i="3"/>
  <c r="DD87" i="3"/>
  <c r="DF87" i="3"/>
  <c r="DH87" i="3"/>
  <c r="DJ87" i="3"/>
  <c r="DL87" i="3"/>
  <c r="DN87" i="3"/>
  <c r="DP87" i="3"/>
  <c r="DR87" i="3"/>
  <c r="DT87" i="3"/>
  <c r="DV87" i="3"/>
  <c r="DX87" i="3"/>
  <c r="DZ87" i="3"/>
  <c r="EB87" i="3"/>
  <c r="ED87" i="3"/>
  <c r="EF87" i="3"/>
  <c r="EH87" i="3"/>
  <c r="M88" i="3"/>
  <c r="O88" i="3"/>
  <c r="Q88" i="3"/>
  <c r="S88" i="3"/>
  <c r="U88" i="3"/>
  <c r="W88" i="3"/>
  <c r="Y88" i="3"/>
  <c r="AA88" i="3"/>
  <c r="AC88" i="3"/>
  <c r="AE88" i="3"/>
  <c r="AG88" i="3"/>
  <c r="AI88" i="3"/>
  <c r="AK88" i="3"/>
  <c r="AM88" i="3"/>
  <c r="AO88" i="3"/>
  <c r="AQ88" i="3"/>
  <c r="AS88" i="3"/>
  <c r="AU88" i="3"/>
  <c r="AW88" i="3"/>
  <c r="AY88" i="3"/>
  <c r="BA88" i="3"/>
  <c r="BC88" i="3"/>
  <c r="BE88" i="3"/>
  <c r="BG88" i="3"/>
  <c r="BI88" i="3"/>
  <c r="BK88" i="3"/>
  <c r="BM88" i="3"/>
  <c r="BO88" i="3"/>
  <c r="BQ88" i="3"/>
  <c r="BS88" i="3"/>
  <c r="BU88" i="3"/>
  <c r="BW88" i="3"/>
  <c r="BY88" i="3"/>
  <c r="CA88" i="3"/>
  <c r="CC88" i="3"/>
  <c r="CE88" i="3"/>
  <c r="CG88" i="3"/>
  <c r="CI88" i="3"/>
  <c r="CK88" i="3"/>
  <c r="CM88" i="3"/>
  <c r="CO88" i="3"/>
  <c r="CQ88" i="3"/>
  <c r="CS88" i="3"/>
  <c r="CU88" i="3"/>
  <c r="CW88" i="3"/>
  <c r="CY88" i="3"/>
  <c r="DA88" i="3"/>
  <c r="DC88" i="3"/>
  <c r="DE88" i="3"/>
  <c r="DG88" i="3"/>
  <c r="DI88" i="3"/>
  <c r="DK88" i="3"/>
  <c r="DM88" i="3"/>
  <c r="DO88" i="3"/>
  <c r="DQ88" i="3"/>
  <c r="DS88" i="3"/>
  <c r="DU88" i="3"/>
  <c r="DW88" i="3"/>
  <c r="DY88" i="3"/>
  <c r="EA88" i="3"/>
  <c r="EC88" i="3"/>
  <c r="EE88" i="3"/>
  <c r="EG88" i="3"/>
  <c r="EI88" i="3"/>
  <c r="P89" i="3"/>
  <c r="R89" i="3"/>
  <c r="T89" i="3"/>
  <c r="V89" i="3"/>
  <c r="X89" i="3"/>
  <c r="Z89" i="3"/>
  <c r="AB89" i="3"/>
  <c r="AD89" i="3"/>
  <c r="AF89" i="3"/>
  <c r="AH89" i="3"/>
  <c r="AJ89" i="3"/>
  <c r="AL89" i="3"/>
  <c r="AN89" i="3"/>
  <c r="AP89" i="3"/>
  <c r="AR89" i="3"/>
  <c r="AT89" i="3"/>
  <c r="AV89" i="3"/>
  <c r="AX89" i="3"/>
  <c r="AZ89" i="3"/>
  <c r="BB89" i="3"/>
  <c r="BD89" i="3"/>
  <c r="BF89" i="3"/>
  <c r="BH89" i="3"/>
  <c r="BJ89" i="3"/>
  <c r="BL89" i="3"/>
  <c r="BN89" i="3"/>
  <c r="BP89" i="3"/>
  <c r="BR89" i="3"/>
  <c r="BT89" i="3"/>
  <c r="BV89" i="3"/>
  <c r="BX89" i="3"/>
  <c r="BZ89" i="3"/>
  <c r="CB89" i="3"/>
  <c r="CD89" i="3"/>
  <c r="CF89" i="3"/>
  <c r="CH89" i="3"/>
  <c r="CJ89" i="3"/>
  <c r="CL89" i="3"/>
  <c r="CN89" i="3"/>
  <c r="CP89" i="3"/>
  <c r="CR89" i="3"/>
  <c r="CT89" i="3"/>
  <c r="CV89" i="3"/>
  <c r="CX89" i="3"/>
  <c r="CZ89" i="3"/>
  <c r="DB89" i="3"/>
  <c r="DD89" i="3"/>
  <c r="DF89" i="3"/>
  <c r="DH89" i="3"/>
  <c r="DJ89" i="3"/>
  <c r="DL89" i="3"/>
  <c r="DN89" i="3"/>
  <c r="DP89" i="3"/>
  <c r="DR89" i="3"/>
  <c r="DT89" i="3"/>
  <c r="DV89" i="3"/>
  <c r="DX89" i="3"/>
  <c r="DZ89" i="3"/>
  <c r="EB89" i="3"/>
  <c r="ED89" i="3"/>
  <c r="EF89" i="3"/>
  <c r="EH89" i="3"/>
  <c r="K90" i="3"/>
  <c r="M90" i="3"/>
  <c r="O90" i="3"/>
  <c r="Q90" i="3"/>
  <c r="S90" i="3"/>
  <c r="U90" i="3"/>
  <c r="W90" i="3"/>
  <c r="Y90" i="3"/>
  <c r="AA90" i="3"/>
  <c r="AC90" i="3"/>
  <c r="AE90" i="3"/>
  <c r="AG90" i="3"/>
  <c r="AI90" i="3"/>
  <c r="AK90" i="3"/>
  <c r="AM90" i="3"/>
  <c r="AO90" i="3"/>
  <c r="AQ90" i="3"/>
  <c r="AS90" i="3"/>
  <c r="AU90" i="3"/>
  <c r="AW90" i="3"/>
  <c r="AY90" i="3"/>
  <c r="BA90" i="3"/>
  <c r="BC90" i="3"/>
  <c r="BE90" i="3"/>
  <c r="BG90" i="3"/>
  <c r="BI90" i="3"/>
  <c r="BK90" i="3"/>
  <c r="BM90" i="3"/>
  <c r="BO90" i="3"/>
  <c r="BQ90" i="3"/>
  <c r="BS90" i="3"/>
  <c r="BU90" i="3"/>
  <c r="BW90" i="3"/>
  <c r="BY90" i="3"/>
  <c r="CA90" i="3"/>
  <c r="CC90" i="3"/>
  <c r="CE90" i="3"/>
  <c r="CG90" i="3"/>
  <c r="CI90" i="3"/>
  <c r="CK90" i="3"/>
  <c r="CM90" i="3"/>
  <c r="CO90" i="3"/>
  <c r="CQ90" i="3"/>
  <c r="CS90" i="3"/>
  <c r="CU90" i="3"/>
  <c r="CW90" i="3"/>
  <c r="CY90" i="3"/>
  <c r="DA90" i="3"/>
  <c r="DC90" i="3"/>
  <c r="DE90" i="3"/>
  <c r="DG90" i="3"/>
  <c r="DI90" i="3"/>
  <c r="DK90" i="3"/>
  <c r="DM90" i="3"/>
  <c r="DO90" i="3"/>
  <c r="DQ90" i="3"/>
  <c r="DS90" i="3"/>
  <c r="DU90" i="3"/>
  <c r="DW90" i="3"/>
  <c r="DY90" i="3"/>
  <c r="EA90" i="3"/>
  <c r="EC90" i="3"/>
  <c r="EE90" i="3"/>
  <c r="EG90" i="3"/>
  <c r="EI90" i="3"/>
  <c r="L91" i="3"/>
  <c r="N91" i="3"/>
  <c r="P91" i="3"/>
  <c r="R91" i="3"/>
  <c r="T91" i="3"/>
  <c r="V91" i="3"/>
  <c r="X91" i="3"/>
  <c r="Z91" i="3"/>
  <c r="AB91" i="3"/>
  <c r="AD91" i="3"/>
  <c r="AF91" i="3"/>
  <c r="AH91" i="3"/>
  <c r="AJ91" i="3"/>
  <c r="AL91" i="3"/>
  <c r="AN91" i="3"/>
  <c r="AP91" i="3"/>
  <c r="AR91" i="3"/>
  <c r="AT91" i="3"/>
  <c r="AV91" i="3"/>
  <c r="AX91" i="3"/>
  <c r="AZ91" i="3"/>
  <c r="BB91" i="3"/>
  <c r="BD91" i="3"/>
  <c r="BF91" i="3"/>
  <c r="BH91" i="3"/>
  <c r="BJ91" i="3"/>
  <c r="BL91" i="3"/>
  <c r="BN91" i="3"/>
  <c r="BP91" i="3"/>
  <c r="BR91" i="3"/>
  <c r="BT91" i="3"/>
  <c r="BV91" i="3"/>
  <c r="BX91" i="3"/>
  <c r="BZ91" i="3"/>
  <c r="CB91" i="3"/>
  <c r="CD91" i="3"/>
  <c r="CF91" i="3"/>
  <c r="CH91" i="3"/>
  <c r="CJ91" i="3"/>
  <c r="CL91" i="3"/>
  <c r="CN91" i="3"/>
  <c r="CP91" i="3"/>
  <c r="CR91" i="3"/>
  <c r="CT91" i="3"/>
  <c r="CV91" i="3"/>
  <c r="CX91" i="3"/>
  <c r="CZ91" i="3"/>
  <c r="DB91" i="3"/>
  <c r="DD91" i="3"/>
  <c r="DF91" i="3"/>
  <c r="DH91" i="3"/>
  <c r="DJ91" i="3"/>
  <c r="DL91" i="3"/>
  <c r="DN91" i="3"/>
  <c r="DP91" i="3"/>
  <c r="DR91" i="3"/>
  <c r="DT91" i="3"/>
  <c r="DV91" i="3"/>
  <c r="DX91" i="3"/>
  <c r="DZ91" i="3"/>
  <c r="EB91" i="3"/>
  <c r="ED91" i="3"/>
  <c r="EF91" i="3"/>
  <c r="EH91" i="3"/>
  <c r="K92" i="3"/>
  <c r="M92" i="3"/>
  <c r="O92" i="3"/>
  <c r="Q92" i="3"/>
  <c r="S92" i="3"/>
  <c r="U92" i="3"/>
  <c r="W92" i="3"/>
  <c r="Y92" i="3"/>
  <c r="AA92" i="3"/>
  <c r="AC92" i="3"/>
  <c r="AE92" i="3"/>
  <c r="AG92" i="3"/>
  <c r="AI92" i="3"/>
  <c r="AK92" i="3"/>
  <c r="AM92" i="3"/>
  <c r="AO92" i="3"/>
  <c r="AQ92" i="3"/>
  <c r="AS92" i="3"/>
  <c r="AU92" i="3"/>
  <c r="AW92" i="3"/>
  <c r="AY92" i="3"/>
  <c r="BA92" i="3"/>
  <c r="BC92" i="3"/>
  <c r="BE92" i="3"/>
  <c r="BG92" i="3"/>
  <c r="BI92" i="3"/>
  <c r="BK92" i="3"/>
  <c r="BM92" i="3"/>
  <c r="BO92" i="3"/>
  <c r="BQ92" i="3"/>
  <c r="BS92" i="3"/>
  <c r="BU92" i="3"/>
  <c r="BW92" i="3"/>
  <c r="BY92" i="3"/>
  <c r="CA92" i="3"/>
  <c r="CC92" i="3"/>
  <c r="CE92" i="3"/>
  <c r="CG92" i="3"/>
  <c r="CI92" i="3"/>
  <c r="CK92" i="3"/>
  <c r="CM92" i="3"/>
  <c r="CO92" i="3"/>
  <c r="CQ92" i="3"/>
  <c r="CS92" i="3"/>
  <c r="CU92" i="3"/>
  <c r="CW92" i="3"/>
  <c r="CY92" i="3"/>
  <c r="DA92" i="3"/>
  <c r="DC92" i="3"/>
  <c r="DE92" i="3"/>
  <c r="DG92" i="3"/>
  <c r="DI92" i="3"/>
  <c r="DK92" i="3"/>
  <c r="DM92" i="3"/>
  <c r="DO92" i="3"/>
  <c r="DQ92" i="3"/>
  <c r="DS92" i="3"/>
  <c r="DU92" i="3"/>
  <c r="DW92" i="3"/>
  <c r="DY92" i="3"/>
  <c r="EA92" i="3"/>
  <c r="EC92" i="3"/>
  <c r="EE92" i="3"/>
  <c r="EG92" i="3"/>
  <c r="EI92" i="3"/>
  <c r="S93" i="3"/>
  <c r="U93" i="3"/>
  <c r="W93" i="3"/>
  <c r="Y93" i="3"/>
  <c r="AA93" i="3"/>
  <c r="AC93" i="3"/>
  <c r="AE93" i="3"/>
  <c r="AG93" i="3"/>
  <c r="AI93" i="3"/>
  <c r="AK93" i="3"/>
  <c r="AM93" i="3"/>
  <c r="AO93" i="3"/>
  <c r="AQ93" i="3"/>
  <c r="AS93" i="3"/>
  <c r="AU93" i="3"/>
  <c r="AW93" i="3"/>
  <c r="AY93" i="3"/>
  <c r="BA93" i="3"/>
  <c r="BC93" i="3"/>
  <c r="BE93" i="3"/>
  <c r="BG93" i="3"/>
  <c r="BI93" i="3"/>
  <c r="BK93" i="3"/>
  <c r="BM93" i="3"/>
  <c r="BO93" i="3"/>
  <c r="BQ93" i="3"/>
  <c r="BS93" i="3"/>
  <c r="BU93" i="3"/>
  <c r="BW93" i="3"/>
  <c r="BY93" i="3"/>
  <c r="CA93" i="3"/>
  <c r="CC93" i="3"/>
  <c r="CE93" i="3"/>
  <c r="CG93" i="3"/>
  <c r="CI93" i="3"/>
  <c r="CK93" i="3"/>
  <c r="CM93" i="3"/>
  <c r="CO93" i="3"/>
  <c r="CQ93" i="3"/>
  <c r="CS93" i="3"/>
  <c r="CU93" i="3"/>
  <c r="CW93" i="3"/>
  <c r="CY93" i="3"/>
  <c r="DA93" i="3"/>
  <c r="DC93" i="3"/>
  <c r="DE93" i="3"/>
  <c r="DG93" i="3"/>
  <c r="DI93" i="3"/>
  <c r="DK93" i="3"/>
  <c r="DM93" i="3"/>
  <c r="DO93" i="3"/>
  <c r="DQ93" i="3"/>
  <c r="DS93" i="3"/>
  <c r="DU93" i="3"/>
  <c r="DW93" i="3"/>
  <c r="DY93" i="3"/>
  <c r="EA93" i="3"/>
  <c r="EC93" i="3"/>
  <c r="EE93" i="3"/>
  <c r="EG93" i="3"/>
  <c r="EI93" i="3"/>
  <c r="T94" i="3"/>
  <c r="V94" i="3"/>
  <c r="X94" i="3"/>
  <c r="Z94" i="3"/>
  <c r="AB94" i="3"/>
  <c r="AD94" i="3"/>
  <c r="AF94" i="3"/>
  <c r="AH94" i="3"/>
  <c r="AJ94" i="3"/>
  <c r="AL94" i="3"/>
  <c r="AN94" i="3"/>
  <c r="AP94" i="3"/>
  <c r="AR94" i="3"/>
  <c r="AT94" i="3"/>
  <c r="AV94" i="3"/>
  <c r="AX94" i="3"/>
  <c r="AZ94" i="3"/>
  <c r="BB94" i="3"/>
  <c r="BD94" i="3"/>
  <c r="BF94" i="3"/>
  <c r="BH94" i="3"/>
  <c r="BJ94" i="3"/>
  <c r="BL94" i="3"/>
  <c r="BN94" i="3"/>
  <c r="BP94" i="3"/>
  <c r="BR94" i="3"/>
  <c r="BT94" i="3"/>
  <c r="BV94" i="3"/>
  <c r="BX94" i="3"/>
  <c r="BZ94" i="3"/>
  <c r="CB94" i="3"/>
  <c r="CD94" i="3"/>
  <c r="CF94" i="3"/>
  <c r="CH94" i="3"/>
  <c r="CJ94" i="3"/>
  <c r="CL94" i="3"/>
  <c r="CN94" i="3"/>
  <c r="CP94" i="3"/>
  <c r="CR94" i="3"/>
  <c r="CT94" i="3"/>
  <c r="CV94" i="3"/>
  <c r="CX94" i="3"/>
  <c r="CZ94" i="3"/>
  <c r="DB94" i="3"/>
  <c r="DD94" i="3"/>
  <c r="DF94" i="3"/>
  <c r="DH94" i="3"/>
  <c r="DJ94" i="3"/>
  <c r="DL94" i="3"/>
  <c r="DN94" i="3"/>
  <c r="DP94" i="3"/>
  <c r="DR94" i="3"/>
  <c r="DT94" i="3"/>
  <c r="DV94" i="3"/>
  <c r="DX94" i="3"/>
  <c r="DZ94" i="3"/>
  <c r="EB94" i="3"/>
  <c r="ED94" i="3"/>
  <c r="EF94" i="3"/>
  <c r="EH94" i="3"/>
  <c r="N95" i="3"/>
  <c r="P95" i="3"/>
  <c r="R95" i="3"/>
  <c r="T95" i="3"/>
  <c r="V95" i="3"/>
  <c r="X95" i="3"/>
  <c r="Z95" i="3"/>
  <c r="AB95" i="3"/>
  <c r="AD95" i="3"/>
  <c r="AF95" i="3"/>
  <c r="AH95" i="3"/>
  <c r="AJ95" i="3"/>
  <c r="AL95" i="3"/>
  <c r="AN95" i="3"/>
  <c r="AP95" i="3"/>
  <c r="AR95" i="3"/>
  <c r="AT95" i="3"/>
  <c r="AV95" i="3"/>
  <c r="AX95" i="3"/>
  <c r="AZ95" i="3"/>
  <c r="BB95" i="3"/>
  <c r="BD95" i="3"/>
  <c r="BF95" i="3"/>
  <c r="BH95" i="3"/>
  <c r="BJ95" i="3"/>
  <c r="BL95" i="3"/>
  <c r="BN95" i="3"/>
  <c r="BP95" i="3"/>
  <c r="BR95" i="3"/>
  <c r="BT95" i="3"/>
  <c r="BV95" i="3"/>
  <c r="BX95" i="3"/>
  <c r="BZ95" i="3"/>
  <c r="CB95" i="3"/>
  <c r="CD95" i="3"/>
  <c r="CF95" i="3"/>
  <c r="CH95" i="3"/>
  <c r="CJ95" i="3"/>
  <c r="CL95" i="3"/>
  <c r="CN95" i="3"/>
  <c r="CP95" i="3"/>
  <c r="CR95" i="3"/>
  <c r="CT95" i="3"/>
  <c r="CV95" i="3"/>
  <c r="CX95" i="3"/>
  <c r="CZ95" i="3"/>
  <c r="DB95" i="3"/>
  <c r="DD95" i="3"/>
  <c r="DF95" i="3"/>
  <c r="DH95" i="3"/>
  <c r="DJ95" i="3"/>
  <c r="DL95" i="3"/>
  <c r="DN95" i="3"/>
  <c r="DP95" i="3"/>
  <c r="DR95" i="3"/>
  <c r="DT95" i="3"/>
  <c r="DV95" i="3"/>
  <c r="DX95" i="3"/>
  <c r="DZ95" i="3"/>
  <c r="EB95" i="3"/>
  <c r="ED95" i="3"/>
  <c r="EF95" i="3"/>
  <c r="EH95" i="3"/>
  <c r="O96" i="3"/>
  <c r="Q96" i="3"/>
  <c r="S96" i="3"/>
  <c r="U96" i="3"/>
  <c r="W96" i="3"/>
  <c r="Y96" i="3"/>
  <c r="AA96" i="3"/>
  <c r="AC96" i="3"/>
  <c r="AE96" i="3"/>
  <c r="AG96" i="3"/>
  <c r="AI96" i="3"/>
  <c r="AK96" i="3"/>
  <c r="AM96" i="3"/>
  <c r="AO96" i="3"/>
  <c r="AQ96" i="3"/>
  <c r="AS96" i="3"/>
  <c r="AU96" i="3"/>
  <c r="AW96" i="3"/>
  <c r="AY96" i="3"/>
  <c r="BA96" i="3"/>
  <c r="BC96" i="3"/>
  <c r="BE96" i="3"/>
  <c r="BG96" i="3"/>
  <c r="BI96" i="3"/>
  <c r="BK96" i="3"/>
  <c r="BM96" i="3"/>
  <c r="BO96" i="3"/>
  <c r="BQ96" i="3"/>
  <c r="BS96" i="3"/>
  <c r="BU96" i="3"/>
  <c r="BW96" i="3"/>
  <c r="BY96" i="3"/>
  <c r="CA96" i="3"/>
  <c r="CC96" i="3"/>
  <c r="CE96" i="3"/>
  <c r="CG96" i="3"/>
  <c r="CI96" i="3"/>
  <c r="CK96" i="3"/>
  <c r="CM96" i="3"/>
  <c r="CO96" i="3"/>
  <c r="CQ96" i="3"/>
  <c r="CS96" i="3"/>
  <c r="CU96" i="3"/>
  <c r="CW96" i="3"/>
  <c r="CY96" i="3"/>
  <c r="DA96" i="3"/>
  <c r="DC96" i="3"/>
  <c r="DE96" i="3"/>
  <c r="DG96" i="3"/>
  <c r="DI96" i="3"/>
  <c r="DK96" i="3"/>
  <c r="DM96" i="3"/>
  <c r="DO96" i="3"/>
  <c r="DQ96" i="3"/>
  <c r="DS96" i="3"/>
  <c r="DU96" i="3"/>
  <c r="DW96" i="3"/>
  <c r="DY96" i="3"/>
  <c r="EA96" i="3"/>
  <c r="EC96" i="3"/>
  <c r="EE96" i="3"/>
  <c r="EG96" i="3"/>
  <c r="EI96" i="3"/>
  <c r="R97" i="3"/>
  <c r="T97" i="3"/>
  <c r="V97" i="3"/>
  <c r="X97" i="3"/>
  <c r="Z97" i="3"/>
  <c r="AB97" i="3"/>
  <c r="AD97" i="3"/>
  <c r="AF97" i="3"/>
  <c r="AH97" i="3"/>
  <c r="AJ97" i="3"/>
  <c r="AL97" i="3"/>
  <c r="AN97" i="3"/>
  <c r="AP97" i="3"/>
  <c r="AR97" i="3"/>
  <c r="AT97" i="3"/>
  <c r="AV97" i="3"/>
  <c r="AX97" i="3"/>
  <c r="AZ97" i="3"/>
  <c r="BB97" i="3"/>
  <c r="BD97" i="3"/>
  <c r="BF97" i="3"/>
  <c r="BH97" i="3"/>
  <c r="BJ97" i="3"/>
  <c r="BL97" i="3"/>
  <c r="BN97" i="3"/>
  <c r="BP97" i="3"/>
  <c r="BR97" i="3"/>
  <c r="BT97" i="3"/>
  <c r="BV97" i="3"/>
  <c r="BX97" i="3"/>
  <c r="BZ97" i="3"/>
  <c r="CB97" i="3"/>
  <c r="CD97" i="3"/>
  <c r="CF97" i="3"/>
  <c r="CH97" i="3"/>
  <c r="CJ97" i="3"/>
  <c r="CL97" i="3"/>
  <c r="CN97" i="3"/>
  <c r="CP97" i="3"/>
  <c r="CR97" i="3"/>
  <c r="CT97" i="3"/>
  <c r="CV97" i="3"/>
  <c r="CX97" i="3"/>
  <c r="CZ97" i="3"/>
  <c r="DB97" i="3"/>
  <c r="DD97" i="3"/>
  <c r="DF97" i="3"/>
  <c r="DH97" i="3"/>
  <c r="DJ97" i="3"/>
  <c r="DL97" i="3"/>
  <c r="DN97" i="3"/>
  <c r="DP97" i="3"/>
  <c r="DR97" i="3"/>
  <c r="DT97" i="3"/>
  <c r="DV97" i="3"/>
  <c r="DX97" i="3"/>
  <c r="DZ97" i="3"/>
  <c r="EB97" i="3"/>
  <c r="ED97" i="3"/>
  <c r="EF97" i="3"/>
  <c r="EH97" i="3"/>
  <c r="M98" i="3"/>
  <c r="O98" i="3"/>
  <c r="Q98" i="3"/>
  <c r="S98" i="3"/>
  <c r="U98" i="3"/>
  <c r="W98" i="3"/>
  <c r="Y98" i="3"/>
  <c r="AA98" i="3"/>
  <c r="AC98" i="3"/>
  <c r="AE98" i="3"/>
  <c r="AG98" i="3"/>
  <c r="AI98" i="3"/>
  <c r="AK98" i="3"/>
  <c r="AM98" i="3"/>
  <c r="AO98" i="3"/>
  <c r="AQ98" i="3"/>
  <c r="AS98" i="3"/>
  <c r="AU98" i="3"/>
  <c r="AW98" i="3"/>
  <c r="AY98" i="3"/>
  <c r="BA98" i="3"/>
  <c r="BC98" i="3"/>
  <c r="BE98" i="3"/>
  <c r="BG98" i="3"/>
  <c r="BI98" i="3"/>
  <c r="BK98" i="3"/>
  <c r="BM98" i="3"/>
  <c r="BO98" i="3"/>
  <c r="BQ98" i="3"/>
  <c r="BS98" i="3"/>
  <c r="BU98" i="3"/>
  <c r="BW98" i="3"/>
  <c r="BY98" i="3"/>
  <c r="CA98" i="3"/>
  <c r="CC98" i="3"/>
  <c r="CE98" i="3"/>
  <c r="CG98" i="3"/>
  <c r="CI98" i="3"/>
  <c r="CK98" i="3"/>
  <c r="CM98" i="3"/>
  <c r="CO98" i="3"/>
  <c r="CQ98" i="3"/>
  <c r="CS98" i="3"/>
  <c r="CU98" i="3"/>
  <c r="CW98" i="3"/>
  <c r="CY98" i="3"/>
  <c r="DA98" i="3"/>
  <c r="DC98" i="3"/>
  <c r="DE98" i="3"/>
  <c r="DG98" i="3"/>
  <c r="DI98" i="3"/>
  <c r="DK98" i="3"/>
  <c r="DM98" i="3"/>
  <c r="DO98" i="3"/>
  <c r="DQ98" i="3"/>
  <c r="DS98" i="3"/>
  <c r="DU98" i="3"/>
  <c r="DW98" i="3"/>
  <c r="DY98" i="3"/>
  <c r="EA98" i="3"/>
  <c r="EC98" i="3"/>
  <c r="EE98" i="3"/>
  <c r="EG98" i="3"/>
  <c r="EI98" i="3"/>
  <c r="L99" i="3"/>
  <c r="N99" i="3"/>
  <c r="P99" i="3"/>
  <c r="R99" i="3"/>
  <c r="T99" i="3"/>
  <c r="V99" i="3"/>
  <c r="X99" i="3"/>
  <c r="Z99" i="3"/>
  <c r="AB99" i="3"/>
  <c r="AD99" i="3"/>
  <c r="AF99" i="3"/>
  <c r="AH99" i="3"/>
  <c r="AJ99" i="3"/>
  <c r="AL99" i="3"/>
  <c r="AN99" i="3"/>
  <c r="AP99" i="3"/>
  <c r="AR99" i="3"/>
  <c r="AT99" i="3"/>
  <c r="AV99" i="3"/>
  <c r="AX99" i="3"/>
  <c r="AZ99" i="3"/>
  <c r="BB99" i="3"/>
  <c r="BD99" i="3"/>
  <c r="BF99" i="3"/>
  <c r="BH99" i="3"/>
  <c r="BJ99" i="3"/>
  <c r="BL99" i="3"/>
  <c r="BN99" i="3"/>
  <c r="BP99" i="3"/>
  <c r="BR99" i="3"/>
  <c r="BT99" i="3"/>
  <c r="BV99" i="3"/>
  <c r="BX99" i="3"/>
  <c r="BZ99" i="3"/>
  <c r="CB99" i="3"/>
  <c r="CD99" i="3"/>
  <c r="CF99" i="3"/>
  <c r="CH99" i="3"/>
  <c r="CJ99" i="3"/>
  <c r="CL99" i="3"/>
  <c r="CN99" i="3"/>
  <c r="CP99" i="3"/>
  <c r="CR99" i="3"/>
  <c r="CT99" i="3"/>
  <c r="CV99" i="3"/>
  <c r="CX99" i="3"/>
  <c r="CZ99" i="3"/>
  <c r="DB99" i="3"/>
  <c r="DD99" i="3"/>
  <c r="DF99" i="3"/>
  <c r="DH99" i="3"/>
  <c r="DJ99" i="3"/>
  <c r="DL99" i="3"/>
  <c r="DN99" i="3"/>
  <c r="DP99" i="3"/>
  <c r="DR99" i="3"/>
  <c r="DT99" i="3"/>
  <c r="DV99" i="3"/>
  <c r="DX99" i="3"/>
  <c r="DZ99" i="3"/>
  <c r="EB99" i="3"/>
  <c r="ED99" i="3"/>
  <c r="EF99" i="3"/>
  <c r="EH99" i="3"/>
  <c r="T100" i="3"/>
  <c r="V100" i="3"/>
  <c r="X100" i="3"/>
  <c r="Z100" i="3"/>
  <c r="AB100" i="3"/>
  <c r="AD100" i="3"/>
  <c r="AF100" i="3"/>
  <c r="AH100" i="3"/>
  <c r="AJ100" i="3"/>
  <c r="AL100" i="3"/>
  <c r="AN100" i="3"/>
  <c r="AP100" i="3"/>
  <c r="AR100" i="3"/>
  <c r="AT100" i="3"/>
  <c r="AV100" i="3"/>
  <c r="AX100" i="3"/>
  <c r="AZ100" i="3"/>
  <c r="BB100" i="3"/>
  <c r="BD100" i="3"/>
  <c r="BF100" i="3"/>
  <c r="BH100" i="3"/>
  <c r="BJ100" i="3"/>
  <c r="BL100" i="3"/>
  <c r="BN100" i="3"/>
  <c r="BP100" i="3"/>
  <c r="BR100" i="3"/>
  <c r="BT100" i="3"/>
  <c r="BV100" i="3"/>
  <c r="BX100" i="3"/>
  <c r="BZ100" i="3"/>
  <c r="CB100" i="3"/>
  <c r="CD100" i="3"/>
  <c r="CF100" i="3"/>
  <c r="CH100" i="3"/>
  <c r="CJ100" i="3"/>
  <c r="CL100" i="3"/>
  <c r="CN100" i="3"/>
  <c r="CP100" i="3"/>
  <c r="CR100" i="3"/>
  <c r="CT100" i="3"/>
  <c r="CV100" i="3"/>
  <c r="CX100" i="3"/>
  <c r="CZ100" i="3"/>
  <c r="DB100" i="3"/>
  <c r="DD100" i="3"/>
  <c r="DF100" i="3"/>
  <c r="DH100" i="3"/>
  <c r="DJ100" i="3"/>
  <c r="DL100" i="3"/>
  <c r="DN100" i="3"/>
  <c r="DP100" i="3"/>
  <c r="DR100" i="3"/>
  <c r="DT100" i="3"/>
  <c r="DV100" i="3"/>
  <c r="DX100" i="3"/>
  <c r="DZ100" i="3"/>
  <c r="EB100" i="3"/>
  <c r="ED100" i="3"/>
  <c r="EF100" i="3"/>
  <c r="EH100" i="3"/>
  <c r="N101" i="3"/>
  <c r="P101" i="3"/>
  <c r="R101" i="3"/>
  <c r="T101" i="3"/>
  <c r="V101" i="3"/>
  <c r="X101" i="3"/>
  <c r="Z101" i="3"/>
  <c r="AB101" i="3"/>
  <c r="AD101" i="3"/>
  <c r="AF101" i="3"/>
  <c r="AH101" i="3"/>
  <c r="AJ101" i="3"/>
  <c r="AL101" i="3"/>
  <c r="AN101" i="3"/>
  <c r="AP101" i="3"/>
  <c r="AR101" i="3"/>
  <c r="AT101" i="3"/>
  <c r="AV101" i="3"/>
  <c r="AX101" i="3"/>
  <c r="AZ101" i="3"/>
  <c r="BB101" i="3"/>
  <c r="BD101" i="3"/>
  <c r="BF101" i="3"/>
  <c r="BH101" i="3"/>
  <c r="BJ101" i="3"/>
  <c r="BL101" i="3"/>
  <c r="BN101" i="3"/>
  <c r="BP101" i="3"/>
  <c r="BR101" i="3"/>
  <c r="BT101" i="3"/>
  <c r="BV101" i="3"/>
  <c r="BX101" i="3"/>
  <c r="BZ101" i="3"/>
  <c r="CB101" i="3"/>
  <c r="CD101" i="3"/>
  <c r="CF101" i="3"/>
  <c r="CH101" i="3"/>
  <c r="CJ101" i="3"/>
  <c r="CL101" i="3"/>
  <c r="CN101" i="3"/>
  <c r="CP101" i="3"/>
  <c r="CR101" i="3"/>
  <c r="CT101" i="3"/>
  <c r="CV101" i="3"/>
  <c r="CX101" i="3"/>
  <c r="CZ101" i="3"/>
  <c r="DB101" i="3"/>
  <c r="DD101" i="3"/>
  <c r="DF101" i="3"/>
  <c r="DH101" i="3"/>
  <c r="DJ101" i="3"/>
  <c r="DL101" i="3"/>
  <c r="DN101" i="3"/>
  <c r="DP101" i="3"/>
  <c r="DR101" i="3"/>
  <c r="DT101" i="3"/>
  <c r="DV101" i="3"/>
  <c r="DX101" i="3"/>
  <c r="DZ101" i="3"/>
  <c r="EB101" i="3"/>
  <c r="ED101" i="3"/>
  <c r="EF101" i="3"/>
  <c r="EH101" i="3"/>
  <c r="L103" i="3"/>
  <c r="N103" i="3"/>
  <c r="P103" i="3"/>
  <c r="R103" i="3"/>
  <c r="T103" i="3"/>
  <c r="V103" i="3"/>
  <c r="X103" i="3"/>
  <c r="Z103" i="3"/>
  <c r="AB103" i="3"/>
  <c r="AD103" i="3"/>
  <c r="AF103" i="3"/>
  <c r="AH103" i="3"/>
  <c r="AJ103" i="3"/>
  <c r="AL103" i="3"/>
  <c r="AN103" i="3"/>
  <c r="AP103" i="3"/>
  <c r="AR103" i="3"/>
  <c r="AT103" i="3"/>
  <c r="AV103" i="3"/>
  <c r="AX103" i="3"/>
  <c r="AZ103" i="3"/>
  <c r="BB103" i="3"/>
  <c r="BD103" i="3"/>
  <c r="BF103" i="3"/>
  <c r="BH103" i="3"/>
  <c r="BJ103" i="3"/>
  <c r="BL103" i="3"/>
  <c r="BN103" i="3"/>
  <c r="BP103" i="3"/>
  <c r="BR103" i="3"/>
  <c r="BT103" i="3"/>
  <c r="BV103" i="3"/>
  <c r="BX103" i="3"/>
  <c r="BZ103" i="3"/>
  <c r="CB103" i="3"/>
  <c r="CD103" i="3"/>
  <c r="CF103" i="3"/>
  <c r="CH103" i="3"/>
  <c r="CJ103" i="3"/>
  <c r="CL103" i="3"/>
  <c r="CN103" i="3"/>
  <c r="CP103" i="3"/>
  <c r="CR103" i="3"/>
  <c r="CT103" i="3"/>
  <c r="CV103" i="3"/>
  <c r="CX103" i="3"/>
  <c r="CZ103" i="3"/>
  <c r="DB103" i="3"/>
  <c r="DD103" i="3"/>
  <c r="DF103" i="3"/>
  <c r="DH103" i="3"/>
  <c r="DJ103" i="3"/>
  <c r="DL103" i="3"/>
  <c r="DN103" i="3"/>
  <c r="DP103" i="3"/>
  <c r="DR103" i="3"/>
  <c r="DT103" i="3"/>
  <c r="DV103" i="3"/>
  <c r="DX103" i="3"/>
  <c r="DZ103" i="3"/>
  <c r="EB103" i="3"/>
  <c r="ED103" i="3"/>
  <c r="EF103" i="3"/>
  <c r="EH103" i="3"/>
  <c r="M104" i="3"/>
  <c r="O104" i="3"/>
  <c r="Q104" i="3"/>
  <c r="S104" i="3"/>
  <c r="U104" i="3"/>
  <c r="W104" i="3"/>
  <c r="Y104" i="3"/>
  <c r="AA104" i="3"/>
  <c r="AC104" i="3"/>
  <c r="AE104" i="3"/>
  <c r="AG104" i="3"/>
  <c r="AI104" i="3"/>
  <c r="AK104" i="3"/>
  <c r="AM104" i="3"/>
  <c r="AO104" i="3"/>
  <c r="AQ104" i="3"/>
  <c r="AS104" i="3"/>
  <c r="AU104" i="3"/>
  <c r="AW104" i="3"/>
  <c r="AY104" i="3"/>
  <c r="BA104" i="3"/>
  <c r="BC104" i="3"/>
  <c r="BE104" i="3"/>
  <c r="BG104" i="3"/>
  <c r="BI104" i="3"/>
  <c r="BK104" i="3"/>
  <c r="BM104" i="3"/>
  <c r="BO104" i="3"/>
  <c r="BQ104" i="3"/>
  <c r="BS104" i="3"/>
  <c r="BU104" i="3"/>
  <c r="BW104" i="3"/>
  <c r="BY104" i="3"/>
  <c r="CA104" i="3"/>
  <c r="CC104" i="3"/>
  <c r="CE104" i="3"/>
  <c r="CG104" i="3"/>
  <c r="CI104" i="3"/>
  <c r="CK104" i="3"/>
  <c r="CM104" i="3"/>
  <c r="CO104" i="3"/>
  <c r="CQ104" i="3"/>
  <c r="CS104" i="3"/>
  <c r="CU104" i="3"/>
  <c r="CW104" i="3"/>
  <c r="CY104" i="3"/>
  <c r="DA104" i="3"/>
  <c r="DC104" i="3"/>
  <c r="DE104" i="3"/>
  <c r="DG104" i="3"/>
  <c r="DI104" i="3"/>
  <c r="DK104" i="3"/>
  <c r="DM104" i="3"/>
  <c r="DO104" i="3"/>
  <c r="DQ104" i="3"/>
  <c r="DS104" i="3"/>
  <c r="DU104" i="3"/>
  <c r="DW104" i="3"/>
  <c r="DY104" i="3"/>
  <c r="EA104" i="3"/>
  <c r="EC104" i="3"/>
  <c r="EE104" i="3"/>
  <c r="EG104" i="3"/>
  <c r="EI104" i="3"/>
  <c r="T105" i="3"/>
  <c r="V105" i="3"/>
  <c r="X105" i="3"/>
  <c r="Z105" i="3"/>
  <c r="AB105" i="3"/>
  <c r="AD105" i="3"/>
  <c r="AF105" i="3"/>
  <c r="AH105" i="3"/>
  <c r="AJ105" i="3"/>
  <c r="AL105" i="3"/>
  <c r="AN105" i="3"/>
  <c r="AP105" i="3"/>
  <c r="AR105" i="3"/>
  <c r="AT105" i="3"/>
  <c r="AV105" i="3"/>
  <c r="AX105" i="3"/>
  <c r="AZ105" i="3"/>
  <c r="BB105" i="3"/>
  <c r="BD105" i="3"/>
  <c r="BF105" i="3"/>
  <c r="BH105" i="3"/>
  <c r="BJ105" i="3"/>
  <c r="BL105" i="3"/>
  <c r="BN105" i="3"/>
  <c r="BP105" i="3"/>
  <c r="BR105" i="3"/>
  <c r="BT105" i="3"/>
  <c r="BV105" i="3"/>
  <c r="BX105" i="3"/>
  <c r="BZ105" i="3"/>
  <c r="CB105" i="3"/>
  <c r="CD105" i="3"/>
  <c r="CF105" i="3"/>
  <c r="CH105" i="3"/>
  <c r="CJ105" i="3"/>
  <c r="CL105" i="3"/>
  <c r="CN105" i="3"/>
  <c r="CP105" i="3"/>
  <c r="CR105" i="3"/>
  <c r="CT105" i="3"/>
  <c r="CV105" i="3"/>
  <c r="CX105" i="3"/>
  <c r="CZ105" i="3"/>
  <c r="DB105" i="3"/>
  <c r="DD105" i="3"/>
  <c r="DF105" i="3"/>
  <c r="DH105" i="3"/>
  <c r="DJ105" i="3"/>
  <c r="DL105" i="3"/>
  <c r="DN105" i="3"/>
  <c r="DP105" i="3"/>
  <c r="DR105" i="3"/>
  <c r="DT105" i="3"/>
  <c r="DV105" i="3"/>
  <c r="DX105" i="3"/>
  <c r="DZ105" i="3"/>
  <c r="EB105" i="3"/>
  <c r="ED105" i="3"/>
  <c r="EF105" i="3"/>
  <c r="EH105" i="3"/>
  <c r="U106" i="3"/>
  <c r="W106" i="3"/>
  <c r="Y106" i="3"/>
  <c r="AA106" i="3"/>
  <c r="AC106" i="3"/>
  <c r="AE106" i="3"/>
  <c r="AG106" i="3"/>
  <c r="AI106" i="3"/>
  <c r="AK106" i="3"/>
  <c r="AM106" i="3"/>
  <c r="AO106" i="3"/>
  <c r="AQ106" i="3"/>
  <c r="AS106" i="3"/>
  <c r="AU106" i="3"/>
  <c r="AW106" i="3"/>
  <c r="AY106" i="3"/>
  <c r="BA106" i="3"/>
  <c r="BC106" i="3"/>
  <c r="BE106" i="3"/>
  <c r="BG106" i="3"/>
  <c r="BI106" i="3"/>
  <c r="BK106" i="3"/>
  <c r="BM106" i="3"/>
  <c r="BO106" i="3"/>
  <c r="BQ106" i="3"/>
  <c r="BS106" i="3"/>
  <c r="BU106" i="3"/>
  <c r="BW106" i="3"/>
  <c r="BY106" i="3"/>
  <c r="CA106" i="3"/>
  <c r="CC106" i="3"/>
  <c r="CE106" i="3"/>
  <c r="CG106" i="3"/>
  <c r="CI106" i="3"/>
  <c r="CK106" i="3"/>
  <c r="CM106" i="3"/>
  <c r="CO106" i="3"/>
  <c r="CQ106" i="3"/>
  <c r="CS106" i="3"/>
  <c r="CU106" i="3"/>
  <c r="CW106" i="3"/>
  <c r="CY106" i="3"/>
  <c r="DA106" i="3"/>
  <c r="DC106" i="3"/>
  <c r="DE106" i="3"/>
  <c r="DG106" i="3"/>
  <c r="DI106" i="3"/>
  <c r="DK106" i="3"/>
  <c r="DM106" i="3"/>
  <c r="DO106" i="3"/>
  <c r="DQ106" i="3"/>
  <c r="DS106" i="3"/>
  <c r="DU106" i="3"/>
  <c r="DW106" i="3"/>
  <c r="DY106" i="3"/>
  <c r="EA106" i="3"/>
  <c r="EC106" i="3"/>
  <c r="EE106" i="3"/>
  <c r="EG106" i="3"/>
  <c r="EI106" i="3"/>
  <c r="L107" i="3"/>
  <c r="N107" i="3"/>
  <c r="P107" i="3"/>
  <c r="R107" i="3"/>
  <c r="T107" i="3"/>
  <c r="V107" i="3"/>
  <c r="X107" i="3"/>
  <c r="Z107" i="3"/>
  <c r="AB107" i="3"/>
  <c r="AD107" i="3"/>
  <c r="AF107" i="3"/>
  <c r="AH107" i="3"/>
  <c r="AJ107" i="3"/>
  <c r="AL107" i="3"/>
  <c r="AN107" i="3"/>
  <c r="AP107" i="3"/>
  <c r="AR107" i="3"/>
  <c r="AT107" i="3"/>
  <c r="AV107" i="3"/>
  <c r="AX107" i="3"/>
  <c r="AZ107" i="3"/>
  <c r="BB107" i="3"/>
  <c r="BD107" i="3"/>
  <c r="BF107" i="3"/>
  <c r="BH107" i="3"/>
  <c r="BJ107" i="3"/>
  <c r="BL107" i="3"/>
  <c r="BN107" i="3"/>
  <c r="BP107" i="3"/>
  <c r="BR107" i="3"/>
  <c r="BT107" i="3"/>
  <c r="BV107" i="3"/>
  <c r="BX107" i="3"/>
  <c r="BZ107" i="3"/>
  <c r="CB107" i="3"/>
  <c r="CD107" i="3"/>
  <c r="CF107" i="3"/>
  <c r="CH107" i="3"/>
  <c r="CJ107" i="3"/>
  <c r="CL107" i="3"/>
  <c r="CN107" i="3"/>
  <c r="CP107" i="3"/>
  <c r="CR107" i="3"/>
  <c r="CT107" i="3"/>
  <c r="CV107" i="3"/>
  <c r="CX107" i="3"/>
  <c r="CZ107" i="3"/>
  <c r="DB107" i="3"/>
  <c r="DD107" i="3"/>
  <c r="DF107" i="3"/>
  <c r="DH107" i="3"/>
  <c r="DJ107" i="3"/>
  <c r="DL107" i="3"/>
  <c r="DN107" i="3"/>
  <c r="DP107" i="3"/>
  <c r="DR107" i="3"/>
  <c r="DT107" i="3"/>
  <c r="DV107" i="3"/>
  <c r="DX107" i="3"/>
  <c r="DZ107" i="3"/>
  <c r="EB107" i="3"/>
  <c r="ED107" i="3"/>
  <c r="EF107" i="3"/>
  <c r="EH107" i="3"/>
  <c r="K108" i="3"/>
  <c r="M108" i="3"/>
  <c r="O108" i="3"/>
  <c r="Q108" i="3"/>
  <c r="S108" i="3"/>
  <c r="U108" i="3"/>
  <c r="W108" i="3"/>
  <c r="Y108" i="3"/>
  <c r="AA108" i="3"/>
  <c r="AC108" i="3"/>
  <c r="AE108" i="3"/>
  <c r="AG108" i="3"/>
  <c r="AI108" i="3"/>
  <c r="AK108" i="3"/>
  <c r="AM108" i="3"/>
  <c r="AO108" i="3"/>
  <c r="AQ108" i="3"/>
  <c r="AS108" i="3"/>
  <c r="AU108" i="3"/>
  <c r="AW108" i="3"/>
  <c r="AY108" i="3"/>
  <c r="BA108" i="3"/>
  <c r="BC108" i="3"/>
  <c r="BE108" i="3"/>
  <c r="BG108" i="3"/>
  <c r="BI108" i="3"/>
  <c r="BK108" i="3"/>
  <c r="BM108" i="3"/>
  <c r="BO108" i="3"/>
  <c r="BQ108" i="3"/>
  <c r="BS108" i="3"/>
  <c r="BU108" i="3"/>
  <c r="BW108" i="3"/>
  <c r="BY108" i="3"/>
  <c r="CA108" i="3"/>
  <c r="CC108" i="3"/>
  <c r="CE108" i="3"/>
  <c r="CG108" i="3"/>
  <c r="CI108" i="3"/>
  <c r="CK108" i="3"/>
  <c r="CM108" i="3"/>
  <c r="CO108" i="3"/>
  <c r="CQ108" i="3"/>
  <c r="CS108" i="3"/>
  <c r="CU108" i="3"/>
  <c r="CW108" i="3"/>
  <c r="CY108" i="3"/>
  <c r="DA108" i="3"/>
  <c r="DC108" i="3"/>
  <c r="DE108" i="3"/>
  <c r="DG108" i="3"/>
  <c r="DI108" i="3"/>
  <c r="DK108" i="3"/>
  <c r="DM108" i="3"/>
  <c r="DO108" i="3"/>
  <c r="DQ108" i="3"/>
  <c r="DS108" i="3"/>
  <c r="DU108" i="3"/>
  <c r="DW108" i="3"/>
  <c r="DY108" i="3"/>
  <c r="EA108" i="3"/>
  <c r="EC108" i="3"/>
  <c r="EE108" i="3"/>
  <c r="EG108" i="3"/>
  <c r="EI108" i="3"/>
  <c r="O109" i="3"/>
  <c r="Q109" i="3"/>
  <c r="S109" i="3"/>
  <c r="U109" i="3"/>
  <c r="W109" i="3"/>
  <c r="Y109" i="3"/>
  <c r="AA109" i="3"/>
  <c r="AC109" i="3"/>
  <c r="AE109" i="3"/>
  <c r="AG109" i="3"/>
  <c r="AI109" i="3"/>
  <c r="AK109" i="3"/>
  <c r="AM109" i="3"/>
  <c r="AO109" i="3"/>
  <c r="AQ109" i="3"/>
  <c r="AS109" i="3"/>
  <c r="AU109" i="3"/>
  <c r="AW109" i="3"/>
  <c r="AY109" i="3"/>
  <c r="BA109" i="3"/>
  <c r="BC109" i="3"/>
  <c r="BE109" i="3"/>
  <c r="BG109" i="3"/>
  <c r="BI109" i="3"/>
  <c r="BK109" i="3"/>
  <c r="BM109" i="3"/>
  <c r="BO109" i="3"/>
  <c r="BQ109" i="3"/>
  <c r="BS109" i="3"/>
  <c r="BU109" i="3"/>
  <c r="BW109" i="3"/>
  <c r="BY109" i="3"/>
  <c r="CA109" i="3"/>
  <c r="CC109" i="3"/>
  <c r="CE109" i="3"/>
  <c r="CG109" i="3"/>
  <c r="CI109" i="3"/>
  <c r="CK109" i="3"/>
  <c r="CM109" i="3"/>
  <c r="CO109" i="3"/>
  <c r="CQ109" i="3"/>
  <c r="CS109" i="3"/>
  <c r="CU109" i="3"/>
  <c r="CW109" i="3"/>
  <c r="CY109" i="3"/>
  <c r="DA109" i="3"/>
  <c r="DC109" i="3"/>
  <c r="DE109" i="3"/>
  <c r="DG109" i="3"/>
  <c r="DI109" i="3"/>
  <c r="DK109" i="3"/>
  <c r="DM109" i="3"/>
  <c r="DO109" i="3"/>
  <c r="DQ109" i="3"/>
  <c r="DS109" i="3"/>
  <c r="DU109" i="3"/>
  <c r="DW109" i="3"/>
  <c r="DY109" i="3"/>
  <c r="EA109" i="3"/>
  <c r="EC109" i="3"/>
  <c r="EE109" i="3"/>
  <c r="EG109" i="3"/>
  <c r="EI109" i="3"/>
  <c r="M110" i="3"/>
  <c r="O110" i="3"/>
  <c r="Q110" i="3"/>
  <c r="S110" i="3"/>
  <c r="U110" i="3"/>
  <c r="W110" i="3"/>
  <c r="Y110" i="3"/>
  <c r="AA110" i="3"/>
  <c r="AC110" i="3"/>
  <c r="AE110" i="3"/>
  <c r="AG110" i="3"/>
  <c r="AI110" i="3"/>
  <c r="AK110" i="3"/>
  <c r="AM110" i="3"/>
  <c r="AO110" i="3"/>
  <c r="AQ110" i="3"/>
  <c r="AS110" i="3"/>
  <c r="AU110" i="3"/>
  <c r="AW110" i="3"/>
  <c r="AY110" i="3"/>
  <c r="BA110" i="3"/>
  <c r="BC110" i="3"/>
  <c r="BE110" i="3"/>
  <c r="BG110" i="3"/>
  <c r="BI110" i="3"/>
  <c r="BK110" i="3"/>
  <c r="BM110" i="3"/>
  <c r="BO110" i="3"/>
  <c r="BQ110" i="3"/>
  <c r="BS110" i="3"/>
  <c r="BU110" i="3"/>
  <c r="BW110" i="3"/>
  <c r="BY110" i="3"/>
  <c r="CA110" i="3"/>
  <c r="CC110" i="3"/>
  <c r="CE110" i="3"/>
  <c r="CG110" i="3"/>
  <c r="CI110" i="3"/>
  <c r="CK110" i="3"/>
  <c r="CM110" i="3"/>
  <c r="CO110" i="3"/>
  <c r="CQ110" i="3"/>
  <c r="CS110" i="3"/>
  <c r="CU110" i="3"/>
  <c r="CW110" i="3"/>
  <c r="CY110" i="3"/>
  <c r="DA110" i="3"/>
  <c r="DC110" i="3"/>
  <c r="DE110" i="3"/>
  <c r="DG110" i="3"/>
  <c r="DI110" i="3"/>
  <c r="DK110" i="3"/>
  <c r="DM110" i="3"/>
  <c r="DO110" i="3"/>
  <c r="DQ110" i="3"/>
  <c r="DS110" i="3"/>
  <c r="DU110" i="3"/>
  <c r="DW110" i="3"/>
  <c r="DY110" i="3"/>
  <c r="EA110" i="3"/>
  <c r="EC110" i="3"/>
  <c r="EE110" i="3"/>
  <c r="EG110" i="3"/>
  <c r="EI110" i="3"/>
  <c r="L111" i="3"/>
  <c r="N111" i="3"/>
  <c r="P111" i="3"/>
  <c r="R111" i="3"/>
  <c r="T111" i="3"/>
  <c r="V111" i="3"/>
  <c r="X111" i="3"/>
  <c r="Z111" i="3"/>
  <c r="AB111" i="3"/>
  <c r="AD111" i="3"/>
  <c r="AF111" i="3"/>
  <c r="AH111" i="3"/>
  <c r="AJ111" i="3"/>
  <c r="AL111" i="3"/>
  <c r="AN111" i="3"/>
  <c r="AP111" i="3"/>
  <c r="AR111" i="3"/>
  <c r="AT111" i="3"/>
  <c r="AV111" i="3"/>
  <c r="AX111" i="3"/>
  <c r="AZ111" i="3"/>
  <c r="BB111" i="3"/>
  <c r="BD111" i="3"/>
  <c r="BF111" i="3"/>
  <c r="BH111" i="3"/>
  <c r="BJ111" i="3"/>
  <c r="BL111" i="3"/>
  <c r="BN111" i="3"/>
  <c r="BP111" i="3"/>
  <c r="BR111" i="3"/>
  <c r="BT111" i="3"/>
  <c r="BV111" i="3"/>
  <c r="BX111" i="3"/>
  <c r="BZ111" i="3"/>
  <c r="CB111" i="3"/>
  <c r="CD111" i="3"/>
  <c r="CF111" i="3"/>
  <c r="CH111" i="3"/>
  <c r="CJ111" i="3"/>
  <c r="CL111" i="3"/>
  <c r="CN111" i="3"/>
  <c r="CP111" i="3"/>
  <c r="CR111" i="3"/>
  <c r="CT111" i="3"/>
  <c r="CV111" i="3"/>
  <c r="CX111" i="3"/>
  <c r="CZ111" i="3"/>
  <c r="DB111" i="3"/>
  <c r="DD111" i="3"/>
  <c r="DF111" i="3"/>
  <c r="DH111" i="3"/>
  <c r="DJ111" i="3"/>
  <c r="DL111" i="3"/>
  <c r="DN111" i="3"/>
  <c r="DP111" i="3"/>
  <c r="DR111" i="3"/>
  <c r="DT111" i="3"/>
  <c r="DV111" i="3"/>
  <c r="DX111" i="3"/>
  <c r="DZ111" i="3"/>
  <c r="EB111" i="3"/>
  <c r="ED111" i="3"/>
  <c r="EF111" i="3"/>
  <c r="EH111" i="3"/>
  <c r="M112" i="3"/>
  <c r="O112" i="3"/>
  <c r="Q112" i="3"/>
  <c r="S112" i="3"/>
  <c r="U112" i="3"/>
  <c r="W112" i="3"/>
  <c r="Y112" i="3"/>
  <c r="AA112" i="3"/>
  <c r="AC112" i="3"/>
  <c r="AE112" i="3"/>
  <c r="AG112" i="3"/>
  <c r="AI112" i="3"/>
  <c r="AK112" i="3"/>
  <c r="AM112" i="3"/>
  <c r="AO112" i="3"/>
  <c r="AQ112" i="3"/>
  <c r="AS112" i="3"/>
  <c r="AU112" i="3"/>
  <c r="AW112" i="3"/>
  <c r="AY112" i="3"/>
  <c r="BA112" i="3"/>
  <c r="BC112" i="3"/>
  <c r="BE112" i="3"/>
  <c r="BG112" i="3"/>
  <c r="BI112" i="3"/>
  <c r="BK112" i="3"/>
  <c r="BM112" i="3"/>
  <c r="BO112" i="3"/>
  <c r="BQ112" i="3"/>
  <c r="BS112" i="3"/>
  <c r="BU112" i="3"/>
  <c r="BW112" i="3"/>
  <c r="BY112" i="3"/>
  <c r="CA112" i="3"/>
  <c r="CC112" i="3"/>
  <c r="CE112" i="3"/>
  <c r="CG112" i="3"/>
  <c r="CI112" i="3"/>
  <c r="CK112" i="3"/>
  <c r="CM112" i="3"/>
  <c r="CO112" i="3"/>
  <c r="CQ112" i="3"/>
  <c r="CS112" i="3"/>
  <c r="CU112" i="3"/>
  <c r="CW112" i="3"/>
  <c r="CY112" i="3"/>
  <c r="DA112" i="3"/>
  <c r="DC112" i="3"/>
  <c r="DE112" i="3"/>
  <c r="DG112" i="3"/>
  <c r="DI112" i="3"/>
  <c r="DK112" i="3"/>
  <c r="DM112" i="3"/>
  <c r="DO112" i="3"/>
  <c r="DQ112" i="3"/>
  <c r="DS112" i="3"/>
  <c r="DU112" i="3"/>
  <c r="DW112" i="3"/>
  <c r="DY112" i="3"/>
  <c r="EA112" i="3"/>
  <c r="EC112" i="3"/>
  <c r="EE112" i="3"/>
  <c r="EG112" i="3"/>
  <c r="EI112" i="3"/>
  <c r="L113" i="3"/>
  <c r="N113" i="3"/>
  <c r="P113" i="3"/>
  <c r="R113" i="3"/>
  <c r="T113" i="3"/>
  <c r="V113" i="3"/>
  <c r="X113" i="3"/>
  <c r="Z113" i="3"/>
  <c r="AB113" i="3"/>
  <c r="AD113" i="3"/>
  <c r="AF113" i="3"/>
  <c r="AH113" i="3"/>
  <c r="AJ113" i="3"/>
  <c r="AL113" i="3"/>
  <c r="AN113" i="3"/>
  <c r="AP113" i="3"/>
  <c r="AR113" i="3"/>
  <c r="AT113" i="3"/>
  <c r="AV113" i="3"/>
  <c r="AX113" i="3"/>
  <c r="AZ113" i="3"/>
  <c r="BB113" i="3"/>
  <c r="BD113" i="3"/>
  <c r="BF113" i="3"/>
  <c r="BH113" i="3"/>
  <c r="BJ113" i="3"/>
  <c r="BL113" i="3"/>
  <c r="BN113" i="3"/>
  <c r="BP113" i="3"/>
  <c r="BR113" i="3"/>
  <c r="BT113" i="3"/>
  <c r="BV113" i="3"/>
  <c r="BX113" i="3"/>
  <c r="BZ113" i="3"/>
  <c r="CB113" i="3"/>
  <c r="CD113" i="3"/>
  <c r="CF113" i="3"/>
  <c r="CH113" i="3"/>
  <c r="CJ113" i="3"/>
  <c r="CL113" i="3"/>
  <c r="CN113" i="3"/>
  <c r="CP113" i="3"/>
  <c r="CR113" i="3"/>
  <c r="CT113" i="3"/>
  <c r="CV113" i="3"/>
  <c r="CX113" i="3"/>
  <c r="CZ113" i="3"/>
  <c r="DB113" i="3"/>
  <c r="DD113" i="3"/>
  <c r="DF113" i="3"/>
  <c r="DH113" i="3"/>
  <c r="DJ113" i="3"/>
  <c r="DL113" i="3"/>
  <c r="DN113" i="3"/>
  <c r="DP113" i="3"/>
  <c r="DR113" i="3"/>
  <c r="DT113" i="3"/>
  <c r="DV113" i="3"/>
  <c r="DX113" i="3"/>
  <c r="DZ113" i="3"/>
  <c r="EB113" i="3"/>
  <c r="ED113" i="3"/>
  <c r="EF113" i="3"/>
  <c r="EH113" i="3"/>
  <c r="BY114" i="3"/>
  <c r="CA114" i="3"/>
  <c r="CC114" i="3"/>
  <c r="CE114" i="3"/>
  <c r="CG114" i="3"/>
  <c r="CI114" i="3"/>
  <c r="CK114" i="3"/>
  <c r="CM114" i="3"/>
  <c r="CO114" i="3"/>
  <c r="CQ114" i="3"/>
  <c r="CS114" i="3"/>
  <c r="CU114" i="3"/>
  <c r="CW114" i="3"/>
  <c r="CY114" i="3"/>
  <c r="DA114" i="3"/>
  <c r="DC114" i="3"/>
  <c r="DE114" i="3"/>
  <c r="DG114" i="3"/>
  <c r="DI114" i="3"/>
  <c r="DK114" i="3"/>
  <c r="DM114" i="3"/>
  <c r="DO114" i="3"/>
  <c r="DQ114" i="3"/>
  <c r="DS114" i="3"/>
  <c r="DU114" i="3"/>
  <c r="DW114" i="3"/>
  <c r="DY114" i="3"/>
  <c r="EA114" i="3"/>
  <c r="EC114" i="3"/>
  <c r="EE114" i="3"/>
  <c r="EG114" i="3"/>
  <c r="EI114" i="3"/>
  <c r="V115" i="3"/>
  <c r="X115" i="3"/>
  <c r="Z115" i="3"/>
  <c r="AB115" i="3"/>
  <c r="AD115" i="3"/>
  <c r="AF115" i="3"/>
  <c r="AH115" i="3"/>
  <c r="AJ115" i="3"/>
  <c r="AL115" i="3"/>
  <c r="AN115" i="3"/>
  <c r="AP115" i="3"/>
  <c r="AR115" i="3"/>
  <c r="AT115" i="3"/>
  <c r="AV115" i="3"/>
  <c r="AX115" i="3"/>
  <c r="AZ115" i="3"/>
  <c r="BB115" i="3"/>
  <c r="BD115" i="3"/>
  <c r="BF115" i="3"/>
  <c r="BH115" i="3"/>
  <c r="BJ115" i="3"/>
  <c r="BL115" i="3"/>
  <c r="BN115" i="3"/>
  <c r="BP115" i="3"/>
  <c r="BR115" i="3"/>
  <c r="BT115" i="3"/>
  <c r="BV115" i="3"/>
  <c r="BX115" i="3"/>
  <c r="BZ115" i="3"/>
  <c r="CB115" i="3"/>
  <c r="CD115" i="3"/>
  <c r="CF115" i="3"/>
  <c r="CH115" i="3"/>
  <c r="CJ115" i="3"/>
  <c r="CL115" i="3"/>
  <c r="CN115" i="3"/>
  <c r="CP115" i="3"/>
  <c r="CR115" i="3"/>
  <c r="CT115" i="3"/>
  <c r="CV115" i="3"/>
  <c r="CX115" i="3"/>
  <c r="CZ115" i="3"/>
  <c r="DB115" i="3"/>
  <c r="DD115" i="3"/>
  <c r="DF115" i="3"/>
  <c r="DH115" i="3"/>
  <c r="DJ115" i="3"/>
  <c r="DL115" i="3"/>
  <c r="DN115" i="3"/>
  <c r="DP115" i="3"/>
  <c r="DR115" i="3"/>
  <c r="DT115" i="3"/>
  <c r="DV115" i="3"/>
  <c r="DX115" i="3"/>
  <c r="DZ115" i="3"/>
  <c r="EB115" i="3"/>
  <c r="ED115" i="3"/>
  <c r="EF115" i="3"/>
  <c r="EH115" i="3"/>
  <c r="L116" i="3"/>
  <c r="N116" i="3"/>
  <c r="P116" i="3"/>
  <c r="R116" i="3"/>
  <c r="T116" i="3"/>
  <c r="V116" i="3"/>
  <c r="X116" i="3"/>
  <c r="Z116" i="3"/>
  <c r="AB116" i="3"/>
  <c r="AD116" i="3"/>
  <c r="AF116" i="3"/>
  <c r="AH116" i="3"/>
  <c r="AJ116" i="3"/>
  <c r="AL116" i="3"/>
  <c r="AN116" i="3"/>
  <c r="AP116" i="3"/>
  <c r="AR116" i="3"/>
  <c r="AT116" i="3"/>
  <c r="AV116" i="3"/>
  <c r="AX116" i="3"/>
  <c r="AZ116" i="3"/>
  <c r="BB116" i="3"/>
  <c r="BD116" i="3"/>
  <c r="BF116" i="3"/>
  <c r="BH116" i="3"/>
  <c r="BJ116" i="3"/>
  <c r="BL116" i="3"/>
  <c r="BN116" i="3"/>
  <c r="BP116" i="3"/>
  <c r="BR116" i="3"/>
  <c r="BT116" i="3"/>
  <c r="BV116" i="3"/>
  <c r="BX116" i="3"/>
  <c r="BZ116" i="3"/>
  <c r="CB116" i="3"/>
  <c r="CD116" i="3"/>
  <c r="CF116" i="3"/>
  <c r="CH116" i="3"/>
  <c r="CJ116" i="3"/>
  <c r="CL116" i="3"/>
  <c r="CN116" i="3"/>
  <c r="CP116" i="3"/>
  <c r="CR116" i="3"/>
  <c r="CT116" i="3"/>
  <c r="CV116" i="3"/>
  <c r="CX116" i="3"/>
  <c r="CZ116" i="3"/>
  <c r="DB116" i="3"/>
  <c r="DD116" i="3"/>
  <c r="DF116" i="3"/>
  <c r="DH116" i="3"/>
  <c r="DJ116" i="3"/>
  <c r="DL116" i="3"/>
  <c r="DN116" i="3"/>
  <c r="DP116" i="3"/>
  <c r="DR116" i="3"/>
  <c r="DT116" i="3"/>
  <c r="DV116" i="3"/>
  <c r="DX116" i="3"/>
  <c r="DZ116" i="3"/>
  <c r="EB116" i="3"/>
  <c r="ED116" i="3"/>
  <c r="EF116" i="3"/>
  <c r="EH116" i="3"/>
  <c r="K117" i="3"/>
  <c r="M117" i="3"/>
  <c r="O117" i="3"/>
  <c r="Q117" i="3"/>
  <c r="S117" i="3"/>
  <c r="U117" i="3"/>
  <c r="W117" i="3"/>
  <c r="Y117" i="3"/>
  <c r="AA117" i="3"/>
  <c r="AC117" i="3"/>
  <c r="AE117" i="3"/>
  <c r="AG117" i="3"/>
  <c r="AI117" i="3"/>
  <c r="AK117" i="3"/>
  <c r="AM117" i="3"/>
  <c r="AO117" i="3"/>
  <c r="AQ117" i="3"/>
  <c r="AS117" i="3"/>
  <c r="AU117" i="3"/>
  <c r="AW117" i="3"/>
  <c r="AY117" i="3"/>
  <c r="BA117" i="3"/>
  <c r="BC117" i="3"/>
  <c r="BE117" i="3"/>
  <c r="BG117" i="3"/>
  <c r="BI117" i="3"/>
  <c r="BK117" i="3"/>
  <c r="BM117" i="3"/>
  <c r="BO117" i="3"/>
  <c r="BQ117" i="3"/>
  <c r="BS117" i="3"/>
  <c r="BU117" i="3"/>
  <c r="BW117" i="3"/>
  <c r="BY117" i="3"/>
  <c r="CA117" i="3"/>
  <c r="CC117" i="3"/>
  <c r="CE117" i="3"/>
  <c r="CG117" i="3"/>
  <c r="CI117" i="3"/>
  <c r="CK117" i="3"/>
  <c r="CM117" i="3"/>
  <c r="CO117" i="3"/>
  <c r="CQ117" i="3"/>
  <c r="CS117" i="3"/>
  <c r="CU117" i="3"/>
  <c r="CW117" i="3"/>
  <c r="CY117" i="3"/>
  <c r="DA117" i="3"/>
  <c r="DC117" i="3"/>
  <c r="DE117" i="3"/>
  <c r="DG117" i="3"/>
  <c r="DI117" i="3"/>
  <c r="DK117" i="3"/>
  <c r="DM117" i="3"/>
  <c r="DO117" i="3"/>
  <c r="DQ117" i="3"/>
  <c r="DS117" i="3"/>
  <c r="DU117" i="3"/>
  <c r="DW117" i="3"/>
  <c r="DY117" i="3"/>
  <c r="EA117" i="3"/>
  <c r="EC117" i="3"/>
  <c r="EE117" i="3"/>
  <c r="EG117" i="3"/>
  <c r="EI117" i="3"/>
  <c r="N118" i="3"/>
  <c r="P118" i="3"/>
  <c r="R118" i="3"/>
  <c r="T118" i="3"/>
  <c r="V118" i="3"/>
  <c r="X118" i="3"/>
  <c r="Z118" i="3"/>
  <c r="AB118" i="3"/>
  <c r="AD118" i="3"/>
  <c r="AF118" i="3"/>
  <c r="AH118" i="3"/>
  <c r="AJ118" i="3"/>
  <c r="AL118" i="3"/>
  <c r="AN118" i="3"/>
  <c r="AP118" i="3"/>
  <c r="AR118" i="3"/>
  <c r="AT118" i="3"/>
  <c r="AV118" i="3"/>
  <c r="AX118" i="3"/>
  <c r="AZ118" i="3"/>
  <c r="BB118" i="3"/>
  <c r="BD118" i="3"/>
  <c r="BF118" i="3"/>
  <c r="BH118" i="3"/>
  <c r="BJ118" i="3"/>
  <c r="BL118" i="3"/>
  <c r="BN118" i="3"/>
  <c r="BP118" i="3"/>
  <c r="BR118" i="3"/>
  <c r="BT118" i="3"/>
  <c r="BV118" i="3"/>
  <c r="BX118" i="3"/>
  <c r="BZ118" i="3"/>
  <c r="CB118" i="3"/>
  <c r="CD118" i="3"/>
  <c r="CF118" i="3"/>
  <c r="CH118" i="3"/>
  <c r="CJ118" i="3"/>
  <c r="CL118" i="3"/>
  <c r="CN118" i="3"/>
  <c r="CP118" i="3"/>
  <c r="CR118" i="3"/>
  <c r="CT118" i="3"/>
  <c r="CV118" i="3"/>
  <c r="CX118" i="3"/>
  <c r="CZ118" i="3"/>
  <c r="DB118" i="3"/>
  <c r="DD118" i="3"/>
  <c r="DF118" i="3"/>
  <c r="DH118" i="3"/>
  <c r="DJ118" i="3"/>
  <c r="DL118" i="3"/>
  <c r="DN118" i="3"/>
  <c r="DP118" i="3"/>
  <c r="DR118" i="3"/>
  <c r="DT118" i="3"/>
  <c r="DV118" i="3"/>
  <c r="DX118" i="3"/>
  <c r="DZ118" i="3"/>
  <c r="EB118" i="3"/>
  <c r="ED118" i="3"/>
  <c r="EF118" i="3"/>
  <c r="EH118" i="3"/>
  <c r="R119" i="3"/>
  <c r="T119" i="3"/>
  <c r="V119" i="3"/>
  <c r="X119" i="3"/>
  <c r="Z119" i="3"/>
  <c r="AB119" i="3"/>
  <c r="AD119" i="3"/>
  <c r="AF119" i="3"/>
  <c r="AH119" i="3"/>
  <c r="AJ119" i="3"/>
  <c r="AL119" i="3"/>
  <c r="AN119" i="3"/>
  <c r="AP119" i="3"/>
  <c r="AR119" i="3"/>
  <c r="AT119" i="3"/>
  <c r="AV119" i="3"/>
  <c r="AX119" i="3"/>
  <c r="AZ119" i="3"/>
  <c r="BB119" i="3"/>
  <c r="BD119" i="3"/>
  <c r="BF119" i="3"/>
  <c r="BH119" i="3"/>
  <c r="BJ119" i="3"/>
  <c r="BL119" i="3"/>
  <c r="BN119" i="3"/>
  <c r="BP119" i="3"/>
  <c r="BR119" i="3"/>
  <c r="BT119" i="3"/>
  <c r="BV119" i="3"/>
  <c r="BX119" i="3"/>
  <c r="BZ119" i="3"/>
  <c r="CB119" i="3"/>
  <c r="CD119" i="3"/>
  <c r="CF119" i="3"/>
  <c r="CH119" i="3"/>
  <c r="CJ119" i="3"/>
  <c r="CL119" i="3"/>
  <c r="CN119" i="3"/>
  <c r="CP119" i="3"/>
  <c r="CR119" i="3"/>
  <c r="CT119" i="3"/>
  <c r="CV119" i="3"/>
  <c r="CX119" i="3"/>
  <c r="CZ119" i="3"/>
  <c r="DB119" i="3"/>
  <c r="DD119" i="3"/>
  <c r="DF119" i="3"/>
  <c r="DH119" i="3"/>
  <c r="DJ119" i="3"/>
  <c r="DL119" i="3"/>
  <c r="DN119" i="3"/>
  <c r="DP119" i="3"/>
  <c r="DR119" i="3"/>
  <c r="DT119" i="3"/>
  <c r="DV119" i="3"/>
  <c r="DX119" i="3"/>
  <c r="DZ119" i="3"/>
  <c r="EB119" i="3"/>
  <c r="ED119" i="3"/>
  <c r="EF119" i="3"/>
  <c r="EH119" i="3"/>
  <c r="M120" i="3"/>
  <c r="O120" i="3"/>
  <c r="Q120" i="3"/>
  <c r="S120" i="3"/>
  <c r="U120" i="3"/>
  <c r="W120" i="3"/>
  <c r="Y120" i="3"/>
  <c r="AA120" i="3"/>
  <c r="AC120" i="3"/>
  <c r="AE120" i="3"/>
  <c r="AG120" i="3"/>
  <c r="AI120" i="3"/>
  <c r="AK120" i="3"/>
  <c r="AM120" i="3"/>
  <c r="AO120" i="3"/>
  <c r="AQ120" i="3"/>
  <c r="AS120" i="3"/>
  <c r="AU120" i="3"/>
  <c r="AW120" i="3"/>
  <c r="AY120" i="3"/>
  <c r="BA120" i="3"/>
  <c r="BC120" i="3"/>
  <c r="BE120" i="3"/>
  <c r="BG120" i="3"/>
  <c r="BI120" i="3"/>
  <c r="BK120" i="3"/>
  <c r="BM120" i="3"/>
  <c r="BO120" i="3"/>
  <c r="BQ120" i="3"/>
  <c r="BS120" i="3"/>
  <c r="BU120" i="3"/>
  <c r="BW120" i="3"/>
  <c r="BY120" i="3"/>
  <c r="CA120" i="3"/>
  <c r="CC120" i="3"/>
  <c r="CE120" i="3"/>
  <c r="CG120" i="3"/>
  <c r="CI120" i="3"/>
  <c r="CK120" i="3"/>
  <c r="CM120" i="3"/>
  <c r="CO120" i="3"/>
  <c r="CQ120" i="3"/>
  <c r="CS120" i="3"/>
  <c r="CU120" i="3"/>
  <c r="CW120" i="3"/>
  <c r="CY120" i="3"/>
  <c r="DA120" i="3"/>
  <c r="DC120" i="3"/>
  <c r="DE120" i="3"/>
  <c r="DG120" i="3"/>
  <c r="DI120" i="3"/>
  <c r="DK120" i="3"/>
  <c r="DM120" i="3"/>
  <c r="DO120" i="3"/>
  <c r="DQ120" i="3"/>
  <c r="DS120" i="3"/>
  <c r="DU120" i="3"/>
  <c r="DW120" i="3"/>
  <c r="DY120" i="3"/>
  <c r="EA120" i="3"/>
  <c r="EC120" i="3"/>
  <c r="EE120" i="3"/>
  <c r="EG120" i="3"/>
  <c r="EI120" i="3"/>
  <c r="O121" i="3"/>
  <c r="Q121" i="3"/>
  <c r="S121" i="3"/>
  <c r="U121" i="3"/>
  <c r="W121" i="3"/>
  <c r="Y121" i="3"/>
  <c r="AA121" i="3"/>
  <c r="AC121" i="3"/>
  <c r="AE121" i="3"/>
  <c r="AG121" i="3"/>
  <c r="AI121" i="3"/>
  <c r="AK121" i="3"/>
  <c r="AM121" i="3"/>
  <c r="AO121" i="3"/>
  <c r="AQ121" i="3"/>
  <c r="AS121" i="3"/>
  <c r="AU121" i="3"/>
  <c r="AW121" i="3"/>
  <c r="AY121" i="3"/>
  <c r="BA121" i="3"/>
  <c r="BC121" i="3"/>
  <c r="BE121" i="3"/>
  <c r="BG121" i="3"/>
  <c r="BI121" i="3"/>
  <c r="BK121" i="3"/>
  <c r="BM121" i="3"/>
  <c r="BO121" i="3"/>
  <c r="BQ121" i="3"/>
  <c r="BS121" i="3"/>
  <c r="BU121" i="3"/>
  <c r="BW121" i="3"/>
  <c r="BY121" i="3"/>
  <c r="CA121" i="3"/>
  <c r="CC121" i="3"/>
  <c r="CE121" i="3"/>
  <c r="CG121" i="3"/>
  <c r="CI121" i="3"/>
  <c r="CK121" i="3"/>
  <c r="CM121" i="3"/>
  <c r="CO121" i="3"/>
  <c r="CQ121" i="3"/>
  <c r="CS121" i="3"/>
  <c r="CU121" i="3"/>
  <c r="CW121" i="3"/>
  <c r="CY121" i="3"/>
  <c r="DA121" i="3"/>
  <c r="DC121" i="3"/>
  <c r="DE121" i="3"/>
  <c r="DG121" i="3"/>
  <c r="DI121" i="3"/>
  <c r="DK121" i="3"/>
  <c r="DM121" i="3"/>
  <c r="DO121" i="3"/>
  <c r="DQ121" i="3"/>
  <c r="DS121" i="3"/>
  <c r="DU121" i="3"/>
  <c r="DW121" i="3"/>
  <c r="DY121" i="3"/>
  <c r="EA121" i="3"/>
  <c r="EC121" i="3"/>
  <c r="EE121" i="3"/>
  <c r="EG121" i="3"/>
  <c r="EI121" i="3"/>
  <c r="L122" i="3"/>
  <c r="N122" i="3"/>
  <c r="P122" i="3"/>
  <c r="R122" i="3"/>
  <c r="T122" i="3"/>
  <c r="V122" i="3"/>
  <c r="X122" i="3"/>
  <c r="Z122" i="3"/>
  <c r="AB122" i="3"/>
  <c r="AD122" i="3"/>
  <c r="AF122" i="3"/>
  <c r="AH122" i="3"/>
  <c r="AJ122" i="3"/>
  <c r="AL122" i="3"/>
  <c r="AN122" i="3"/>
  <c r="AP122" i="3"/>
  <c r="AR122" i="3"/>
  <c r="AT122" i="3"/>
  <c r="AV122" i="3"/>
  <c r="AX122" i="3"/>
  <c r="AZ122" i="3"/>
  <c r="BB122" i="3"/>
  <c r="BD122" i="3"/>
  <c r="BF122" i="3"/>
  <c r="BH122" i="3"/>
  <c r="BJ122" i="3"/>
  <c r="BL122" i="3"/>
  <c r="BN122" i="3"/>
  <c r="BP122" i="3"/>
  <c r="BR122" i="3"/>
  <c r="BT122" i="3"/>
  <c r="BV122" i="3"/>
  <c r="BX122" i="3"/>
  <c r="BZ122" i="3"/>
  <c r="CB122" i="3"/>
  <c r="CD122" i="3"/>
  <c r="CF122" i="3"/>
  <c r="CH122" i="3"/>
  <c r="CJ122" i="3"/>
  <c r="CL122" i="3"/>
  <c r="CN122" i="3"/>
  <c r="CP122" i="3"/>
  <c r="CR122" i="3"/>
  <c r="CT122" i="3"/>
  <c r="CV122" i="3"/>
  <c r="CX122" i="3"/>
  <c r="CZ122" i="3"/>
  <c r="DB122" i="3"/>
  <c r="DD122" i="3"/>
  <c r="DF122" i="3"/>
  <c r="DH122" i="3"/>
  <c r="DJ122" i="3"/>
  <c r="DL122" i="3"/>
  <c r="DN122" i="3"/>
  <c r="DP122" i="3"/>
  <c r="DR122" i="3"/>
  <c r="DT122" i="3"/>
  <c r="DV122" i="3"/>
  <c r="DX122" i="3"/>
  <c r="DZ122" i="3"/>
  <c r="EB122" i="3"/>
  <c r="ED122" i="3"/>
  <c r="EF122" i="3"/>
  <c r="EH122" i="3"/>
  <c r="K123" i="3"/>
  <c r="M123" i="3"/>
  <c r="O123" i="3"/>
  <c r="Q123" i="3"/>
  <c r="S123" i="3"/>
  <c r="U123" i="3"/>
  <c r="W123" i="3"/>
  <c r="Y123" i="3"/>
  <c r="AA123" i="3"/>
  <c r="AC123" i="3"/>
  <c r="AE123" i="3"/>
  <c r="AG123" i="3"/>
  <c r="AI123" i="3"/>
  <c r="AK123" i="3"/>
  <c r="AM123" i="3"/>
  <c r="AO123" i="3"/>
  <c r="AQ123" i="3"/>
  <c r="AS123" i="3"/>
  <c r="AU123" i="3"/>
  <c r="AW123" i="3"/>
  <c r="AY123" i="3"/>
  <c r="BA123" i="3"/>
  <c r="BC123" i="3"/>
  <c r="BE123" i="3"/>
  <c r="BG123" i="3"/>
  <c r="BI123" i="3"/>
  <c r="BK123" i="3"/>
  <c r="BM123" i="3"/>
  <c r="BO123" i="3"/>
  <c r="BQ123" i="3"/>
  <c r="BS123" i="3"/>
  <c r="BU123" i="3"/>
  <c r="BW123" i="3"/>
  <c r="BY123" i="3"/>
  <c r="CA123" i="3"/>
  <c r="CC123" i="3"/>
  <c r="CE123" i="3"/>
  <c r="CG123" i="3"/>
  <c r="CI123" i="3"/>
  <c r="CK123" i="3"/>
  <c r="CM123" i="3"/>
  <c r="CO123" i="3"/>
  <c r="CQ123" i="3"/>
  <c r="CS123" i="3"/>
  <c r="CU123" i="3"/>
  <c r="CW123" i="3"/>
  <c r="CY123" i="3"/>
  <c r="DA123" i="3"/>
  <c r="DC123" i="3"/>
  <c r="DE123" i="3"/>
  <c r="DG123" i="3"/>
  <c r="DI123" i="3"/>
  <c r="DK123" i="3"/>
  <c r="DM123" i="3"/>
  <c r="DO123" i="3"/>
  <c r="DQ123" i="3"/>
  <c r="DS123" i="3"/>
  <c r="DU123" i="3"/>
  <c r="DW123" i="3"/>
  <c r="DY123" i="3"/>
  <c r="EA123" i="3"/>
  <c r="EC123" i="3"/>
  <c r="EE123" i="3"/>
  <c r="EG123" i="3"/>
  <c r="EI123" i="3"/>
  <c r="L124" i="3"/>
  <c r="N124" i="3"/>
  <c r="P124" i="3"/>
  <c r="R124" i="3"/>
  <c r="T124" i="3"/>
  <c r="V124" i="3"/>
  <c r="X124" i="3"/>
  <c r="Z124" i="3"/>
  <c r="AB124" i="3"/>
  <c r="AD124" i="3"/>
  <c r="AF124" i="3"/>
  <c r="AH124" i="3"/>
  <c r="AJ124" i="3"/>
  <c r="AL124" i="3"/>
  <c r="AN124" i="3"/>
  <c r="AP124" i="3"/>
  <c r="AR124" i="3"/>
  <c r="AT124" i="3"/>
  <c r="AV124" i="3"/>
  <c r="AX124" i="3"/>
  <c r="AZ124" i="3"/>
  <c r="BB124" i="3"/>
  <c r="BD124" i="3"/>
  <c r="BF124" i="3"/>
  <c r="BH124" i="3"/>
  <c r="BJ124" i="3"/>
  <c r="BL124" i="3"/>
  <c r="BN124" i="3"/>
  <c r="BP124" i="3"/>
  <c r="BR124" i="3"/>
  <c r="BT124" i="3"/>
  <c r="BV124" i="3"/>
  <c r="BX124" i="3"/>
  <c r="BZ124" i="3"/>
  <c r="CB124" i="3"/>
  <c r="CD124" i="3"/>
  <c r="CF124" i="3"/>
  <c r="CH124" i="3"/>
  <c r="CJ124" i="3"/>
  <c r="CL124" i="3"/>
  <c r="CN124" i="3"/>
  <c r="CP124" i="3"/>
  <c r="CR124" i="3"/>
  <c r="CT124" i="3"/>
  <c r="CV124" i="3"/>
  <c r="CX124" i="3"/>
  <c r="CZ124" i="3"/>
  <c r="DB124" i="3"/>
  <c r="DD124" i="3"/>
  <c r="DF124" i="3"/>
  <c r="DH124" i="3"/>
  <c r="DJ124" i="3"/>
  <c r="DL124" i="3"/>
  <c r="DN124" i="3"/>
  <c r="DP124" i="3"/>
  <c r="DR124" i="3"/>
  <c r="DT124" i="3"/>
  <c r="DV124" i="3"/>
  <c r="DX124" i="3"/>
  <c r="DZ124" i="3"/>
  <c r="EB124" i="3"/>
  <c r="ED124" i="3"/>
  <c r="EF124" i="3"/>
  <c r="EH124" i="3"/>
  <c r="K125" i="3"/>
  <c r="M125" i="3"/>
  <c r="O125" i="3"/>
  <c r="Q125" i="3"/>
  <c r="S125" i="3"/>
  <c r="U125" i="3"/>
  <c r="W125" i="3"/>
  <c r="Y125" i="3"/>
  <c r="AA125" i="3"/>
  <c r="AC125" i="3"/>
  <c r="AE125" i="3"/>
  <c r="AG125" i="3"/>
  <c r="AI125" i="3"/>
  <c r="AK125" i="3"/>
  <c r="AM125" i="3"/>
  <c r="AO125" i="3"/>
  <c r="AQ125" i="3"/>
  <c r="AS125" i="3"/>
  <c r="AU125" i="3"/>
  <c r="AW125" i="3"/>
  <c r="AY125" i="3"/>
  <c r="BA125" i="3"/>
  <c r="BC125" i="3"/>
  <c r="BE125" i="3"/>
  <c r="BG125" i="3"/>
  <c r="BI125" i="3"/>
  <c r="BK125" i="3"/>
  <c r="BM125" i="3"/>
  <c r="BO125" i="3"/>
  <c r="BQ125" i="3"/>
  <c r="BS125" i="3"/>
  <c r="BU125" i="3"/>
  <c r="BW125" i="3"/>
  <c r="BY125" i="3"/>
  <c r="CA125" i="3"/>
  <c r="CC125" i="3"/>
  <c r="CE125" i="3"/>
  <c r="CG125" i="3"/>
  <c r="CI125" i="3"/>
  <c r="CK125" i="3"/>
  <c r="CM125" i="3"/>
  <c r="CO125" i="3"/>
  <c r="CQ125" i="3"/>
  <c r="CS125" i="3"/>
  <c r="CU125" i="3"/>
  <c r="CW125" i="3"/>
  <c r="CY125" i="3"/>
  <c r="DA125" i="3"/>
  <c r="DC125" i="3"/>
  <c r="DE125" i="3"/>
  <c r="DG125" i="3"/>
  <c r="DI125" i="3"/>
  <c r="DK125" i="3"/>
  <c r="DM125" i="3"/>
  <c r="DO125" i="3"/>
  <c r="DQ125" i="3"/>
  <c r="DS125" i="3"/>
  <c r="DU125" i="3"/>
  <c r="DW125" i="3"/>
  <c r="DY125" i="3"/>
  <c r="EA125" i="3"/>
  <c r="EC125" i="3"/>
  <c r="EE125" i="3"/>
  <c r="EG125" i="3"/>
  <c r="EI125" i="3"/>
  <c r="L126" i="3"/>
  <c r="N126" i="3"/>
  <c r="P126" i="3"/>
  <c r="R126" i="3"/>
  <c r="T126" i="3"/>
  <c r="V126" i="3"/>
  <c r="X126" i="3"/>
  <c r="Z126" i="3"/>
  <c r="AB126" i="3"/>
  <c r="AD126" i="3"/>
  <c r="AF126" i="3"/>
  <c r="AH126" i="3"/>
  <c r="AJ126" i="3"/>
  <c r="AL126" i="3"/>
  <c r="AN126" i="3"/>
  <c r="AP126" i="3"/>
  <c r="AR126" i="3"/>
  <c r="AT126" i="3"/>
  <c r="AV126" i="3"/>
  <c r="AX126" i="3"/>
  <c r="AZ126" i="3"/>
  <c r="BB126" i="3"/>
  <c r="BD126" i="3"/>
  <c r="BF126" i="3"/>
  <c r="BH126" i="3"/>
  <c r="BJ126" i="3"/>
  <c r="BL126" i="3"/>
  <c r="BN126" i="3"/>
  <c r="BP126" i="3"/>
  <c r="BR126" i="3"/>
  <c r="BT126" i="3"/>
  <c r="BV126" i="3"/>
  <c r="BX126" i="3"/>
  <c r="BZ126" i="3"/>
  <c r="CB126" i="3"/>
  <c r="CD126" i="3"/>
  <c r="CF126" i="3"/>
  <c r="CH126" i="3"/>
  <c r="CJ126" i="3"/>
  <c r="CL126" i="3"/>
  <c r="CN126" i="3"/>
  <c r="CP126" i="3"/>
  <c r="CR126" i="3"/>
  <c r="CT126" i="3"/>
  <c r="CV126" i="3"/>
  <c r="CX126" i="3"/>
  <c r="CZ126" i="3"/>
  <c r="DB126" i="3"/>
  <c r="DD126" i="3"/>
  <c r="DF126" i="3"/>
  <c r="DH126" i="3"/>
  <c r="DJ126" i="3"/>
  <c r="DL126" i="3"/>
  <c r="DN126" i="3"/>
  <c r="DP126" i="3"/>
  <c r="DR126" i="3"/>
  <c r="DT126" i="3"/>
  <c r="DV126" i="3"/>
  <c r="DX126" i="3"/>
  <c r="DZ126" i="3"/>
  <c r="EB126" i="3"/>
  <c r="ED126" i="3"/>
  <c r="EF126" i="3"/>
  <c r="EH126" i="3"/>
  <c r="K127" i="3"/>
  <c r="M127" i="3"/>
  <c r="O127" i="3"/>
  <c r="Q127" i="3"/>
  <c r="S127" i="3"/>
  <c r="U127" i="3"/>
  <c r="W127" i="3"/>
  <c r="Y127" i="3"/>
  <c r="AA127" i="3"/>
  <c r="AC127" i="3"/>
  <c r="AE127" i="3"/>
  <c r="AG127" i="3"/>
  <c r="AI127" i="3"/>
  <c r="AK127" i="3"/>
  <c r="AM127" i="3"/>
  <c r="AO127" i="3"/>
  <c r="AQ127" i="3"/>
  <c r="AS127" i="3"/>
  <c r="AU127" i="3"/>
  <c r="AW127" i="3"/>
  <c r="AY127" i="3"/>
  <c r="BA127" i="3"/>
  <c r="BC127" i="3"/>
  <c r="BE127" i="3"/>
  <c r="BG127" i="3"/>
  <c r="BI127" i="3"/>
  <c r="BK127" i="3"/>
  <c r="BM127" i="3"/>
  <c r="BO127" i="3"/>
  <c r="BQ127" i="3"/>
  <c r="BS127" i="3"/>
  <c r="BU127" i="3"/>
  <c r="BW127" i="3"/>
  <c r="BY127" i="3"/>
  <c r="CA127" i="3"/>
  <c r="CC127" i="3"/>
  <c r="CE127" i="3"/>
  <c r="CG127" i="3"/>
  <c r="CI127" i="3"/>
  <c r="CK127" i="3"/>
  <c r="CM127" i="3"/>
  <c r="CO127" i="3"/>
  <c r="CQ127" i="3"/>
  <c r="CS127" i="3"/>
  <c r="CU127" i="3"/>
  <c r="CW127" i="3"/>
  <c r="CY127" i="3"/>
  <c r="DA127" i="3"/>
  <c r="DC127" i="3"/>
  <c r="DE127" i="3"/>
  <c r="DG127" i="3"/>
  <c r="DI127" i="3"/>
  <c r="DK127" i="3"/>
  <c r="DM127" i="3"/>
  <c r="DO127" i="3"/>
  <c r="DQ127" i="3"/>
  <c r="DS127" i="3"/>
  <c r="DU127" i="3"/>
  <c r="DW127" i="3"/>
  <c r="DY127" i="3"/>
  <c r="EA127" i="3"/>
  <c r="EC127" i="3"/>
  <c r="EE127" i="3"/>
  <c r="EG127" i="3"/>
  <c r="EI127" i="3"/>
  <c r="BM128" i="3"/>
  <c r="BO128" i="3"/>
  <c r="BQ128" i="3"/>
  <c r="BS128" i="3"/>
  <c r="BU128" i="3"/>
  <c r="BW128" i="3"/>
  <c r="BY128" i="3"/>
  <c r="CA128" i="3"/>
  <c r="CC128" i="3"/>
  <c r="CE128" i="3"/>
  <c r="CG128" i="3"/>
  <c r="CI128" i="3"/>
  <c r="CK128" i="3"/>
  <c r="CM128" i="3"/>
  <c r="CO128" i="3"/>
  <c r="CQ128" i="3"/>
  <c r="CS128" i="3"/>
  <c r="CU128" i="3"/>
  <c r="CW128" i="3"/>
  <c r="CY128" i="3"/>
  <c r="DA128" i="3"/>
  <c r="DC128" i="3"/>
  <c r="DE128" i="3"/>
  <c r="DG128" i="3"/>
  <c r="DI128" i="3"/>
  <c r="DK128" i="3"/>
  <c r="DM128" i="3"/>
  <c r="DO128" i="3"/>
  <c r="DQ128" i="3"/>
  <c r="DS128" i="3"/>
  <c r="DU128" i="3"/>
  <c r="DW128" i="3"/>
  <c r="DY128" i="3"/>
  <c r="EA128" i="3"/>
  <c r="EC128" i="3"/>
  <c r="EE128" i="3"/>
  <c r="EG128" i="3"/>
  <c r="EI128" i="3"/>
  <c r="M129" i="3"/>
  <c r="O129" i="3"/>
  <c r="Q129" i="3"/>
  <c r="S129" i="3"/>
  <c r="U129" i="3"/>
  <c r="W129" i="3"/>
  <c r="Y129" i="3"/>
  <c r="AA129" i="3"/>
  <c r="AC129" i="3"/>
  <c r="AE129" i="3"/>
  <c r="AG129" i="3"/>
  <c r="AI129" i="3"/>
  <c r="AK129" i="3"/>
  <c r="AM129" i="3"/>
  <c r="AO129" i="3"/>
  <c r="AQ129" i="3"/>
  <c r="AS129" i="3"/>
  <c r="AU129" i="3"/>
  <c r="AW129" i="3"/>
  <c r="AY129" i="3"/>
  <c r="BA129" i="3"/>
  <c r="BC129" i="3"/>
  <c r="BE129" i="3"/>
  <c r="BG129" i="3"/>
  <c r="BI129" i="3"/>
  <c r="BK129" i="3"/>
  <c r="BM129" i="3"/>
  <c r="BO129" i="3"/>
  <c r="BQ129" i="3"/>
  <c r="BS129" i="3"/>
  <c r="BU129" i="3"/>
  <c r="BW129" i="3"/>
  <c r="BY129" i="3"/>
  <c r="CA129" i="3"/>
  <c r="CC129" i="3"/>
  <c r="CE129" i="3"/>
  <c r="CG129" i="3"/>
  <c r="CI129" i="3"/>
  <c r="CK129" i="3"/>
  <c r="CM129" i="3"/>
  <c r="CO129" i="3"/>
  <c r="CQ129" i="3"/>
  <c r="CS129" i="3"/>
  <c r="CU129" i="3"/>
  <c r="CW129" i="3"/>
  <c r="CY129" i="3"/>
  <c r="DA129" i="3"/>
  <c r="DC129" i="3"/>
  <c r="DE129" i="3"/>
  <c r="DG129" i="3"/>
  <c r="DI129" i="3"/>
  <c r="DK129" i="3"/>
  <c r="DM129" i="3"/>
  <c r="DO129" i="3"/>
  <c r="DQ129" i="3"/>
  <c r="DS129" i="3"/>
  <c r="DU129" i="3"/>
  <c r="DW129" i="3"/>
  <c r="DY129" i="3"/>
  <c r="EA129" i="3"/>
  <c r="EC129" i="3"/>
  <c r="EE129" i="3"/>
  <c r="EG129" i="3"/>
  <c r="EI129" i="3"/>
  <c r="M130" i="3"/>
  <c r="O130" i="3"/>
  <c r="Q130" i="3"/>
  <c r="S130" i="3"/>
  <c r="U130" i="3"/>
  <c r="W130" i="3"/>
  <c r="Y130" i="3"/>
  <c r="AA130" i="3"/>
  <c r="AC130" i="3"/>
  <c r="AE130" i="3"/>
  <c r="AG130" i="3"/>
  <c r="AI130" i="3"/>
  <c r="AK130" i="3"/>
  <c r="AM130" i="3"/>
  <c r="AO130" i="3"/>
  <c r="AQ130" i="3"/>
  <c r="AS130" i="3"/>
  <c r="AU130" i="3"/>
  <c r="AW130" i="3"/>
  <c r="AY130" i="3"/>
  <c r="BA130" i="3"/>
  <c r="BC130" i="3"/>
  <c r="BE130" i="3"/>
  <c r="BG130" i="3"/>
  <c r="BI130" i="3"/>
  <c r="BK130" i="3"/>
  <c r="BM130" i="3"/>
  <c r="BO130" i="3"/>
  <c r="BQ130" i="3"/>
  <c r="BS130" i="3"/>
  <c r="BU130" i="3"/>
  <c r="BW130" i="3"/>
  <c r="BY130" i="3"/>
  <c r="CA130" i="3"/>
  <c r="CC130" i="3"/>
  <c r="CE130" i="3"/>
  <c r="CG130" i="3"/>
  <c r="CI130" i="3"/>
  <c r="CK130" i="3"/>
  <c r="CM130" i="3"/>
  <c r="CO130" i="3"/>
  <c r="CQ130" i="3"/>
  <c r="CS130" i="3"/>
  <c r="CU130" i="3"/>
  <c r="CW130" i="3"/>
  <c r="CY130" i="3"/>
  <c r="DA130" i="3"/>
  <c r="DC130" i="3"/>
  <c r="DE130" i="3"/>
  <c r="DG130" i="3"/>
  <c r="DI130" i="3"/>
  <c r="DK130" i="3"/>
  <c r="DM130" i="3"/>
  <c r="DO130" i="3"/>
  <c r="DQ130" i="3"/>
  <c r="DS130" i="3"/>
  <c r="DU130" i="3"/>
  <c r="DW130" i="3"/>
  <c r="DY130" i="3"/>
  <c r="EA130" i="3"/>
  <c r="EC130" i="3"/>
  <c r="EE130" i="3"/>
  <c r="EG130" i="3"/>
  <c r="EI130" i="3"/>
  <c r="BQ131" i="3"/>
  <c r="BS131" i="3"/>
  <c r="BU131" i="3"/>
  <c r="BW131" i="3"/>
  <c r="BY131" i="3"/>
  <c r="CA131" i="3"/>
  <c r="CC131" i="3"/>
  <c r="CE131" i="3"/>
  <c r="CG131" i="3"/>
  <c r="CI131" i="3"/>
  <c r="CK131" i="3"/>
  <c r="CM131" i="3"/>
  <c r="CO131" i="3"/>
  <c r="CQ131" i="3"/>
  <c r="CS131" i="3"/>
  <c r="CU131" i="3"/>
  <c r="CW131" i="3"/>
  <c r="CY131" i="3"/>
  <c r="DA131" i="3"/>
  <c r="DC131" i="3"/>
  <c r="DE131" i="3"/>
  <c r="DG131" i="3"/>
  <c r="DI131" i="3"/>
  <c r="DK131" i="3"/>
  <c r="DM131" i="3"/>
  <c r="DO131" i="3"/>
  <c r="DQ131" i="3"/>
  <c r="DS131" i="3"/>
  <c r="DU131" i="3"/>
  <c r="DW131" i="3"/>
  <c r="DY131" i="3"/>
  <c r="EA131" i="3"/>
  <c r="EC131" i="3"/>
  <c r="EE131" i="3"/>
  <c r="EG131" i="3"/>
  <c r="EI131" i="3"/>
  <c r="N132" i="3"/>
  <c r="P132" i="3"/>
  <c r="R132" i="3"/>
  <c r="T132" i="3"/>
  <c r="V132" i="3"/>
  <c r="X132" i="3"/>
  <c r="CW94" i="3"/>
  <c r="DA94" i="3"/>
  <c r="DE94" i="3"/>
  <c r="DI94" i="3"/>
  <c r="DM94" i="3"/>
  <c r="DQ94" i="3"/>
  <c r="DU94" i="3"/>
  <c r="DY94" i="3"/>
  <c r="EC94" i="3"/>
  <c r="EG94" i="3"/>
  <c r="O95" i="3"/>
  <c r="S95" i="3"/>
  <c r="W95" i="3"/>
  <c r="AA95" i="3"/>
  <c r="AE95" i="3"/>
  <c r="AI95" i="3"/>
  <c r="AM95" i="3"/>
  <c r="AQ95" i="3"/>
  <c r="AU95" i="3"/>
  <c r="AY95" i="3"/>
  <c r="BC95" i="3"/>
  <c r="BG95" i="3"/>
  <c r="BK95" i="3"/>
  <c r="BO95" i="3"/>
  <c r="BS95" i="3"/>
  <c r="BW95" i="3"/>
  <c r="CA95" i="3"/>
  <c r="CE95" i="3"/>
  <c r="CI95" i="3"/>
  <c r="CM95" i="3"/>
  <c r="CQ95" i="3"/>
  <c r="CU95" i="3"/>
  <c r="CY95" i="3"/>
  <c r="DC95" i="3"/>
  <c r="DG95" i="3"/>
  <c r="DK95" i="3"/>
  <c r="DO95" i="3"/>
  <c r="DS95" i="3"/>
  <c r="DW95" i="3"/>
  <c r="EA95" i="3"/>
  <c r="EE95" i="3"/>
  <c r="EI95" i="3"/>
  <c r="R96" i="3"/>
  <c r="V96" i="3"/>
  <c r="Z96" i="3"/>
  <c r="AD96" i="3"/>
  <c r="AH96" i="3"/>
  <c r="AL96" i="3"/>
  <c r="AP96" i="3"/>
  <c r="AT96" i="3"/>
  <c r="AX96" i="3"/>
  <c r="BB96" i="3"/>
  <c r="BF96" i="3"/>
  <c r="BJ96" i="3"/>
  <c r="BN96" i="3"/>
  <c r="BR96" i="3"/>
  <c r="BV96" i="3"/>
  <c r="BZ96" i="3"/>
  <c r="CD96" i="3"/>
  <c r="CH96" i="3"/>
  <c r="CL96" i="3"/>
  <c r="CP96" i="3"/>
  <c r="CT96" i="3"/>
  <c r="CX96" i="3"/>
  <c r="DB96" i="3"/>
  <c r="DF96" i="3"/>
  <c r="DJ96" i="3"/>
  <c r="DN96" i="3"/>
  <c r="DR96" i="3"/>
  <c r="DV96" i="3"/>
  <c r="DZ96" i="3"/>
  <c r="ED96" i="3"/>
  <c r="EH96" i="3"/>
  <c r="S97" i="3"/>
  <c r="W97" i="3"/>
  <c r="AA97" i="3"/>
  <c r="AE97" i="3"/>
  <c r="AI97" i="3"/>
  <c r="AM97" i="3"/>
  <c r="AQ97" i="3"/>
  <c r="AU97" i="3"/>
  <c r="AY97" i="3"/>
  <c r="BC97" i="3"/>
  <c r="BG97" i="3"/>
  <c r="BK97" i="3"/>
  <c r="BO97" i="3"/>
  <c r="BS97" i="3"/>
  <c r="BW97" i="3"/>
  <c r="CA97" i="3"/>
  <c r="CE97" i="3"/>
  <c r="CI97" i="3"/>
  <c r="CM97" i="3"/>
  <c r="CQ97" i="3"/>
  <c r="CU97" i="3"/>
  <c r="CY97" i="3"/>
  <c r="DC97" i="3"/>
  <c r="DG97" i="3"/>
  <c r="DK97" i="3"/>
  <c r="DO97" i="3"/>
  <c r="DS97" i="3"/>
  <c r="DW97" i="3"/>
  <c r="EA97" i="3"/>
  <c r="EE97" i="3"/>
  <c r="EI97" i="3"/>
  <c r="P98" i="3"/>
  <c r="T98" i="3"/>
  <c r="X98" i="3"/>
  <c r="AB98" i="3"/>
  <c r="AF98" i="3"/>
  <c r="AJ98" i="3"/>
  <c r="AN98" i="3"/>
  <c r="AR98" i="3"/>
  <c r="AV98" i="3"/>
  <c r="AZ98" i="3"/>
  <c r="BD98" i="3"/>
  <c r="BH98" i="3"/>
  <c r="BL98" i="3"/>
  <c r="BP98" i="3"/>
  <c r="BT98" i="3"/>
  <c r="BX98" i="3"/>
  <c r="CB98" i="3"/>
  <c r="CF98" i="3"/>
  <c r="CJ98" i="3"/>
  <c r="CN98" i="3"/>
  <c r="CR98" i="3"/>
  <c r="CV98" i="3"/>
  <c r="CZ98" i="3"/>
  <c r="DD98" i="3"/>
  <c r="DH98" i="3"/>
  <c r="DL98" i="3"/>
  <c r="DP98" i="3"/>
  <c r="DT98" i="3"/>
  <c r="DX98" i="3"/>
  <c r="EB98" i="3"/>
  <c r="EF98" i="3"/>
  <c r="K99" i="3"/>
  <c r="O99" i="3"/>
  <c r="S99" i="3"/>
  <c r="W99" i="3"/>
  <c r="AA99" i="3"/>
  <c r="AE99" i="3"/>
  <c r="AI99" i="3"/>
  <c r="AM99" i="3"/>
  <c r="AQ99" i="3"/>
  <c r="AU99" i="3"/>
  <c r="AY99" i="3"/>
  <c r="BC99" i="3"/>
  <c r="BG99" i="3"/>
  <c r="BK99" i="3"/>
  <c r="BO99" i="3"/>
  <c r="BS99" i="3"/>
  <c r="BW99" i="3"/>
  <c r="CA99" i="3"/>
  <c r="CE99" i="3"/>
  <c r="CI99" i="3"/>
  <c r="CM99" i="3"/>
  <c r="CQ99" i="3"/>
  <c r="CU99" i="3"/>
  <c r="CY99" i="3"/>
  <c r="DC99" i="3"/>
  <c r="DG99" i="3"/>
  <c r="DK99" i="3"/>
  <c r="DO99" i="3"/>
  <c r="DS99" i="3"/>
  <c r="DW99" i="3"/>
  <c r="EA99" i="3"/>
  <c r="EE99" i="3"/>
  <c r="EI99" i="3"/>
  <c r="W100" i="3"/>
  <c r="AA100" i="3"/>
  <c r="AE100" i="3"/>
  <c r="AI100" i="3"/>
  <c r="AM100" i="3"/>
  <c r="AQ100" i="3"/>
  <c r="AU100" i="3"/>
  <c r="AY100" i="3"/>
  <c r="BC100" i="3"/>
  <c r="BG100" i="3"/>
  <c r="BK100" i="3"/>
  <c r="BO100" i="3"/>
  <c r="BS100" i="3"/>
  <c r="BW100" i="3"/>
  <c r="CA100" i="3"/>
  <c r="CE100" i="3"/>
  <c r="CI100" i="3"/>
  <c r="CM100" i="3"/>
  <c r="CQ100" i="3"/>
  <c r="CU100" i="3"/>
  <c r="CY100" i="3"/>
  <c r="DC100" i="3"/>
  <c r="DG100" i="3"/>
  <c r="DK100" i="3"/>
  <c r="DO100" i="3"/>
  <c r="DS100" i="3"/>
  <c r="DW100" i="3"/>
  <c r="EA100" i="3"/>
  <c r="EE100" i="3"/>
  <c r="EI100" i="3"/>
  <c r="Q101" i="3"/>
  <c r="U101" i="3"/>
  <c r="Y101" i="3"/>
  <c r="AC101" i="3"/>
  <c r="AG101" i="3"/>
  <c r="AK101" i="3"/>
  <c r="AO101" i="3"/>
  <c r="AS101" i="3"/>
  <c r="AW101" i="3"/>
  <c r="BA101" i="3"/>
  <c r="BE101" i="3"/>
  <c r="BI101" i="3"/>
  <c r="BM101" i="3"/>
  <c r="BQ101" i="3"/>
  <c r="BU101" i="3"/>
  <c r="BY101" i="3"/>
  <c r="CC101" i="3"/>
  <c r="CG101" i="3"/>
  <c r="CK101" i="3"/>
  <c r="CO101" i="3"/>
  <c r="CS101" i="3"/>
  <c r="CW101" i="3"/>
  <c r="DA101" i="3"/>
  <c r="DE101" i="3"/>
  <c r="DI101" i="3"/>
  <c r="DM101" i="3"/>
  <c r="DQ101" i="3"/>
  <c r="DU101" i="3"/>
  <c r="DY101" i="3"/>
  <c r="EC101" i="3"/>
  <c r="EG101" i="3"/>
  <c r="M103" i="3"/>
  <c r="Q103" i="3"/>
  <c r="U103" i="3"/>
  <c r="Y103" i="3"/>
  <c r="AC103" i="3"/>
  <c r="AG103" i="3"/>
  <c r="AK103" i="3"/>
  <c r="AO103" i="3"/>
  <c r="AS103" i="3"/>
  <c r="AW103" i="3"/>
  <c r="BA103" i="3"/>
  <c r="BE103" i="3"/>
  <c r="BI103" i="3"/>
  <c r="BM103" i="3"/>
  <c r="BQ103" i="3"/>
  <c r="BU103" i="3"/>
  <c r="BY103" i="3"/>
  <c r="CC103" i="3"/>
  <c r="CG103" i="3"/>
  <c r="CK103" i="3"/>
  <c r="CO103" i="3"/>
  <c r="CS103" i="3"/>
  <c r="CW103" i="3"/>
  <c r="DA103" i="3"/>
  <c r="DE103" i="3"/>
  <c r="DI103" i="3"/>
  <c r="DM103" i="3"/>
  <c r="DQ103" i="3"/>
  <c r="DU103" i="3"/>
  <c r="DY103" i="3"/>
  <c r="EC103" i="3"/>
  <c r="EG103" i="3"/>
  <c r="N104" i="3"/>
  <c r="R104" i="3"/>
  <c r="V104" i="3"/>
  <c r="Z104" i="3"/>
  <c r="AD104" i="3"/>
  <c r="AH104" i="3"/>
  <c r="AL104" i="3"/>
  <c r="AP104" i="3"/>
  <c r="AT104" i="3"/>
  <c r="AX104" i="3"/>
  <c r="BB104" i="3"/>
  <c r="BF104" i="3"/>
  <c r="BJ104" i="3"/>
  <c r="BN104" i="3"/>
  <c r="BR104" i="3"/>
  <c r="BV104" i="3"/>
  <c r="BZ104" i="3"/>
  <c r="CD104" i="3"/>
  <c r="CH104" i="3"/>
  <c r="CL104" i="3"/>
  <c r="CP104" i="3"/>
  <c r="CT104" i="3"/>
  <c r="CX104" i="3"/>
  <c r="DB104" i="3"/>
  <c r="DF104" i="3"/>
  <c r="DJ104" i="3"/>
  <c r="DN104" i="3"/>
  <c r="DR104" i="3"/>
  <c r="DV104" i="3"/>
  <c r="DZ104" i="3"/>
  <c r="ED104" i="3"/>
  <c r="EH104" i="3"/>
  <c r="U105" i="3"/>
  <c r="Y105" i="3"/>
  <c r="AC105" i="3"/>
  <c r="AG105" i="3"/>
  <c r="AK105" i="3"/>
  <c r="AO105" i="3"/>
  <c r="AS105" i="3"/>
  <c r="AW105" i="3"/>
  <c r="BA105" i="3"/>
  <c r="BE105" i="3"/>
  <c r="BI105" i="3"/>
  <c r="BM105" i="3"/>
  <c r="BQ105" i="3"/>
  <c r="BU105" i="3"/>
  <c r="BY105" i="3"/>
  <c r="CC105" i="3"/>
  <c r="CG105" i="3"/>
  <c r="CK105" i="3"/>
  <c r="CO105" i="3"/>
  <c r="CS105" i="3"/>
  <c r="CW105" i="3"/>
  <c r="DA105" i="3"/>
  <c r="DE105" i="3"/>
  <c r="DI105" i="3"/>
  <c r="DM105" i="3"/>
  <c r="DQ105" i="3"/>
  <c r="DU105" i="3"/>
  <c r="DY105" i="3"/>
  <c r="EC105" i="3"/>
  <c r="EG105" i="3"/>
  <c r="V106" i="3"/>
  <c r="Z106" i="3"/>
  <c r="AD106" i="3"/>
  <c r="AH106" i="3"/>
  <c r="AL106" i="3"/>
  <c r="AP106" i="3"/>
  <c r="AT106" i="3"/>
  <c r="AX106" i="3"/>
  <c r="BB106" i="3"/>
  <c r="BF106" i="3"/>
  <c r="BJ106" i="3"/>
  <c r="BN106" i="3"/>
  <c r="BR106" i="3"/>
  <c r="BV106" i="3"/>
  <c r="BZ106" i="3"/>
  <c r="CD106" i="3"/>
  <c r="CH106" i="3"/>
  <c r="CL106" i="3"/>
  <c r="CP106" i="3"/>
  <c r="CT106" i="3"/>
  <c r="CX106" i="3"/>
  <c r="DB106" i="3"/>
  <c r="DF106" i="3"/>
  <c r="DJ106" i="3"/>
  <c r="DN106" i="3"/>
  <c r="DR106" i="3"/>
  <c r="DV106" i="3"/>
  <c r="DZ106" i="3"/>
  <c r="ED106" i="3"/>
  <c r="EH106" i="3"/>
  <c r="M107" i="3"/>
  <c r="Q107" i="3"/>
  <c r="U107" i="3"/>
  <c r="Y107" i="3"/>
  <c r="AC107" i="3"/>
  <c r="AG107" i="3"/>
  <c r="AK107" i="3"/>
  <c r="AO107" i="3"/>
  <c r="AS107" i="3"/>
  <c r="AW107" i="3"/>
  <c r="BA107" i="3"/>
  <c r="BE107" i="3"/>
  <c r="BI107" i="3"/>
  <c r="BM107" i="3"/>
  <c r="BQ107" i="3"/>
  <c r="BU107" i="3"/>
  <c r="BY107" i="3"/>
  <c r="CC107" i="3"/>
  <c r="CG107" i="3"/>
  <c r="CK107" i="3"/>
  <c r="CO107" i="3"/>
  <c r="CS107" i="3"/>
  <c r="CW107" i="3"/>
  <c r="DA107" i="3"/>
  <c r="DE107" i="3"/>
  <c r="DI107" i="3"/>
  <c r="DM107" i="3"/>
  <c r="DQ107" i="3"/>
  <c r="DU107" i="3"/>
  <c r="DY107" i="3"/>
  <c r="EC107" i="3"/>
  <c r="EG107" i="3"/>
  <c r="L108" i="3"/>
  <c r="P108" i="3"/>
  <c r="T108" i="3"/>
  <c r="X108" i="3"/>
  <c r="AB108" i="3"/>
  <c r="AF108" i="3"/>
  <c r="AJ108" i="3"/>
  <c r="AN108" i="3"/>
  <c r="AR108" i="3"/>
  <c r="AV108" i="3"/>
  <c r="AZ108" i="3"/>
  <c r="BD108" i="3"/>
  <c r="BH108" i="3"/>
  <c r="BL108" i="3"/>
  <c r="BP108" i="3"/>
  <c r="BT108" i="3"/>
  <c r="BX108" i="3"/>
  <c r="CB108" i="3"/>
  <c r="CF108" i="3"/>
  <c r="CJ108" i="3"/>
  <c r="CN108" i="3"/>
  <c r="CR108" i="3"/>
  <c r="CV108" i="3"/>
  <c r="CZ108" i="3"/>
  <c r="DD108" i="3"/>
  <c r="DH108" i="3"/>
  <c r="DL108" i="3"/>
  <c r="DP108" i="3"/>
  <c r="DT108" i="3"/>
  <c r="DX108" i="3"/>
  <c r="EB108" i="3"/>
  <c r="EF108" i="3"/>
  <c r="N109" i="3"/>
  <c r="R109" i="3"/>
  <c r="V109" i="3"/>
  <c r="Z109" i="3"/>
  <c r="AD109" i="3"/>
  <c r="AH109" i="3"/>
  <c r="AL109" i="3"/>
  <c r="AP109" i="3"/>
  <c r="AT109" i="3"/>
  <c r="AX109" i="3"/>
  <c r="BB109" i="3"/>
  <c r="BF109" i="3"/>
  <c r="BJ109" i="3"/>
  <c r="BN109" i="3"/>
  <c r="BR109" i="3"/>
  <c r="BV109" i="3"/>
  <c r="BZ109" i="3"/>
  <c r="CD109" i="3"/>
  <c r="CH109" i="3"/>
  <c r="CL109" i="3"/>
  <c r="CP109" i="3"/>
  <c r="CT109" i="3"/>
  <c r="CX109" i="3"/>
  <c r="DB109" i="3"/>
  <c r="DF109" i="3"/>
  <c r="DJ109" i="3"/>
  <c r="DN109" i="3"/>
  <c r="DR109" i="3"/>
  <c r="DV109" i="3"/>
  <c r="DZ109" i="3"/>
  <c r="ED109" i="3"/>
  <c r="EH109" i="3"/>
  <c r="N110" i="3"/>
  <c r="R110" i="3"/>
  <c r="V110" i="3"/>
  <c r="Z110" i="3"/>
  <c r="AD110" i="3"/>
  <c r="AH110" i="3"/>
  <c r="AL110" i="3"/>
  <c r="AP110" i="3"/>
  <c r="AT110" i="3"/>
  <c r="AX110" i="3"/>
  <c r="BB110" i="3"/>
  <c r="BF110" i="3"/>
  <c r="BJ110" i="3"/>
  <c r="BN110" i="3"/>
  <c r="BR110" i="3"/>
  <c r="BV110" i="3"/>
  <c r="BZ110" i="3"/>
  <c r="CD110" i="3"/>
  <c r="CH110" i="3"/>
  <c r="CL110" i="3"/>
  <c r="CP110" i="3"/>
  <c r="CT110" i="3"/>
  <c r="CX110" i="3"/>
  <c r="DB110" i="3"/>
  <c r="DF110" i="3"/>
  <c r="DJ110" i="3"/>
  <c r="DN110" i="3"/>
  <c r="DR110" i="3"/>
  <c r="DV110" i="3"/>
  <c r="DZ110" i="3"/>
  <c r="ED110" i="3"/>
  <c r="EH110" i="3"/>
  <c r="M111" i="3"/>
  <c r="Q111" i="3"/>
  <c r="U111" i="3"/>
  <c r="Y111" i="3"/>
  <c r="AC111" i="3"/>
  <c r="AG111" i="3"/>
  <c r="AK111" i="3"/>
  <c r="AO111" i="3"/>
  <c r="AS111" i="3"/>
  <c r="AW111" i="3"/>
  <c r="BA111" i="3"/>
  <c r="BE111" i="3"/>
  <c r="BI111" i="3"/>
  <c r="BM111" i="3"/>
  <c r="BQ111" i="3"/>
  <c r="BU111" i="3"/>
  <c r="BY111" i="3"/>
  <c r="CC111" i="3"/>
  <c r="CG111" i="3"/>
  <c r="CK111" i="3"/>
  <c r="CO111" i="3"/>
  <c r="CS111" i="3"/>
  <c r="CW111" i="3"/>
  <c r="DA111" i="3"/>
  <c r="DE111" i="3"/>
  <c r="DI111" i="3"/>
  <c r="DM111" i="3"/>
  <c r="DQ111" i="3"/>
  <c r="DU111" i="3"/>
  <c r="DY111" i="3"/>
  <c r="EC111" i="3"/>
  <c r="EG111" i="3"/>
  <c r="N112" i="3"/>
  <c r="R112" i="3"/>
  <c r="V112" i="3"/>
  <c r="Z112" i="3"/>
  <c r="AD112" i="3"/>
  <c r="AH112" i="3"/>
  <c r="AL112" i="3"/>
  <c r="AP112" i="3"/>
  <c r="AT112" i="3"/>
  <c r="AX112" i="3"/>
  <c r="BB112" i="3"/>
  <c r="BF112" i="3"/>
  <c r="BJ112" i="3"/>
  <c r="BN112" i="3"/>
  <c r="BR112" i="3"/>
  <c r="BV112" i="3"/>
  <c r="BZ112" i="3"/>
  <c r="CD112" i="3"/>
  <c r="CH112" i="3"/>
  <c r="CL112" i="3"/>
  <c r="CP112" i="3"/>
  <c r="CT112" i="3"/>
  <c r="CX112" i="3"/>
  <c r="DB112" i="3"/>
  <c r="DF112" i="3"/>
  <c r="DJ112" i="3"/>
  <c r="DN112" i="3"/>
  <c r="DR112" i="3"/>
  <c r="DV112" i="3"/>
  <c r="DZ112" i="3"/>
  <c r="ED112" i="3"/>
  <c r="EH112" i="3"/>
  <c r="M113" i="3"/>
  <c r="Q113" i="3"/>
  <c r="U113" i="3"/>
  <c r="Y113" i="3"/>
  <c r="AC113" i="3"/>
  <c r="AG113" i="3"/>
  <c r="AK113" i="3"/>
  <c r="AO113" i="3"/>
  <c r="AS113" i="3"/>
  <c r="AW113" i="3"/>
  <c r="BA113" i="3"/>
  <c r="BE113" i="3"/>
  <c r="BI113" i="3"/>
  <c r="BM113" i="3"/>
  <c r="BQ113" i="3"/>
  <c r="BU113" i="3"/>
  <c r="BY113" i="3"/>
  <c r="CC113" i="3"/>
  <c r="CG113" i="3"/>
  <c r="CK113" i="3"/>
  <c r="CO113" i="3"/>
  <c r="CS113" i="3"/>
  <c r="CW113" i="3"/>
  <c r="DA113" i="3"/>
  <c r="DE113" i="3"/>
  <c r="DI113" i="3"/>
  <c r="DM113" i="3"/>
  <c r="DQ113" i="3"/>
  <c r="DU113" i="3"/>
  <c r="DY113" i="3"/>
  <c r="EC113" i="3"/>
  <c r="EG113" i="3"/>
  <c r="BZ114" i="3"/>
  <c r="CD114" i="3"/>
  <c r="CH114" i="3"/>
  <c r="CL114" i="3"/>
  <c r="CP114" i="3"/>
  <c r="CT114" i="3"/>
  <c r="CX114" i="3"/>
  <c r="DB114" i="3"/>
  <c r="DF114" i="3"/>
  <c r="DJ114" i="3"/>
  <c r="DN114" i="3"/>
  <c r="DR114" i="3"/>
  <c r="DV114" i="3"/>
  <c r="DZ114" i="3"/>
  <c r="ED114" i="3"/>
  <c r="EH114" i="3"/>
  <c r="W115" i="3"/>
  <c r="AA115" i="3"/>
  <c r="AE115" i="3"/>
  <c r="AI115" i="3"/>
  <c r="AM115" i="3"/>
  <c r="AQ115" i="3"/>
  <c r="AU115" i="3"/>
  <c r="AY115" i="3"/>
  <c r="BC115" i="3"/>
  <c r="BG115" i="3"/>
  <c r="BK115" i="3"/>
  <c r="BO115" i="3"/>
  <c r="BS115" i="3"/>
  <c r="BW115" i="3"/>
  <c r="CA115" i="3"/>
  <c r="CE115" i="3"/>
  <c r="CI115" i="3"/>
  <c r="CM115" i="3"/>
  <c r="CQ115" i="3"/>
  <c r="CU115" i="3"/>
  <c r="CY115" i="3"/>
  <c r="DC115" i="3"/>
  <c r="DG115" i="3"/>
  <c r="DK115" i="3"/>
  <c r="DO115" i="3"/>
  <c r="DS115" i="3"/>
  <c r="DW115" i="3"/>
  <c r="EA115" i="3"/>
  <c r="EE115" i="3"/>
  <c r="EI115" i="3"/>
  <c r="O116" i="3"/>
  <c r="S116" i="3"/>
  <c r="W116" i="3"/>
  <c r="AA116" i="3"/>
  <c r="AE116" i="3"/>
  <c r="AI116" i="3"/>
  <c r="AM116" i="3"/>
  <c r="AQ116" i="3"/>
  <c r="AU116" i="3"/>
  <c r="AY116" i="3"/>
  <c r="BC116" i="3"/>
  <c r="BG116" i="3"/>
  <c r="BK116" i="3"/>
  <c r="BO116" i="3"/>
  <c r="BS116" i="3"/>
  <c r="BW116" i="3"/>
  <c r="CA116" i="3"/>
  <c r="CE116" i="3"/>
  <c r="CI116" i="3"/>
  <c r="CM116" i="3"/>
  <c r="CQ116" i="3"/>
  <c r="CU116" i="3"/>
  <c r="CY116" i="3"/>
  <c r="DC116" i="3"/>
  <c r="DG116" i="3"/>
  <c r="DK116" i="3"/>
  <c r="DO116" i="3"/>
  <c r="DS116" i="3"/>
  <c r="DW116" i="3"/>
  <c r="EA116" i="3"/>
  <c r="EE116" i="3"/>
  <c r="EI116" i="3"/>
  <c r="N117" i="3"/>
  <c r="R117" i="3"/>
  <c r="V117" i="3"/>
  <c r="Z117" i="3"/>
  <c r="AD117" i="3"/>
  <c r="AH117" i="3"/>
  <c r="AL117" i="3"/>
  <c r="AP117" i="3"/>
  <c r="AT117" i="3"/>
  <c r="AX117" i="3"/>
  <c r="BB117" i="3"/>
  <c r="BF117" i="3"/>
  <c r="BJ117" i="3"/>
  <c r="BN117" i="3"/>
  <c r="BR117" i="3"/>
  <c r="BV117" i="3"/>
  <c r="BZ117" i="3"/>
  <c r="CD117" i="3"/>
  <c r="CH117" i="3"/>
  <c r="CL117" i="3"/>
  <c r="CP117" i="3"/>
  <c r="CT117" i="3"/>
  <c r="CX117" i="3"/>
  <c r="DB117" i="3"/>
  <c r="DF117" i="3"/>
  <c r="DJ117" i="3"/>
  <c r="DN117" i="3"/>
  <c r="DR117" i="3"/>
  <c r="DV117" i="3"/>
  <c r="DZ117" i="3"/>
  <c r="ED117" i="3"/>
  <c r="EH117" i="3"/>
  <c r="O118" i="3"/>
  <c r="S118" i="3"/>
  <c r="W118" i="3"/>
  <c r="AA118" i="3"/>
  <c r="AE118" i="3"/>
  <c r="AI118" i="3"/>
  <c r="AM118" i="3"/>
  <c r="AQ118" i="3"/>
  <c r="AU118" i="3"/>
  <c r="AY118" i="3"/>
  <c r="BC118" i="3"/>
  <c r="BG118" i="3"/>
  <c r="BK118" i="3"/>
  <c r="BO118" i="3"/>
  <c r="BS118" i="3"/>
  <c r="BW118" i="3"/>
  <c r="CA118" i="3"/>
  <c r="CE118" i="3"/>
  <c r="CI118" i="3"/>
  <c r="CM118" i="3"/>
  <c r="CQ118" i="3"/>
  <c r="CU118" i="3"/>
  <c r="CY118" i="3"/>
  <c r="DC118" i="3"/>
  <c r="DG118" i="3"/>
  <c r="DK118" i="3"/>
  <c r="DO118" i="3"/>
  <c r="DS118" i="3"/>
  <c r="DW118" i="3"/>
  <c r="EA118" i="3"/>
  <c r="EE118" i="3"/>
  <c r="EI118" i="3"/>
  <c r="U119" i="3"/>
  <c r="Y119" i="3"/>
  <c r="AC119" i="3"/>
  <c r="AG119" i="3"/>
  <c r="AK119" i="3"/>
  <c r="AO119" i="3"/>
  <c r="AS119" i="3"/>
  <c r="AW119" i="3"/>
  <c r="BA119" i="3"/>
  <c r="BE119" i="3"/>
  <c r="BI119" i="3"/>
  <c r="BM119" i="3"/>
  <c r="BQ119" i="3"/>
  <c r="BU119" i="3"/>
  <c r="BY119" i="3"/>
  <c r="CC119" i="3"/>
  <c r="CG119" i="3"/>
  <c r="CK119" i="3"/>
  <c r="CO119" i="3"/>
  <c r="CS119" i="3"/>
  <c r="CW119" i="3"/>
  <c r="DA119" i="3"/>
  <c r="DE119" i="3"/>
  <c r="DI119" i="3"/>
  <c r="DM119" i="3"/>
  <c r="DQ119" i="3"/>
  <c r="DU119" i="3"/>
  <c r="DY119" i="3"/>
  <c r="EC119" i="3"/>
  <c r="EG119" i="3"/>
  <c r="N120" i="3"/>
  <c r="R120" i="3"/>
  <c r="V120" i="3"/>
  <c r="Z120" i="3"/>
  <c r="AD120" i="3"/>
  <c r="AH120" i="3"/>
  <c r="AL120" i="3"/>
  <c r="AP120" i="3"/>
  <c r="AT120" i="3"/>
  <c r="AX120" i="3"/>
  <c r="BB120" i="3"/>
  <c r="BF120" i="3"/>
  <c r="BJ120" i="3"/>
  <c r="BN120" i="3"/>
  <c r="BR120" i="3"/>
  <c r="BV120" i="3"/>
  <c r="BZ120" i="3"/>
  <c r="CD120" i="3"/>
  <c r="CH120" i="3"/>
  <c r="CL120" i="3"/>
  <c r="CP120" i="3"/>
  <c r="CT120" i="3"/>
  <c r="CX120" i="3"/>
  <c r="DB120" i="3"/>
  <c r="DF120" i="3"/>
  <c r="DJ120" i="3"/>
  <c r="DN120" i="3"/>
  <c r="DR120" i="3"/>
  <c r="DV120" i="3"/>
  <c r="DZ120" i="3"/>
  <c r="ED120" i="3"/>
  <c r="EH120" i="3"/>
  <c r="P121" i="3"/>
  <c r="T121" i="3"/>
  <c r="X121" i="3"/>
  <c r="AB121" i="3"/>
  <c r="AF121" i="3"/>
  <c r="AJ121" i="3"/>
  <c r="AN121" i="3"/>
  <c r="AR121" i="3"/>
  <c r="AV121" i="3"/>
  <c r="AZ121" i="3"/>
  <c r="BD121" i="3"/>
  <c r="BH121" i="3"/>
  <c r="BL121" i="3"/>
  <c r="BP121" i="3"/>
  <c r="BT121" i="3"/>
  <c r="BX121" i="3"/>
  <c r="CB121" i="3"/>
  <c r="CF121" i="3"/>
  <c r="CJ121" i="3"/>
  <c r="CN121" i="3"/>
  <c r="CR121" i="3"/>
  <c r="CV121" i="3"/>
  <c r="CZ121" i="3"/>
  <c r="DD121" i="3"/>
  <c r="DH121" i="3"/>
  <c r="DL121" i="3"/>
  <c r="DP121" i="3"/>
  <c r="DT121" i="3"/>
  <c r="DX121" i="3"/>
  <c r="EB121" i="3"/>
  <c r="EF121" i="3"/>
  <c r="K122" i="3"/>
  <c r="O122" i="3"/>
  <c r="S122" i="3"/>
  <c r="W122" i="3"/>
  <c r="AA122" i="3"/>
  <c r="AE122" i="3"/>
  <c r="AI122" i="3"/>
  <c r="AM122" i="3"/>
  <c r="AQ122" i="3"/>
  <c r="AU122" i="3"/>
  <c r="AY122" i="3"/>
  <c r="BC122" i="3"/>
  <c r="BG122" i="3"/>
  <c r="BK122" i="3"/>
  <c r="BO122" i="3"/>
  <c r="BS122" i="3"/>
  <c r="BW122" i="3"/>
  <c r="CA122" i="3"/>
  <c r="CE122" i="3"/>
  <c r="CI122" i="3"/>
  <c r="CM122" i="3"/>
  <c r="CQ122" i="3"/>
  <c r="CU122" i="3"/>
  <c r="CY122" i="3"/>
  <c r="DC122" i="3"/>
  <c r="DG122" i="3"/>
  <c r="DK122" i="3"/>
  <c r="DO122" i="3"/>
  <c r="DS122" i="3"/>
  <c r="DW122" i="3"/>
  <c r="EA122" i="3"/>
  <c r="EE122" i="3"/>
  <c r="EI122" i="3"/>
  <c r="N123" i="3"/>
  <c r="R123" i="3"/>
  <c r="V123" i="3"/>
  <c r="Z123" i="3"/>
  <c r="AD123" i="3"/>
  <c r="AH123" i="3"/>
  <c r="AL123" i="3"/>
  <c r="AP123" i="3"/>
  <c r="AT123" i="3"/>
  <c r="AX123" i="3"/>
  <c r="BB123" i="3"/>
  <c r="BF123" i="3"/>
  <c r="BJ123" i="3"/>
  <c r="BN123" i="3"/>
  <c r="BR123" i="3"/>
  <c r="BV123" i="3"/>
  <c r="BZ123" i="3"/>
  <c r="CD123" i="3"/>
  <c r="CH123" i="3"/>
  <c r="CL123" i="3"/>
  <c r="CP123" i="3"/>
  <c r="CT123" i="3"/>
  <c r="CX123" i="3"/>
  <c r="DB123" i="3"/>
  <c r="DF123" i="3"/>
  <c r="DJ123" i="3"/>
  <c r="DN123" i="3"/>
  <c r="DR123" i="3"/>
  <c r="DV123" i="3"/>
  <c r="DZ123" i="3"/>
  <c r="ED123" i="3"/>
  <c r="EH123" i="3"/>
  <c r="M124" i="3"/>
  <c r="Q124" i="3"/>
  <c r="U124" i="3"/>
  <c r="Y124" i="3"/>
  <c r="AC124" i="3"/>
  <c r="AG124" i="3"/>
  <c r="AK124" i="3"/>
  <c r="AO124" i="3"/>
  <c r="AS124" i="3"/>
  <c r="AW124" i="3"/>
  <c r="BA124" i="3"/>
  <c r="BE124" i="3"/>
  <c r="BI124" i="3"/>
  <c r="BM124" i="3"/>
  <c r="BQ124" i="3"/>
  <c r="BU124" i="3"/>
  <c r="BY124" i="3"/>
  <c r="CC124" i="3"/>
  <c r="CG124" i="3"/>
  <c r="CK124" i="3"/>
  <c r="CO124" i="3"/>
  <c r="CS124" i="3"/>
  <c r="CW124" i="3"/>
  <c r="DA124" i="3"/>
  <c r="DE124" i="3"/>
  <c r="DI124" i="3"/>
  <c r="DM124" i="3"/>
  <c r="DQ124" i="3"/>
  <c r="DU124" i="3"/>
  <c r="DY124" i="3"/>
  <c r="EC124" i="3"/>
  <c r="EG124" i="3"/>
  <c r="L125" i="3"/>
  <c r="P125" i="3"/>
  <c r="T125" i="3"/>
  <c r="X125" i="3"/>
  <c r="AB125" i="3"/>
  <c r="AF125" i="3"/>
  <c r="AJ125" i="3"/>
  <c r="AN125" i="3"/>
  <c r="AR125" i="3"/>
  <c r="AV125" i="3"/>
  <c r="AZ125" i="3"/>
  <c r="BD125" i="3"/>
  <c r="BH125" i="3"/>
  <c r="BL125" i="3"/>
  <c r="BP125" i="3"/>
  <c r="BT125" i="3"/>
  <c r="BX125" i="3"/>
  <c r="CB125" i="3"/>
  <c r="CF125" i="3"/>
  <c r="CJ125" i="3"/>
  <c r="CN125" i="3"/>
  <c r="CR125" i="3"/>
  <c r="CV125" i="3"/>
  <c r="CZ125" i="3"/>
  <c r="DD125" i="3"/>
  <c r="DH125" i="3"/>
  <c r="DL125" i="3"/>
  <c r="DP125" i="3"/>
  <c r="DT125" i="3"/>
  <c r="DX125" i="3"/>
  <c r="EB125" i="3"/>
  <c r="EF125" i="3"/>
  <c r="K126" i="3"/>
  <c r="O126" i="3"/>
  <c r="S126" i="3"/>
  <c r="W126" i="3"/>
  <c r="AA126" i="3"/>
  <c r="AE126" i="3"/>
  <c r="AI126" i="3"/>
  <c r="AM126" i="3"/>
  <c r="AQ126" i="3"/>
  <c r="AU126" i="3"/>
  <c r="AY126" i="3"/>
  <c r="BC126" i="3"/>
  <c r="BG126" i="3"/>
  <c r="BK126" i="3"/>
  <c r="BO126" i="3"/>
  <c r="BS126" i="3"/>
  <c r="BW126" i="3"/>
  <c r="CA126" i="3"/>
  <c r="CE126" i="3"/>
  <c r="CI126" i="3"/>
  <c r="CM126" i="3"/>
  <c r="CQ126" i="3"/>
  <c r="CU126" i="3"/>
  <c r="CY126" i="3"/>
  <c r="DC126" i="3"/>
  <c r="DG126" i="3"/>
  <c r="DK126" i="3"/>
  <c r="DO126" i="3"/>
  <c r="DS126" i="3"/>
  <c r="DW126" i="3"/>
  <c r="EA126" i="3"/>
  <c r="EE126" i="3"/>
  <c r="EI126" i="3"/>
  <c r="N127" i="3"/>
  <c r="R127" i="3"/>
  <c r="V127" i="3"/>
  <c r="Z127" i="3"/>
  <c r="AD127" i="3"/>
  <c r="AH127" i="3"/>
  <c r="AL127" i="3"/>
  <c r="AP127" i="3"/>
  <c r="AT127" i="3"/>
  <c r="AX127" i="3"/>
  <c r="BB127" i="3"/>
  <c r="BF127" i="3"/>
  <c r="BJ127" i="3"/>
  <c r="BN127" i="3"/>
  <c r="BR127" i="3"/>
  <c r="BV127" i="3"/>
  <c r="BZ127" i="3"/>
  <c r="CD127" i="3"/>
  <c r="CH127" i="3"/>
  <c r="CL127" i="3"/>
  <c r="CP127" i="3"/>
  <c r="CT127" i="3"/>
  <c r="CX127" i="3"/>
  <c r="DB127" i="3"/>
  <c r="DF127" i="3"/>
  <c r="DJ127" i="3"/>
  <c r="DN127" i="3"/>
  <c r="DR127" i="3"/>
  <c r="DV127" i="3"/>
  <c r="DZ127" i="3"/>
  <c r="ED127" i="3"/>
  <c r="EH127" i="3"/>
  <c r="BN128" i="3"/>
  <c r="BR128" i="3"/>
  <c r="BV128" i="3"/>
  <c r="BZ128" i="3"/>
  <c r="CD128" i="3"/>
  <c r="CH128" i="3"/>
  <c r="CL128" i="3"/>
  <c r="CP128" i="3"/>
  <c r="CT128" i="3"/>
  <c r="CX128" i="3"/>
  <c r="DB128" i="3"/>
  <c r="DF128" i="3"/>
  <c r="DJ128" i="3"/>
  <c r="DN128" i="3"/>
  <c r="DR128" i="3"/>
  <c r="DV128" i="3"/>
  <c r="DZ128" i="3"/>
  <c r="ED128" i="3"/>
  <c r="EH128" i="3"/>
  <c r="N129" i="3"/>
  <c r="R129" i="3"/>
  <c r="V129" i="3"/>
  <c r="Z129" i="3"/>
  <c r="AD129" i="3"/>
  <c r="AH129" i="3"/>
  <c r="AL129" i="3"/>
  <c r="AP129" i="3"/>
  <c r="AT129" i="3"/>
  <c r="AX129" i="3"/>
  <c r="BB129" i="3"/>
  <c r="BF129" i="3"/>
  <c r="BJ129" i="3"/>
  <c r="BN129" i="3"/>
  <c r="BR129" i="3"/>
  <c r="BV129" i="3"/>
  <c r="BZ129" i="3"/>
  <c r="CD129" i="3"/>
  <c r="CH129" i="3"/>
  <c r="CL129" i="3"/>
  <c r="CP129" i="3"/>
  <c r="CT129" i="3"/>
  <c r="CX129" i="3"/>
  <c r="DB129" i="3"/>
  <c r="DF129" i="3"/>
  <c r="DJ129" i="3"/>
  <c r="DN129" i="3"/>
  <c r="DR129" i="3"/>
  <c r="DV129" i="3"/>
  <c r="DZ129" i="3"/>
  <c r="ED129" i="3"/>
  <c r="EH129" i="3"/>
  <c r="N130" i="3"/>
  <c r="R130" i="3"/>
  <c r="V130" i="3"/>
  <c r="Z130" i="3"/>
  <c r="AD130" i="3"/>
  <c r="AH130" i="3"/>
  <c r="AL130" i="3"/>
  <c r="AP130" i="3"/>
  <c r="AT130" i="3"/>
  <c r="AX130" i="3"/>
  <c r="BB130" i="3"/>
  <c r="BF130" i="3"/>
  <c r="BJ130" i="3"/>
  <c r="BN130" i="3"/>
  <c r="BR130" i="3"/>
  <c r="BV130" i="3"/>
  <c r="BZ130" i="3"/>
  <c r="CD130" i="3"/>
  <c r="CH130" i="3"/>
  <c r="CL130" i="3"/>
  <c r="CP130" i="3"/>
  <c r="CT130" i="3"/>
  <c r="CX130" i="3"/>
  <c r="DB130" i="3"/>
  <c r="DF130" i="3"/>
  <c r="DJ130" i="3"/>
  <c r="DN130" i="3"/>
  <c r="DR130" i="3"/>
  <c r="DV130" i="3"/>
  <c r="DZ130" i="3"/>
  <c r="ED130" i="3"/>
  <c r="EH130" i="3"/>
  <c r="BR131" i="3"/>
  <c r="BV131" i="3"/>
  <c r="BZ131" i="3"/>
  <c r="CD131" i="3"/>
  <c r="CH131" i="3"/>
  <c r="CL131" i="3"/>
  <c r="CP131" i="3"/>
  <c r="CT131" i="3"/>
  <c r="CX131" i="3"/>
  <c r="DB131" i="3"/>
  <c r="DF131" i="3"/>
  <c r="DJ131" i="3"/>
  <c r="DN131" i="3"/>
  <c r="DR131" i="3"/>
  <c r="DV131" i="3"/>
  <c r="DZ131" i="3"/>
  <c r="ED131" i="3"/>
  <c r="EH131" i="3"/>
  <c r="O132" i="3"/>
  <c r="S132" i="3"/>
  <c r="W132" i="3"/>
  <c r="Z132" i="3"/>
  <c r="AB132" i="3"/>
  <c r="AD132" i="3"/>
  <c r="AF132" i="3"/>
  <c r="AH132" i="3"/>
  <c r="AJ132" i="3"/>
  <c r="AL132" i="3"/>
  <c r="AN132" i="3"/>
  <c r="AP132" i="3"/>
  <c r="AR132" i="3"/>
  <c r="AT132" i="3"/>
  <c r="AV132" i="3"/>
  <c r="AX132" i="3"/>
  <c r="AZ132" i="3"/>
  <c r="BB132" i="3"/>
  <c r="BD132" i="3"/>
  <c r="BF132" i="3"/>
  <c r="BH132" i="3"/>
  <c r="BJ132" i="3"/>
  <c r="BL132" i="3"/>
  <c r="BN132" i="3"/>
  <c r="BP132" i="3"/>
  <c r="BR132" i="3"/>
  <c r="BT132" i="3"/>
  <c r="BV132" i="3"/>
  <c r="BX132" i="3"/>
  <c r="BZ132" i="3"/>
  <c r="CB132" i="3"/>
  <c r="CD132" i="3"/>
  <c r="CF132" i="3"/>
  <c r="CH132" i="3"/>
  <c r="CJ132" i="3"/>
  <c r="CL132" i="3"/>
  <c r="CN132" i="3"/>
  <c r="CP132" i="3"/>
  <c r="CR132" i="3"/>
  <c r="CT132" i="3"/>
  <c r="CV132" i="3"/>
  <c r="CX132" i="3"/>
  <c r="CZ132" i="3"/>
  <c r="DB132" i="3"/>
  <c r="DD132" i="3"/>
  <c r="DF132" i="3"/>
  <c r="DH132" i="3"/>
  <c r="DJ132" i="3"/>
  <c r="DL132" i="3"/>
  <c r="DN132" i="3"/>
  <c r="DP132" i="3"/>
  <c r="DR132" i="3"/>
  <c r="DT132" i="3"/>
  <c r="DV132" i="3"/>
  <c r="DX132" i="3"/>
  <c r="DZ132" i="3"/>
  <c r="EB132" i="3"/>
  <c r="ED132" i="3"/>
  <c r="EF132" i="3"/>
  <c r="EH132" i="3"/>
  <c r="K133" i="3"/>
  <c r="M133" i="3"/>
  <c r="O133" i="3"/>
  <c r="Q133" i="3"/>
  <c r="S133" i="3"/>
  <c r="U133" i="3"/>
  <c r="W133" i="3"/>
  <c r="Y133" i="3"/>
  <c r="AA133" i="3"/>
  <c r="AC133" i="3"/>
  <c r="AE133" i="3"/>
  <c r="AG133" i="3"/>
  <c r="AI133" i="3"/>
  <c r="AK133" i="3"/>
  <c r="AM133" i="3"/>
  <c r="AO133" i="3"/>
  <c r="AQ133" i="3"/>
  <c r="AS133" i="3"/>
  <c r="AU133" i="3"/>
  <c r="AW133" i="3"/>
  <c r="AY133" i="3"/>
  <c r="BA133" i="3"/>
  <c r="BC133" i="3"/>
  <c r="BE133" i="3"/>
  <c r="BG133" i="3"/>
  <c r="BI133" i="3"/>
  <c r="BK133" i="3"/>
  <c r="BM133" i="3"/>
  <c r="BO133" i="3"/>
  <c r="BQ133" i="3"/>
  <c r="BS133" i="3"/>
  <c r="BU133" i="3"/>
  <c r="BW133" i="3"/>
  <c r="BY133" i="3"/>
  <c r="CA133" i="3"/>
  <c r="CC133" i="3"/>
  <c r="CE133" i="3"/>
  <c r="CG133" i="3"/>
  <c r="CI133" i="3"/>
  <c r="CK133" i="3"/>
  <c r="CM133" i="3"/>
  <c r="CO133" i="3"/>
  <c r="CQ133" i="3"/>
  <c r="CS133" i="3"/>
  <c r="CU133" i="3"/>
  <c r="CW133" i="3"/>
  <c r="CY133" i="3"/>
  <c r="DA133" i="3"/>
  <c r="DC133" i="3"/>
  <c r="DE133" i="3"/>
  <c r="DG133" i="3"/>
  <c r="DI133" i="3"/>
  <c r="DK133" i="3"/>
  <c r="DM133" i="3"/>
  <c r="DO133" i="3"/>
  <c r="DQ133" i="3"/>
  <c r="DS133" i="3"/>
  <c r="DU133" i="3"/>
  <c r="DW133" i="3"/>
  <c r="DY133" i="3"/>
  <c r="EA133" i="3"/>
  <c r="EC133" i="3"/>
  <c r="EE133" i="3"/>
  <c r="EG133" i="3"/>
  <c r="EI133" i="3"/>
  <c r="O134" i="3"/>
  <c r="Q134" i="3"/>
  <c r="S134" i="3"/>
  <c r="U134" i="3"/>
  <c r="W134" i="3"/>
  <c r="Y134" i="3"/>
  <c r="AA134" i="3"/>
  <c r="AC134" i="3"/>
  <c r="AE134" i="3"/>
  <c r="AG134" i="3"/>
  <c r="AI134" i="3"/>
  <c r="AK134" i="3"/>
  <c r="AM134" i="3"/>
  <c r="AO134" i="3"/>
  <c r="AQ134" i="3"/>
  <c r="AS134" i="3"/>
  <c r="AU134" i="3"/>
  <c r="AW134" i="3"/>
  <c r="AY134" i="3"/>
  <c r="BA134" i="3"/>
  <c r="BC134" i="3"/>
  <c r="BE134" i="3"/>
  <c r="BG134" i="3"/>
  <c r="BI134" i="3"/>
  <c r="BK134" i="3"/>
  <c r="BM134" i="3"/>
  <c r="BO134" i="3"/>
  <c r="BQ134" i="3"/>
  <c r="BS134" i="3"/>
  <c r="BU134" i="3"/>
  <c r="BW134" i="3"/>
  <c r="BY134" i="3"/>
  <c r="CA134" i="3"/>
  <c r="CC134" i="3"/>
  <c r="CE134" i="3"/>
  <c r="CG134" i="3"/>
  <c r="CI134" i="3"/>
  <c r="CK134" i="3"/>
  <c r="CM134" i="3"/>
  <c r="CO134" i="3"/>
  <c r="CQ134" i="3"/>
  <c r="CS134" i="3"/>
  <c r="CU134" i="3"/>
  <c r="CW134" i="3"/>
  <c r="CY134" i="3"/>
  <c r="DA134" i="3"/>
  <c r="DC134" i="3"/>
  <c r="DE134" i="3"/>
  <c r="DG134" i="3"/>
  <c r="DI134" i="3"/>
  <c r="DK134" i="3"/>
  <c r="DM134" i="3"/>
  <c r="DO134" i="3"/>
  <c r="DQ134" i="3"/>
  <c r="DS134" i="3"/>
  <c r="DU134" i="3"/>
  <c r="DW134" i="3"/>
  <c r="DY134" i="3"/>
  <c r="EA134" i="3"/>
  <c r="EC134" i="3"/>
  <c r="EE134" i="3"/>
  <c r="EG134" i="3"/>
  <c r="EI134" i="3"/>
  <c r="L135" i="3"/>
  <c r="N135" i="3"/>
  <c r="P135" i="3"/>
  <c r="R135" i="3"/>
  <c r="T135" i="3"/>
  <c r="V135" i="3"/>
  <c r="X135" i="3"/>
  <c r="Z135" i="3"/>
  <c r="AB135" i="3"/>
  <c r="AD135" i="3"/>
  <c r="AF135" i="3"/>
  <c r="AH135" i="3"/>
  <c r="AJ135" i="3"/>
  <c r="AL135" i="3"/>
  <c r="AN135" i="3"/>
  <c r="AP135" i="3"/>
  <c r="AR135" i="3"/>
  <c r="AT135" i="3"/>
  <c r="AV135" i="3"/>
  <c r="AX135" i="3"/>
  <c r="AZ135" i="3"/>
  <c r="BB135" i="3"/>
  <c r="BD135" i="3"/>
  <c r="BF135" i="3"/>
  <c r="BH135" i="3"/>
  <c r="BJ135" i="3"/>
  <c r="BL135" i="3"/>
  <c r="BN135" i="3"/>
  <c r="BP135" i="3"/>
  <c r="BR135" i="3"/>
  <c r="BT135" i="3"/>
  <c r="BV135" i="3"/>
  <c r="BX135" i="3"/>
  <c r="BZ135" i="3"/>
  <c r="CB135" i="3"/>
  <c r="CD135" i="3"/>
  <c r="CF135" i="3"/>
  <c r="CH135" i="3"/>
  <c r="CJ135" i="3"/>
  <c r="CL135" i="3"/>
  <c r="CN135" i="3"/>
  <c r="CP135" i="3"/>
  <c r="CR135" i="3"/>
  <c r="CT135" i="3"/>
  <c r="CV135" i="3"/>
  <c r="CX135" i="3"/>
  <c r="CZ135" i="3"/>
  <c r="DB135" i="3"/>
  <c r="DD135" i="3"/>
  <c r="DF135" i="3"/>
  <c r="DH135" i="3"/>
  <c r="DJ135" i="3"/>
  <c r="DL135" i="3"/>
  <c r="DN135" i="3"/>
  <c r="DP135" i="3"/>
  <c r="DR135" i="3"/>
  <c r="DT135" i="3"/>
  <c r="DV135" i="3"/>
  <c r="DX135" i="3"/>
  <c r="DZ135" i="3"/>
  <c r="EB135" i="3"/>
  <c r="ED135" i="3"/>
  <c r="EF135" i="3"/>
  <c r="EH135" i="3"/>
  <c r="K136" i="3"/>
  <c r="M136" i="3"/>
  <c r="O136" i="3"/>
  <c r="Q136" i="3"/>
  <c r="S136" i="3"/>
  <c r="U136" i="3"/>
  <c r="W136" i="3"/>
  <c r="Y136" i="3"/>
  <c r="AA136" i="3"/>
  <c r="AC136" i="3"/>
  <c r="AE136" i="3"/>
  <c r="AG136" i="3"/>
  <c r="AI136" i="3"/>
  <c r="AK136" i="3"/>
  <c r="AM136" i="3"/>
  <c r="AO136" i="3"/>
  <c r="AQ136" i="3"/>
  <c r="AS136" i="3"/>
  <c r="AU136" i="3"/>
  <c r="AW136" i="3"/>
  <c r="AY136" i="3"/>
  <c r="BA136" i="3"/>
  <c r="BC136" i="3"/>
  <c r="BE136" i="3"/>
  <c r="BG136" i="3"/>
  <c r="BI136" i="3"/>
  <c r="BK136" i="3"/>
  <c r="BM136" i="3"/>
  <c r="BO136" i="3"/>
  <c r="BQ136" i="3"/>
  <c r="BS136" i="3"/>
  <c r="BU136" i="3"/>
  <c r="BW136" i="3"/>
  <c r="BY136" i="3"/>
  <c r="CA136" i="3"/>
  <c r="CC136" i="3"/>
  <c r="CE136" i="3"/>
  <c r="CG136" i="3"/>
  <c r="CI136" i="3"/>
  <c r="CK136" i="3"/>
  <c r="CM136" i="3"/>
  <c r="CO136" i="3"/>
  <c r="CQ136" i="3"/>
  <c r="CS136" i="3"/>
  <c r="CU136" i="3"/>
  <c r="CW136" i="3"/>
  <c r="CY136" i="3"/>
  <c r="DA136" i="3"/>
  <c r="DC136" i="3"/>
  <c r="DE136" i="3"/>
  <c r="DG136" i="3"/>
  <c r="DI136" i="3"/>
  <c r="DK136" i="3"/>
  <c r="DM136" i="3"/>
  <c r="DO136" i="3"/>
  <c r="DQ136" i="3"/>
  <c r="DS136" i="3"/>
  <c r="DU136" i="3"/>
  <c r="DW136" i="3"/>
  <c r="DY136" i="3"/>
  <c r="EA136" i="3"/>
  <c r="EC136" i="3"/>
  <c r="EE136" i="3"/>
  <c r="EG136" i="3"/>
  <c r="EI136" i="3"/>
  <c r="N137" i="3"/>
  <c r="P137" i="3"/>
  <c r="R137" i="3"/>
  <c r="T137" i="3"/>
  <c r="V137" i="3"/>
  <c r="X137" i="3"/>
  <c r="Z137" i="3"/>
  <c r="AB137" i="3"/>
  <c r="AD137" i="3"/>
  <c r="AF137" i="3"/>
  <c r="AH137" i="3"/>
  <c r="AJ137" i="3"/>
  <c r="AL137" i="3"/>
  <c r="AN137" i="3"/>
  <c r="AP137" i="3"/>
  <c r="AR137" i="3"/>
  <c r="AT137" i="3"/>
  <c r="AV137" i="3"/>
  <c r="AX137" i="3"/>
  <c r="AZ137" i="3"/>
  <c r="BB137" i="3"/>
  <c r="BD137" i="3"/>
  <c r="BF137" i="3"/>
  <c r="BH137" i="3"/>
  <c r="BJ137" i="3"/>
  <c r="BL137" i="3"/>
  <c r="BN137" i="3"/>
  <c r="BP137" i="3"/>
  <c r="BR137" i="3"/>
  <c r="BT137" i="3"/>
  <c r="BV137" i="3"/>
  <c r="BX137" i="3"/>
  <c r="BZ137" i="3"/>
  <c r="CB137" i="3"/>
  <c r="CD137" i="3"/>
  <c r="CF137" i="3"/>
  <c r="CH137" i="3"/>
  <c r="CJ137" i="3"/>
  <c r="CL137" i="3"/>
  <c r="CN137" i="3"/>
  <c r="CP137" i="3"/>
  <c r="CR137" i="3"/>
  <c r="CT137" i="3"/>
  <c r="CV137" i="3"/>
  <c r="CX137" i="3"/>
  <c r="CZ137" i="3"/>
  <c r="DB137" i="3"/>
  <c r="DD137" i="3"/>
  <c r="DF137" i="3"/>
  <c r="DH137" i="3"/>
  <c r="DJ137" i="3"/>
  <c r="DL137" i="3"/>
  <c r="DN137" i="3"/>
  <c r="DP137" i="3"/>
  <c r="DR137" i="3"/>
  <c r="DT137" i="3"/>
  <c r="DV137" i="3"/>
  <c r="DX137" i="3"/>
  <c r="DZ137" i="3"/>
  <c r="EB137" i="3"/>
  <c r="ED137" i="3"/>
  <c r="EF137" i="3"/>
  <c r="EH137" i="3"/>
  <c r="K138" i="3"/>
  <c r="M138" i="3"/>
  <c r="O138" i="3"/>
  <c r="Q138" i="3"/>
  <c r="S138" i="3"/>
  <c r="U138" i="3"/>
  <c r="W138" i="3"/>
  <c r="Y138" i="3"/>
  <c r="AA138" i="3"/>
  <c r="AC138" i="3"/>
  <c r="AE138" i="3"/>
  <c r="AG138" i="3"/>
  <c r="AI138" i="3"/>
  <c r="AK138" i="3"/>
  <c r="AM138" i="3"/>
  <c r="AO138" i="3"/>
  <c r="AQ138" i="3"/>
  <c r="AS138" i="3"/>
  <c r="AU138" i="3"/>
  <c r="AW138" i="3"/>
  <c r="AY138" i="3"/>
  <c r="BA138" i="3"/>
  <c r="BC138" i="3"/>
  <c r="BE138" i="3"/>
  <c r="BG138" i="3"/>
  <c r="BI138" i="3"/>
  <c r="BK138" i="3"/>
  <c r="BM138" i="3"/>
  <c r="BO138" i="3"/>
  <c r="BQ138" i="3"/>
  <c r="BS138" i="3"/>
  <c r="BU138" i="3"/>
  <c r="BW138" i="3"/>
  <c r="BY138" i="3"/>
  <c r="CA138" i="3"/>
  <c r="CC138" i="3"/>
  <c r="CE138" i="3"/>
  <c r="CG138" i="3"/>
  <c r="CI138" i="3"/>
  <c r="CK138" i="3"/>
  <c r="CM138" i="3"/>
  <c r="CO138" i="3"/>
  <c r="CQ138" i="3"/>
  <c r="CS138" i="3"/>
  <c r="CU138" i="3"/>
  <c r="CW138" i="3"/>
  <c r="CY138" i="3"/>
  <c r="DA138" i="3"/>
  <c r="DC138" i="3"/>
  <c r="DE138" i="3"/>
  <c r="DG138" i="3"/>
  <c r="DI138" i="3"/>
  <c r="DK138" i="3"/>
  <c r="DM138" i="3"/>
  <c r="DO138" i="3"/>
  <c r="DQ138" i="3"/>
  <c r="DS138" i="3"/>
  <c r="DU138" i="3"/>
  <c r="DW138" i="3"/>
  <c r="DY138" i="3"/>
  <c r="EA138" i="3"/>
  <c r="EC138" i="3"/>
  <c r="EE138" i="3"/>
  <c r="EG138" i="3"/>
  <c r="EI138" i="3"/>
  <c r="N139" i="3"/>
  <c r="P139" i="3"/>
  <c r="R139" i="3"/>
  <c r="T139" i="3"/>
  <c r="V139" i="3"/>
  <c r="X139" i="3"/>
  <c r="Z139" i="3"/>
  <c r="AB139" i="3"/>
  <c r="AD139" i="3"/>
  <c r="AF139" i="3"/>
  <c r="AH139" i="3"/>
  <c r="AJ139" i="3"/>
  <c r="AL139" i="3"/>
  <c r="AN139" i="3"/>
  <c r="AP139" i="3"/>
  <c r="AR139" i="3"/>
  <c r="AT139" i="3"/>
  <c r="AV139" i="3"/>
  <c r="AX139" i="3"/>
  <c r="AZ139" i="3"/>
  <c r="BB139" i="3"/>
  <c r="BD139" i="3"/>
  <c r="BF139" i="3"/>
  <c r="BH139" i="3"/>
  <c r="BJ139" i="3"/>
  <c r="BL139" i="3"/>
  <c r="BN139" i="3"/>
  <c r="BP139" i="3"/>
  <c r="BR139" i="3"/>
  <c r="BT139" i="3"/>
  <c r="BV139" i="3"/>
  <c r="BX139" i="3"/>
  <c r="BZ139" i="3"/>
  <c r="CB139" i="3"/>
  <c r="CD139" i="3"/>
  <c r="CF139" i="3"/>
  <c r="CH139" i="3"/>
  <c r="CJ139" i="3"/>
  <c r="CL139" i="3"/>
  <c r="CN139" i="3"/>
  <c r="CP139" i="3"/>
  <c r="CR139" i="3"/>
  <c r="CT139" i="3"/>
  <c r="CV139" i="3"/>
  <c r="CX139" i="3"/>
  <c r="CZ139" i="3"/>
  <c r="DB139" i="3"/>
  <c r="DD139" i="3"/>
  <c r="DF139" i="3"/>
  <c r="DH139" i="3"/>
  <c r="DJ139" i="3"/>
  <c r="DL139" i="3"/>
  <c r="DN139" i="3"/>
  <c r="DP139" i="3"/>
  <c r="DR139" i="3"/>
  <c r="DT139" i="3"/>
  <c r="DV139" i="3"/>
  <c r="DX139" i="3"/>
  <c r="DZ139" i="3"/>
  <c r="EB139" i="3"/>
  <c r="ED139" i="3"/>
  <c r="EF139" i="3"/>
  <c r="EH139" i="3"/>
  <c r="L140" i="3"/>
  <c r="N140" i="3"/>
  <c r="P140" i="3"/>
  <c r="R140" i="3"/>
  <c r="T140" i="3"/>
  <c r="V140" i="3"/>
  <c r="X140" i="3"/>
  <c r="Z140" i="3"/>
  <c r="AB140" i="3"/>
  <c r="AD140" i="3"/>
  <c r="AF140" i="3"/>
  <c r="AH140" i="3"/>
  <c r="AJ140" i="3"/>
  <c r="AL140" i="3"/>
  <c r="AN140" i="3"/>
  <c r="AP140" i="3"/>
  <c r="AR140" i="3"/>
  <c r="AT140" i="3"/>
  <c r="AV140" i="3"/>
  <c r="AX140" i="3"/>
  <c r="AZ140" i="3"/>
  <c r="BB140" i="3"/>
  <c r="BD140" i="3"/>
  <c r="BF140" i="3"/>
  <c r="BH140" i="3"/>
  <c r="BJ140" i="3"/>
  <c r="BL140" i="3"/>
  <c r="BN140" i="3"/>
  <c r="BP140" i="3"/>
  <c r="BR140" i="3"/>
  <c r="BT140" i="3"/>
  <c r="BV140" i="3"/>
  <c r="BX140" i="3"/>
  <c r="BZ140" i="3"/>
  <c r="CB140" i="3"/>
  <c r="CD140" i="3"/>
  <c r="CF140" i="3"/>
  <c r="CH140" i="3"/>
  <c r="CJ140" i="3"/>
  <c r="CL140" i="3"/>
  <c r="CN140" i="3"/>
  <c r="CP140" i="3"/>
  <c r="CR140" i="3"/>
  <c r="CT140" i="3"/>
  <c r="CV140" i="3"/>
  <c r="CX140" i="3"/>
  <c r="CZ140" i="3"/>
  <c r="DB140" i="3"/>
  <c r="DD140" i="3"/>
  <c r="DF140" i="3"/>
  <c r="DH140" i="3"/>
  <c r="DJ140" i="3"/>
  <c r="DL140" i="3"/>
  <c r="DN140" i="3"/>
  <c r="DP140" i="3"/>
  <c r="DR140" i="3"/>
  <c r="DT140" i="3"/>
  <c r="DV140" i="3"/>
  <c r="DX140" i="3"/>
  <c r="DZ140" i="3"/>
  <c r="EB140" i="3"/>
  <c r="ED140" i="3"/>
  <c r="EF140" i="3"/>
  <c r="EH140" i="3"/>
  <c r="N141" i="3"/>
  <c r="P141" i="3"/>
  <c r="R141" i="3"/>
  <c r="T141" i="3"/>
  <c r="V141" i="3"/>
  <c r="X141" i="3"/>
  <c r="Z141" i="3"/>
  <c r="AB141" i="3"/>
  <c r="AD141" i="3"/>
  <c r="AF141" i="3"/>
  <c r="AH141" i="3"/>
  <c r="AJ141" i="3"/>
  <c r="AL141" i="3"/>
  <c r="AN141" i="3"/>
  <c r="AP141" i="3"/>
  <c r="AR141" i="3"/>
  <c r="AT141" i="3"/>
  <c r="AV141" i="3"/>
  <c r="AX141" i="3"/>
  <c r="AZ141" i="3"/>
  <c r="BB141" i="3"/>
  <c r="BD141" i="3"/>
  <c r="BF141" i="3"/>
  <c r="BH141" i="3"/>
  <c r="BJ141" i="3"/>
  <c r="BL141" i="3"/>
  <c r="BN141" i="3"/>
  <c r="BP141" i="3"/>
  <c r="BR141" i="3"/>
  <c r="BT141" i="3"/>
  <c r="BV141" i="3"/>
  <c r="BX141" i="3"/>
  <c r="BZ141" i="3"/>
  <c r="CB141" i="3"/>
  <c r="CD141" i="3"/>
  <c r="CF141" i="3"/>
  <c r="CH141" i="3"/>
  <c r="CJ141" i="3"/>
  <c r="CL141" i="3"/>
  <c r="CN141" i="3"/>
  <c r="CP141" i="3"/>
  <c r="CR141" i="3"/>
  <c r="CT141" i="3"/>
  <c r="CV141" i="3"/>
  <c r="CX141" i="3"/>
  <c r="CZ141" i="3"/>
  <c r="DB141" i="3"/>
  <c r="DD141" i="3"/>
  <c r="DF141" i="3"/>
  <c r="DH141" i="3"/>
  <c r="DJ141" i="3"/>
  <c r="DL141" i="3"/>
  <c r="DN141" i="3"/>
  <c r="DP141" i="3"/>
  <c r="DR141" i="3"/>
  <c r="DT141" i="3"/>
  <c r="DV141" i="3"/>
  <c r="DX141" i="3"/>
  <c r="DZ141" i="3"/>
  <c r="EB141" i="3"/>
  <c r="ED141" i="3"/>
  <c r="EF141" i="3"/>
  <c r="EH141" i="3"/>
  <c r="AV142" i="3"/>
  <c r="AX142" i="3"/>
  <c r="AZ142" i="3"/>
  <c r="BB142" i="3"/>
  <c r="BD142" i="3"/>
  <c r="BF142" i="3"/>
  <c r="BH142" i="3"/>
  <c r="BJ142" i="3"/>
  <c r="BL142" i="3"/>
  <c r="BN142" i="3"/>
  <c r="BP142" i="3"/>
  <c r="BR142" i="3"/>
  <c r="BT142" i="3"/>
  <c r="BV142" i="3"/>
  <c r="BX142" i="3"/>
  <c r="BZ142" i="3"/>
  <c r="CB142" i="3"/>
  <c r="CD142" i="3"/>
  <c r="CF142" i="3"/>
  <c r="CH142" i="3"/>
  <c r="CJ142" i="3"/>
  <c r="CL142" i="3"/>
  <c r="CN142" i="3"/>
  <c r="CP142" i="3"/>
  <c r="CR142" i="3"/>
  <c r="CT142" i="3"/>
  <c r="CV142" i="3"/>
  <c r="CX142" i="3"/>
  <c r="CZ142" i="3"/>
  <c r="DB142" i="3"/>
  <c r="DD142" i="3"/>
  <c r="DF142" i="3"/>
  <c r="DH142" i="3"/>
  <c r="DJ142" i="3"/>
  <c r="DL142" i="3"/>
  <c r="DN142" i="3"/>
  <c r="DP142" i="3"/>
  <c r="DR142" i="3"/>
  <c r="DT142" i="3"/>
  <c r="DV142" i="3"/>
  <c r="DX142" i="3"/>
  <c r="DZ142" i="3"/>
  <c r="EB142" i="3"/>
  <c r="ED142" i="3"/>
  <c r="EF142" i="3"/>
  <c r="EH142" i="3"/>
  <c r="R143" i="3"/>
  <c r="T143" i="3"/>
  <c r="V143" i="3"/>
  <c r="X143" i="3"/>
  <c r="Z143" i="3"/>
  <c r="AB143" i="3"/>
  <c r="AD143" i="3"/>
  <c r="AF143" i="3"/>
  <c r="AH143" i="3"/>
  <c r="AJ143" i="3"/>
  <c r="AL143" i="3"/>
  <c r="AN143" i="3"/>
  <c r="AP143" i="3"/>
  <c r="AR143" i="3"/>
  <c r="AT143" i="3"/>
  <c r="AV143" i="3"/>
  <c r="AX143" i="3"/>
  <c r="AZ143" i="3"/>
  <c r="BB143" i="3"/>
  <c r="BD143" i="3"/>
  <c r="BF143" i="3"/>
  <c r="BH143" i="3"/>
  <c r="BJ143" i="3"/>
  <c r="BL143" i="3"/>
  <c r="BN143" i="3"/>
  <c r="BP143" i="3"/>
  <c r="BR143" i="3"/>
  <c r="BT143" i="3"/>
  <c r="BV143" i="3"/>
  <c r="BX143" i="3"/>
  <c r="BZ143" i="3"/>
  <c r="CB143" i="3"/>
  <c r="CD143" i="3"/>
  <c r="CF143" i="3"/>
  <c r="CH143" i="3"/>
  <c r="CJ143" i="3"/>
  <c r="CL143" i="3"/>
  <c r="CN143" i="3"/>
  <c r="CP143" i="3"/>
  <c r="CR143" i="3"/>
  <c r="CT143" i="3"/>
  <c r="CV143" i="3"/>
  <c r="CX143" i="3"/>
  <c r="CZ143" i="3"/>
  <c r="DB143" i="3"/>
  <c r="DD143" i="3"/>
  <c r="DF143" i="3"/>
  <c r="DH143" i="3"/>
  <c r="DJ143" i="3"/>
  <c r="DL143" i="3"/>
  <c r="DN143" i="3"/>
  <c r="DP143" i="3"/>
  <c r="DR143" i="3"/>
  <c r="DT143" i="3"/>
  <c r="DV143" i="3"/>
  <c r="DX143" i="3"/>
  <c r="DZ143" i="3"/>
  <c r="EB143" i="3"/>
  <c r="ED143" i="3"/>
  <c r="EF143" i="3"/>
  <c r="EH143" i="3"/>
  <c r="K144" i="3"/>
  <c r="M144" i="3"/>
  <c r="O144" i="3"/>
  <c r="Q144" i="3"/>
  <c r="S144" i="3"/>
  <c r="U144" i="3"/>
  <c r="W144" i="3"/>
  <c r="Y144" i="3"/>
  <c r="AA144" i="3"/>
  <c r="AC144" i="3"/>
  <c r="AE144" i="3"/>
  <c r="AG144" i="3"/>
  <c r="AI144" i="3"/>
  <c r="AK144" i="3"/>
  <c r="AM144" i="3"/>
  <c r="AO144" i="3"/>
  <c r="AQ144" i="3"/>
  <c r="AS144" i="3"/>
  <c r="AU144" i="3"/>
  <c r="AW144" i="3"/>
  <c r="AY144" i="3"/>
  <c r="BA144" i="3"/>
  <c r="BC144" i="3"/>
  <c r="BE144" i="3"/>
  <c r="BG144" i="3"/>
  <c r="BI144" i="3"/>
  <c r="BK144" i="3"/>
  <c r="BM144" i="3"/>
  <c r="BO144" i="3"/>
  <c r="BQ144" i="3"/>
  <c r="BS144" i="3"/>
  <c r="BU144" i="3"/>
  <c r="BW144" i="3"/>
  <c r="BY144" i="3"/>
  <c r="CA144" i="3"/>
  <c r="CC144" i="3"/>
  <c r="CE144" i="3"/>
  <c r="CG144" i="3"/>
  <c r="CI144" i="3"/>
  <c r="CK144" i="3"/>
  <c r="CM144" i="3"/>
  <c r="CO144" i="3"/>
  <c r="CQ144" i="3"/>
  <c r="CS144" i="3"/>
  <c r="CU144" i="3"/>
  <c r="CW144" i="3"/>
  <c r="CY144" i="3"/>
  <c r="DA144" i="3"/>
  <c r="DC144" i="3"/>
  <c r="DE144" i="3"/>
  <c r="DG144" i="3"/>
  <c r="DI144" i="3"/>
  <c r="DK144" i="3"/>
  <c r="DM144" i="3"/>
  <c r="DO144" i="3"/>
  <c r="DQ144" i="3"/>
  <c r="DS144" i="3"/>
  <c r="DU144" i="3"/>
  <c r="DW144" i="3"/>
  <c r="DY144" i="3"/>
  <c r="EA144" i="3"/>
  <c r="EC144" i="3"/>
  <c r="EE144" i="3"/>
  <c r="EG144" i="3"/>
  <c r="EI144" i="3"/>
  <c r="L145" i="3"/>
  <c r="N145" i="3"/>
  <c r="P145" i="3"/>
  <c r="R145" i="3"/>
  <c r="T145" i="3"/>
  <c r="V145" i="3"/>
  <c r="X145" i="3"/>
  <c r="Z145" i="3"/>
  <c r="AB145" i="3"/>
  <c r="AD145" i="3"/>
  <c r="AF145" i="3"/>
  <c r="AH145" i="3"/>
  <c r="AJ145" i="3"/>
  <c r="AL145" i="3"/>
  <c r="AN145" i="3"/>
  <c r="AP145" i="3"/>
  <c r="AR145" i="3"/>
  <c r="AT145" i="3"/>
  <c r="AV145" i="3"/>
  <c r="AX145" i="3"/>
  <c r="AZ145" i="3"/>
  <c r="BB145" i="3"/>
  <c r="BD145" i="3"/>
  <c r="BF145" i="3"/>
  <c r="BH145" i="3"/>
  <c r="BJ145" i="3"/>
  <c r="BL145" i="3"/>
  <c r="BN145" i="3"/>
  <c r="BP145" i="3"/>
  <c r="BR145" i="3"/>
  <c r="BT145" i="3"/>
  <c r="BV145" i="3"/>
  <c r="BX145" i="3"/>
  <c r="BZ145" i="3"/>
  <c r="CB145" i="3"/>
  <c r="CD145" i="3"/>
  <c r="CF145" i="3"/>
  <c r="CH145" i="3"/>
  <c r="CJ145" i="3"/>
  <c r="CL145" i="3"/>
  <c r="CN145" i="3"/>
  <c r="CP145" i="3"/>
  <c r="CR145" i="3"/>
  <c r="CT145" i="3"/>
  <c r="CV145" i="3"/>
  <c r="CX145" i="3"/>
  <c r="CZ145" i="3"/>
  <c r="DB145" i="3"/>
  <c r="DD145" i="3"/>
  <c r="DF145" i="3"/>
  <c r="DH145" i="3"/>
  <c r="DJ145" i="3"/>
  <c r="DL145" i="3"/>
  <c r="DN145" i="3"/>
  <c r="DP145" i="3"/>
  <c r="DR145" i="3"/>
  <c r="DT145" i="3"/>
  <c r="DV145" i="3"/>
  <c r="DX145" i="3"/>
  <c r="DZ145" i="3"/>
  <c r="EB145" i="3"/>
  <c r="ED145" i="3"/>
  <c r="EF145" i="3"/>
  <c r="EH145" i="3"/>
  <c r="X146" i="3"/>
  <c r="Z146" i="3"/>
  <c r="AB146" i="3"/>
  <c r="AD146" i="3"/>
  <c r="AF146" i="3"/>
  <c r="AH146" i="3"/>
  <c r="AJ146" i="3"/>
  <c r="AL146" i="3"/>
  <c r="AN146" i="3"/>
  <c r="AP146" i="3"/>
  <c r="AR146" i="3"/>
  <c r="AT146" i="3"/>
  <c r="AV146" i="3"/>
  <c r="AX146" i="3"/>
  <c r="AZ146" i="3"/>
  <c r="BB146" i="3"/>
  <c r="BD146" i="3"/>
  <c r="BF146" i="3"/>
  <c r="BH146" i="3"/>
  <c r="BJ146" i="3"/>
  <c r="BL146" i="3"/>
  <c r="BN146" i="3"/>
  <c r="BP146" i="3"/>
  <c r="BR146" i="3"/>
  <c r="BT146" i="3"/>
  <c r="BV146" i="3"/>
  <c r="BX146" i="3"/>
  <c r="BZ146" i="3"/>
  <c r="CB146" i="3"/>
  <c r="CD146" i="3"/>
  <c r="CF146" i="3"/>
  <c r="CH146" i="3"/>
  <c r="CJ146" i="3"/>
  <c r="CL146" i="3"/>
  <c r="CN146" i="3"/>
  <c r="CP146" i="3"/>
  <c r="CR146" i="3"/>
  <c r="CT146" i="3"/>
  <c r="CV146" i="3"/>
  <c r="CX146" i="3"/>
  <c r="CZ146" i="3"/>
  <c r="DB146" i="3"/>
  <c r="DD146" i="3"/>
  <c r="DF146" i="3"/>
  <c r="DH146" i="3"/>
  <c r="DJ146" i="3"/>
  <c r="DL146" i="3"/>
  <c r="DN146" i="3"/>
  <c r="DP146" i="3"/>
  <c r="DR146" i="3"/>
  <c r="DT146" i="3"/>
  <c r="DV146" i="3"/>
  <c r="DX146" i="3"/>
  <c r="DZ146" i="3"/>
  <c r="EB146" i="3"/>
  <c r="ED146" i="3"/>
  <c r="EF146" i="3"/>
  <c r="EH146" i="3"/>
  <c r="L147" i="3"/>
  <c r="N147" i="3"/>
  <c r="P147" i="3"/>
  <c r="R147" i="3"/>
  <c r="T147" i="3"/>
  <c r="V147" i="3"/>
  <c r="X147" i="3"/>
  <c r="Z147" i="3"/>
  <c r="AB147" i="3"/>
  <c r="AD147" i="3"/>
  <c r="AF147" i="3"/>
  <c r="AH147" i="3"/>
  <c r="AJ147" i="3"/>
  <c r="AL147" i="3"/>
  <c r="AN147" i="3"/>
  <c r="AP147" i="3"/>
  <c r="AR147" i="3"/>
  <c r="AT147" i="3"/>
  <c r="AV147" i="3"/>
  <c r="AX147" i="3"/>
  <c r="AZ147" i="3"/>
  <c r="BB147" i="3"/>
  <c r="BD147" i="3"/>
  <c r="BF147" i="3"/>
  <c r="BH147" i="3"/>
  <c r="BJ147" i="3"/>
  <c r="BL147" i="3"/>
  <c r="BN147" i="3"/>
  <c r="BP147" i="3"/>
  <c r="BR147" i="3"/>
  <c r="BT147" i="3"/>
  <c r="BV147" i="3"/>
  <c r="BX147" i="3"/>
  <c r="BZ147" i="3"/>
  <c r="CB147" i="3"/>
  <c r="CD147" i="3"/>
  <c r="CF147" i="3"/>
  <c r="CH147" i="3"/>
  <c r="CJ147" i="3"/>
  <c r="CL147" i="3"/>
  <c r="CN147" i="3"/>
  <c r="CP147" i="3"/>
  <c r="CR147" i="3"/>
  <c r="CT147" i="3"/>
  <c r="CV147" i="3"/>
  <c r="CX147" i="3"/>
  <c r="CZ147" i="3"/>
  <c r="DB147" i="3"/>
  <c r="DD147" i="3"/>
  <c r="DF147" i="3"/>
  <c r="DH147" i="3"/>
  <c r="DJ147" i="3"/>
  <c r="DL147" i="3"/>
  <c r="DN147" i="3"/>
  <c r="DP147" i="3"/>
  <c r="DR147" i="3"/>
  <c r="DT147" i="3"/>
  <c r="DV147" i="3"/>
  <c r="DX147" i="3"/>
  <c r="DZ147" i="3"/>
  <c r="EB147" i="3"/>
  <c r="ED147" i="3"/>
  <c r="EF147" i="3"/>
  <c r="EH147" i="3"/>
  <c r="BY148" i="3"/>
  <c r="CA148" i="3"/>
  <c r="CC148" i="3"/>
  <c r="CE148" i="3"/>
  <c r="CG148" i="3"/>
  <c r="CI148" i="3"/>
  <c r="CK148" i="3"/>
  <c r="CM148" i="3"/>
  <c r="CO148" i="3"/>
  <c r="CQ148" i="3"/>
  <c r="CS148" i="3"/>
  <c r="CU148" i="3"/>
  <c r="CW148" i="3"/>
  <c r="CY148" i="3"/>
  <c r="DA148" i="3"/>
  <c r="DC148" i="3"/>
  <c r="DE148" i="3"/>
  <c r="DG148" i="3"/>
  <c r="DI148" i="3"/>
  <c r="DK148" i="3"/>
  <c r="DM148" i="3"/>
  <c r="DO148" i="3"/>
  <c r="DQ148" i="3"/>
  <c r="DS148" i="3"/>
  <c r="DU148" i="3"/>
  <c r="DW148" i="3"/>
  <c r="DY148" i="3"/>
  <c r="EA148" i="3"/>
  <c r="EC148" i="3"/>
  <c r="EE148" i="3"/>
  <c r="EG148" i="3"/>
  <c r="EI148" i="3"/>
  <c r="L149" i="3"/>
  <c r="N149" i="3"/>
  <c r="P149" i="3"/>
  <c r="R149" i="3"/>
  <c r="T149" i="3"/>
  <c r="V149" i="3"/>
  <c r="X149" i="3"/>
  <c r="Z149" i="3"/>
  <c r="AB149" i="3"/>
  <c r="AD149" i="3"/>
  <c r="AF149" i="3"/>
  <c r="AH149" i="3"/>
  <c r="AJ149" i="3"/>
  <c r="AL149" i="3"/>
  <c r="AN149" i="3"/>
  <c r="AP149" i="3"/>
  <c r="AR149" i="3"/>
  <c r="AT149" i="3"/>
  <c r="AV149" i="3"/>
  <c r="AX149" i="3"/>
  <c r="AZ149" i="3"/>
  <c r="BB149" i="3"/>
  <c r="BD149" i="3"/>
  <c r="BF149" i="3"/>
  <c r="BH149" i="3"/>
  <c r="BJ149" i="3"/>
  <c r="BL149" i="3"/>
  <c r="BN149" i="3"/>
  <c r="BP149" i="3"/>
  <c r="BR149" i="3"/>
  <c r="BT149" i="3"/>
  <c r="BV149" i="3"/>
  <c r="BX149" i="3"/>
  <c r="BZ149" i="3"/>
  <c r="CB149" i="3"/>
  <c r="CD149" i="3"/>
  <c r="CF149" i="3"/>
  <c r="CH149" i="3"/>
  <c r="CJ149" i="3"/>
  <c r="CL149" i="3"/>
  <c r="CN149" i="3"/>
  <c r="CP149" i="3"/>
  <c r="CR149" i="3"/>
  <c r="CT149" i="3"/>
  <c r="CV149" i="3"/>
  <c r="CX149" i="3"/>
  <c r="CZ149" i="3"/>
  <c r="DB149" i="3"/>
  <c r="DD149" i="3"/>
  <c r="DF149" i="3"/>
  <c r="DH149" i="3"/>
  <c r="DJ149" i="3"/>
  <c r="DL149" i="3"/>
  <c r="DN149" i="3"/>
  <c r="DP149" i="3"/>
  <c r="DR149" i="3"/>
  <c r="DT149" i="3"/>
  <c r="DV149" i="3"/>
  <c r="DX149" i="3"/>
  <c r="DZ149" i="3"/>
  <c r="EB149" i="3"/>
  <c r="ED149" i="3"/>
  <c r="EF149" i="3"/>
  <c r="EH149" i="3"/>
  <c r="S150" i="3"/>
  <c r="U150" i="3"/>
  <c r="W150" i="3"/>
  <c r="Y150" i="3"/>
  <c r="AA150" i="3"/>
  <c r="AC150" i="3"/>
  <c r="AE150" i="3"/>
  <c r="AG150" i="3"/>
  <c r="AI150" i="3"/>
  <c r="AK150" i="3"/>
  <c r="AM150" i="3"/>
  <c r="AO150" i="3"/>
  <c r="AQ150" i="3"/>
  <c r="AS150" i="3"/>
  <c r="AU150" i="3"/>
  <c r="AW150" i="3"/>
  <c r="AY150" i="3"/>
  <c r="BA150" i="3"/>
  <c r="BC150" i="3"/>
  <c r="BE150" i="3"/>
  <c r="BG150" i="3"/>
  <c r="BI150" i="3"/>
  <c r="BK150" i="3"/>
  <c r="BM150" i="3"/>
  <c r="BO150" i="3"/>
  <c r="BQ150" i="3"/>
  <c r="BS150" i="3"/>
  <c r="BU150" i="3"/>
  <c r="BW150" i="3"/>
  <c r="BY150" i="3"/>
  <c r="CA150" i="3"/>
  <c r="CC150" i="3"/>
  <c r="CE150" i="3"/>
  <c r="CG150" i="3"/>
  <c r="CI150" i="3"/>
  <c r="CK150" i="3"/>
  <c r="CM150" i="3"/>
  <c r="CO150" i="3"/>
  <c r="CQ150" i="3"/>
  <c r="CS150" i="3"/>
  <c r="CU150" i="3"/>
  <c r="CW150" i="3"/>
  <c r="CY150" i="3"/>
  <c r="DA150" i="3"/>
  <c r="DC150" i="3"/>
  <c r="DE150" i="3"/>
  <c r="DG150" i="3"/>
  <c r="DI150" i="3"/>
  <c r="DK150" i="3"/>
  <c r="DM150" i="3"/>
  <c r="DO150" i="3"/>
  <c r="DQ150" i="3"/>
  <c r="DS150" i="3"/>
  <c r="DU150" i="3"/>
  <c r="DW150" i="3"/>
  <c r="DY150" i="3"/>
  <c r="EA150" i="3"/>
  <c r="EC150" i="3"/>
  <c r="EE150" i="3"/>
  <c r="EG150" i="3"/>
  <c r="EI150" i="3"/>
  <c r="AB151" i="3"/>
  <c r="AD151" i="3"/>
  <c r="AF151" i="3"/>
  <c r="AH151" i="3"/>
  <c r="AJ151" i="3"/>
  <c r="AL151" i="3"/>
  <c r="AN151" i="3"/>
  <c r="AP151" i="3"/>
  <c r="AR151" i="3"/>
  <c r="AT151" i="3"/>
  <c r="AV151" i="3"/>
  <c r="AX151" i="3"/>
  <c r="AZ151" i="3"/>
  <c r="BB151" i="3"/>
  <c r="BD151" i="3"/>
  <c r="BF151" i="3"/>
  <c r="BH151" i="3"/>
  <c r="BJ151" i="3"/>
  <c r="BL151" i="3"/>
  <c r="BN151" i="3"/>
  <c r="BP151" i="3"/>
  <c r="BR151" i="3"/>
  <c r="BT151" i="3"/>
  <c r="BV151" i="3"/>
  <c r="BX151" i="3"/>
  <c r="BZ151" i="3"/>
  <c r="CB151" i="3"/>
  <c r="CD151" i="3"/>
  <c r="CF151" i="3"/>
  <c r="CH151" i="3"/>
  <c r="CJ151" i="3"/>
  <c r="CL151" i="3"/>
  <c r="CN151" i="3"/>
  <c r="CP151" i="3"/>
  <c r="CR151" i="3"/>
  <c r="CT151" i="3"/>
  <c r="CV151" i="3"/>
  <c r="CX151" i="3"/>
  <c r="CZ151" i="3"/>
  <c r="DB151" i="3"/>
  <c r="DD151" i="3"/>
  <c r="DF151" i="3"/>
  <c r="DH151" i="3"/>
  <c r="DJ151" i="3"/>
  <c r="DL151" i="3"/>
  <c r="DN151" i="3"/>
  <c r="DP151" i="3"/>
  <c r="DR151" i="3"/>
  <c r="DT151" i="3"/>
  <c r="DV151" i="3"/>
  <c r="DX151" i="3"/>
  <c r="DZ151" i="3"/>
  <c r="EB151" i="3"/>
  <c r="ED151" i="3"/>
  <c r="EF151" i="3"/>
  <c r="EH151" i="3"/>
  <c r="Y152" i="3"/>
  <c r="AA152" i="3"/>
  <c r="AC152" i="3"/>
  <c r="AE152" i="3"/>
  <c r="AG152" i="3"/>
  <c r="AI152" i="3"/>
  <c r="AK152" i="3"/>
  <c r="AM152" i="3"/>
  <c r="AO152" i="3"/>
  <c r="AQ152" i="3"/>
  <c r="AS152" i="3"/>
  <c r="AU152" i="3"/>
  <c r="AW152" i="3"/>
  <c r="AY152" i="3"/>
  <c r="BA152" i="3"/>
  <c r="BC152" i="3"/>
  <c r="BE152" i="3"/>
  <c r="BG152" i="3"/>
  <c r="BI152" i="3"/>
  <c r="BK152" i="3"/>
  <c r="BM152" i="3"/>
  <c r="BO152" i="3"/>
  <c r="BQ152" i="3"/>
  <c r="BS152" i="3"/>
  <c r="BU152" i="3"/>
  <c r="BW152" i="3"/>
  <c r="BY152" i="3"/>
  <c r="CA152" i="3"/>
  <c r="CC152" i="3"/>
  <c r="CE152" i="3"/>
  <c r="CG152" i="3"/>
  <c r="CI152" i="3"/>
  <c r="CK152" i="3"/>
  <c r="CM152" i="3"/>
  <c r="CO152" i="3"/>
  <c r="CQ152" i="3"/>
  <c r="CS152" i="3"/>
  <c r="CU152" i="3"/>
  <c r="CW152" i="3"/>
  <c r="CY152" i="3"/>
  <c r="DA152" i="3"/>
  <c r="DC152" i="3"/>
  <c r="DE152" i="3"/>
  <c r="DG152" i="3"/>
  <c r="DI152" i="3"/>
  <c r="DK152" i="3"/>
  <c r="DM152" i="3"/>
  <c r="DO152" i="3"/>
  <c r="DQ152" i="3"/>
  <c r="DS152" i="3"/>
  <c r="DU152" i="3"/>
  <c r="DW152" i="3"/>
  <c r="DY152" i="3"/>
  <c r="EA152" i="3"/>
  <c r="EC152" i="3"/>
  <c r="EE152" i="3"/>
  <c r="EG152" i="3"/>
  <c r="EI152" i="3"/>
  <c r="ED153" i="3"/>
  <c r="EF153" i="3"/>
  <c r="EH153" i="3"/>
  <c r="W154" i="3"/>
  <c r="Y154" i="3"/>
  <c r="AA154" i="3"/>
  <c r="AC154" i="3"/>
  <c r="AE154" i="3"/>
  <c r="AG154" i="3"/>
  <c r="AI154" i="3"/>
  <c r="AK154" i="3"/>
  <c r="AM154" i="3"/>
  <c r="AO154" i="3"/>
  <c r="AQ154" i="3"/>
  <c r="AS154" i="3"/>
  <c r="AU154" i="3"/>
  <c r="AW154" i="3"/>
  <c r="AY154" i="3"/>
  <c r="BA154" i="3"/>
  <c r="BC154" i="3"/>
  <c r="BE154" i="3"/>
  <c r="BG154" i="3"/>
  <c r="BI154" i="3"/>
  <c r="BK154" i="3"/>
  <c r="BM154" i="3"/>
  <c r="BO154" i="3"/>
  <c r="BQ154" i="3"/>
  <c r="BS154" i="3"/>
  <c r="BU154" i="3"/>
  <c r="BW154" i="3"/>
  <c r="BY154" i="3"/>
  <c r="CA154" i="3"/>
  <c r="CC154" i="3"/>
  <c r="CE154" i="3"/>
  <c r="CG154" i="3"/>
  <c r="CI154" i="3"/>
  <c r="CK154" i="3"/>
  <c r="CM154" i="3"/>
  <c r="CO154" i="3"/>
  <c r="CQ154" i="3"/>
  <c r="CS154" i="3"/>
  <c r="CU154" i="3"/>
  <c r="CW154" i="3"/>
  <c r="CY154" i="3"/>
  <c r="DA154" i="3"/>
  <c r="DC154" i="3"/>
  <c r="DE154" i="3"/>
  <c r="DG154" i="3"/>
  <c r="DI154" i="3"/>
  <c r="DK154" i="3"/>
  <c r="DM154" i="3"/>
  <c r="DO154" i="3"/>
  <c r="DQ154" i="3"/>
  <c r="DS154" i="3"/>
  <c r="DU154" i="3"/>
  <c r="DW154" i="3"/>
  <c r="DY154" i="3"/>
  <c r="EA154" i="3"/>
  <c r="EC154" i="3"/>
  <c r="EE154" i="3"/>
  <c r="EG154" i="3"/>
  <c r="EI154" i="3"/>
  <c r="S155" i="3"/>
  <c r="U155" i="3"/>
  <c r="W155" i="3"/>
  <c r="Y155" i="3"/>
  <c r="AA155" i="3"/>
  <c r="AC155" i="3"/>
  <c r="AE155" i="3"/>
  <c r="AG155" i="3"/>
  <c r="AI155" i="3"/>
  <c r="AK155" i="3"/>
  <c r="AM155" i="3"/>
  <c r="AO155" i="3"/>
  <c r="AQ155" i="3"/>
  <c r="AS155" i="3"/>
  <c r="AU155" i="3"/>
  <c r="AW155" i="3"/>
  <c r="AY155" i="3"/>
  <c r="BA155" i="3"/>
  <c r="BC155" i="3"/>
  <c r="BE155" i="3"/>
  <c r="BG155" i="3"/>
  <c r="BI155" i="3"/>
  <c r="BK155" i="3"/>
  <c r="BM155" i="3"/>
  <c r="BO155" i="3"/>
  <c r="BQ155" i="3"/>
  <c r="BS155" i="3"/>
  <c r="BU155" i="3"/>
  <c r="BW155" i="3"/>
  <c r="BY155" i="3"/>
  <c r="CA155" i="3"/>
  <c r="CC155" i="3"/>
  <c r="CE155" i="3"/>
  <c r="CG155" i="3"/>
  <c r="CI155" i="3"/>
  <c r="CK155" i="3"/>
  <c r="CM155" i="3"/>
  <c r="CO155" i="3"/>
  <c r="CQ155" i="3"/>
  <c r="CS155" i="3"/>
  <c r="CU155" i="3"/>
  <c r="CW155" i="3"/>
  <c r="CY155" i="3"/>
  <c r="DA155" i="3"/>
  <c r="DC155" i="3"/>
  <c r="DE155" i="3"/>
  <c r="DG155" i="3"/>
  <c r="DI155" i="3"/>
  <c r="DK155" i="3"/>
  <c r="DM155" i="3"/>
  <c r="DO155" i="3"/>
  <c r="DQ155" i="3"/>
  <c r="DS155" i="3"/>
  <c r="DU155" i="3"/>
  <c r="DW155" i="3"/>
  <c r="DY155" i="3"/>
  <c r="EA155" i="3"/>
  <c r="EC155" i="3"/>
  <c r="EE155" i="3"/>
  <c r="EG155" i="3"/>
  <c r="EI155" i="3"/>
  <c r="S156" i="3"/>
  <c r="U156" i="3"/>
  <c r="W156" i="3"/>
  <c r="Y156" i="3"/>
  <c r="AA156" i="3"/>
  <c r="AC156" i="3"/>
  <c r="AE156" i="3"/>
  <c r="AG156" i="3"/>
  <c r="AI156" i="3"/>
  <c r="AK156" i="3"/>
  <c r="AM156" i="3"/>
  <c r="AO156" i="3"/>
  <c r="AQ156" i="3"/>
  <c r="AS156" i="3"/>
  <c r="AU156" i="3"/>
  <c r="AW156" i="3"/>
  <c r="AY156" i="3"/>
  <c r="BA156" i="3"/>
  <c r="BC156" i="3"/>
  <c r="BE156" i="3"/>
  <c r="BG156" i="3"/>
  <c r="BI156" i="3"/>
  <c r="BK156" i="3"/>
  <c r="BM156" i="3"/>
  <c r="BO156" i="3"/>
  <c r="BQ156" i="3"/>
  <c r="BS156" i="3"/>
  <c r="BU156" i="3"/>
  <c r="BW156" i="3"/>
  <c r="BY156" i="3"/>
  <c r="CA156" i="3"/>
  <c r="CC156" i="3"/>
  <c r="CE156" i="3"/>
  <c r="CG156" i="3"/>
  <c r="CI156" i="3"/>
  <c r="CK156" i="3"/>
  <c r="CM156" i="3"/>
  <c r="CO156" i="3"/>
  <c r="CQ156" i="3"/>
  <c r="CS156" i="3"/>
  <c r="CU156" i="3"/>
  <c r="CW156" i="3"/>
  <c r="CY156" i="3"/>
  <c r="DA156" i="3"/>
  <c r="DC156" i="3"/>
  <c r="DE156" i="3"/>
  <c r="DG156" i="3"/>
  <c r="DI156" i="3"/>
  <c r="DK156" i="3"/>
  <c r="DM156" i="3"/>
  <c r="DO156" i="3"/>
  <c r="DQ156" i="3"/>
  <c r="DS156" i="3"/>
  <c r="DU156" i="3"/>
  <c r="DW156" i="3"/>
  <c r="DY156" i="3"/>
  <c r="EA156" i="3"/>
  <c r="EC156" i="3"/>
  <c r="EE156" i="3"/>
  <c r="EG156" i="3"/>
  <c r="EI156" i="3"/>
  <c r="CC157" i="3"/>
  <c r="CE157" i="3"/>
  <c r="CG157" i="3"/>
  <c r="CI157" i="3"/>
  <c r="CK157" i="3"/>
  <c r="CM157" i="3"/>
  <c r="CO157" i="3"/>
  <c r="CQ157" i="3"/>
  <c r="CS157" i="3"/>
  <c r="CU157" i="3"/>
  <c r="CW157" i="3"/>
  <c r="CY157" i="3"/>
  <c r="DA157" i="3"/>
  <c r="DC157" i="3"/>
  <c r="DE157" i="3"/>
  <c r="DG157" i="3"/>
  <c r="DI157" i="3"/>
  <c r="DK157" i="3"/>
  <c r="DM157" i="3"/>
  <c r="DO157" i="3"/>
  <c r="DQ157" i="3"/>
  <c r="DS157" i="3"/>
  <c r="DU157" i="3"/>
  <c r="DW157" i="3"/>
  <c r="DY157" i="3"/>
  <c r="EA157" i="3"/>
  <c r="EC157" i="3"/>
  <c r="EE157" i="3"/>
  <c r="EG157" i="3"/>
  <c r="EI157" i="3"/>
  <c r="P158" i="3"/>
  <c r="R158" i="3"/>
  <c r="T158" i="3"/>
  <c r="V158" i="3"/>
  <c r="X158" i="3"/>
  <c r="Z158" i="3"/>
  <c r="AB158" i="3"/>
  <c r="AD158" i="3"/>
  <c r="AF158" i="3"/>
  <c r="AH158" i="3"/>
  <c r="AJ158" i="3"/>
  <c r="AL158" i="3"/>
  <c r="AN158" i="3"/>
  <c r="AP158" i="3"/>
  <c r="AR158" i="3"/>
  <c r="AT158" i="3"/>
  <c r="AV158" i="3"/>
  <c r="AX158" i="3"/>
  <c r="AZ158" i="3"/>
  <c r="BB158" i="3"/>
  <c r="BD158" i="3"/>
  <c r="BF158" i="3"/>
  <c r="BH158" i="3"/>
  <c r="BJ158" i="3"/>
  <c r="BL158" i="3"/>
  <c r="BN158" i="3"/>
  <c r="BP158" i="3"/>
  <c r="BR158" i="3"/>
  <c r="BT158" i="3"/>
  <c r="BV158" i="3"/>
  <c r="BX158" i="3"/>
  <c r="BZ158" i="3"/>
  <c r="CB158" i="3"/>
  <c r="CD158" i="3"/>
  <c r="CF158" i="3"/>
  <c r="CH158" i="3"/>
  <c r="CJ158" i="3"/>
  <c r="CL158" i="3"/>
  <c r="CN158" i="3"/>
  <c r="CP158" i="3"/>
  <c r="CR158" i="3"/>
  <c r="CT158" i="3"/>
  <c r="CV158" i="3"/>
  <c r="CX158" i="3"/>
  <c r="CZ158" i="3"/>
  <c r="DB158" i="3"/>
  <c r="DD158" i="3"/>
  <c r="DF158" i="3"/>
  <c r="DH158" i="3"/>
  <c r="DJ158" i="3"/>
  <c r="DL158" i="3"/>
  <c r="DN158" i="3"/>
  <c r="DP158" i="3"/>
  <c r="DR158" i="3"/>
  <c r="DT158" i="3"/>
  <c r="DV158" i="3"/>
  <c r="DX158" i="3"/>
  <c r="DZ158" i="3"/>
  <c r="EB158" i="3"/>
  <c r="ED158" i="3"/>
  <c r="EF158" i="3"/>
  <c r="EH158" i="3"/>
  <c r="K159" i="3"/>
  <c r="M159" i="3"/>
  <c r="O159" i="3"/>
  <c r="Q159" i="3"/>
  <c r="S159" i="3"/>
  <c r="U159" i="3"/>
  <c r="W159" i="3"/>
  <c r="Y159" i="3"/>
  <c r="AA159" i="3"/>
  <c r="AC159" i="3"/>
  <c r="AE159" i="3"/>
  <c r="AG159" i="3"/>
  <c r="AI159" i="3"/>
  <c r="AK159" i="3"/>
  <c r="AM159" i="3"/>
  <c r="AO159" i="3"/>
  <c r="AQ159" i="3"/>
  <c r="AS159" i="3"/>
  <c r="AU159" i="3"/>
  <c r="AW159" i="3"/>
  <c r="AY159" i="3"/>
  <c r="BA159" i="3"/>
  <c r="BC159" i="3"/>
  <c r="BE159" i="3"/>
  <c r="BG159" i="3"/>
  <c r="BI159" i="3"/>
  <c r="BK159" i="3"/>
  <c r="BM159" i="3"/>
  <c r="BO159" i="3"/>
  <c r="BQ159" i="3"/>
  <c r="BS159" i="3"/>
  <c r="BU159" i="3"/>
  <c r="BW159" i="3"/>
  <c r="BY159" i="3"/>
  <c r="CA159" i="3"/>
  <c r="CC159" i="3"/>
  <c r="CE159" i="3"/>
  <c r="CG159" i="3"/>
  <c r="CI159" i="3"/>
  <c r="CK159" i="3"/>
  <c r="CM159" i="3"/>
  <c r="CO159" i="3"/>
  <c r="CQ159" i="3"/>
  <c r="CS159" i="3"/>
  <c r="CU159" i="3"/>
  <c r="CW159" i="3"/>
  <c r="CY159" i="3"/>
  <c r="DA159" i="3"/>
  <c r="DC159" i="3"/>
  <c r="DE159" i="3"/>
  <c r="DG159" i="3"/>
  <c r="DI159" i="3"/>
  <c r="DK159" i="3"/>
  <c r="DM159" i="3"/>
  <c r="DO159" i="3"/>
  <c r="DQ159" i="3"/>
  <c r="DS159" i="3"/>
  <c r="DU159" i="3"/>
  <c r="DW159" i="3"/>
  <c r="DY159" i="3"/>
  <c r="EA159" i="3"/>
  <c r="EC159" i="3"/>
  <c r="EE159" i="3"/>
  <c r="EG159" i="3"/>
  <c r="EI159" i="3"/>
  <c r="T160" i="3"/>
  <c r="V160" i="3"/>
  <c r="X160" i="3"/>
  <c r="Z160" i="3"/>
  <c r="AB160" i="3"/>
  <c r="AD160" i="3"/>
  <c r="AF160" i="3"/>
  <c r="AH160" i="3"/>
  <c r="AJ160" i="3"/>
  <c r="AL160" i="3"/>
  <c r="AN160" i="3"/>
  <c r="AP160" i="3"/>
  <c r="AR160" i="3"/>
  <c r="AT160" i="3"/>
  <c r="AV160" i="3"/>
  <c r="AX160" i="3"/>
  <c r="AZ160" i="3"/>
  <c r="BB160" i="3"/>
  <c r="CU94" i="3"/>
  <c r="CY94" i="3"/>
  <c r="DC94" i="3"/>
  <c r="DG94" i="3"/>
  <c r="DK94" i="3"/>
  <c r="DO94" i="3"/>
  <c r="DS94" i="3"/>
  <c r="DW94" i="3"/>
  <c r="EA94" i="3"/>
  <c r="EE94" i="3"/>
  <c r="EI94" i="3"/>
  <c r="Q95" i="3"/>
  <c r="U95" i="3"/>
  <c r="Y95" i="3"/>
  <c r="AC95" i="3"/>
  <c r="AG95" i="3"/>
  <c r="AK95" i="3"/>
  <c r="AO95" i="3"/>
  <c r="AS95" i="3"/>
  <c r="AW95" i="3"/>
  <c r="BA95" i="3"/>
  <c r="BE95" i="3"/>
  <c r="BI95" i="3"/>
  <c r="BM95" i="3"/>
  <c r="BQ95" i="3"/>
  <c r="BU95" i="3"/>
  <c r="BY95" i="3"/>
  <c r="CC95" i="3"/>
  <c r="CG95" i="3"/>
  <c r="CK95" i="3"/>
  <c r="CO95" i="3"/>
  <c r="CS95" i="3"/>
  <c r="CW95" i="3"/>
  <c r="DA95" i="3"/>
  <c r="DE95" i="3"/>
  <c r="DI95" i="3"/>
  <c r="DM95" i="3"/>
  <c r="DQ95" i="3"/>
  <c r="DU95" i="3"/>
  <c r="DY95" i="3"/>
  <c r="EC95" i="3"/>
  <c r="EG95" i="3"/>
  <c r="P96" i="3"/>
  <c r="T96" i="3"/>
  <c r="X96" i="3"/>
  <c r="AB96" i="3"/>
  <c r="AF96" i="3"/>
  <c r="AJ96" i="3"/>
  <c r="AN96" i="3"/>
  <c r="AR96" i="3"/>
  <c r="AV96" i="3"/>
  <c r="AZ96" i="3"/>
  <c r="BD96" i="3"/>
  <c r="BH96" i="3"/>
  <c r="BL96" i="3"/>
  <c r="BP96" i="3"/>
  <c r="BT96" i="3"/>
  <c r="BX96" i="3"/>
  <c r="CB96" i="3"/>
  <c r="CF96" i="3"/>
  <c r="CJ96" i="3"/>
  <c r="CN96" i="3"/>
  <c r="CR96" i="3"/>
  <c r="CV96" i="3"/>
  <c r="CZ96" i="3"/>
  <c r="DD96" i="3"/>
  <c r="DH96" i="3"/>
  <c r="DL96" i="3"/>
  <c r="DP96" i="3"/>
  <c r="DT96" i="3"/>
  <c r="DX96" i="3"/>
  <c r="EB96" i="3"/>
  <c r="EF96" i="3"/>
  <c r="Q97" i="3"/>
  <c r="U97" i="3"/>
  <c r="Y97" i="3"/>
  <c r="AC97" i="3"/>
  <c r="AG97" i="3"/>
  <c r="AK97" i="3"/>
  <c r="AO97" i="3"/>
  <c r="AS97" i="3"/>
  <c r="AW97" i="3"/>
  <c r="BA97" i="3"/>
  <c r="BE97" i="3"/>
  <c r="BI97" i="3"/>
  <c r="BM97" i="3"/>
  <c r="BQ97" i="3"/>
  <c r="BU97" i="3"/>
  <c r="BY97" i="3"/>
  <c r="CC97" i="3"/>
  <c r="CG97" i="3"/>
  <c r="CK97" i="3"/>
  <c r="CO97" i="3"/>
  <c r="CS97" i="3"/>
  <c r="CW97" i="3"/>
  <c r="DA97" i="3"/>
  <c r="DE97" i="3"/>
  <c r="DI97" i="3"/>
  <c r="DM97" i="3"/>
  <c r="DQ97" i="3"/>
  <c r="DU97" i="3"/>
  <c r="DY97" i="3"/>
  <c r="EC97" i="3"/>
  <c r="EG97" i="3"/>
  <c r="N98" i="3"/>
  <c r="R98" i="3"/>
  <c r="V98" i="3"/>
  <c r="Z98" i="3"/>
  <c r="AD98" i="3"/>
  <c r="AH98" i="3"/>
  <c r="AL98" i="3"/>
  <c r="AP98" i="3"/>
  <c r="AT98" i="3"/>
  <c r="AX98" i="3"/>
  <c r="BB98" i="3"/>
  <c r="BF98" i="3"/>
  <c r="BJ98" i="3"/>
  <c r="BN98" i="3"/>
  <c r="BR98" i="3"/>
  <c r="BV98" i="3"/>
  <c r="BZ98" i="3"/>
  <c r="CD98" i="3"/>
  <c r="CH98" i="3"/>
  <c r="CL98" i="3"/>
  <c r="CP98" i="3"/>
  <c r="CT98" i="3"/>
  <c r="CX98" i="3"/>
  <c r="DB98" i="3"/>
  <c r="DF98" i="3"/>
  <c r="DJ98" i="3"/>
  <c r="DN98" i="3"/>
  <c r="DR98" i="3"/>
  <c r="DV98" i="3"/>
  <c r="DZ98" i="3"/>
  <c r="ED98" i="3"/>
  <c r="EH98" i="3"/>
  <c r="M99" i="3"/>
  <c r="Q99" i="3"/>
  <c r="U99" i="3"/>
  <c r="Y99" i="3"/>
  <c r="AC99" i="3"/>
  <c r="AG99" i="3"/>
  <c r="AK99" i="3"/>
  <c r="AO99" i="3"/>
  <c r="AS99" i="3"/>
  <c r="AW99" i="3"/>
  <c r="BA99" i="3"/>
  <c r="BE99" i="3"/>
  <c r="BI99" i="3"/>
  <c r="BM99" i="3"/>
  <c r="BQ99" i="3"/>
  <c r="BU99" i="3"/>
  <c r="BY99" i="3"/>
  <c r="CC99" i="3"/>
  <c r="CG99" i="3"/>
  <c r="CK99" i="3"/>
  <c r="CO99" i="3"/>
  <c r="CS99" i="3"/>
  <c r="CW99" i="3"/>
  <c r="DA99" i="3"/>
  <c r="DE99" i="3"/>
  <c r="DI99" i="3"/>
  <c r="DM99" i="3"/>
  <c r="DQ99" i="3"/>
  <c r="DU99" i="3"/>
  <c r="DY99" i="3"/>
  <c r="EC99" i="3"/>
  <c r="EG99" i="3"/>
  <c r="U100" i="3"/>
  <c r="Y100" i="3"/>
  <c r="AC100" i="3"/>
  <c r="AG100" i="3"/>
  <c r="AK100" i="3"/>
  <c r="AO100" i="3"/>
  <c r="AS100" i="3"/>
  <c r="AW100" i="3"/>
  <c r="BA100" i="3"/>
  <c r="BE100" i="3"/>
  <c r="BI100" i="3"/>
  <c r="BM100" i="3"/>
  <c r="BQ100" i="3"/>
  <c r="BU100" i="3"/>
  <c r="BY100" i="3"/>
  <c r="CC100" i="3"/>
  <c r="CG100" i="3"/>
  <c r="CK100" i="3"/>
  <c r="CO100" i="3"/>
  <c r="CS100" i="3"/>
  <c r="CW100" i="3"/>
  <c r="DA100" i="3"/>
  <c r="DE100" i="3"/>
  <c r="DI100" i="3"/>
  <c r="DM100" i="3"/>
  <c r="DQ100" i="3"/>
  <c r="DU100" i="3"/>
  <c r="DY100" i="3"/>
  <c r="EC100" i="3"/>
  <c r="EG100" i="3"/>
  <c r="O101" i="3"/>
  <c r="S101" i="3"/>
  <c r="W101" i="3"/>
  <c r="AA101" i="3"/>
  <c r="AE101" i="3"/>
  <c r="AI101" i="3"/>
  <c r="AM101" i="3"/>
  <c r="AQ101" i="3"/>
  <c r="AU101" i="3"/>
  <c r="AY101" i="3"/>
  <c r="BC101" i="3"/>
  <c r="BG101" i="3"/>
  <c r="BK101" i="3"/>
  <c r="BO101" i="3"/>
  <c r="BS101" i="3"/>
  <c r="BW101" i="3"/>
  <c r="CA101" i="3"/>
  <c r="CE101" i="3"/>
  <c r="CI101" i="3"/>
  <c r="CM101" i="3"/>
  <c r="CQ101" i="3"/>
  <c r="CU101" i="3"/>
  <c r="CY101" i="3"/>
  <c r="DC101" i="3"/>
  <c r="DG101" i="3"/>
  <c r="DK101" i="3"/>
  <c r="DO101" i="3"/>
  <c r="DS101" i="3"/>
  <c r="DW101" i="3"/>
  <c r="EA101" i="3"/>
  <c r="EE101" i="3"/>
  <c r="EI101" i="3"/>
  <c r="O103" i="3"/>
  <c r="S103" i="3"/>
  <c r="W103" i="3"/>
  <c r="AA103" i="3"/>
  <c r="AE103" i="3"/>
  <c r="AI103" i="3"/>
  <c r="AM103" i="3"/>
  <c r="AQ103" i="3"/>
  <c r="AU103" i="3"/>
  <c r="AY103" i="3"/>
  <c r="BC103" i="3"/>
  <c r="BG103" i="3"/>
  <c r="BK103" i="3"/>
  <c r="BO103" i="3"/>
  <c r="BS103" i="3"/>
  <c r="BW103" i="3"/>
  <c r="CA103" i="3"/>
  <c r="CE103" i="3"/>
  <c r="CI103" i="3"/>
  <c r="CM103" i="3"/>
  <c r="CQ103" i="3"/>
  <c r="CU103" i="3"/>
  <c r="CY103" i="3"/>
  <c r="DC103" i="3"/>
  <c r="DG103" i="3"/>
  <c r="DK103" i="3"/>
  <c r="DO103" i="3"/>
  <c r="DS103" i="3"/>
  <c r="DW103" i="3"/>
  <c r="EA103" i="3"/>
  <c r="EE103" i="3"/>
  <c r="EI103" i="3"/>
  <c r="P104" i="3"/>
  <c r="T104" i="3"/>
  <c r="X104" i="3"/>
  <c r="AB104" i="3"/>
  <c r="AF104" i="3"/>
  <c r="AJ104" i="3"/>
  <c r="AN104" i="3"/>
  <c r="AR104" i="3"/>
  <c r="AV104" i="3"/>
  <c r="AZ104" i="3"/>
  <c r="BD104" i="3"/>
  <c r="BH104" i="3"/>
  <c r="BL104" i="3"/>
  <c r="BP104" i="3"/>
  <c r="BT104" i="3"/>
  <c r="BX104" i="3"/>
  <c r="CB104" i="3"/>
  <c r="CF104" i="3"/>
  <c r="CJ104" i="3"/>
  <c r="CN104" i="3"/>
  <c r="CR104" i="3"/>
  <c r="CV104" i="3"/>
  <c r="CZ104" i="3"/>
  <c r="DD104" i="3"/>
  <c r="DH104" i="3"/>
  <c r="DL104" i="3"/>
  <c r="DP104" i="3"/>
  <c r="DT104" i="3"/>
  <c r="DX104" i="3"/>
  <c r="EB104" i="3"/>
  <c r="EF104" i="3"/>
  <c r="S105" i="3"/>
  <c r="W105" i="3"/>
  <c r="AA105" i="3"/>
  <c r="AE105" i="3"/>
  <c r="AI105" i="3"/>
  <c r="AM105" i="3"/>
  <c r="AQ105" i="3"/>
  <c r="AU105" i="3"/>
  <c r="AY105" i="3"/>
  <c r="BC105" i="3"/>
  <c r="BG105" i="3"/>
  <c r="BK105" i="3"/>
  <c r="BO105" i="3"/>
  <c r="BS105" i="3"/>
  <c r="BW105" i="3"/>
  <c r="CA105" i="3"/>
  <c r="CE105" i="3"/>
  <c r="CI105" i="3"/>
  <c r="CM105" i="3"/>
  <c r="CQ105" i="3"/>
  <c r="CU105" i="3"/>
  <c r="CY105" i="3"/>
  <c r="DC105" i="3"/>
  <c r="DG105" i="3"/>
  <c r="DK105" i="3"/>
  <c r="DO105" i="3"/>
  <c r="DS105" i="3"/>
  <c r="DW105" i="3"/>
  <c r="EA105" i="3"/>
  <c r="EE105" i="3"/>
  <c r="EI105" i="3"/>
  <c r="X106" i="3"/>
  <c r="AB106" i="3"/>
  <c r="AF106" i="3"/>
  <c r="AJ106" i="3"/>
  <c r="AN106" i="3"/>
  <c r="AR106" i="3"/>
  <c r="AV106" i="3"/>
  <c r="AZ106" i="3"/>
  <c r="BD106" i="3"/>
  <c r="BH106" i="3"/>
  <c r="BL106" i="3"/>
  <c r="BP106" i="3"/>
  <c r="BT106" i="3"/>
  <c r="BX106" i="3"/>
  <c r="CB106" i="3"/>
  <c r="CF106" i="3"/>
  <c r="CJ106" i="3"/>
  <c r="CN106" i="3"/>
  <c r="CR106" i="3"/>
  <c r="CV106" i="3"/>
  <c r="CZ106" i="3"/>
  <c r="DD106" i="3"/>
  <c r="DH106" i="3"/>
  <c r="DL106" i="3"/>
  <c r="DP106" i="3"/>
  <c r="DT106" i="3"/>
  <c r="DX106" i="3"/>
  <c r="EB106" i="3"/>
  <c r="EF106" i="3"/>
  <c r="K107" i="3"/>
  <c r="O107" i="3"/>
  <c r="S107" i="3"/>
  <c r="W107" i="3"/>
  <c r="AA107" i="3"/>
  <c r="AE107" i="3"/>
  <c r="AI107" i="3"/>
  <c r="AM107" i="3"/>
  <c r="AQ107" i="3"/>
  <c r="AU107" i="3"/>
  <c r="AY107" i="3"/>
  <c r="BC107" i="3"/>
  <c r="BG107" i="3"/>
  <c r="BK107" i="3"/>
  <c r="BO107" i="3"/>
  <c r="BS107" i="3"/>
  <c r="BW107" i="3"/>
  <c r="CA107" i="3"/>
  <c r="CE107" i="3"/>
  <c r="CI107" i="3"/>
  <c r="CM107" i="3"/>
  <c r="CQ107" i="3"/>
  <c r="CU107" i="3"/>
  <c r="CY107" i="3"/>
  <c r="DC107" i="3"/>
  <c r="DG107" i="3"/>
  <c r="DK107" i="3"/>
  <c r="DO107" i="3"/>
  <c r="DS107" i="3"/>
  <c r="DW107" i="3"/>
  <c r="EA107" i="3"/>
  <c r="EE107" i="3"/>
  <c r="EI107" i="3"/>
  <c r="N108" i="3"/>
  <c r="R108" i="3"/>
  <c r="V108" i="3"/>
  <c r="Z108" i="3"/>
  <c r="AD108" i="3"/>
  <c r="AH108" i="3"/>
  <c r="AL108" i="3"/>
  <c r="AP108" i="3"/>
  <c r="AT108" i="3"/>
  <c r="AX108" i="3"/>
  <c r="BB108" i="3"/>
  <c r="BF108" i="3"/>
  <c r="BJ108" i="3"/>
  <c r="BN108" i="3"/>
  <c r="BR108" i="3"/>
  <c r="BV108" i="3"/>
  <c r="BZ108" i="3"/>
  <c r="CD108" i="3"/>
  <c r="CH108" i="3"/>
  <c r="CL108" i="3"/>
  <c r="CP108" i="3"/>
  <c r="CT108" i="3"/>
  <c r="CX108" i="3"/>
  <c r="DB108" i="3"/>
  <c r="DF108" i="3"/>
  <c r="DJ108" i="3"/>
  <c r="DN108" i="3"/>
  <c r="DR108" i="3"/>
  <c r="DV108" i="3"/>
  <c r="DZ108" i="3"/>
  <c r="ED108" i="3"/>
  <c r="EH108" i="3"/>
  <c r="P109" i="3"/>
  <c r="T109" i="3"/>
  <c r="X109" i="3"/>
  <c r="AB109" i="3"/>
  <c r="AF109" i="3"/>
  <c r="AJ109" i="3"/>
  <c r="AN109" i="3"/>
  <c r="AR109" i="3"/>
  <c r="AV109" i="3"/>
  <c r="AZ109" i="3"/>
  <c r="BD109" i="3"/>
  <c r="BH109" i="3"/>
  <c r="BL109" i="3"/>
  <c r="BP109" i="3"/>
  <c r="BT109" i="3"/>
  <c r="BX109" i="3"/>
  <c r="CB109" i="3"/>
  <c r="CF109" i="3"/>
  <c r="CJ109" i="3"/>
  <c r="CN109" i="3"/>
  <c r="CR109" i="3"/>
  <c r="CV109" i="3"/>
  <c r="CZ109" i="3"/>
  <c r="DD109" i="3"/>
  <c r="DH109" i="3"/>
  <c r="DL109" i="3"/>
  <c r="DP109" i="3"/>
  <c r="DT109" i="3"/>
  <c r="DX109" i="3"/>
  <c r="EB109" i="3"/>
  <c r="EF109" i="3"/>
  <c r="L110" i="3"/>
  <c r="P110" i="3"/>
  <c r="T110" i="3"/>
  <c r="X110" i="3"/>
  <c r="AB110" i="3"/>
  <c r="AF110" i="3"/>
  <c r="AJ110" i="3"/>
  <c r="AN110" i="3"/>
  <c r="AR110" i="3"/>
  <c r="AV110" i="3"/>
  <c r="AZ110" i="3"/>
  <c r="BD110" i="3"/>
  <c r="BH110" i="3"/>
  <c r="BL110" i="3"/>
  <c r="BP110" i="3"/>
  <c r="BT110" i="3"/>
  <c r="BX110" i="3"/>
  <c r="CB110" i="3"/>
  <c r="CF110" i="3"/>
  <c r="CJ110" i="3"/>
  <c r="CN110" i="3"/>
  <c r="CR110" i="3"/>
  <c r="CV110" i="3"/>
  <c r="CZ110" i="3"/>
  <c r="DD110" i="3"/>
  <c r="DH110" i="3"/>
  <c r="DL110" i="3"/>
  <c r="DP110" i="3"/>
  <c r="DT110" i="3"/>
  <c r="DX110" i="3"/>
  <c r="EB110" i="3"/>
  <c r="EF110" i="3"/>
  <c r="K111" i="3"/>
  <c r="O111" i="3"/>
  <c r="S111" i="3"/>
  <c r="W111" i="3"/>
  <c r="AA111" i="3"/>
  <c r="AE111" i="3"/>
  <c r="AI111" i="3"/>
  <c r="AM111" i="3"/>
  <c r="AQ111" i="3"/>
  <c r="AU111" i="3"/>
  <c r="AY111" i="3"/>
  <c r="BC111" i="3"/>
  <c r="BG111" i="3"/>
  <c r="BK111" i="3"/>
  <c r="BO111" i="3"/>
  <c r="BS111" i="3"/>
  <c r="BW111" i="3"/>
  <c r="CA111" i="3"/>
  <c r="CE111" i="3"/>
  <c r="CI111" i="3"/>
  <c r="CM111" i="3"/>
  <c r="CQ111" i="3"/>
  <c r="CU111" i="3"/>
  <c r="CY111" i="3"/>
  <c r="DC111" i="3"/>
  <c r="DG111" i="3"/>
  <c r="DK111" i="3"/>
  <c r="DO111" i="3"/>
  <c r="DS111" i="3"/>
  <c r="DW111" i="3"/>
  <c r="EA111" i="3"/>
  <c r="EE111" i="3"/>
  <c r="EI111" i="3"/>
  <c r="P112" i="3"/>
  <c r="T112" i="3"/>
  <c r="X112" i="3"/>
  <c r="AB112" i="3"/>
  <c r="AF112" i="3"/>
  <c r="AJ112" i="3"/>
  <c r="AN112" i="3"/>
  <c r="AR112" i="3"/>
  <c r="AV112" i="3"/>
  <c r="AZ112" i="3"/>
  <c r="BD112" i="3"/>
  <c r="BH112" i="3"/>
  <c r="BL112" i="3"/>
  <c r="BP112" i="3"/>
  <c r="BT112" i="3"/>
  <c r="BX112" i="3"/>
  <c r="CB112" i="3"/>
  <c r="CF112" i="3"/>
  <c r="CJ112" i="3"/>
  <c r="CN112" i="3"/>
  <c r="CR112" i="3"/>
  <c r="CV112" i="3"/>
  <c r="CZ112" i="3"/>
  <c r="DD112" i="3"/>
  <c r="DH112" i="3"/>
  <c r="DL112" i="3"/>
  <c r="DP112" i="3"/>
  <c r="DT112" i="3"/>
  <c r="DX112" i="3"/>
  <c r="EB112" i="3"/>
  <c r="EF112" i="3"/>
  <c r="K113" i="3"/>
  <c r="O113" i="3"/>
  <c r="S113" i="3"/>
  <c r="W113" i="3"/>
  <c r="AA113" i="3"/>
  <c r="AE113" i="3"/>
  <c r="AI113" i="3"/>
  <c r="AM113" i="3"/>
  <c r="AQ113" i="3"/>
  <c r="AU113" i="3"/>
  <c r="AY113" i="3"/>
  <c r="BC113" i="3"/>
  <c r="BG113" i="3"/>
  <c r="BK113" i="3"/>
  <c r="BO113" i="3"/>
  <c r="BS113" i="3"/>
  <c r="BW113" i="3"/>
  <c r="CA113" i="3"/>
  <c r="CE113" i="3"/>
  <c r="CI113" i="3"/>
  <c r="CM113" i="3"/>
  <c r="CQ113" i="3"/>
  <c r="CU113" i="3"/>
  <c r="CY113" i="3"/>
  <c r="DC113" i="3"/>
  <c r="DG113" i="3"/>
  <c r="DK113" i="3"/>
  <c r="DO113" i="3"/>
  <c r="DS113" i="3"/>
  <c r="DW113" i="3"/>
  <c r="EA113" i="3"/>
  <c r="EE113" i="3"/>
  <c r="EI113" i="3"/>
  <c r="CB114" i="3"/>
  <c r="CF114" i="3"/>
  <c r="CJ114" i="3"/>
  <c r="CN114" i="3"/>
  <c r="CR114" i="3"/>
  <c r="CV114" i="3"/>
  <c r="CZ114" i="3"/>
  <c r="DD114" i="3"/>
  <c r="DH114" i="3"/>
  <c r="DL114" i="3"/>
  <c r="DP114" i="3"/>
  <c r="DT114" i="3"/>
  <c r="DX114" i="3"/>
  <c r="EB114" i="3"/>
  <c r="EF114" i="3"/>
  <c r="U115" i="3"/>
  <c r="Y115" i="3"/>
  <c r="AC115" i="3"/>
  <c r="AG115" i="3"/>
  <c r="AK115" i="3"/>
  <c r="AO115" i="3"/>
  <c r="AS115" i="3"/>
  <c r="AW115" i="3"/>
  <c r="BA115" i="3"/>
  <c r="BE115" i="3"/>
  <c r="BI115" i="3"/>
  <c r="BM115" i="3"/>
  <c r="BQ115" i="3"/>
  <c r="BU115" i="3"/>
  <c r="BY115" i="3"/>
  <c r="CC115" i="3"/>
  <c r="CG115" i="3"/>
  <c r="CK115" i="3"/>
  <c r="CO115" i="3"/>
  <c r="CS115" i="3"/>
  <c r="CW115" i="3"/>
  <c r="DA115" i="3"/>
  <c r="DE115" i="3"/>
  <c r="DI115" i="3"/>
  <c r="DM115" i="3"/>
  <c r="DQ115" i="3"/>
  <c r="DU115" i="3"/>
  <c r="DY115" i="3"/>
  <c r="EC115" i="3"/>
  <c r="EG115" i="3"/>
  <c r="M116" i="3"/>
  <c r="Q116" i="3"/>
  <c r="U116" i="3"/>
  <c r="Y116" i="3"/>
  <c r="AC116" i="3"/>
  <c r="AG116" i="3"/>
  <c r="AK116" i="3"/>
  <c r="AO116" i="3"/>
  <c r="AS116" i="3"/>
  <c r="AW116" i="3"/>
  <c r="BA116" i="3"/>
  <c r="BE116" i="3"/>
  <c r="BI116" i="3"/>
  <c r="BM116" i="3"/>
  <c r="BQ116" i="3"/>
  <c r="BU116" i="3"/>
  <c r="BY116" i="3"/>
  <c r="CC116" i="3"/>
  <c r="CG116" i="3"/>
  <c r="CK116" i="3"/>
  <c r="CO116" i="3"/>
  <c r="CS116" i="3"/>
  <c r="CW116" i="3"/>
  <c r="DA116" i="3"/>
  <c r="DE116" i="3"/>
  <c r="DI116" i="3"/>
  <c r="DM116" i="3"/>
  <c r="DQ116" i="3"/>
  <c r="DU116" i="3"/>
  <c r="DY116" i="3"/>
  <c r="EC116" i="3"/>
  <c r="EG116" i="3"/>
  <c r="L117" i="3"/>
  <c r="P117" i="3"/>
  <c r="T117" i="3"/>
  <c r="X117" i="3"/>
  <c r="AB117" i="3"/>
  <c r="AF117" i="3"/>
  <c r="AJ117" i="3"/>
  <c r="AN117" i="3"/>
  <c r="AR117" i="3"/>
  <c r="AV117" i="3"/>
  <c r="AZ117" i="3"/>
  <c r="BD117" i="3"/>
  <c r="BH117" i="3"/>
  <c r="BL117" i="3"/>
  <c r="BP117" i="3"/>
  <c r="BT117" i="3"/>
  <c r="BX117" i="3"/>
  <c r="CB117" i="3"/>
  <c r="CF117" i="3"/>
  <c r="CJ117" i="3"/>
  <c r="CN117" i="3"/>
  <c r="CR117" i="3"/>
  <c r="CV117" i="3"/>
  <c r="CZ117" i="3"/>
  <c r="DD117" i="3"/>
  <c r="DH117" i="3"/>
  <c r="DL117" i="3"/>
  <c r="DP117" i="3"/>
  <c r="DT117" i="3"/>
  <c r="DX117" i="3"/>
  <c r="EB117" i="3"/>
  <c r="EF117" i="3"/>
  <c r="M118" i="3"/>
  <c r="Q118" i="3"/>
  <c r="U118" i="3"/>
  <c r="Y118" i="3"/>
  <c r="AC118" i="3"/>
  <c r="AG118" i="3"/>
  <c r="AK118" i="3"/>
  <c r="AO118" i="3"/>
  <c r="AS118" i="3"/>
  <c r="AW118" i="3"/>
  <c r="BA118" i="3"/>
  <c r="BE118" i="3"/>
  <c r="BI118" i="3"/>
  <c r="BM118" i="3"/>
  <c r="BQ118" i="3"/>
  <c r="BU118" i="3"/>
  <c r="BY118" i="3"/>
  <c r="CC118" i="3"/>
  <c r="CG118" i="3"/>
  <c r="CK118" i="3"/>
  <c r="CO118" i="3"/>
  <c r="CS118" i="3"/>
  <c r="CW118" i="3"/>
  <c r="DA118" i="3"/>
  <c r="DE118" i="3"/>
  <c r="DI118" i="3"/>
  <c r="DM118" i="3"/>
  <c r="DQ118" i="3"/>
  <c r="DU118" i="3"/>
  <c r="DY118" i="3"/>
  <c r="EC118" i="3"/>
  <c r="EG118" i="3"/>
  <c r="S119" i="3"/>
  <c r="W119" i="3"/>
  <c r="AA119" i="3"/>
  <c r="AE119" i="3"/>
  <c r="AI119" i="3"/>
  <c r="AM119" i="3"/>
  <c r="AQ119" i="3"/>
  <c r="AU119" i="3"/>
  <c r="AY119" i="3"/>
  <c r="BC119" i="3"/>
  <c r="BG119" i="3"/>
  <c r="BK119" i="3"/>
  <c r="BO119" i="3"/>
  <c r="BS119" i="3"/>
  <c r="BW119" i="3"/>
  <c r="CA119" i="3"/>
  <c r="CE119" i="3"/>
  <c r="CI119" i="3"/>
  <c r="CM119" i="3"/>
  <c r="CQ119" i="3"/>
  <c r="CU119" i="3"/>
  <c r="CY119" i="3"/>
  <c r="DC119" i="3"/>
  <c r="DG119" i="3"/>
  <c r="DK119" i="3"/>
  <c r="DO119" i="3"/>
  <c r="DS119" i="3"/>
  <c r="DW119" i="3"/>
  <c r="EA119" i="3"/>
  <c r="EE119" i="3"/>
  <c r="EI119" i="3"/>
  <c r="P120" i="3"/>
  <c r="T120" i="3"/>
  <c r="X120" i="3"/>
  <c r="AB120" i="3"/>
  <c r="AF120" i="3"/>
  <c r="AJ120" i="3"/>
  <c r="AN120" i="3"/>
  <c r="AR120" i="3"/>
  <c r="AV120" i="3"/>
  <c r="AZ120" i="3"/>
  <c r="BD120" i="3"/>
  <c r="BH120" i="3"/>
  <c r="BL120" i="3"/>
  <c r="BP120" i="3"/>
  <c r="BT120" i="3"/>
  <c r="BX120" i="3"/>
  <c r="CB120" i="3"/>
  <c r="CF120" i="3"/>
  <c r="CJ120" i="3"/>
  <c r="CN120" i="3"/>
  <c r="CR120" i="3"/>
  <c r="CV120" i="3"/>
  <c r="CZ120" i="3"/>
  <c r="DD120" i="3"/>
  <c r="DH120" i="3"/>
  <c r="DL120" i="3"/>
  <c r="DP120" i="3"/>
  <c r="DT120" i="3"/>
  <c r="DX120" i="3"/>
  <c r="EB120" i="3"/>
  <c r="EF120" i="3"/>
  <c r="N121" i="3"/>
  <c r="R121" i="3"/>
  <c r="V121" i="3"/>
  <c r="Z121" i="3"/>
  <c r="AD121" i="3"/>
  <c r="AH121" i="3"/>
  <c r="AL121" i="3"/>
  <c r="AP121" i="3"/>
  <c r="AT121" i="3"/>
  <c r="AX121" i="3"/>
  <c r="BB121" i="3"/>
  <c r="BF121" i="3"/>
  <c r="BJ121" i="3"/>
  <c r="BN121" i="3"/>
  <c r="BR121" i="3"/>
  <c r="BV121" i="3"/>
  <c r="BZ121" i="3"/>
  <c r="CD121" i="3"/>
  <c r="CH121" i="3"/>
  <c r="CL121" i="3"/>
  <c r="CP121" i="3"/>
  <c r="CT121" i="3"/>
  <c r="CX121" i="3"/>
  <c r="DB121" i="3"/>
  <c r="DF121" i="3"/>
  <c r="DJ121" i="3"/>
  <c r="DN121" i="3"/>
  <c r="DR121" i="3"/>
  <c r="DV121" i="3"/>
  <c r="DZ121" i="3"/>
  <c r="ED121" i="3"/>
  <c r="EH121" i="3"/>
  <c r="M122" i="3"/>
  <c r="Q122" i="3"/>
  <c r="U122" i="3"/>
  <c r="Y122" i="3"/>
  <c r="AC122" i="3"/>
  <c r="AG122" i="3"/>
  <c r="AK122" i="3"/>
  <c r="AO122" i="3"/>
  <c r="AS122" i="3"/>
  <c r="AW122" i="3"/>
  <c r="BA122" i="3"/>
  <c r="BE122" i="3"/>
  <c r="BI122" i="3"/>
  <c r="BM122" i="3"/>
  <c r="BQ122" i="3"/>
  <c r="BU122" i="3"/>
  <c r="BY122" i="3"/>
  <c r="CC122" i="3"/>
  <c r="CG122" i="3"/>
  <c r="CK122" i="3"/>
  <c r="CO122" i="3"/>
  <c r="CS122" i="3"/>
  <c r="CW122" i="3"/>
  <c r="DA122" i="3"/>
  <c r="DE122" i="3"/>
  <c r="DI122" i="3"/>
  <c r="DM122" i="3"/>
  <c r="DQ122" i="3"/>
  <c r="DU122" i="3"/>
  <c r="DY122" i="3"/>
  <c r="EC122" i="3"/>
  <c r="EG122" i="3"/>
  <c r="L123" i="3"/>
  <c r="P123" i="3"/>
  <c r="T123" i="3"/>
  <c r="X123" i="3"/>
  <c r="AB123" i="3"/>
  <c r="AF123" i="3"/>
  <c r="AJ123" i="3"/>
  <c r="AN123" i="3"/>
  <c r="AR123" i="3"/>
  <c r="AV123" i="3"/>
  <c r="AZ123" i="3"/>
  <c r="BD123" i="3"/>
  <c r="BH123" i="3"/>
  <c r="BL123" i="3"/>
  <c r="BP123" i="3"/>
  <c r="BT123" i="3"/>
  <c r="BX123" i="3"/>
  <c r="CB123" i="3"/>
  <c r="CF123" i="3"/>
  <c r="CJ123" i="3"/>
  <c r="CN123" i="3"/>
  <c r="CR123" i="3"/>
  <c r="CV123" i="3"/>
  <c r="CZ123" i="3"/>
  <c r="DD123" i="3"/>
  <c r="DH123" i="3"/>
  <c r="DL123" i="3"/>
  <c r="DP123" i="3"/>
  <c r="DT123" i="3"/>
  <c r="DX123" i="3"/>
  <c r="EB123" i="3"/>
  <c r="EF123" i="3"/>
  <c r="K124" i="3"/>
  <c r="O124" i="3"/>
  <c r="S124" i="3"/>
  <c r="W124" i="3"/>
  <c r="AA124" i="3"/>
  <c r="AE124" i="3"/>
  <c r="AI124" i="3"/>
  <c r="AM124" i="3"/>
  <c r="AQ124" i="3"/>
  <c r="AU124" i="3"/>
  <c r="AY124" i="3"/>
  <c r="BC124" i="3"/>
  <c r="BG124" i="3"/>
  <c r="BK124" i="3"/>
  <c r="BO124" i="3"/>
  <c r="BS124" i="3"/>
  <c r="BW124" i="3"/>
  <c r="CA124" i="3"/>
  <c r="CE124" i="3"/>
  <c r="CI124" i="3"/>
  <c r="CM124" i="3"/>
  <c r="CQ124" i="3"/>
  <c r="CU124" i="3"/>
  <c r="CY124" i="3"/>
  <c r="DC124" i="3"/>
  <c r="DG124" i="3"/>
  <c r="DK124" i="3"/>
  <c r="DO124" i="3"/>
  <c r="DS124" i="3"/>
  <c r="DW124" i="3"/>
  <c r="EA124" i="3"/>
  <c r="EE124" i="3"/>
  <c r="EI124" i="3"/>
  <c r="N125" i="3"/>
  <c r="R125" i="3"/>
  <c r="V125" i="3"/>
  <c r="Z125" i="3"/>
  <c r="AD125" i="3"/>
  <c r="AH125" i="3"/>
  <c r="AL125" i="3"/>
  <c r="AP125" i="3"/>
  <c r="AT125" i="3"/>
  <c r="AX125" i="3"/>
  <c r="BB125" i="3"/>
  <c r="BF125" i="3"/>
  <c r="BJ125" i="3"/>
  <c r="BN125" i="3"/>
  <c r="BR125" i="3"/>
  <c r="BV125" i="3"/>
  <c r="BZ125" i="3"/>
  <c r="CD125" i="3"/>
  <c r="CH125" i="3"/>
  <c r="CL125" i="3"/>
  <c r="CP125" i="3"/>
  <c r="CT125" i="3"/>
  <c r="CX125" i="3"/>
  <c r="DB125" i="3"/>
  <c r="DF125" i="3"/>
  <c r="DJ125" i="3"/>
  <c r="DN125" i="3"/>
  <c r="DR125" i="3"/>
  <c r="DV125" i="3"/>
  <c r="DZ125" i="3"/>
  <c r="ED125" i="3"/>
  <c r="EH125" i="3"/>
  <c r="M126" i="3"/>
  <c r="Q126" i="3"/>
  <c r="U126" i="3"/>
  <c r="Y126" i="3"/>
  <c r="AC126" i="3"/>
  <c r="AG126" i="3"/>
  <c r="AK126" i="3"/>
  <c r="AO126" i="3"/>
  <c r="AS126" i="3"/>
  <c r="AW126" i="3"/>
  <c r="BA126" i="3"/>
  <c r="BE126" i="3"/>
  <c r="BI126" i="3"/>
  <c r="BM126" i="3"/>
  <c r="BQ126" i="3"/>
  <c r="BU126" i="3"/>
  <c r="BY126" i="3"/>
  <c r="CC126" i="3"/>
  <c r="CG126" i="3"/>
  <c r="CK126" i="3"/>
  <c r="CO126" i="3"/>
  <c r="CS126" i="3"/>
  <c r="CW126" i="3"/>
  <c r="DA126" i="3"/>
  <c r="DE126" i="3"/>
  <c r="DI126" i="3"/>
  <c r="DM126" i="3"/>
  <c r="DQ126" i="3"/>
  <c r="DU126" i="3"/>
  <c r="DY126" i="3"/>
  <c r="EC126" i="3"/>
  <c r="EG126" i="3"/>
  <c r="L127" i="3"/>
  <c r="P127" i="3"/>
  <c r="T127" i="3"/>
  <c r="X127" i="3"/>
  <c r="AB127" i="3"/>
  <c r="AF127" i="3"/>
  <c r="AJ127" i="3"/>
  <c r="AN127" i="3"/>
  <c r="AR127" i="3"/>
  <c r="AV127" i="3"/>
  <c r="AZ127" i="3"/>
  <c r="BD127" i="3"/>
  <c r="BH127" i="3"/>
  <c r="BL127" i="3"/>
  <c r="BP127" i="3"/>
  <c r="BT127" i="3"/>
  <c r="BX127" i="3"/>
  <c r="CB127" i="3"/>
  <c r="CF127" i="3"/>
  <c r="CJ127" i="3"/>
  <c r="CN127" i="3"/>
  <c r="CR127" i="3"/>
  <c r="CV127" i="3"/>
  <c r="CZ127" i="3"/>
  <c r="DD127" i="3"/>
  <c r="DH127" i="3"/>
  <c r="DL127" i="3"/>
  <c r="DP127" i="3"/>
  <c r="DT127" i="3"/>
  <c r="DX127" i="3"/>
  <c r="EB127" i="3"/>
  <c r="EF127" i="3"/>
  <c r="BL128" i="3"/>
  <c r="BP128" i="3"/>
  <c r="BT128" i="3"/>
  <c r="BX128" i="3"/>
  <c r="CB128" i="3"/>
  <c r="CF128" i="3"/>
  <c r="CJ128" i="3"/>
  <c r="CN128" i="3"/>
  <c r="CR128" i="3"/>
  <c r="CV128" i="3"/>
  <c r="CZ128" i="3"/>
  <c r="DD128" i="3"/>
  <c r="DH128" i="3"/>
  <c r="DL128" i="3"/>
  <c r="DP128" i="3"/>
  <c r="DT128" i="3"/>
  <c r="DX128" i="3"/>
  <c r="EB128" i="3"/>
  <c r="EF128" i="3"/>
  <c r="L129" i="3"/>
  <c r="P129" i="3"/>
  <c r="T129" i="3"/>
  <c r="X129" i="3"/>
  <c r="AB129" i="3"/>
  <c r="AF129" i="3"/>
  <c r="AJ129" i="3"/>
  <c r="AN129" i="3"/>
  <c r="AR129" i="3"/>
  <c r="AV129" i="3"/>
  <c r="AZ129" i="3"/>
  <c r="BD129" i="3"/>
  <c r="BH129" i="3"/>
  <c r="BL129" i="3"/>
  <c r="BP129" i="3"/>
  <c r="BT129" i="3"/>
  <c r="BX129" i="3"/>
  <c r="CB129" i="3"/>
  <c r="CF129" i="3"/>
  <c r="CJ129" i="3"/>
  <c r="CN129" i="3"/>
  <c r="CR129" i="3"/>
  <c r="CV129" i="3"/>
  <c r="CZ129" i="3"/>
  <c r="DD129" i="3"/>
  <c r="DH129" i="3"/>
  <c r="DL129" i="3"/>
  <c r="DP129" i="3"/>
  <c r="DT129" i="3"/>
  <c r="DX129" i="3"/>
  <c r="EB129" i="3"/>
  <c r="EF129" i="3"/>
  <c r="L130" i="3"/>
  <c r="P130" i="3"/>
  <c r="T130" i="3"/>
  <c r="X130" i="3"/>
  <c r="AB130" i="3"/>
  <c r="AF130" i="3"/>
  <c r="AJ130" i="3"/>
  <c r="AN130" i="3"/>
  <c r="AR130" i="3"/>
  <c r="AV130" i="3"/>
  <c r="AZ130" i="3"/>
  <c r="BD130" i="3"/>
  <c r="BH130" i="3"/>
  <c r="BL130" i="3"/>
  <c r="BP130" i="3"/>
  <c r="BT130" i="3"/>
  <c r="BX130" i="3"/>
  <c r="CB130" i="3"/>
  <c r="CF130" i="3"/>
  <c r="CJ130" i="3"/>
  <c r="CN130" i="3"/>
  <c r="CR130" i="3"/>
  <c r="CV130" i="3"/>
  <c r="CZ130" i="3"/>
  <c r="DD130" i="3"/>
  <c r="DH130" i="3"/>
  <c r="DL130" i="3"/>
  <c r="DP130" i="3"/>
  <c r="DT130" i="3"/>
  <c r="DX130" i="3"/>
  <c r="EB130" i="3"/>
  <c r="EF130" i="3"/>
  <c r="BP131" i="3"/>
  <c r="BT131" i="3"/>
  <c r="BX131" i="3"/>
  <c r="CB131" i="3"/>
  <c r="CF131" i="3"/>
  <c r="CJ131" i="3"/>
  <c r="CN131" i="3"/>
  <c r="CR131" i="3"/>
  <c r="CV131" i="3"/>
  <c r="CZ131" i="3"/>
  <c r="DD131" i="3"/>
  <c r="DH131" i="3"/>
  <c r="DL131" i="3"/>
  <c r="DP131" i="3"/>
  <c r="DT131" i="3"/>
  <c r="DX131" i="3"/>
  <c r="EB131" i="3"/>
  <c r="EF131" i="3"/>
  <c r="M132" i="3"/>
  <c r="Q132" i="3"/>
  <c r="U132" i="3"/>
  <c r="Y132" i="3"/>
  <c r="AA132" i="3"/>
  <c r="AC132" i="3"/>
  <c r="AE132" i="3"/>
  <c r="AG132" i="3"/>
  <c r="AI132" i="3"/>
  <c r="AK132" i="3"/>
  <c r="AM132" i="3"/>
  <c r="AO132" i="3"/>
  <c r="AQ132" i="3"/>
  <c r="AS132" i="3"/>
  <c r="AU132" i="3"/>
  <c r="AW132" i="3"/>
  <c r="AY132" i="3"/>
  <c r="BA132" i="3"/>
  <c r="BC132" i="3"/>
  <c r="BE132" i="3"/>
  <c r="BG132" i="3"/>
  <c r="BI132" i="3"/>
  <c r="BK132" i="3"/>
  <c r="BM132" i="3"/>
  <c r="BO132" i="3"/>
  <c r="BQ132" i="3"/>
  <c r="BS132" i="3"/>
  <c r="BU132" i="3"/>
  <c r="BW132" i="3"/>
  <c r="BY132" i="3"/>
  <c r="CA132" i="3"/>
  <c r="CC132" i="3"/>
  <c r="CE132" i="3"/>
  <c r="CG132" i="3"/>
  <c r="CI132" i="3"/>
  <c r="CK132" i="3"/>
  <c r="CM132" i="3"/>
  <c r="CO132" i="3"/>
  <c r="CQ132" i="3"/>
  <c r="CS132" i="3"/>
  <c r="CU132" i="3"/>
  <c r="CW132" i="3"/>
  <c r="CY132" i="3"/>
  <c r="DA132" i="3"/>
  <c r="DC132" i="3"/>
  <c r="DE132" i="3"/>
  <c r="DG132" i="3"/>
  <c r="DI132" i="3"/>
  <c r="DK132" i="3"/>
  <c r="DM132" i="3"/>
  <c r="DO132" i="3"/>
  <c r="DQ132" i="3"/>
  <c r="DS132" i="3"/>
  <c r="DU132" i="3"/>
  <c r="DW132" i="3"/>
  <c r="DY132" i="3"/>
  <c r="EA132" i="3"/>
  <c r="EC132" i="3"/>
  <c r="EE132" i="3"/>
  <c r="EG132" i="3"/>
  <c r="EI132" i="3"/>
  <c r="L133" i="3"/>
  <c r="N133" i="3"/>
  <c r="P133" i="3"/>
  <c r="R133" i="3"/>
  <c r="T133" i="3"/>
  <c r="V133" i="3"/>
  <c r="X133" i="3"/>
  <c r="Z133" i="3"/>
  <c r="AB133" i="3"/>
  <c r="AD133" i="3"/>
  <c r="AF133" i="3"/>
  <c r="AH133" i="3"/>
  <c r="AJ133" i="3"/>
  <c r="AL133" i="3"/>
  <c r="AN133" i="3"/>
  <c r="AP133" i="3"/>
  <c r="AR133" i="3"/>
  <c r="AT133" i="3"/>
  <c r="AV133" i="3"/>
  <c r="AX133" i="3"/>
  <c r="AZ133" i="3"/>
  <c r="BB133" i="3"/>
  <c r="BD133" i="3"/>
  <c r="BF133" i="3"/>
  <c r="BH133" i="3"/>
  <c r="BJ133" i="3"/>
  <c r="BL133" i="3"/>
  <c r="BN133" i="3"/>
  <c r="BP133" i="3"/>
  <c r="BR133" i="3"/>
  <c r="BT133" i="3"/>
  <c r="BV133" i="3"/>
  <c r="BX133" i="3"/>
  <c r="BZ133" i="3"/>
  <c r="CB133" i="3"/>
  <c r="CD133" i="3"/>
  <c r="CF133" i="3"/>
  <c r="CH133" i="3"/>
  <c r="CJ133" i="3"/>
  <c r="CL133" i="3"/>
  <c r="CN133" i="3"/>
  <c r="CP133" i="3"/>
  <c r="CR133" i="3"/>
  <c r="CT133" i="3"/>
  <c r="CV133" i="3"/>
  <c r="CX133" i="3"/>
  <c r="CZ133" i="3"/>
  <c r="DB133" i="3"/>
  <c r="DD133" i="3"/>
  <c r="DF133" i="3"/>
  <c r="DH133" i="3"/>
  <c r="DJ133" i="3"/>
  <c r="DL133" i="3"/>
  <c r="DN133" i="3"/>
  <c r="DP133" i="3"/>
  <c r="DR133" i="3"/>
  <c r="DT133" i="3"/>
  <c r="DV133" i="3"/>
  <c r="DX133" i="3"/>
  <c r="DZ133" i="3"/>
  <c r="EB133" i="3"/>
  <c r="ED133" i="3"/>
  <c r="EF133" i="3"/>
  <c r="EH133" i="3"/>
  <c r="N134" i="3"/>
  <c r="P134" i="3"/>
  <c r="R134" i="3"/>
  <c r="T134" i="3"/>
  <c r="V134" i="3"/>
  <c r="X134" i="3"/>
  <c r="Z134" i="3"/>
  <c r="AB134" i="3"/>
  <c r="AD134" i="3"/>
  <c r="AF134" i="3"/>
  <c r="AH134" i="3"/>
  <c r="AJ134" i="3"/>
  <c r="AL134" i="3"/>
  <c r="AN134" i="3"/>
  <c r="AP134" i="3"/>
  <c r="AR134" i="3"/>
  <c r="AT134" i="3"/>
  <c r="AV134" i="3"/>
  <c r="AX134" i="3"/>
  <c r="AZ134" i="3"/>
  <c r="BB134" i="3"/>
  <c r="BD134" i="3"/>
  <c r="BF134" i="3"/>
  <c r="BH134" i="3"/>
  <c r="BJ134" i="3"/>
  <c r="BL134" i="3"/>
  <c r="BN134" i="3"/>
  <c r="BP134" i="3"/>
  <c r="BR134" i="3"/>
  <c r="BT134" i="3"/>
  <c r="BV134" i="3"/>
  <c r="BX134" i="3"/>
  <c r="BZ134" i="3"/>
  <c r="CB134" i="3"/>
  <c r="CD134" i="3"/>
  <c r="CF134" i="3"/>
  <c r="CH134" i="3"/>
  <c r="CJ134" i="3"/>
  <c r="CL134" i="3"/>
  <c r="CN134" i="3"/>
  <c r="CP134" i="3"/>
  <c r="CR134" i="3"/>
  <c r="CT134" i="3"/>
  <c r="CV134" i="3"/>
  <c r="CX134" i="3"/>
  <c r="CZ134" i="3"/>
  <c r="DB134" i="3"/>
  <c r="DD134" i="3"/>
  <c r="DF134" i="3"/>
  <c r="DH134" i="3"/>
  <c r="DJ134" i="3"/>
  <c r="DL134" i="3"/>
  <c r="DN134" i="3"/>
  <c r="DP134" i="3"/>
  <c r="DR134" i="3"/>
  <c r="DT134" i="3"/>
  <c r="DV134" i="3"/>
  <c r="DX134" i="3"/>
  <c r="DZ134" i="3"/>
  <c r="EB134" i="3"/>
  <c r="ED134" i="3"/>
  <c r="EF134" i="3"/>
  <c r="EH134" i="3"/>
  <c r="K135" i="3"/>
  <c r="M135" i="3"/>
  <c r="O135" i="3"/>
  <c r="Q135" i="3"/>
  <c r="S135" i="3"/>
  <c r="U135" i="3"/>
  <c r="W135" i="3"/>
  <c r="Y135" i="3"/>
  <c r="AA135" i="3"/>
  <c r="AC135" i="3"/>
  <c r="AE135" i="3"/>
  <c r="AG135" i="3"/>
  <c r="AI135" i="3"/>
  <c r="AK135" i="3"/>
  <c r="AM135" i="3"/>
  <c r="AO135" i="3"/>
  <c r="AQ135" i="3"/>
  <c r="AS135" i="3"/>
  <c r="AU135" i="3"/>
  <c r="AW135" i="3"/>
  <c r="AY135" i="3"/>
  <c r="BA135" i="3"/>
  <c r="BC135" i="3"/>
  <c r="BE135" i="3"/>
  <c r="BG135" i="3"/>
  <c r="BI135" i="3"/>
  <c r="BK135" i="3"/>
  <c r="BM135" i="3"/>
  <c r="BO135" i="3"/>
  <c r="BQ135" i="3"/>
  <c r="BS135" i="3"/>
  <c r="BU135" i="3"/>
  <c r="BW135" i="3"/>
  <c r="BY135" i="3"/>
  <c r="CA135" i="3"/>
  <c r="CC135" i="3"/>
  <c r="CE135" i="3"/>
  <c r="CG135" i="3"/>
  <c r="CI135" i="3"/>
  <c r="CK135" i="3"/>
  <c r="CM135" i="3"/>
  <c r="CO135" i="3"/>
  <c r="CQ135" i="3"/>
  <c r="CS135" i="3"/>
  <c r="CU135" i="3"/>
  <c r="CW135" i="3"/>
  <c r="CY135" i="3"/>
  <c r="DA135" i="3"/>
  <c r="DC135" i="3"/>
  <c r="DE135" i="3"/>
  <c r="DG135" i="3"/>
  <c r="DI135" i="3"/>
  <c r="DK135" i="3"/>
  <c r="DM135" i="3"/>
  <c r="DO135" i="3"/>
  <c r="DQ135" i="3"/>
  <c r="DS135" i="3"/>
  <c r="DU135" i="3"/>
  <c r="DW135" i="3"/>
  <c r="DY135" i="3"/>
  <c r="EA135" i="3"/>
  <c r="EC135" i="3"/>
  <c r="EE135" i="3"/>
  <c r="EG135" i="3"/>
  <c r="EI135" i="3"/>
  <c r="L136" i="3"/>
  <c r="N136" i="3"/>
  <c r="P136" i="3"/>
  <c r="R136" i="3"/>
  <c r="T136" i="3"/>
  <c r="V136" i="3"/>
  <c r="X136" i="3"/>
  <c r="Z136" i="3"/>
  <c r="AB136" i="3"/>
  <c r="AD136" i="3"/>
  <c r="AF136" i="3"/>
  <c r="AH136" i="3"/>
  <c r="AJ136" i="3"/>
  <c r="AL136" i="3"/>
  <c r="AN136" i="3"/>
  <c r="AP136" i="3"/>
  <c r="AR136" i="3"/>
  <c r="AT136" i="3"/>
  <c r="AV136" i="3"/>
  <c r="AX136" i="3"/>
  <c r="AZ136" i="3"/>
  <c r="BB136" i="3"/>
  <c r="BD136" i="3"/>
  <c r="BF136" i="3"/>
  <c r="BH136" i="3"/>
  <c r="BJ136" i="3"/>
  <c r="BL136" i="3"/>
  <c r="BN136" i="3"/>
  <c r="BP136" i="3"/>
  <c r="BR136" i="3"/>
  <c r="BT136" i="3"/>
  <c r="BV136" i="3"/>
  <c r="BX136" i="3"/>
  <c r="BZ136" i="3"/>
  <c r="CB136" i="3"/>
  <c r="CD136" i="3"/>
  <c r="CF136" i="3"/>
  <c r="CH136" i="3"/>
  <c r="CJ136" i="3"/>
  <c r="CL136" i="3"/>
  <c r="CN136" i="3"/>
  <c r="CP136" i="3"/>
  <c r="CR136" i="3"/>
  <c r="CT136" i="3"/>
  <c r="CV136" i="3"/>
  <c r="CX136" i="3"/>
  <c r="CZ136" i="3"/>
  <c r="DB136" i="3"/>
  <c r="DD136" i="3"/>
  <c r="DF136" i="3"/>
  <c r="DH136" i="3"/>
  <c r="DJ136" i="3"/>
  <c r="DL136" i="3"/>
  <c r="DN136" i="3"/>
  <c r="DP136" i="3"/>
  <c r="DR136" i="3"/>
  <c r="DT136" i="3"/>
  <c r="DV136" i="3"/>
  <c r="DX136" i="3"/>
  <c r="DZ136" i="3"/>
  <c r="EB136" i="3"/>
  <c r="ED136" i="3"/>
  <c r="EF136" i="3"/>
  <c r="EH136" i="3"/>
  <c r="M137" i="3"/>
  <c r="O137" i="3"/>
  <c r="Q137" i="3"/>
  <c r="S137" i="3"/>
  <c r="U137" i="3"/>
  <c r="W137" i="3"/>
  <c r="Y137" i="3"/>
  <c r="AA137" i="3"/>
  <c r="AC137" i="3"/>
  <c r="AE137" i="3"/>
  <c r="AG137" i="3"/>
  <c r="AI137" i="3"/>
  <c r="AK137" i="3"/>
  <c r="AM137" i="3"/>
  <c r="AO137" i="3"/>
  <c r="AQ137" i="3"/>
  <c r="AS137" i="3"/>
  <c r="AU137" i="3"/>
  <c r="AW137" i="3"/>
  <c r="AY137" i="3"/>
  <c r="BA137" i="3"/>
  <c r="BC137" i="3"/>
  <c r="BE137" i="3"/>
  <c r="BG137" i="3"/>
  <c r="BI137" i="3"/>
  <c r="BK137" i="3"/>
  <c r="BM137" i="3"/>
  <c r="BO137" i="3"/>
  <c r="BQ137" i="3"/>
  <c r="BS137" i="3"/>
  <c r="BU137" i="3"/>
  <c r="BW137" i="3"/>
  <c r="BY137" i="3"/>
  <c r="CA137" i="3"/>
  <c r="CC137" i="3"/>
  <c r="CE137" i="3"/>
  <c r="CG137" i="3"/>
  <c r="CI137" i="3"/>
  <c r="CK137" i="3"/>
  <c r="CM137" i="3"/>
  <c r="CO137" i="3"/>
  <c r="CQ137" i="3"/>
  <c r="CS137" i="3"/>
  <c r="CU137" i="3"/>
  <c r="CW137" i="3"/>
  <c r="CY137" i="3"/>
  <c r="DA137" i="3"/>
  <c r="DC137" i="3"/>
  <c r="DE137" i="3"/>
  <c r="DG137" i="3"/>
  <c r="DI137" i="3"/>
  <c r="DK137" i="3"/>
  <c r="DM137" i="3"/>
  <c r="DO137" i="3"/>
  <c r="DQ137" i="3"/>
  <c r="DS137" i="3"/>
  <c r="DU137" i="3"/>
  <c r="DW137" i="3"/>
  <c r="DY137" i="3"/>
  <c r="EA137" i="3"/>
  <c r="EC137" i="3"/>
  <c r="EE137" i="3"/>
  <c r="EG137" i="3"/>
  <c r="EI137" i="3"/>
  <c r="L138" i="3"/>
  <c r="N138" i="3"/>
  <c r="P138" i="3"/>
  <c r="R138" i="3"/>
  <c r="T138" i="3"/>
  <c r="V138" i="3"/>
  <c r="X138" i="3"/>
  <c r="Z138" i="3"/>
  <c r="AB138" i="3"/>
  <c r="AD138" i="3"/>
  <c r="AF138" i="3"/>
  <c r="AH138" i="3"/>
  <c r="AJ138" i="3"/>
  <c r="AL138" i="3"/>
  <c r="AN138" i="3"/>
  <c r="AP138" i="3"/>
  <c r="AR138" i="3"/>
  <c r="AT138" i="3"/>
  <c r="AV138" i="3"/>
  <c r="AX138" i="3"/>
  <c r="AZ138" i="3"/>
  <c r="BB138" i="3"/>
  <c r="BD138" i="3"/>
  <c r="BF138" i="3"/>
  <c r="BH138" i="3"/>
  <c r="BJ138" i="3"/>
  <c r="BL138" i="3"/>
  <c r="BN138" i="3"/>
  <c r="BP138" i="3"/>
  <c r="BR138" i="3"/>
  <c r="BT138" i="3"/>
  <c r="BV138" i="3"/>
  <c r="BX138" i="3"/>
  <c r="BZ138" i="3"/>
  <c r="CB138" i="3"/>
  <c r="CD138" i="3"/>
  <c r="CF138" i="3"/>
  <c r="CH138" i="3"/>
  <c r="CJ138" i="3"/>
  <c r="CL138" i="3"/>
  <c r="CN138" i="3"/>
  <c r="CP138" i="3"/>
  <c r="CR138" i="3"/>
  <c r="CT138" i="3"/>
  <c r="CV138" i="3"/>
  <c r="CX138" i="3"/>
  <c r="CZ138" i="3"/>
  <c r="DB138" i="3"/>
  <c r="DD138" i="3"/>
  <c r="DF138" i="3"/>
  <c r="DH138" i="3"/>
  <c r="DJ138" i="3"/>
  <c r="DL138" i="3"/>
  <c r="DN138" i="3"/>
  <c r="DP138" i="3"/>
  <c r="DR138" i="3"/>
  <c r="DT138" i="3"/>
  <c r="DV138" i="3"/>
  <c r="DX138" i="3"/>
  <c r="DZ138" i="3"/>
  <c r="EB138" i="3"/>
  <c r="ED138" i="3"/>
  <c r="EF138" i="3"/>
  <c r="EH138" i="3"/>
  <c r="M139" i="3"/>
  <c r="O139" i="3"/>
  <c r="Q139" i="3"/>
  <c r="S139" i="3"/>
  <c r="U139" i="3"/>
  <c r="W139" i="3"/>
  <c r="Y139" i="3"/>
  <c r="AA139" i="3"/>
  <c r="AC139" i="3"/>
  <c r="AE139" i="3"/>
  <c r="AG139" i="3"/>
  <c r="AI139" i="3"/>
  <c r="AK139" i="3"/>
  <c r="AM139" i="3"/>
  <c r="AO139" i="3"/>
  <c r="AQ139" i="3"/>
  <c r="AS139" i="3"/>
  <c r="AU139" i="3"/>
  <c r="AW139" i="3"/>
  <c r="AY139" i="3"/>
  <c r="BA139" i="3"/>
  <c r="BC139" i="3"/>
  <c r="BE139" i="3"/>
  <c r="BG139" i="3"/>
  <c r="BI139" i="3"/>
  <c r="BK139" i="3"/>
  <c r="BM139" i="3"/>
  <c r="BO139" i="3"/>
  <c r="BQ139" i="3"/>
  <c r="BS139" i="3"/>
  <c r="BU139" i="3"/>
  <c r="BW139" i="3"/>
  <c r="BY139" i="3"/>
  <c r="CA139" i="3"/>
  <c r="CC139" i="3"/>
  <c r="CE139" i="3"/>
  <c r="CG139" i="3"/>
  <c r="CI139" i="3"/>
  <c r="CK139" i="3"/>
  <c r="CM139" i="3"/>
  <c r="CO139" i="3"/>
  <c r="CQ139" i="3"/>
  <c r="CS139" i="3"/>
  <c r="CU139" i="3"/>
  <c r="CW139" i="3"/>
  <c r="CY139" i="3"/>
  <c r="DA139" i="3"/>
  <c r="DC139" i="3"/>
  <c r="DE139" i="3"/>
  <c r="DG139" i="3"/>
  <c r="DI139" i="3"/>
  <c r="DK139" i="3"/>
  <c r="DM139" i="3"/>
  <c r="DO139" i="3"/>
  <c r="DQ139" i="3"/>
  <c r="DS139" i="3"/>
  <c r="DU139" i="3"/>
  <c r="DW139" i="3"/>
  <c r="DY139" i="3"/>
  <c r="EA139" i="3"/>
  <c r="EC139" i="3"/>
  <c r="EE139" i="3"/>
  <c r="EG139" i="3"/>
  <c r="EI139" i="3"/>
  <c r="M140" i="3"/>
  <c r="O140" i="3"/>
  <c r="Q140" i="3"/>
  <c r="S140" i="3"/>
  <c r="U140" i="3"/>
  <c r="W140" i="3"/>
  <c r="Y140" i="3"/>
  <c r="AA140" i="3"/>
  <c r="AC140" i="3"/>
  <c r="AE140" i="3"/>
  <c r="AG140" i="3"/>
  <c r="AI140" i="3"/>
  <c r="AK140" i="3"/>
  <c r="AM140" i="3"/>
  <c r="AO140" i="3"/>
  <c r="AQ140" i="3"/>
  <c r="AS140" i="3"/>
  <c r="AU140" i="3"/>
  <c r="AW140" i="3"/>
  <c r="AY140" i="3"/>
  <c r="BA140" i="3"/>
  <c r="BC140" i="3"/>
  <c r="BE140" i="3"/>
  <c r="BG140" i="3"/>
  <c r="BI140" i="3"/>
  <c r="BK140" i="3"/>
  <c r="BM140" i="3"/>
  <c r="BO140" i="3"/>
  <c r="BQ140" i="3"/>
  <c r="BS140" i="3"/>
  <c r="BU140" i="3"/>
  <c r="BW140" i="3"/>
  <c r="BY140" i="3"/>
  <c r="CA140" i="3"/>
  <c r="CC140" i="3"/>
  <c r="CE140" i="3"/>
  <c r="CG140" i="3"/>
  <c r="CI140" i="3"/>
  <c r="CK140" i="3"/>
  <c r="CM140" i="3"/>
  <c r="CO140" i="3"/>
  <c r="CQ140" i="3"/>
  <c r="CS140" i="3"/>
  <c r="CU140" i="3"/>
  <c r="CW140" i="3"/>
  <c r="CY140" i="3"/>
  <c r="DA140" i="3"/>
  <c r="DC140" i="3"/>
  <c r="DE140" i="3"/>
  <c r="DG140" i="3"/>
  <c r="DI140" i="3"/>
  <c r="DK140" i="3"/>
  <c r="DM140" i="3"/>
  <c r="DO140" i="3"/>
  <c r="DQ140" i="3"/>
  <c r="DS140" i="3"/>
  <c r="DU140" i="3"/>
  <c r="DW140" i="3"/>
  <c r="DY140" i="3"/>
  <c r="EA140" i="3"/>
  <c r="EC140" i="3"/>
  <c r="EE140" i="3"/>
  <c r="EG140" i="3"/>
  <c r="EI140" i="3"/>
  <c r="O141" i="3"/>
  <c r="Q141" i="3"/>
  <c r="S141" i="3"/>
  <c r="U141" i="3"/>
  <c r="W141" i="3"/>
  <c r="Y141" i="3"/>
  <c r="AA141" i="3"/>
  <c r="AC141" i="3"/>
  <c r="AE141" i="3"/>
  <c r="AG141" i="3"/>
  <c r="AI141" i="3"/>
  <c r="AK141" i="3"/>
  <c r="AM141" i="3"/>
  <c r="AO141" i="3"/>
  <c r="AQ141" i="3"/>
  <c r="AS141" i="3"/>
  <c r="AU141" i="3"/>
  <c r="AW141" i="3"/>
  <c r="AY141" i="3"/>
  <c r="BA141" i="3"/>
  <c r="BC141" i="3"/>
  <c r="BE141" i="3"/>
  <c r="BG141" i="3"/>
  <c r="BI141" i="3"/>
  <c r="BK141" i="3"/>
  <c r="BM141" i="3"/>
  <c r="BO141" i="3"/>
  <c r="BQ141" i="3"/>
  <c r="BS141" i="3"/>
  <c r="BU141" i="3"/>
  <c r="BW141" i="3"/>
  <c r="BY141" i="3"/>
  <c r="CA141" i="3"/>
  <c r="CC141" i="3"/>
  <c r="CE141" i="3"/>
  <c r="CG141" i="3"/>
  <c r="CI141" i="3"/>
  <c r="CK141" i="3"/>
  <c r="CM141" i="3"/>
  <c r="CO141" i="3"/>
  <c r="CQ141" i="3"/>
  <c r="CS141" i="3"/>
  <c r="CU141" i="3"/>
  <c r="CW141" i="3"/>
  <c r="CY141" i="3"/>
  <c r="DA141" i="3"/>
  <c r="DC141" i="3"/>
  <c r="DE141" i="3"/>
  <c r="DG141" i="3"/>
  <c r="DI141" i="3"/>
  <c r="DK141" i="3"/>
  <c r="DM141" i="3"/>
  <c r="DO141" i="3"/>
  <c r="DQ141" i="3"/>
  <c r="DS141" i="3"/>
  <c r="DU141" i="3"/>
  <c r="DW141" i="3"/>
  <c r="DY141" i="3"/>
  <c r="EA141" i="3"/>
  <c r="EC141" i="3"/>
  <c r="EE141" i="3"/>
  <c r="EG141" i="3"/>
  <c r="EI141" i="3"/>
  <c r="AW142" i="3"/>
  <c r="AY142" i="3"/>
  <c r="BA142" i="3"/>
  <c r="BC142" i="3"/>
  <c r="BE142" i="3"/>
  <c r="BG142" i="3"/>
  <c r="BI142" i="3"/>
  <c r="BK142" i="3"/>
  <c r="BM142" i="3"/>
  <c r="BO142" i="3"/>
  <c r="BQ142" i="3"/>
  <c r="BS142" i="3"/>
  <c r="BU142" i="3"/>
  <c r="BW142" i="3"/>
  <c r="BY142" i="3"/>
  <c r="CA142" i="3"/>
  <c r="CC142" i="3"/>
  <c r="CE142" i="3"/>
  <c r="CG142" i="3"/>
  <c r="CI142" i="3"/>
  <c r="CK142" i="3"/>
  <c r="CM142" i="3"/>
  <c r="CO142" i="3"/>
  <c r="CQ142" i="3"/>
  <c r="CS142" i="3"/>
  <c r="CU142" i="3"/>
  <c r="CW142" i="3"/>
  <c r="CY142" i="3"/>
  <c r="DA142" i="3"/>
  <c r="DC142" i="3"/>
  <c r="DE142" i="3"/>
  <c r="DG142" i="3"/>
  <c r="DI142" i="3"/>
  <c r="DK142" i="3"/>
  <c r="DM142" i="3"/>
  <c r="DO142" i="3"/>
  <c r="DQ142" i="3"/>
  <c r="DS142" i="3"/>
  <c r="DU142" i="3"/>
  <c r="DW142" i="3"/>
  <c r="DY142" i="3"/>
  <c r="EA142" i="3"/>
  <c r="EC142" i="3"/>
  <c r="EE142" i="3"/>
  <c r="EG142" i="3"/>
  <c r="EI142" i="3"/>
  <c r="S143" i="3"/>
  <c r="U143" i="3"/>
  <c r="W143" i="3"/>
  <c r="Y143" i="3"/>
  <c r="AA143" i="3"/>
  <c r="AC143" i="3"/>
  <c r="AE143" i="3"/>
  <c r="AG143" i="3"/>
  <c r="AI143" i="3"/>
  <c r="AK143" i="3"/>
  <c r="AM143" i="3"/>
  <c r="AO143" i="3"/>
  <c r="AQ143" i="3"/>
  <c r="AS143" i="3"/>
  <c r="AU143" i="3"/>
  <c r="AW143" i="3"/>
  <c r="AY143" i="3"/>
  <c r="BA143" i="3"/>
  <c r="BC143" i="3"/>
  <c r="BE143" i="3"/>
  <c r="BG143" i="3"/>
  <c r="BI143" i="3"/>
  <c r="BK143" i="3"/>
  <c r="BM143" i="3"/>
  <c r="BO143" i="3"/>
  <c r="BQ143" i="3"/>
  <c r="BS143" i="3"/>
  <c r="BU143" i="3"/>
  <c r="BW143" i="3"/>
  <c r="BY143" i="3"/>
  <c r="CA143" i="3"/>
  <c r="CC143" i="3"/>
  <c r="CE143" i="3"/>
  <c r="CG143" i="3"/>
  <c r="CI143" i="3"/>
  <c r="CK143" i="3"/>
  <c r="CM143" i="3"/>
  <c r="CO143" i="3"/>
  <c r="CQ143" i="3"/>
  <c r="CS143" i="3"/>
  <c r="CU143" i="3"/>
  <c r="CW143" i="3"/>
  <c r="CY143" i="3"/>
  <c r="DA143" i="3"/>
  <c r="DC143" i="3"/>
  <c r="DE143" i="3"/>
  <c r="DG143" i="3"/>
  <c r="DI143" i="3"/>
  <c r="DK143" i="3"/>
  <c r="DM143" i="3"/>
  <c r="DO143" i="3"/>
  <c r="DQ143" i="3"/>
  <c r="DS143" i="3"/>
  <c r="DU143" i="3"/>
  <c r="DW143" i="3"/>
  <c r="DY143" i="3"/>
  <c r="EA143" i="3"/>
  <c r="EC143" i="3"/>
  <c r="EE143" i="3"/>
  <c r="EG143" i="3"/>
  <c r="EI143" i="3"/>
  <c r="L144" i="3"/>
  <c r="N144" i="3"/>
  <c r="P144" i="3"/>
  <c r="R144" i="3"/>
  <c r="T144" i="3"/>
  <c r="V144" i="3"/>
  <c r="X144" i="3"/>
  <c r="Z144" i="3"/>
  <c r="AB144" i="3"/>
  <c r="AD144" i="3"/>
  <c r="AF144" i="3"/>
  <c r="AH144" i="3"/>
  <c r="AJ144" i="3"/>
  <c r="AL144" i="3"/>
  <c r="AN144" i="3"/>
  <c r="AP144" i="3"/>
  <c r="AR144" i="3"/>
  <c r="AT144" i="3"/>
  <c r="AV144" i="3"/>
  <c r="AX144" i="3"/>
  <c r="AZ144" i="3"/>
  <c r="BB144" i="3"/>
  <c r="BD144" i="3"/>
  <c r="BF144" i="3"/>
  <c r="BH144" i="3"/>
  <c r="BJ144" i="3"/>
  <c r="BL144" i="3"/>
  <c r="BN144" i="3"/>
  <c r="BP144" i="3"/>
  <c r="BR144" i="3"/>
  <c r="BT144" i="3"/>
  <c r="BV144" i="3"/>
  <c r="BX144" i="3"/>
  <c r="BZ144" i="3"/>
  <c r="CB144" i="3"/>
  <c r="CD144" i="3"/>
  <c r="CF144" i="3"/>
  <c r="CH144" i="3"/>
  <c r="CJ144" i="3"/>
  <c r="CL144" i="3"/>
  <c r="CN144" i="3"/>
  <c r="CP144" i="3"/>
  <c r="CR144" i="3"/>
  <c r="CT144" i="3"/>
  <c r="CV144" i="3"/>
  <c r="CX144" i="3"/>
  <c r="CZ144" i="3"/>
  <c r="DB144" i="3"/>
  <c r="DD144" i="3"/>
  <c r="DF144" i="3"/>
  <c r="DH144" i="3"/>
  <c r="DJ144" i="3"/>
  <c r="DL144" i="3"/>
  <c r="DN144" i="3"/>
  <c r="DP144" i="3"/>
  <c r="DR144" i="3"/>
  <c r="DT144" i="3"/>
  <c r="DV144" i="3"/>
  <c r="DX144" i="3"/>
  <c r="DZ144" i="3"/>
  <c r="EB144" i="3"/>
  <c r="ED144" i="3"/>
  <c r="EF144" i="3"/>
  <c r="EH144" i="3"/>
  <c r="K145" i="3"/>
  <c r="M145" i="3"/>
  <c r="O145" i="3"/>
  <c r="Q145" i="3"/>
  <c r="S145" i="3"/>
  <c r="U145" i="3"/>
  <c r="W145" i="3"/>
  <c r="Y145" i="3"/>
  <c r="AA145" i="3"/>
  <c r="AC145" i="3"/>
  <c r="AE145" i="3"/>
  <c r="AG145" i="3"/>
  <c r="AI145" i="3"/>
  <c r="AK145" i="3"/>
  <c r="AM145" i="3"/>
  <c r="AO145" i="3"/>
  <c r="AQ145" i="3"/>
  <c r="AS145" i="3"/>
  <c r="AU145" i="3"/>
  <c r="AW145" i="3"/>
  <c r="AY145" i="3"/>
  <c r="BA145" i="3"/>
  <c r="BC145" i="3"/>
  <c r="BE145" i="3"/>
  <c r="BG145" i="3"/>
  <c r="BI145" i="3"/>
  <c r="BK145" i="3"/>
  <c r="BM145" i="3"/>
  <c r="BO145" i="3"/>
  <c r="BQ145" i="3"/>
  <c r="BS145" i="3"/>
  <c r="BU145" i="3"/>
  <c r="BW145" i="3"/>
  <c r="BY145" i="3"/>
  <c r="CA145" i="3"/>
  <c r="CC145" i="3"/>
  <c r="CE145" i="3"/>
  <c r="CG145" i="3"/>
  <c r="CI145" i="3"/>
  <c r="CK145" i="3"/>
  <c r="CM145" i="3"/>
  <c r="CO145" i="3"/>
  <c r="CQ145" i="3"/>
  <c r="CS145" i="3"/>
  <c r="CU145" i="3"/>
  <c r="CW145" i="3"/>
  <c r="CY145" i="3"/>
  <c r="DA145" i="3"/>
  <c r="DC145" i="3"/>
  <c r="DE145" i="3"/>
  <c r="DG145" i="3"/>
  <c r="DI145" i="3"/>
  <c r="DK145" i="3"/>
  <c r="DM145" i="3"/>
  <c r="DO145" i="3"/>
  <c r="DQ145" i="3"/>
  <c r="DS145" i="3"/>
  <c r="DU145" i="3"/>
  <c r="DW145" i="3"/>
  <c r="DY145" i="3"/>
  <c r="EA145" i="3"/>
  <c r="EC145" i="3"/>
  <c r="EE145" i="3"/>
  <c r="EG145" i="3"/>
  <c r="EI145" i="3"/>
  <c r="Y146" i="3"/>
  <c r="AA146" i="3"/>
  <c r="AC146" i="3"/>
  <c r="AE146" i="3"/>
  <c r="AG146" i="3"/>
  <c r="AI146" i="3"/>
  <c r="AK146" i="3"/>
  <c r="AM146" i="3"/>
  <c r="AO146" i="3"/>
  <c r="AQ146" i="3"/>
  <c r="AS146" i="3"/>
  <c r="AU146" i="3"/>
  <c r="AW146" i="3"/>
  <c r="AY146" i="3"/>
  <c r="BA146" i="3"/>
  <c r="BC146" i="3"/>
  <c r="BE146" i="3"/>
  <c r="BG146" i="3"/>
  <c r="BI146" i="3"/>
  <c r="BK146" i="3"/>
  <c r="BM146" i="3"/>
  <c r="BO146" i="3"/>
  <c r="BQ146" i="3"/>
  <c r="BS146" i="3"/>
  <c r="BU146" i="3"/>
  <c r="BW146" i="3"/>
  <c r="BY146" i="3"/>
  <c r="CA146" i="3"/>
  <c r="CC146" i="3"/>
  <c r="CE146" i="3"/>
  <c r="CG146" i="3"/>
  <c r="CI146" i="3"/>
  <c r="CK146" i="3"/>
  <c r="CM146" i="3"/>
  <c r="CO146" i="3"/>
  <c r="CQ146" i="3"/>
  <c r="CS146" i="3"/>
  <c r="CU146" i="3"/>
  <c r="CW146" i="3"/>
  <c r="CY146" i="3"/>
  <c r="DA146" i="3"/>
  <c r="DC146" i="3"/>
  <c r="DE146" i="3"/>
  <c r="DG146" i="3"/>
  <c r="DI146" i="3"/>
  <c r="DK146" i="3"/>
  <c r="DM146" i="3"/>
  <c r="DO146" i="3"/>
  <c r="DQ146" i="3"/>
  <c r="DS146" i="3"/>
  <c r="DU146" i="3"/>
  <c r="DW146" i="3"/>
  <c r="DY146" i="3"/>
  <c r="EA146" i="3"/>
  <c r="EC146" i="3"/>
  <c r="EE146" i="3"/>
  <c r="EG146" i="3"/>
  <c r="EI146" i="3"/>
  <c r="M147" i="3"/>
  <c r="O147" i="3"/>
  <c r="Q147" i="3"/>
  <c r="S147" i="3"/>
  <c r="U147" i="3"/>
  <c r="W147" i="3"/>
  <c r="Y147" i="3"/>
  <c r="AA147" i="3"/>
  <c r="AC147" i="3"/>
  <c r="AE147" i="3"/>
  <c r="AG147" i="3"/>
  <c r="AI147" i="3"/>
  <c r="AK147" i="3"/>
  <c r="AM147" i="3"/>
  <c r="AO147" i="3"/>
  <c r="AQ147" i="3"/>
  <c r="AS147" i="3"/>
  <c r="AU147" i="3"/>
  <c r="AW147" i="3"/>
  <c r="AY147" i="3"/>
  <c r="BA147" i="3"/>
  <c r="BC147" i="3"/>
  <c r="BE147" i="3"/>
  <c r="BG147" i="3"/>
  <c r="BI147" i="3"/>
  <c r="BK147" i="3"/>
  <c r="BM147" i="3"/>
  <c r="BO147" i="3"/>
  <c r="BQ147" i="3"/>
  <c r="BS147" i="3"/>
  <c r="BU147" i="3"/>
  <c r="BW147" i="3"/>
  <c r="BY147" i="3"/>
  <c r="CA147" i="3"/>
  <c r="CC147" i="3"/>
  <c r="CE147" i="3"/>
  <c r="CG147" i="3"/>
  <c r="CI147" i="3"/>
  <c r="CK147" i="3"/>
  <c r="CM147" i="3"/>
  <c r="CO147" i="3"/>
  <c r="CQ147" i="3"/>
  <c r="CS147" i="3"/>
  <c r="CU147" i="3"/>
  <c r="CW147" i="3"/>
  <c r="CY147" i="3"/>
  <c r="DA147" i="3"/>
  <c r="DC147" i="3"/>
  <c r="DE147" i="3"/>
  <c r="DG147" i="3"/>
  <c r="DI147" i="3"/>
  <c r="DK147" i="3"/>
  <c r="DM147" i="3"/>
  <c r="DO147" i="3"/>
  <c r="DQ147" i="3"/>
  <c r="DS147" i="3"/>
  <c r="DU147" i="3"/>
  <c r="DW147" i="3"/>
  <c r="DY147" i="3"/>
  <c r="EA147" i="3"/>
  <c r="EC147" i="3"/>
  <c r="EE147" i="3"/>
  <c r="EG147" i="3"/>
  <c r="EI147" i="3"/>
  <c r="BZ148" i="3"/>
  <c r="CB148" i="3"/>
  <c r="CD148" i="3"/>
  <c r="CF148" i="3"/>
  <c r="CH148" i="3"/>
  <c r="CJ148" i="3"/>
  <c r="CL148" i="3"/>
  <c r="CN148" i="3"/>
  <c r="CP148" i="3"/>
  <c r="CR148" i="3"/>
  <c r="CT148" i="3"/>
  <c r="CV148" i="3"/>
  <c r="CX148" i="3"/>
  <c r="CZ148" i="3"/>
  <c r="DB148" i="3"/>
  <c r="DD148" i="3"/>
  <c r="DF148" i="3"/>
  <c r="DH148" i="3"/>
  <c r="DJ148" i="3"/>
  <c r="DL148" i="3"/>
  <c r="DN148" i="3"/>
  <c r="DP148" i="3"/>
  <c r="DR148" i="3"/>
  <c r="DT148" i="3"/>
  <c r="DV148" i="3"/>
  <c r="DX148" i="3"/>
  <c r="DZ148" i="3"/>
  <c r="EB148" i="3"/>
  <c r="ED148" i="3"/>
  <c r="EF148" i="3"/>
  <c r="EH148" i="3"/>
  <c r="K149" i="3"/>
  <c r="M149" i="3"/>
  <c r="O149" i="3"/>
  <c r="Q149" i="3"/>
  <c r="S149" i="3"/>
  <c r="U149" i="3"/>
  <c r="W149" i="3"/>
  <c r="Y149" i="3"/>
  <c r="AA149" i="3"/>
  <c r="AC149" i="3"/>
  <c r="AE149" i="3"/>
  <c r="AG149" i="3"/>
  <c r="AI149" i="3"/>
  <c r="AK149" i="3"/>
  <c r="AM149" i="3"/>
  <c r="AO149" i="3"/>
  <c r="AQ149" i="3"/>
  <c r="AS149" i="3"/>
  <c r="AU149" i="3"/>
  <c r="AW149" i="3"/>
  <c r="AY149" i="3"/>
  <c r="BA149" i="3"/>
  <c r="BC149" i="3"/>
  <c r="BE149" i="3"/>
  <c r="BG149" i="3"/>
  <c r="BI149" i="3"/>
  <c r="BK149" i="3"/>
  <c r="BM149" i="3"/>
  <c r="BO149" i="3"/>
  <c r="BQ149" i="3"/>
  <c r="BS149" i="3"/>
  <c r="BU149" i="3"/>
  <c r="BW149" i="3"/>
  <c r="BY149" i="3"/>
  <c r="CA149" i="3"/>
  <c r="CC149" i="3"/>
  <c r="CE149" i="3"/>
  <c r="CG149" i="3"/>
  <c r="CI149" i="3"/>
  <c r="CK149" i="3"/>
  <c r="CM149" i="3"/>
  <c r="CO149" i="3"/>
  <c r="CQ149" i="3"/>
  <c r="CS149" i="3"/>
  <c r="CU149" i="3"/>
  <c r="CW149" i="3"/>
  <c r="CY149" i="3"/>
  <c r="DA149" i="3"/>
  <c r="DC149" i="3"/>
  <c r="DE149" i="3"/>
  <c r="DG149" i="3"/>
  <c r="DI149" i="3"/>
  <c r="DK149" i="3"/>
  <c r="DM149" i="3"/>
  <c r="DO149" i="3"/>
  <c r="DQ149" i="3"/>
  <c r="DS149" i="3"/>
  <c r="DU149" i="3"/>
  <c r="DW149" i="3"/>
  <c r="DY149" i="3"/>
  <c r="EA149" i="3"/>
  <c r="EC149" i="3"/>
  <c r="EE149" i="3"/>
  <c r="EG149" i="3"/>
  <c r="EI149" i="3"/>
  <c r="T150" i="3"/>
  <c r="V150" i="3"/>
  <c r="X150" i="3"/>
  <c r="Z150" i="3"/>
  <c r="AB150" i="3"/>
  <c r="AD150" i="3"/>
  <c r="AF150" i="3"/>
  <c r="AH150" i="3"/>
  <c r="AJ150" i="3"/>
  <c r="AL150" i="3"/>
  <c r="AN150" i="3"/>
  <c r="AP150" i="3"/>
  <c r="AR150" i="3"/>
  <c r="AT150" i="3"/>
  <c r="AV150" i="3"/>
  <c r="AX150" i="3"/>
  <c r="AZ150" i="3"/>
  <c r="BB150" i="3"/>
  <c r="BD150" i="3"/>
  <c r="BF150" i="3"/>
  <c r="BH150" i="3"/>
  <c r="BJ150" i="3"/>
  <c r="BL150" i="3"/>
  <c r="BN150" i="3"/>
  <c r="BP150" i="3"/>
  <c r="BR150" i="3"/>
  <c r="BT150" i="3"/>
  <c r="BV150" i="3"/>
  <c r="BX150" i="3"/>
  <c r="BZ150" i="3"/>
  <c r="CB150" i="3"/>
  <c r="CD150" i="3"/>
  <c r="CF150" i="3"/>
  <c r="CH150" i="3"/>
  <c r="CJ150" i="3"/>
  <c r="CL150" i="3"/>
  <c r="CN150" i="3"/>
  <c r="CP150" i="3"/>
  <c r="CR150" i="3"/>
  <c r="CT150" i="3"/>
  <c r="CV150" i="3"/>
  <c r="CX150" i="3"/>
  <c r="CZ150" i="3"/>
  <c r="DB150" i="3"/>
  <c r="DD150" i="3"/>
  <c r="DF150" i="3"/>
  <c r="DH150" i="3"/>
  <c r="DJ150" i="3"/>
  <c r="DL150" i="3"/>
  <c r="DN150" i="3"/>
  <c r="DP150" i="3"/>
  <c r="DR150" i="3"/>
  <c r="DT150" i="3"/>
  <c r="DV150" i="3"/>
  <c r="DX150" i="3"/>
  <c r="DZ150" i="3"/>
  <c r="EB150" i="3"/>
  <c r="ED150" i="3"/>
  <c r="EF150" i="3"/>
  <c r="EH150" i="3"/>
  <c r="AA151" i="3"/>
  <c r="AC151" i="3"/>
  <c r="AE151" i="3"/>
  <c r="AG151" i="3"/>
  <c r="AI151" i="3"/>
  <c r="AK151" i="3"/>
  <c r="AM151" i="3"/>
  <c r="AO151" i="3"/>
  <c r="AQ151" i="3"/>
  <c r="AS151" i="3"/>
  <c r="AU151" i="3"/>
  <c r="AW151" i="3"/>
  <c r="AY151" i="3"/>
  <c r="BA151" i="3"/>
  <c r="BC151" i="3"/>
  <c r="BE151" i="3"/>
  <c r="BG151" i="3"/>
  <c r="BI151" i="3"/>
  <c r="BK151" i="3"/>
  <c r="BM151" i="3"/>
  <c r="BO151" i="3"/>
  <c r="BQ151" i="3"/>
  <c r="BS151" i="3"/>
  <c r="BU151" i="3"/>
  <c r="BW151" i="3"/>
  <c r="BY151" i="3"/>
  <c r="CA151" i="3"/>
  <c r="CC151" i="3"/>
  <c r="CE151" i="3"/>
  <c r="CG151" i="3"/>
  <c r="CI151" i="3"/>
  <c r="CK151" i="3"/>
  <c r="CM151" i="3"/>
  <c r="CO151" i="3"/>
  <c r="CQ151" i="3"/>
  <c r="CS151" i="3"/>
  <c r="CU151" i="3"/>
  <c r="CW151" i="3"/>
  <c r="CY151" i="3"/>
  <c r="DA151" i="3"/>
  <c r="DC151" i="3"/>
  <c r="DE151" i="3"/>
  <c r="DG151" i="3"/>
  <c r="DI151" i="3"/>
  <c r="DK151" i="3"/>
  <c r="DM151" i="3"/>
  <c r="DO151" i="3"/>
  <c r="DQ151" i="3"/>
  <c r="DS151" i="3"/>
  <c r="DU151" i="3"/>
  <c r="DW151" i="3"/>
  <c r="DY151" i="3"/>
  <c r="EA151" i="3"/>
  <c r="EC151" i="3"/>
  <c r="EE151" i="3"/>
  <c r="EG151" i="3"/>
  <c r="EI151" i="3"/>
  <c r="Z152" i="3"/>
  <c r="AB152" i="3"/>
  <c r="AD152" i="3"/>
  <c r="AF152" i="3"/>
  <c r="AH152" i="3"/>
  <c r="AJ152" i="3"/>
  <c r="AL152" i="3"/>
  <c r="AN152" i="3"/>
  <c r="AP152" i="3"/>
  <c r="AR152" i="3"/>
  <c r="AT152" i="3"/>
  <c r="AV152" i="3"/>
  <c r="AX152" i="3"/>
  <c r="AZ152" i="3"/>
  <c r="BB152" i="3"/>
  <c r="BD152" i="3"/>
  <c r="BF152" i="3"/>
  <c r="BH152" i="3"/>
  <c r="BJ152" i="3"/>
  <c r="BL152" i="3"/>
  <c r="BN152" i="3"/>
  <c r="BP152" i="3"/>
  <c r="BR152" i="3"/>
  <c r="BT152" i="3"/>
  <c r="BV152" i="3"/>
  <c r="BX152" i="3"/>
  <c r="BZ152" i="3"/>
  <c r="CB152" i="3"/>
  <c r="CD152" i="3"/>
  <c r="CF152" i="3"/>
  <c r="CH152" i="3"/>
  <c r="CJ152" i="3"/>
  <c r="CL152" i="3"/>
  <c r="CN152" i="3"/>
  <c r="CP152" i="3"/>
  <c r="CR152" i="3"/>
  <c r="CT152" i="3"/>
  <c r="CV152" i="3"/>
  <c r="CX152" i="3"/>
  <c r="CZ152" i="3"/>
  <c r="DB152" i="3"/>
  <c r="DD152" i="3"/>
  <c r="DF152" i="3"/>
  <c r="DH152" i="3"/>
  <c r="DJ152" i="3"/>
  <c r="DL152" i="3"/>
  <c r="DN152" i="3"/>
  <c r="DP152" i="3"/>
  <c r="DR152" i="3"/>
  <c r="DT152" i="3"/>
  <c r="DV152" i="3"/>
  <c r="DX152" i="3"/>
  <c r="DZ152" i="3"/>
  <c r="EB152" i="3"/>
  <c r="ED152" i="3"/>
  <c r="EF152" i="3"/>
  <c r="EH152" i="3"/>
  <c r="EC153" i="3"/>
  <c r="EE153" i="3"/>
  <c r="EG153" i="3"/>
  <c r="EI153" i="3"/>
  <c r="X154" i="3"/>
  <c r="Z154" i="3"/>
  <c r="AB154" i="3"/>
  <c r="AD154" i="3"/>
  <c r="AF154" i="3"/>
  <c r="AH154" i="3"/>
  <c r="AJ154" i="3"/>
  <c r="AL154" i="3"/>
  <c r="AN154" i="3"/>
  <c r="AP154" i="3"/>
  <c r="AR154" i="3"/>
  <c r="AT154" i="3"/>
  <c r="AV154" i="3"/>
  <c r="AX154" i="3"/>
  <c r="AZ154" i="3"/>
  <c r="BB154" i="3"/>
  <c r="BD154" i="3"/>
  <c r="BF154" i="3"/>
  <c r="BH154" i="3"/>
  <c r="BJ154" i="3"/>
  <c r="BL154" i="3"/>
  <c r="BN154" i="3"/>
  <c r="BP154" i="3"/>
  <c r="BR154" i="3"/>
  <c r="BT154" i="3"/>
  <c r="BV154" i="3"/>
  <c r="BX154" i="3"/>
  <c r="BZ154" i="3"/>
  <c r="CB154" i="3"/>
  <c r="CD154" i="3"/>
  <c r="CF154" i="3"/>
  <c r="CH154" i="3"/>
  <c r="CJ154" i="3"/>
  <c r="CL154" i="3"/>
  <c r="CN154" i="3"/>
  <c r="CP154" i="3"/>
  <c r="CR154" i="3"/>
  <c r="CT154" i="3"/>
  <c r="CV154" i="3"/>
  <c r="CX154" i="3"/>
  <c r="CZ154" i="3"/>
  <c r="DB154" i="3"/>
  <c r="DD154" i="3"/>
  <c r="DF154" i="3"/>
  <c r="DH154" i="3"/>
  <c r="DJ154" i="3"/>
  <c r="DL154" i="3"/>
  <c r="DN154" i="3"/>
  <c r="DP154" i="3"/>
  <c r="DR154" i="3"/>
  <c r="DT154" i="3"/>
  <c r="DV154" i="3"/>
  <c r="DX154" i="3"/>
  <c r="DZ154" i="3"/>
  <c r="EB154" i="3"/>
  <c r="ED154" i="3"/>
  <c r="EF154" i="3"/>
  <c r="EH154" i="3"/>
  <c r="R155" i="3"/>
  <c r="T155" i="3"/>
  <c r="V155" i="3"/>
  <c r="X155" i="3"/>
  <c r="Z155" i="3"/>
  <c r="AB155" i="3"/>
  <c r="AD155" i="3"/>
  <c r="AF155" i="3"/>
  <c r="AH155" i="3"/>
  <c r="AJ155" i="3"/>
  <c r="AL155" i="3"/>
  <c r="AN155" i="3"/>
  <c r="AP155" i="3"/>
  <c r="AR155" i="3"/>
  <c r="AT155" i="3"/>
  <c r="AV155" i="3"/>
  <c r="AX155" i="3"/>
  <c r="AZ155" i="3"/>
  <c r="BB155" i="3"/>
  <c r="BD155" i="3"/>
  <c r="BF155" i="3"/>
  <c r="BH155" i="3"/>
  <c r="BJ155" i="3"/>
  <c r="BL155" i="3"/>
  <c r="BN155" i="3"/>
  <c r="BP155" i="3"/>
  <c r="BR155" i="3"/>
  <c r="BT155" i="3"/>
  <c r="BV155" i="3"/>
  <c r="BX155" i="3"/>
  <c r="BZ155" i="3"/>
  <c r="CB155" i="3"/>
  <c r="CD155" i="3"/>
  <c r="CF155" i="3"/>
  <c r="CH155" i="3"/>
  <c r="CJ155" i="3"/>
  <c r="CL155" i="3"/>
  <c r="CN155" i="3"/>
  <c r="CP155" i="3"/>
  <c r="CR155" i="3"/>
  <c r="CT155" i="3"/>
  <c r="CV155" i="3"/>
  <c r="CX155" i="3"/>
  <c r="CZ155" i="3"/>
  <c r="DB155" i="3"/>
  <c r="DD155" i="3"/>
  <c r="DF155" i="3"/>
  <c r="DH155" i="3"/>
  <c r="DJ155" i="3"/>
  <c r="DL155" i="3"/>
  <c r="DN155" i="3"/>
  <c r="DP155" i="3"/>
  <c r="DR155" i="3"/>
  <c r="DT155" i="3"/>
  <c r="DV155" i="3"/>
  <c r="DX155" i="3"/>
  <c r="DZ155" i="3"/>
  <c r="EB155" i="3"/>
  <c r="ED155" i="3"/>
  <c r="EF155" i="3"/>
  <c r="EH155" i="3"/>
  <c r="R156" i="3"/>
  <c r="T156" i="3"/>
  <c r="V156" i="3"/>
  <c r="X156" i="3"/>
  <c r="Z156" i="3"/>
  <c r="AB156" i="3"/>
  <c r="AD156" i="3"/>
  <c r="AF156" i="3"/>
  <c r="AH156" i="3"/>
  <c r="AJ156" i="3"/>
  <c r="AL156" i="3"/>
  <c r="AN156" i="3"/>
  <c r="AP156" i="3"/>
  <c r="AR156" i="3"/>
  <c r="AT156" i="3"/>
  <c r="AV156" i="3"/>
  <c r="AX156" i="3"/>
  <c r="AZ156" i="3"/>
  <c r="BB156" i="3"/>
  <c r="BD156" i="3"/>
  <c r="BF156" i="3"/>
  <c r="BH156" i="3"/>
  <c r="BJ156" i="3"/>
  <c r="BL156" i="3"/>
  <c r="BN156" i="3"/>
  <c r="BP156" i="3"/>
  <c r="BR156" i="3"/>
  <c r="BT156" i="3"/>
  <c r="BV156" i="3"/>
  <c r="BX156" i="3"/>
  <c r="BZ156" i="3"/>
  <c r="CB156" i="3"/>
  <c r="CD156" i="3"/>
  <c r="CF156" i="3"/>
  <c r="CH156" i="3"/>
  <c r="CJ156" i="3"/>
  <c r="CL156" i="3"/>
  <c r="CN156" i="3"/>
  <c r="CP156" i="3"/>
  <c r="CR156" i="3"/>
  <c r="CT156" i="3"/>
  <c r="CV156" i="3"/>
  <c r="CX156" i="3"/>
  <c r="CZ156" i="3"/>
  <c r="DB156" i="3"/>
  <c r="DD156" i="3"/>
  <c r="DF156" i="3"/>
  <c r="DH156" i="3"/>
  <c r="DJ156" i="3"/>
  <c r="DL156" i="3"/>
  <c r="DN156" i="3"/>
  <c r="DP156" i="3"/>
  <c r="DR156" i="3"/>
  <c r="DT156" i="3"/>
  <c r="DV156" i="3"/>
  <c r="DX156" i="3"/>
  <c r="DZ156" i="3"/>
  <c r="EB156" i="3"/>
  <c r="ED156" i="3"/>
  <c r="EF156" i="3"/>
  <c r="EH156" i="3"/>
  <c r="CB157" i="3"/>
  <c r="CD157" i="3"/>
  <c r="CF157" i="3"/>
  <c r="CH157" i="3"/>
  <c r="CJ157" i="3"/>
  <c r="CL157" i="3"/>
  <c r="CN157" i="3"/>
  <c r="CP157" i="3"/>
  <c r="CR157" i="3"/>
  <c r="CT157" i="3"/>
  <c r="CV157" i="3"/>
  <c r="CX157" i="3"/>
  <c r="CZ157" i="3"/>
  <c r="DB157" i="3"/>
  <c r="DD157" i="3"/>
  <c r="DF157" i="3"/>
  <c r="DH157" i="3"/>
  <c r="DJ157" i="3"/>
  <c r="DL157" i="3"/>
  <c r="DN157" i="3"/>
  <c r="DP157" i="3"/>
  <c r="DR157" i="3"/>
  <c r="DT157" i="3"/>
  <c r="DV157" i="3"/>
  <c r="DX157" i="3"/>
  <c r="DZ157" i="3"/>
  <c r="EB157" i="3"/>
  <c r="ED157" i="3"/>
  <c r="EF157" i="3"/>
  <c r="EH157" i="3"/>
  <c r="O158" i="3"/>
  <c r="Q158" i="3"/>
  <c r="S158" i="3"/>
  <c r="U158" i="3"/>
  <c r="W158" i="3"/>
  <c r="Y158" i="3"/>
  <c r="AA158" i="3"/>
  <c r="AC158" i="3"/>
  <c r="AE158" i="3"/>
  <c r="AG158" i="3"/>
  <c r="AI158" i="3"/>
  <c r="AK158" i="3"/>
  <c r="AM158" i="3"/>
  <c r="AO158" i="3"/>
  <c r="AQ158" i="3"/>
  <c r="AS158" i="3"/>
  <c r="AU158" i="3"/>
  <c r="AW158" i="3"/>
  <c r="AY158" i="3"/>
  <c r="BA158" i="3"/>
  <c r="BC158" i="3"/>
  <c r="BE158" i="3"/>
  <c r="BG158" i="3"/>
  <c r="BI158" i="3"/>
  <c r="BK158" i="3"/>
  <c r="BM158" i="3"/>
  <c r="BO158" i="3"/>
  <c r="BQ158" i="3"/>
  <c r="BS158" i="3"/>
  <c r="BU158" i="3"/>
  <c r="BW158" i="3"/>
  <c r="BY158" i="3"/>
  <c r="CA158" i="3"/>
  <c r="CC158" i="3"/>
  <c r="CE158" i="3"/>
  <c r="CG158" i="3"/>
  <c r="CI158" i="3"/>
  <c r="CK158" i="3"/>
  <c r="CM158" i="3"/>
  <c r="CO158" i="3"/>
  <c r="CQ158" i="3"/>
  <c r="CS158" i="3"/>
  <c r="CU158" i="3"/>
  <c r="CW158" i="3"/>
  <c r="CY158" i="3"/>
  <c r="DA158" i="3"/>
  <c r="DC158" i="3"/>
  <c r="DE158" i="3"/>
  <c r="DG158" i="3"/>
  <c r="DI158" i="3"/>
  <c r="DK158" i="3"/>
  <c r="DM158" i="3"/>
  <c r="DO158" i="3"/>
  <c r="DQ158" i="3"/>
  <c r="DS158" i="3"/>
  <c r="DU158" i="3"/>
  <c r="DW158" i="3"/>
  <c r="DY158" i="3"/>
  <c r="EA158" i="3"/>
  <c r="EC158" i="3"/>
  <c r="EE158" i="3"/>
  <c r="EG158" i="3"/>
  <c r="EI158" i="3"/>
  <c r="L159" i="3"/>
  <c r="N159" i="3"/>
  <c r="P159" i="3"/>
  <c r="R159" i="3"/>
  <c r="T159" i="3"/>
  <c r="V159" i="3"/>
  <c r="X159" i="3"/>
  <c r="Z159" i="3"/>
  <c r="AB159" i="3"/>
  <c r="AD159" i="3"/>
  <c r="AF159" i="3"/>
  <c r="AH159" i="3"/>
  <c r="AJ159" i="3"/>
  <c r="AN159" i="3"/>
  <c r="AR159" i="3"/>
  <c r="AV159" i="3"/>
  <c r="AZ159" i="3"/>
  <c r="BD159" i="3"/>
  <c r="BH159" i="3"/>
  <c r="BL159" i="3"/>
  <c r="BP159" i="3"/>
  <c r="BT159" i="3"/>
  <c r="BX159" i="3"/>
  <c r="CB159" i="3"/>
  <c r="CF159" i="3"/>
  <c r="CJ159" i="3"/>
  <c r="CN159" i="3"/>
  <c r="CR159" i="3"/>
  <c r="CV159" i="3"/>
  <c r="CZ159" i="3"/>
  <c r="DD159" i="3"/>
  <c r="DH159" i="3"/>
  <c r="DL159" i="3"/>
  <c r="DP159" i="3"/>
  <c r="DT159" i="3"/>
  <c r="DX159" i="3"/>
  <c r="EB159" i="3"/>
  <c r="EF159" i="3"/>
  <c r="S160" i="3"/>
  <c r="W160" i="3"/>
  <c r="AA160" i="3"/>
  <c r="AE160" i="3"/>
  <c r="AI160" i="3"/>
  <c r="AM160" i="3"/>
  <c r="AQ160" i="3"/>
  <c r="AU160" i="3"/>
  <c r="AY160" i="3"/>
  <c r="BC160" i="3"/>
  <c r="BE160" i="3"/>
  <c r="BG160" i="3"/>
  <c r="BI160" i="3"/>
  <c r="BK160" i="3"/>
  <c r="BM160" i="3"/>
  <c r="BO160" i="3"/>
  <c r="BQ160" i="3"/>
  <c r="BS160" i="3"/>
  <c r="BU160" i="3"/>
  <c r="BW160" i="3"/>
  <c r="BY160" i="3"/>
  <c r="CA160" i="3"/>
  <c r="CC160" i="3"/>
  <c r="CE160" i="3"/>
  <c r="CG160" i="3"/>
  <c r="CI160" i="3"/>
  <c r="CK160" i="3"/>
  <c r="CM160" i="3"/>
  <c r="CO160" i="3"/>
  <c r="CQ160" i="3"/>
  <c r="CS160" i="3"/>
  <c r="CU160" i="3"/>
  <c r="CW160" i="3"/>
  <c r="CY160" i="3"/>
  <c r="DA160" i="3"/>
  <c r="DC160" i="3"/>
  <c r="DE160" i="3"/>
  <c r="DG160" i="3"/>
  <c r="DI160" i="3"/>
  <c r="DK160" i="3"/>
  <c r="DM160" i="3"/>
  <c r="DO160" i="3"/>
  <c r="DQ160" i="3"/>
  <c r="DS160" i="3"/>
  <c r="DU160" i="3"/>
  <c r="DW160" i="3"/>
  <c r="DY160" i="3"/>
  <c r="EA160" i="3"/>
  <c r="EC160" i="3"/>
  <c r="EE160" i="3"/>
  <c r="EG160" i="3"/>
  <c r="EI160" i="3"/>
  <c r="M161" i="3"/>
  <c r="O161" i="3"/>
  <c r="Q161" i="3"/>
  <c r="S161" i="3"/>
  <c r="U161" i="3"/>
  <c r="W161" i="3"/>
  <c r="Y161" i="3"/>
  <c r="AA161" i="3"/>
  <c r="AC161" i="3"/>
  <c r="AE161" i="3"/>
  <c r="AG161" i="3"/>
  <c r="AI161" i="3"/>
  <c r="AK161" i="3"/>
  <c r="AM161" i="3"/>
  <c r="AO161" i="3"/>
  <c r="AQ161" i="3"/>
  <c r="AS161" i="3"/>
  <c r="AU161" i="3"/>
  <c r="AW161" i="3"/>
  <c r="AY161" i="3"/>
  <c r="BA161" i="3"/>
  <c r="BC161" i="3"/>
  <c r="BE161" i="3"/>
  <c r="BG161" i="3"/>
  <c r="BI161" i="3"/>
  <c r="BK161" i="3"/>
  <c r="BM161" i="3"/>
  <c r="BO161" i="3"/>
  <c r="BQ161" i="3"/>
  <c r="BS161" i="3"/>
  <c r="BU161" i="3"/>
  <c r="BW161" i="3"/>
  <c r="BY161" i="3"/>
  <c r="CA161" i="3"/>
  <c r="CC161" i="3"/>
  <c r="CE161" i="3"/>
  <c r="CG161" i="3"/>
  <c r="CI161" i="3"/>
  <c r="CK161" i="3"/>
  <c r="CM161" i="3"/>
  <c r="CO161" i="3"/>
  <c r="CQ161" i="3"/>
  <c r="CS161" i="3"/>
  <c r="CU161" i="3"/>
  <c r="CW161" i="3"/>
  <c r="CY161" i="3"/>
  <c r="DA161" i="3"/>
  <c r="DC161" i="3"/>
  <c r="DE161" i="3"/>
  <c r="DG161" i="3"/>
  <c r="DI161" i="3"/>
  <c r="DK161" i="3"/>
  <c r="DM161" i="3"/>
  <c r="DO161" i="3"/>
  <c r="DQ161" i="3"/>
  <c r="DS161" i="3"/>
  <c r="DU161" i="3"/>
  <c r="DW161" i="3"/>
  <c r="DY161" i="3"/>
  <c r="EA161" i="3"/>
  <c r="EC161" i="3"/>
  <c r="EE161" i="3"/>
  <c r="EG161" i="3"/>
  <c r="EI161" i="3"/>
  <c r="M162" i="3"/>
  <c r="O162" i="3"/>
  <c r="Q162" i="3"/>
  <c r="S162" i="3"/>
  <c r="U162" i="3"/>
  <c r="W162" i="3"/>
  <c r="Y162" i="3"/>
  <c r="AA162" i="3"/>
  <c r="AC162" i="3"/>
  <c r="AE162" i="3"/>
  <c r="AG162" i="3"/>
  <c r="AI162" i="3"/>
  <c r="AK162" i="3"/>
  <c r="AM162" i="3"/>
  <c r="AO162" i="3"/>
  <c r="AQ162" i="3"/>
  <c r="AS162" i="3"/>
  <c r="AU162" i="3"/>
  <c r="AW162" i="3"/>
  <c r="AY162" i="3"/>
  <c r="BA162" i="3"/>
  <c r="BC162" i="3"/>
  <c r="BE162" i="3"/>
  <c r="BG162" i="3"/>
  <c r="BI162" i="3"/>
  <c r="BK162" i="3"/>
  <c r="BM162" i="3"/>
  <c r="BO162" i="3"/>
  <c r="BQ162" i="3"/>
  <c r="BS162" i="3"/>
  <c r="BU162" i="3"/>
  <c r="BW162" i="3"/>
  <c r="BY162" i="3"/>
  <c r="CA162" i="3"/>
  <c r="CC162" i="3"/>
  <c r="CE162" i="3"/>
  <c r="CG162" i="3"/>
  <c r="CI162" i="3"/>
  <c r="CK162" i="3"/>
  <c r="CM162" i="3"/>
  <c r="CO162" i="3"/>
  <c r="CQ162" i="3"/>
  <c r="CS162" i="3"/>
  <c r="CU162" i="3"/>
  <c r="CW162" i="3"/>
  <c r="CY162" i="3"/>
  <c r="DA162" i="3"/>
  <c r="DC162" i="3"/>
  <c r="DE162" i="3"/>
  <c r="DG162" i="3"/>
  <c r="DI162" i="3"/>
  <c r="DK162" i="3"/>
  <c r="DM162" i="3"/>
  <c r="DO162" i="3"/>
  <c r="DQ162" i="3"/>
  <c r="DS162" i="3"/>
  <c r="DU162" i="3"/>
  <c r="DW162" i="3"/>
  <c r="DY162" i="3"/>
  <c r="EA162" i="3"/>
  <c r="EC162" i="3"/>
  <c r="EE162" i="3"/>
  <c r="EG162" i="3"/>
  <c r="EI162" i="3"/>
  <c r="L163" i="3"/>
  <c r="N163" i="3"/>
  <c r="P163" i="3"/>
  <c r="R163" i="3"/>
  <c r="T163" i="3"/>
  <c r="V163" i="3"/>
  <c r="X163" i="3"/>
  <c r="Z163" i="3"/>
  <c r="AB163" i="3"/>
  <c r="AD163" i="3"/>
  <c r="AF163" i="3"/>
  <c r="AH163" i="3"/>
  <c r="AJ163" i="3"/>
  <c r="AL163" i="3"/>
  <c r="AN163" i="3"/>
  <c r="AP163" i="3"/>
  <c r="AR163" i="3"/>
  <c r="AT163" i="3"/>
  <c r="AV163" i="3"/>
  <c r="AX163" i="3"/>
  <c r="AZ163" i="3"/>
  <c r="BB163" i="3"/>
  <c r="BD163" i="3"/>
  <c r="BF163" i="3"/>
  <c r="BH163" i="3"/>
  <c r="BJ163" i="3"/>
  <c r="BL163" i="3"/>
  <c r="BN163" i="3"/>
  <c r="BP163" i="3"/>
  <c r="BR163" i="3"/>
  <c r="BT163" i="3"/>
  <c r="BV163" i="3"/>
  <c r="BX163" i="3"/>
  <c r="BZ163" i="3"/>
  <c r="CB163" i="3"/>
  <c r="CD163" i="3"/>
  <c r="CF163" i="3"/>
  <c r="CH163" i="3"/>
  <c r="CJ163" i="3"/>
  <c r="CL163" i="3"/>
  <c r="CN163" i="3"/>
  <c r="CP163" i="3"/>
  <c r="CR163" i="3"/>
  <c r="CT163" i="3"/>
  <c r="CV163" i="3"/>
  <c r="CX163" i="3"/>
  <c r="CZ163" i="3"/>
  <c r="DB163" i="3"/>
  <c r="DD163" i="3"/>
  <c r="DF163" i="3"/>
  <c r="DH163" i="3"/>
  <c r="DJ163" i="3"/>
  <c r="DL163" i="3"/>
  <c r="DN163" i="3"/>
  <c r="DP163" i="3"/>
  <c r="DR163" i="3"/>
  <c r="DT163" i="3"/>
  <c r="DV163" i="3"/>
  <c r="DX163" i="3"/>
  <c r="DZ163" i="3"/>
  <c r="EB163" i="3"/>
  <c r="ED163" i="3"/>
  <c r="EF163" i="3"/>
  <c r="EH163" i="3"/>
  <c r="L164" i="3"/>
  <c r="N164" i="3"/>
  <c r="P164" i="3"/>
  <c r="R164" i="3"/>
  <c r="T164" i="3"/>
  <c r="V164" i="3"/>
  <c r="X164" i="3"/>
  <c r="Z164" i="3"/>
  <c r="AB164" i="3"/>
  <c r="AD164" i="3"/>
  <c r="AF164" i="3"/>
  <c r="AH164" i="3"/>
  <c r="AJ164" i="3"/>
  <c r="AL164" i="3"/>
  <c r="AN164" i="3"/>
  <c r="AP164" i="3"/>
  <c r="AR164" i="3"/>
  <c r="AT164" i="3"/>
  <c r="AV164" i="3"/>
  <c r="AX164" i="3"/>
  <c r="AZ164" i="3"/>
  <c r="BB164" i="3"/>
  <c r="BD164" i="3"/>
  <c r="BF164" i="3"/>
  <c r="BH164" i="3"/>
  <c r="BJ164" i="3"/>
  <c r="BL164" i="3"/>
  <c r="BN164" i="3"/>
  <c r="BP164" i="3"/>
  <c r="BR164" i="3"/>
  <c r="BT164" i="3"/>
  <c r="BV164" i="3"/>
  <c r="BX164" i="3"/>
  <c r="BZ164" i="3"/>
  <c r="CB164" i="3"/>
  <c r="CD164" i="3"/>
  <c r="CF164" i="3"/>
  <c r="CH164" i="3"/>
  <c r="CJ164" i="3"/>
  <c r="CL164" i="3"/>
  <c r="CN164" i="3"/>
  <c r="CP164" i="3"/>
  <c r="CR164" i="3"/>
  <c r="CT164" i="3"/>
  <c r="CV164" i="3"/>
  <c r="CX164" i="3"/>
  <c r="CZ164" i="3"/>
  <c r="DB164" i="3"/>
  <c r="DD164" i="3"/>
  <c r="DF164" i="3"/>
  <c r="DH164" i="3"/>
  <c r="DJ164" i="3"/>
  <c r="DL164" i="3"/>
  <c r="DN164" i="3"/>
  <c r="DP164" i="3"/>
  <c r="DR164" i="3"/>
  <c r="DT164" i="3"/>
  <c r="DV164" i="3"/>
  <c r="DX164" i="3"/>
  <c r="DZ164" i="3"/>
  <c r="EB164" i="3"/>
  <c r="ED164" i="3"/>
  <c r="EF164" i="3"/>
  <c r="EH164" i="3"/>
  <c r="L165" i="3"/>
  <c r="N165" i="3"/>
  <c r="P165" i="3"/>
  <c r="R165" i="3"/>
  <c r="T165" i="3"/>
  <c r="V165" i="3"/>
  <c r="X165" i="3"/>
  <c r="Z165" i="3"/>
  <c r="AB165" i="3"/>
  <c r="AD165" i="3"/>
  <c r="AF165" i="3"/>
  <c r="AH165" i="3"/>
  <c r="AJ165" i="3"/>
  <c r="AL165" i="3"/>
  <c r="AN165" i="3"/>
  <c r="AP165" i="3"/>
  <c r="AR165" i="3"/>
  <c r="AT165" i="3"/>
  <c r="AV165" i="3"/>
  <c r="AX165" i="3"/>
  <c r="AZ165" i="3"/>
  <c r="BB165" i="3"/>
  <c r="BD165" i="3"/>
  <c r="BF165" i="3"/>
  <c r="BH165" i="3"/>
  <c r="BJ165" i="3"/>
  <c r="BL165" i="3"/>
  <c r="BN165" i="3"/>
  <c r="BP165" i="3"/>
  <c r="BR165" i="3"/>
  <c r="BT165" i="3"/>
  <c r="BV165" i="3"/>
  <c r="BX165" i="3"/>
  <c r="BZ165" i="3"/>
  <c r="CB165" i="3"/>
  <c r="CD165" i="3"/>
  <c r="CF165" i="3"/>
  <c r="CH165" i="3"/>
  <c r="CJ165" i="3"/>
  <c r="CL165" i="3"/>
  <c r="CN165" i="3"/>
  <c r="CP165" i="3"/>
  <c r="CR165" i="3"/>
  <c r="CT165" i="3"/>
  <c r="CV165" i="3"/>
  <c r="CX165" i="3"/>
  <c r="CZ165" i="3"/>
  <c r="DB165" i="3"/>
  <c r="DD165" i="3"/>
  <c r="DF165" i="3"/>
  <c r="DH165" i="3"/>
  <c r="DJ165" i="3"/>
  <c r="DL165" i="3"/>
  <c r="DN165" i="3"/>
  <c r="DP165" i="3"/>
  <c r="DR165" i="3"/>
  <c r="DT165" i="3"/>
  <c r="DV165" i="3"/>
  <c r="DX165" i="3"/>
  <c r="DZ165" i="3"/>
  <c r="EB165" i="3"/>
  <c r="ED165" i="3"/>
  <c r="EF165" i="3"/>
  <c r="EH165" i="3"/>
  <c r="K166" i="3"/>
  <c r="M166" i="3"/>
  <c r="O166" i="3"/>
  <c r="Q166" i="3"/>
  <c r="S166" i="3"/>
  <c r="U166" i="3"/>
  <c r="W166" i="3"/>
  <c r="Y166" i="3"/>
  <c r="AA166" i="3"/>
  <c r="AC166" i="3"/>
  <c r="AE166" i="3"/>
  <c r="AG166" i="3"/>
  <c r="AI166" i="3"/>
  <c r="AK166" i="3"/>
  <c r="AM166" i="3"/>
  <c r="AO166" i="3"/>
  <c r="AQ166" i="3"/>
  <c r="AS166" i="3"/>
  <c r="AU166" i="3"/>
  <c r="AW166" i="3"/>
  <c r="AY166" i="3"/>
  <c r="BA166" i="3"/>
  <c r="BC166" i="3"/>
  <c r="BE166" i="3"/>
  <c r="BG166" i="3"/>
  <c r="BI166" i="3"/>
  <c r="BK166" i="3"/>
  <c r="BM166" i="3"/>
  <c r="BO166" i="3"/>
  <c r="BQ166" i="3"/>
  <c r="BS166" i="3"/>
  <c r="BU166" i="3"/>
  <c r="BW166" i="3"/>
  <c r="BY166" i="3"/>
  <c r="CA166" i="3"/>
  <c r="CC166" i="3"/>
  <c r="CE166" i="3"/>
  <c r="CG166" i="3"/>
  <c r="CI166" i="3"/>
  <c r="CK166" i="3"/>
  <c r="CM166" i="3"/>
  <c r="CO166" i="3"/>
  <c r="CQ166" i="3"/>
  <c r="CS166" i="3"/>
  <c r="CU166" i="3"/>
  <c r="CW166" i="3"/>
  <c r="CY166" i="3"/>
  <c r="DA166" i="3"/>
  <c r="DC166" i="3"/>
  <c r="DE166" i="3"/>
  <c r="DG166" i="3"/>
  <c r="DI166" i="3"/>
  <c r="DK166" i="3"/>
  <c r="DM166" i="3"/>
  <c r="DO166" i="3"/>
  <c r="DQ166" i="3"/>
  <c r="DS166" i="3"/>
  <c r="DU166" i="3"/>
  <c r="DW166" i="3"/>
  <c r="DY166" i="3"/>
  <c r="EA166" i="3"/>
  <c r="EC166" i="3"/>
  <c r="EE166" i="3"/>
  <c r="EG166" i="3"/>
  <c r="EI166" i="3"/>
  <c r="L167" i="3"/>
  <c r="N167" i="3"/>
  <c r="P167" i="3"/>
  <c r="R167" i="3"/>
  <c r="T167" i="3"/>
  <c r="V167" i="3"/>
  <c r="X167" i="3"/>
  <c r="Z167" i="3"/>
  <c r="AB167" i="3"/>
  <c r="AD167" i="3"/>
  <c r="AF167" i="3"/>
  <c r="AH167" i="3"/>
  <c r="AJ167" i="3"/>
  <c r="AL167" i="3"/>
  <c r="AN167" i="3"/>
  <c r="AP167" i="3"/>
  <c r="AR167" i="3"/>
  <c r="AT167" i="3"/>
  <c r="AV167" i="3"/>
  <c r="AX167" i="3"/>
  <c r="AZ167" i="3"/>
  <c r="BB167" i="3"/>
  <c r="BD167" i="3"/>
  <c r="BF167" i="3"/>
  <c r="BH167" i="3"/>
  <c r="BJ167" i="3"/>
  <c r="BL167" i="3"/>
  <c r="BN167" i="3"/>
  <c r="BP167" i="3"/>
  <c r="BR167" i="3"/>
  <c r="BT167" i="3"/>
  <c r="BV167" i="3"/>
  <c r="BX167" i="3"/>
  <c r="BZ167" i="3"/>
  <c r="CB167" i="3"/>
  <c r="CD167" i="3"/>
  <c r="CF167" i="3"/>
  <c r="CH167" i="3"/>
  <c r="CJ167" i="3"/>
  <c r="CL167" i="3"/>
  <c r="CN167" i="3"/>
  <c r="CP167" i="3"/>
  <c r="CR167" i="3"/>
  <c r="CT167" i="3"/>
  <c r="CV167" i="3"/>
  <c r="CX167" i="3"/>
  <c r="CZ167" i="3"/>
  <c r="DB167" i="3"/>
  <c r="DD167" i="3"/>
  <c r="DF167" i="3"/>
  <c r="DH167" i="3"/>
  <c r="DJ167" i="3"/>
  <c r="DL167" i="3"/>
  <c r="DN167" i="3"/>
  <c r="DP167" i="3"/>
  <c r="DR167" i="3"/>
  <c r="DT167" i="3"/>
  <c r="DV167" i="3"/>
  <c r="DX167" i="3"/>
  <c r="DZ167" i="3"/>
  <c r="EB167" i="3"/>
  <c r="ED167" i="3"/>
  <c r="EF167" i="3"/>
  <c r="EH167" i="3"/>
  <c r="L168" i="3"/>
  <c r="N168" i="3"/>
  <c r="P168" i="3"/>
  <c r="R168" i="3"/>
  <c r="T168" i="3"/>
  <c r="V168" i="3"/>
  <c r="X168" i="3"/>
  <c r="Z168" i="3"/>
  <c r="AB168" i="3"/>
  <c r="AD168" i="3"/>
  <c r="AF168" i="3"/>
  <c r="AH168" i="3"/>
  <c r="AJ168" i="3"/>
  <c r="AL168" i="3"/>
  <c r="AN168" i="3"/>
  <c r="AP168" i="3"/>
  <c r="AR168" i="3"/>
  <c r="AT168" i="3"/>
  <c r="AV168" i="3"/>
  <c r="AX168" i="3"/>
  <c r="AZ168" i="3"/>
  <c r="BB168" i="3"/>
  <c r="BD168" i="3"/>
  <c r="BF168" i="3"/>
  <c r="BH168" i="3"/>
  <c r="BJ168" i="3"/>
  <c r="BL168" i="3"/>
  <c r="BN168" i="3"/>
  <c r="BP168" i="3"/>
  <c r="BR168" i="3"/>
  <c r="BT168" i="3"/>
  <c r="BV168" i="3"/>
  <c r="BX168" i="3"/>
  <c r="BZ168" i="3"/>
  <c r="CB168" i="3"/>
  <c r="CD168" i="3"/>
  <c r="CF168" i="3"/>
  <c r="CH168" i="3"/>
  <c r="CJ168" i="3"/>
  <c r="CL168" i="3"/>
  <c r="CN168" i="3"/>
  <c r="CP168" i="3"/>
  <c r="CR168" i="3"/>
  <c r="CT168" i="3"/>
  <c r="CV168" i="3"/>
  <c r="CX168" i="3"/>
  <c r="CZ168" i="3"/>
  <c r="DB168" i="3"/>
  <c r="DD168" i="3"/>
  <c r="DF168" i="3"/>
  <c r="DH168" i="3"/>
  <c r="DJ168" i="3"/>
  <c r="DL168" i="3"/>
  <c r="DN168" i="3"/>
  <c r="DP168" i="3"/>
  <c r="DR168" i="3"/>
  <c r="DT168" i="3"/>
  <c r="DV168" i="3"/>
  <c r="DX168" i="3"/>
  <c r="DZ168" i="3"/>
  <c r="EB168" i="3"/>
  <c r="ED168" i="3"/>
  <c r="EF168" i="3"/>
  <c r="EH168" i="3"/>
  <c r="BP169" i="3"/>
  <c r="BR169" i="3"/>
  <c r="BT169" i="3"/>
  <c r="BV169" i="3"/>
  <c r="BX169" i="3"/>
  <c r="BZ169" i="3"/>
  <c r="CB169" i="3"/>
  <c r="CD169" i="3"/>
  <c r="CF169" i="3"/>
  <c r="CH169" i="3"/>
  <c r="CJ169" i="3"/>
  <c r="CL169" i="3"/>
  <c r="CN169" i="3"/>
  <c r="CP169" i="3"/>
  <c r="CR169" i="3"/>
  <c r="CT169" i="3"/>
  <c r="CV169" i="3"/>
  <c r="CX169" i="3"/>
  <c r="CZ169" i="3"/>
  <c r="DB169" i="3"/>
  <c r="DD169" i="3"/>
  <c r="DF169" i="3"/>
  <c r="DH169" i="3"/>
  <c r="DJ169" i="3"/>
  <c r="DL169" i="3"/>
  <c r="DN169" i="3"/>
  <c r="DP169" i="3"/>
  <c r="DR169" i="3"/>
  <c r="DT169" i="3"/>
  <c r="DV169" i="3"/>
  <c r="DX169" i="3"/>
  <c r="DZ169" i="3"/>
  <c r="EB169" i="3"/>
  <c r="ED169" i="3"/>
  <c r="EF169" i="3"/>
  <c r="EH169" i="3"/>
  <c r="K170" i="3"/>
  <c r="M170" i="3"/>
  <c r="O170" i="3"/>
  <c r="Q170" i="3"/>
  <c r="S170" i="3"/>
  <c r="U170" i="3"/>
  <c r="W170" i="3"/>
  <c r="Y170" i="3"/>
  <c r="AA170" i="3"/>
  <c r="AC170" i="3"/>
  <c r="AE170" i="3"/>
  <c r="AG170" i="3"/>
  <c r="AI170" i="3"/>
  <c r="AK170" i="3"/>
  <c r="AM170" i="3"/>
  <c r="AO170" i="3"/>
  <c r="AQ170" i="3"/>
  <c r="AS170" i="3"/>
  <c r="AU170" i="3"/>
  <c r="AW170" i="3"/>
  <c r="AY170" i="3"/>
  <c r="BA170" i="3"/>
  <c r="BC170" i="3"/>
  <c r="BE170" i="3"/>
  <c r="BG170" i="3"/>
  <c r="BI170" i="3"/>
  <c r="BK170" i="3"/>
  <c r="BM170" i="3"/>
  <c r="BO170" i="3"/>
  <c r="BQ170" i="3"/>
  <c r="BS170" i="3"/>
  <c r="BU170" i="3"/>
  <c r="BW170" i="3"/>
  <c r="BY170" i="3"/>
  <c r="CA170" i="3"/>
  <c r="CC170" i="3"/>
  <c r="CE170" i="3"/>
  <c r="CG170" i="3"/>
  <c r="CI170" i="3"/>
  <c r="CK170" i="3"/>
  <c r="CM170" i="3"/>
  <c r="CO170" i="3"/>
  <c r="CQ170" i="3"/>
  <c r="CS170" i="3"/>
  <c r="CU170" i="3"/>
  <c r="CW170" i="3"/>
  <c r="CY170" i="3"/>
  <c r="DA170" i="3"/>
  <c r="DC170" i="3"/>
  <c r="DE170" i="3"/>
  <c r="DG170" i="3"/>
  <c r="DI170" i="3"/>
  <c r="DK170" i="3"/>
  <c r="DM170" i="3"/>
  <c r="DO170" i="3"/>
  <c r="DQ170" i="3"/>
  <c r="DS170" i="3"/>
  <c r="DU170" i="3"/>
  <c r="DW170" i="3"/>
  <c r="DY170" i="3"/>
  <c r="EA170" i="3"/>
  <c r="EC170" i="3"/>
  <c r="EE170" i="3"/>
  <c r="EG170" i="3"/>
  <c r="EI170" i="3"/>
  <c r="L171" i="3"/>
  <c r="N171" i="3"/>
  <c r="P171" i="3"/>
  <c r="R171" i="3"/>
  <c r="T171" i="3"/>
  <c r="V171" i="3"/>
  <c r="X171" i="3"/>
  <c r="Z171" i="3"/>
  <c r="AB171" i="3"/>
  <c r="AD171" i="3"/>
  <c r="AF171" i="3"/>
  <c r="AH171" i="3"/>
  <c r="AJ171" i="3"/>
  <c r="AL171" i="3"/>
  <c r="AN171" i="3"/>
  <c r="AP171" i="3"/>
  <c r="AR171" i="3"/>
  <c r="AT171" i="3"/>
  <c r="AV171" i="3"/>
  <c r="AX171" i="3"/>
  <c r="AZ171" i="3"/>
  <c r="BB171" i="3"/>
  <c r="BD171" i="3"/>
  <c r="BF171" i="3"/>
  <c r="BH171" i="3"/>
  <c r="BJ171" i="3"/>
  <c r="BL171" i="3"/>
  <c r="BN171" i="3"/>
  <c r="BP171" i="3"/>
  <c r="BR171" i="3"/>
  <c r="BT171" i="3"/>
  <c r="BV171" i="3"/>
  <c r="BX171" i="3"/>
  <c r="BZ171" i="3"/>
  <c r="CB171" i="3"/>
  <c r="CD171" i="3"/>
  <c r="CF171" i="3"/>
  <c r="CH171" i="3"/>
  <c r="CJ171" i="3"/>
  <c r="CL171" i="3"/>
  <c r="CN171" i="3"/>
  <c r="CP171" i="3"/>
  <c r="CR171" i="3"/>
  <c r="CT171" i="3"/>
  <c r="CV171" i="3"/>
  <c r="CX171" i="3"/>
  <c r="CZ171" i="3"/>
  <c r="DB171" i="3"/>
  <c r="DD171" i="3"/>
  <c r="DF171" i="3"/>
  <c r="DH171" i="3"/>
  <c r="DJ171" i="3"/>
  <c r="DL171" i="3"/>
  <c r="DN171" i="3"/>
  <c r="DP171" i="3"/>
  <c r="DR171" i="3"/>
  <c r="DT171" i="3"/>
  <c r="DV171" i="3"/>
  <c r="DX171" i="3"/>
  <c r="DZ171" i="3"/>
  <c r="EB171" i="3"/>
  <c r="ED171" i="3"/>
  <c r="EF171" i="3"/>
  <c r="EH171" i="3"/>
  <c r="U172" i="3"/>
  <c r="W172" i="3"/>
  <c r="Y172" i="3"/>
  <c r="AA172" i="3"/>
  <c r="AC172" i="3"/>
  <c r="AE172" i="3"/>
  <c r="AG172" i="3"/>
  <c r="AI172" i="3"/>
  <c r="AK172" i="3"/>
  <c r="AM172" i="3"/>
  <c r="AO172" i="3"/>
  <c r="AQ172" i="3"/>
  <c r="AS172" i="3"/>
  <c r="AU172" i="3"/>
  <c r="AW172" i="3"/>
  <c r="AY172" i="3"/>
  <c r="BA172" i="3"/>
  <c r="BC172" i="3"/>
  <c r="BE172" i="3"/>
  <c r="BG172" i="3"/>
  <c r="BI172" i="3"/>
  <c r="BK172" i="3"/>
  <c r="BM172" i="3"/>
  <c r="BO172" i="3"/>
  <c r="BQ172" i="3"/>
  <c r="BS172" i="3"/>
  <c r="BU172" i="3"/>
  <c r="BW172" i="3"/>
  <c r="BY172" i="3"/>
  <c r="CA172" i="3"/>
  <c r="CC172" i="3"/>
  <c r="CE172" i="3"/>
  <c r="CG172" i="3"/>
  <c r="CI172" i="3"/>
  <c r="CK172" i="3"/>
  <c r="CM172" i="3"/>
  <c r="CO172" i="3"/>
  <c r="CQ172" i="3"/>
  <c r="CS172" i="3"/>
  <c r="CU172" i="3"/>
  <c r="CW172" i="3"/>
  <c r="CY172" i="3"/>
  <c r="DA172" i="3"/>
  <c r="DC172" i="3"/>
  <c r="DE172" i="3"/>
  <c r="DG172" i="3"/>
  <c r="DI172" i="3"/>
  <c r="DK172" i="3"/>
  <c r="DM172" i="3"/>
  <c r="DO172" i="3"/>
  <c r="DQ172" i="3"/>
  <c r="DS172" i="3"/>
  <c r="DU172" i="3"/>
  <c r="DW172" i="3"/>
  <c r="DY172" i="3"/>
  <c r="EA172" i="3"/>
  <c r="EC172" i="3"/>
  <c r="EE172" i="3"/>
  <c r="EG172" i="3"/>
  <c r="EI172" i="3"/>
  <c r="U173" i="3"/>
  <c r="W173" i="3"/>
  <c r="Y173" i="3"/>
  <c r="AA173" i="3"/>
  <c r="AC173" i="3"/>
  <c r="AE173" i="3"/>
  <c r="AG173" i="3"/>
  <c r="AI173" i="3"/>
  <c r="AK173" i="3"/>
  <c r="AM173" i="3"/>
  <c r="AO173" i="3"/>
  <c r="AQ173" i="3"/>
  <c r="AS173" i="3"/>
  <c r="AU173" i="3"/>
  <c r="AW173" i="3"/>
  <c r="AY173" i="3"/>
  <c r="BA173" i="3"/>
  <c r="BC173" i="3"/>
  <c r="BE173" i="3"/>
  <c r="BG173" i="3"/>
  <c r="BI173" i="3"/>
  <c r="BK173" i="3"/>
  <c r="BM173" i="3"/>
  <c r="BO173" i="3"/>
  <c r="BQ173" i="3"/>
  <c r="BS173" i="3"/>
  <c r="BU173" i="3"/>
  <c r="BW173" i="3"/>
  <c r="BY173" i="3"/>
  <c r="CA173" i="3"/>
  <c r="CC173" i="3"/>
  <c r="CE173" i="3"/>
  <c r="CG173" i="3"/>
  <c r="CI173" i="3"/>
  <c r="CK173" i="3"/>
  <c r="CM173" i="3"/>
  <c r="CO173" i="3"/>
  <c r="CQ173" i="3"/>
  <c r="CS173" i="3"/>
  <c r="CU173" i="3"/>
  <c r="CW173" i="3"/>
  <c r="CY173" i="3"/>
  <c r="DA173" i="3"/>
  <c r="DC173" i="3"/>
  <c r="DE173" i="3"/>
  <c r="DG173" i="3"/>
  <c r="DI173" i="3"/>
  <c r="DK173" i="3"/>
  <c r="DM173" i="3"/>
  <c r="DO173" i="3"/>
  <c r="DQ173" i="3"/>
  <c r="DS173" i="3"/>
  <c r="DU173" i="3"/>
  <c r="DW173" i="3"/>
  <c r="DY173" i="3"/>
  <c r="EA173" i="3"/>
  <c r="EC173" i="3"/>
  <c r="EE173" i="3"/>
  <c r="EG173" i="3"/>
  <c r="EI173" i="3"/>
  <c r="L174" i="3"/>
  <c r="N174" i="3"/>
  <c r="P174" i="3"/>
  <c r="R174" i="3"/>
  <c r="T174" i="3"/>
  <c r="V174" i="3"/>
  <c r="X174" i="3"/>
  <c r="Z174" i="3"/>
  <c r="AB174" i="3"/>
  <c r="AD174" i="3"/>
  <c r="AF174" i="3"/>
  <c r="AH174" i="3"/>
  <c r="AJ174" i="3"/>
  <c r="AL174" i="3"/>
  <c r="AN174" i="3"/>
  <c r="AP174" i="3"/>
  <c r="AR174" i="3"/>
  <c r="AT174" i="3"/>
  <c r="AV174" i="3"/>
  <c r="AX174" i="3"/>
  <c r="AZ174" i="3"/>
  <c r="BB174" i="3"/>
  <c r="BD174" i="3"/>
  <c r="BF174" i="3"/>
  <c r="BH174" i="3"/>
  <c r="BJ174" i="3"/>
  <c r="BL174" i="3"/>
  <c r="BN174" i="3"/>
  <c r="BP174" i="3"/>
  <c r="BR174" i="3"/>
  <c r="BT174" i="3"/>
  <c r="BV174" i="3"/>
  <c r="BX174" i="3"/>
  <c r="BZ174" i="3"/>
  <c r="CB174" i="3"/>
  <c r="CD174" i="3"/>
  <c r="CF174" i="3"/>
  <c r="CH174" i="3"/>
  <c r="CJ174" i="3"/>
  <c r="CL174" i="3"/>
  <c r="CN174" i="3"/>
  <c r="CP174" i="3"/>
  <c r="CR174" i="3"/>
  <c r="CT174" i="3"/>
  <c r="CV174" i="3"/>
  <c r="CX174" i="3"/>
  <c r="CZ174" i="3"/>
  <c r="DB174" i="3"/>
  <c r="DD174" i="3"/>
  <c r="DF174" i="3"/>
  <c r="DH174" i="3"/>
  <c r="DJ174" i="3"/>
  <c r="DL174" i="3"/>
  <c r="DN174" i="3"/>
  <c r="DP174" i="3"/>
  <c r="DR174" i="3"/>
  <c r="DT174" i="3"/>
  <c r="DV174" i="3"/>
  <c r="DX174" i="3"/>
  <c r="DZ174" i="3"/>
  <c r="EB174" i="3"/>
  <c r="ED174" i="3"/>
  <c r="EF174" i="3"/>
  <c r="EH174" i="3"/>
  <c r="K175" i="3"/>
  <c r="M175" i="3"/>
  <c r="O175" i="3"/>
  <c r="Q175" i="3"/>
  <c r="S175" i="3"/>
  <c r="U175" i="3"/>
  <c r="W175" i="3"/>
  <c r="Y175" i="3"/>
  <c r="AA175" i="3"/>
  <c r="AC175" i="3"/>
  <c r="AE175" i="3"/>
  <c r="AG175" i="3"/>
  <c r="AI175" i="3"/>
  <c r="AK175" i="3"/>
  <c r="AM175" i="3"/>
  <c r="AO175" i="3"/>
  <c r="AQ175" i="3"/>
  <c r="AS175" i="3"/>
  <c r="AU175" i="3"/>
  <c r="AW175" i="3"/>
  <c r="AY175" i="3"/>
  <c r="BA175" i="3"/>
  <c r="BC175" i="3"/>
  <c r="BE175" i="3"/>
  <c r="BG175" i="3"/>
  <c r="BI175" i="3"/>
  <c r="BK175" i="3"/>
  <c r="BM175" i="3"/>
  <c r="BO175" i="3"/>
  <c r="BQ175" i="3"/>
  <c r="BS175" i="3"/>
  <c r="BU175" i="3"/>
  <c r="BW175" i="3"/>
  <c r="BY175" i="3"/>
  <c r="CA175" i="3"/>
  <c r="CC175" i="3"/>
  <c r="CE175" i="3"/>
  <c r="CG175" i="3"/>
  <c r="CI175" i="3"/>
  <c r="CK175" i="3"/>
  <c r="CM175" i="3"/>
  <c r="CO175" i="3"/>
  <c r="CQ175" i="3"/>
  <c r="CS175" i="3"/>
  <c r="CU175" i="3"/>
  <c r="CW175" i="3"/>
  <c r="CY175" i="3"/>
  <c r="DA175" i="3"/>
  <c r="DC175" i="3"/>
  <c r="DE175" i="3"/>
  <c r="DG175" i="3"/>
  <c r="DI175" i="3"/>
  <c r="DK175" i="3"/>
  <c r="DM175" i="3"/>
  <c r="DO175" i="3"/>
  <c r="DQ175" i="3"/>
  <c r="DS175" i="3"/>
  <c r="DU175" i="3"/>
  <c r="DW175" i="3"/>
  <c r="DY175" i="3"/>
  <c r="EA175" i="3"/>
  <c r="EC175" i="3"/>
  <c r="EE175" i="3"/>
  <c r="EG175" i="3"/>
  <c r="EI175" i="3"/>
  <c r="N176" i="3"/>
  <c r="P176" i="3"/>
  <c r="R176" i="3"/>
  <c r="T176" i="3"/>
  <c r="V176" i="3"/>
  <c r="X176" i="3"/>
  <c r="Z176" i="3"/>
  <c r="AB176" i="3"/>
  <c r="AD176" i="3"/>
  <c r="AF176" i="3"/>
  <c r="AH176" i="3"/>
  <c r="AJ176" i="3"/>
  <c r="AL176" i="3"/>
  <c r="AN176" i="3"/>
  <c r="AP176" i="3"/>
  <c r="AR176" i="3"/>
  <c r="AT176" i="3"/>
  <c r="AV176" i="3"/>
  <c r="AX176" i="3"/>
  <c r="AZ176" i="3"/>
  <c r="BB176" i="3"/>
  <c r="BD176" i="3"/>
  <c r="BF176" i="3"/>
  <c r="BH176" i="3"/>
  <c r="BJ176" i="3"/>
  <c r="BL176" i="3"/>
  <c r="BN176" i="3"/>
  <c r="BP176" i="3"/>
  <c r="BR176" i="3"/>
  <c r="BT176" i="3"/>
  <c r="BV176" i="3"/>
  <c r="BX176" i="3"/>
  <c r="BZ176" i="3"/>
  <c r="CB176" i="3"/>
  <c r="CD176" i="3"/>
  <c r="CF176" i="3"/>
  <c r="CH176" i="3"/>
  <c r="CJ176" i="3"/>
  <c r="CL176" i="3"/>
  <c r="CN176" i="3"/>
  <c r="CP176" i="3"/>
  <c r="CR176" i="3"/>
  <c r="CT176" i="3"/>
  <c r="CV176" i="3"/>
  <c r="CX176" i="3"/>
  <c r="CZ176" i="3"/>
  <c r="DB176" i="3"/>
  <c r="DD176" i="3"/>
  <c r="DF176" i="3"/>
  <c r="DH176" i="3"/>
  <c r="DJ176" i="3"/>
  <c r="DL176" i="3"/>
  <c r="DN176" i="3"/>
  <c r="DP176" i="3"/>
  <c r="DR176" i="3"/>
  <c r="DT176" i="3"/>
  <c r="DV176" i="3"/>
  <c r="DX176" i="3"/>
  <c r="DZ176" i="3"/>
  <c r="EB176" i="3"/>
  <c r="ED176" i="3"/>
  <c r="EF176" i="3"/>
  <c r="EH176" i="3"/>
  <c r="M177" i="3"/>
  <c r="O177" i="3"/>
  <c r="Q177" i="3"/>
  <c r="S177" i="3"/>
  <c r="U177" i="3"/>
  <c r="W177" i="3"/>
  <c r="Y177" i="3"/>
  <c r="AA177" i="3"/>
  <c r="AC177" i="3"/>
  <c r="AE177" i="3"/>
  <c r="AG177" i="3"/>
  <c r="AI177" i="3"/>
  <c r="AK177" i="3"/>
  <c r="AM177" i="3"/>
  <c r="AO177" i="3"/>
  <c r="AQ177" i="3"/>
  <c r="AS177" i="3"/>
  <c r="AU177" i="3"/>
  <c r="AW177" i="3"/>
  <c r="AY177" i="3"/>
  <c r="BA177" i="3"/>
  <c r="BC177" i="3"/>
  <c r="BE177" i="3"/>
  <c r="BG177" i="3"/>
  <c r="BI177" i="3"/>
  <c r="BK177" i="3"/>
  <c r="BM177" i="3"/>
  <c r="BO177" i="3"/>
  <c r="BQ177" i="3"/>
  <c r="BS177" i="3"/>
  <c r="BU177" i="3"/>
  <c r="BW177" i="3"/>
  <c r="BY177" i="3"/>
  <c r="CA177" i="3"/>
  <c r="CC177" i="3"/>
  <c r="CE177" i="3"/>
  <c r="CG177" i="3"/>
  <c r="CI177" i="3"/>
  <c r="CK177" i="3"/>
  <c r="CM177" i="3"/>
  <c r="CO177" i="3"/>
  <c r="CQ177" i="3"/>
  <c r="CS177" i="3"/>
  <c r="CU177" i="3"/>
  <c r="CW177" i="3"/>
  <c r="CY177" i="3"/>
  <c r="DA177" i="3"/>
  <c r="DC177" i="3"/>
  <c r="DE177" i="3"/>
  <c r="DG177" i="3"/>
  <c r="DI177" i="3"/>
  <c r="DK177" i="3"/>
  <c r="DM177" i="3"/>
  <c r="DO177" i="3"/>
  <c r="DQ177" i="3"/>
  <c r="DS177" i="3"/>
  <c r="DU177" i="3"/>
  <c r="DW177" i="3"/>
  <c r="DY177" i="3"/>
  <c r="EA177" i="3"/>
  <c r="EC177" i="3"/>
  <c r="EE177" i="3"/>
  <c r="EG177" i="3"/>
  <c r="EI177" i="3"/>
  <c r="O178" i="3"/>
  <c r="Q178" i="3"/>
  <c r="S178" i="3"/>
  <c r="U178" i="3"/>
  <c r="W178" i="3"/>
  <c r="Y178" i="3"/>
  <c r="AA178" i="3"/>
  <c r="AC178" i="3"/>
  <c r="AE178" i="3"/>
  <c r="AG178" i="3"/>
  <c r="AI178" i="3"/>
  <c r="AK178" i="3"/>
  <c r="AM178" i="3"/>
  <c r="AO178" i="3"/>
  <c r="AQ178" i="3"/>
  <c r="AS178" i="3"/>
  <c r="AU178" i="3"/>
  <c r="AW178" i="3"/>
  <c r="AY178" i="3"/>
  <c r="BA178" i="3"/>
  <c r="BC178" i="3"/>
  <c r="BE178" i="3"/>
  <c r="BG178" i="3"/>
  <c r="BI178" i="3"/>
  <c r="BK178" i="3"/>
  <c r="BM178" i="3"/>
  <c r="BO178" i="3"/>
  <c r="BQ178" i="3"/>
  <c r="BS178" i="3"/>
  <c r="BU178" i="3"/>
  <c r="BW178" i="3"/>
  <c r="BY178" i="3"/>
  <c r="CA178" i="3"/>
  <c r="CC178" i="3"/>
  <c r="CE178" i="3"/>
  <c r="CG178" i="3"/>
  <c r="CI178" i="3"/>
  <c r="CK178" i="3"/>
  <c r="CM178" i="3"/>
  <c r="CO178" i="3"/>
  <c r="CQ178" i="3"/>
  <c r="CS178" i="3"/>
  <c r="CU178" i="3"/>
  <c r="CW178" i="3"/>
  <c r="CY178" i="3"/>
  <c r="DA178" i="3"/>
  <c r="DC178" i="3"/>
  <c r="DE178" i="3"/>
  <c r="DG178" i="3"/>
  <c r="DI178" i="3"/>
  <c r="DK178" i="3"/>
  <c r="DM178" i="3"/>
  <c r="DO178" i="3"/>
  <c r="DQ178" i="3"/>
  <c r="DS178" i="3"/>
  <c r="DU178" i="3"/>
  <c r="DW178" i="3"/>
  <c r="DY178" i="3"/>
  <c r="EA178" i="3"/>
  <c r="EC178" i="3"/>
  <c r="EE178" i="3"/>
  <c r="EG178" i="3"/>
  <c r="EI178" i="3"/>
  <c r="L179" i="3"/>
  <c r="N179" i="3"/>
  <c r="P179" i="3"/>
  <c r="R179" i="3"/>
  <c r="T179" i="3"/>
  <c r="V179" i="3"/>
  <c r="X179" i="3"/>
  <c r="Z179" i="3"/>
  <c r="AB179" i="3"/>
  <c r="AD179" i="3"/>
  <c r="AF179" i="3"/>
  <c r="AH179" i="3"/>
  <c r="AJ179" i="3"/>
  <c r="AL179" i="3"/>
  <c r="AN179" i="3"/>
  <c r="AP179" i="3"/>
  <c r="AR179" i="3"/>
  <c r="AT179" i="3"/>
  <c r="AV179" i="3"/>
  <c r="AX179" i="3"/>
  <c r="AZ179" i="3"/>
  <c r="BB179" i="3"/>
  <c r="BD179" i="3"/>
  <c r="BF179" i="3"/>
  <c r="BH179" i="3"/>
  <c r="BJ179" i="3"/>
  <c r="BL179" i="3"/>
  <c r="BN179" i="3"/>
  <c r="BP179" i="3"/>
  <c r="BR179" i="3"/>
  <c r="BT179" i="3"/>
  <c r="BV179" i="3"/>
  <c r="BX179" i="3"/>
  <c r="BZ179" i="3"/>
  <c r="CB179" i="3"/>
  <c r="CD179" i="3"/>
  <c r="CF179" i="3"/>
  <c r="CH179" i="3"/>
  <c r="CJ179" i="3"/>
  <c r="CL179" i="3"/>
  <c r="CN179" i="3"/>
  <c r="CP179" i="3"/>
  <c r="CR179" i="3"/>
  <c r="CT179" i="3"/>
  <c r="CV179" i="3"/>
  <c r="CX179" i="3"/>
  <c r="CZ179" i="3"/>
  <c r="DB179" i="3"/>
  <c r="DD179" i="3"/>
  <c r="DF179" i="3"/>
  <c r="DH179" i="3"/>
  <c r="DJ179" i="3"/>
  <c r="DL179" i="3"/>
  <c r="DN179" i="3"/>
  <c r="DP179" i="3"/>
  <c r="DR179" i="3"/>
  <c r="DT179" i="3"/>
  <c r="DV179" i="3"/>
  <c r="DX179" i="3"/>
  <c r="DZ179" i="3"/>
  <c r="EB179" i="3"/>
  <c r="ED179" i="3"/>
  <c r="EF179" i="3"/>
  <c r="EH179" i="3"/>
  <c r="K180" i="3"/>
  <c r="M180" i="3"/>
  <c r="O180" i="3"/>
  <c r="Q180" i="3"/>
  <c r="S180" i="3"/>
  <c r="U180" i="3"/>
  <c r="W180" i="3"/>
  <c r="Y180" i="3"/>
  <c r="AA180" i="3"/>
  <c r="AC180" i="3"/>
  <c r="AE180" i="3"/>
  <c r="AG180" i="3"/>
  <c r="AI180" i="3"/>
  <c r="AK180" i="3"/>
  <c r="AM180" i="3"/>
  <c r="AO180" i="3"/>
  <c r="AQ180" i="3"/>
  <c r="AS180" i="3"/>
  <c r="AU180" i="3"/>
  <c r="AW180" i="3"/>
  <c r="AY180" i="3"/>
  <c r="BA180" i="3"/>
  <c r="BC180" i="3"/>
  <c r="BE180" i="3"/>
  <c r="BG180" i="3"/>
  <c r="BI180" i="3"/>
  <c r="BK180" i="3"/>
  <c r="BM180" i="3"/>
  <c r="BO180" i="3"/>
  <c r="BQ180" i="3"/>
  <c r="BS180" i="3"/>
  <c r="BU180" i="3"/>
  <c r="BW180" i="3"/>
  <c r="BY180" i="3"/>
  <c r="CA180" i="3"/>
  <c r="CC180" i="3"/>
  <c r="CE180" i="3"/>
  <c r="CG180" i="3"/>
  <c r="CI180" i="3"/>
  <c r="CK180" i="3"/>
  <c r="CM180" i="3"/>
  <c r="CO180" i="3"/>
  <c r="CQ180" i="3"/>
  <c r="CS180" i="3"/>
  <c r="CU180" i="3"/>
  <c r="CW180" i="3"/>
  <c r="CY180" i="3"/>
  <c r="DA180" i="3"/>
  <c r="DC180" i="3"/>
  <c r="DE180" i="3"/>
  <c r="DG180" i="3"/>
  <c r="DI180" i="3"/>
  <c r="DK180" i="3"/>
  <c r="DM180" i="3"/>
  <c r="DO180" i="3"/>
  <c r="DQ180" i="3"/>
  <c r="DS180" i="3"/>
  <c r="DU180" i="3"/>
  <c r="DW180" i="3"/>
  <c r="DY180" i="3"/>
  <c r="EA180" i="3"/>
  <c r="EC180" i="3"/>
  <c r="EE180" i="3"/>
  <c r="EG180" i="3"/>
  <c r="EI180" i="3"/>
  <c r="P181" i="3"/>
  <c r="R181" i="3"/>
  <c r="T181" i="3"/>
  <c r="V181" i="3"/>
  <c r="X181" i="3"/>
  <c r="Z181" i="3"/>
  <c r="AB181" i="3"/>
  <c r="AD181" i="3"/>
  <c r="AF181" i="3"/>
  <c r="AH181" i="3"/>
  <c r="AJ181" i="3"/>
  <c r="AL181" i="3"/>
  <c r="AN181" i="3"/>
  <c r="AP181" i="3"/>
  <c r="AR181" i="3"/>
  <c r="AT181" i="3"/>
  <c r="AV181" i="3"/>
  <c r="AX181" i="3"/>
  <c r="AZ181" i="3"/>
  <c r="BB181" i="3"/>
  <c r="BD181" i="3"/>
  <c r="BF181" i="3"/>
  <c r="BH181" i="3"/>
  <c r="BJ181" i="3"/>
  <c r="BL181" i="3"/>
  <c r="BN181" i="3"/>
  <c r="BP181" i="3"/>
  <c r="BR181" i="3"/>
  <c r="BT181" i="3"/>
  <c r="BV181" i="3"/>
  <c r="BX181" i="3"/>
  <c r="BZ181" i="3"/>
  <c r="CB181" i="3"/>
  <c r="CD181" i="3"/>
  <c r="CF181" i="3"/>
  <c r="CH181" i="3"/>
  <c r="CJ181" i="3"/>
  <c r="CL181" i="3"/>
  <c r="CN181" i="3"/>
  <c r="CP181" i="3"/>
  <c r="CR181" i="3"/>
  <c r="CT181" i="3"/>
  <c r="CV181" i="3"/>
  <c r="CX181" i="3"/>
  <c r="CZ181" i="3"/>
  <c r="DB181" i="3"/>
  <c r="DD181" i="3"/>
  <c r="DF181" i="3"/>
  <c r="DH181" i="3"/>
  <c r="DJ181" i="3"/>
  <c r="DL181" i="3"/>
  <c r="DN181" i="3"/>
  <c r="DP181" i="3"/>
  <c r="DR181" i="3"/>
  <c r="DT181" i="3"/>
  <c r="DV181" i="3"/>
  <c r="DX181" i="3"/>
  <c r="DZ181" i="3"/>
  <c r="EB181" i="3"/>
  <c r="ED181" i="3"/>
  <c r="EF181" i="3"/>
  <c r="EH181" i="3"/>
  <c r="L182" i="3"/>
  <c r="N182" i="3"/>
  <c r="P182" i="3"/>
  <c r="R182" i="3"/>
  <c r="T182" i="3"/>
  <c r="V182" i="3"/>
  <c r="X182" i="3"/>
  <c r="Z182" i="3"/>
  <c r="AB182" i="3"/>
  <c r="AD182" i="3"/>
  <c r="AF182" i="3"/>
  <c r="AH182" i="3"/>
  <c r="AJ182" i="3"/>
  <c r="AL182" i="3"/>
  <c r="AN182" i="3"/>
  <c r="AP182" i="3"/>
  <c r="AR182" i="3"/>
  <c r="AT182" i="3"/>
  <c r="AV182" i="3"/>
  <c r="AX182" i="3"/>
  <c r="AZ182" i="3"/>
  <c r="BB182" i="3"/>
  <c r="BD182" i="3"/>
  <c r="BF182" i="3"/>
  <c r="BH182" i="3"/>
  <c r="BJ182" i="3"/>
  <c r="BL182" i="3"/>
  <c r="BN182" i="3"/>
  <c r="BP182" i="3"/>
  <c r="BR182" i="3"/>
  <c r="BT182" i="3"/>
  <c r="BV182" i="3"/>
  <c r="BX182" i="3"/>
  <c r="BZ182" i="3"/>
  <c r="CB182" i="3"/>
  <c r="CD182" i="3"/>
  <c r="CF182" i="3"/>
  <c r="CH182" i="3"/>
  <c r="CJ182" i="3"/>
  <c r="CL182" i="3"/>
  <c r="CN182" i="3"/>
  <c r="CP182" i="3"/>
  <c r="CR182" i="3"/>
  <c r="CT182" i="3"/>
  <c r="CV182" i="3"/>
  <c r="CX182" i="3"/>
  <c r="CZ182" i="3"/>
  <c r="DB182" i="3"/>
  <c r="DD182" i="3"/>
  <c r="DF182" i="3"/>
  <c r="DH182" i="3"/>
  <c r="DJ182" i="3"/>
  <c r="DL182" i="3"/>
  <c r="DN182" i="3"/>
  <c r="DP182" i="3"/>
  <c r="DR182" i="3"/>
  <c r="DT182" i="3"/>
  <c r="DV182" i="3"/>
  <c r="DX182" i="3"/>
  <c r="DZ182" i="3"/>
  <c r="EB182" i="3"/>
  <c r="ED182" i="3"/>
  <c r="EF182" i="3"/>
  <c r="EH182" i="3"/>
  <c r="K183" i="3"/>
  <c r="M183" i="3"/>
  <c r="O183" i="3"/>
  <c r="Q183" i="3"/>
  <c r="S183" i="3"/>
  <c r="U183" i="3"/>
  <c r="W183" i="3"/>
  <c r="Y183" i="3"/>
  <c r="AA183" i="3"/>
  <c r="AC183" i="3"/>
  <c r="AE183" i="3"/>
  <c r="AG183" i="3"/>
  <c r="AI183" i="3"/>
  <c r="AK183" i="3"/>
  <c r="AM183" i="3"/>
  <c r="AO183" i="3"/>
  <c r="AQ183" i="3"/>
  <c r="AS183" i="3"/>
  <c r="AU183" i="3"/>
  <c r="AW183" i="3"/>
  <c r="AY183" i="3"/>
  <c r="BA183" i="3"/>
  <c r="BC183" i="3"/>
  <c r="BE183" i="3"/>
  <c r="BG183" i="3"/>
  <c r="BI183" i="3"/>
  <c r="BK183" i="3"/>
  <c r="BM183" i="3"/>
  <c r="BO183" i="3"/>
  <c r="BQ183" i="3"/>
  <c r="BS183" i="3"/>
  <c r="BU183" i="3"/>
  <c r="BW183" i="3"/>
  <c r="BY183" i="3"/>
  <c r="CA183" i="3"/>
  <c r="CC183" i="3"/>
  <c r="CE183" i="3"/>
  <c r="CG183" i="3"/>
  <c r="CI183" i="3"/>
  <c r="CK183" i="3"/>
  <c r="CM183" i="3"/>
  <c r="CO183" i="3"/>
  <c r="CQ183" i="3"/>
  <c r="CS183" i="3"/>
  <c r="CU183" i="3"/>
  <c r="CW183" i="3"/>
  <c r="CY183" i="3"/>
  <c r="DA183" i="3"/>
  <c r="DC183" i="3"/>
  <c r="DE183" i="3"/>
  <c r="DG183" i="3"/>
  <c r="DI183" i="3"/>
  <c r="DK183" i="3"/>
  <c r="DM183" i="3"/>
  <c r="DO183" i="3"/>
  <c r="DQ183" i="3"/>
  <c r="DS183" i="3"/>
  <c r="DU183" i="3"/>
  <c r="DW183" i="3"/>
  <c r="DY183" i="3"/>
  <c r="EA183" i="3"/>
  <c r="EC183" i="3"/>
  <c r="EE183" i="3"/>
  <c r="EG183" i="3"/>
  <c r="EI183" i="3"/>
  <c r="L184" i="3"/>
  <c r="N184" i="3"/>
  <c r="P184" i="3"/>
  <c r="R184" i="3"/>
  <c r="T184" i="3"/>
  <c r="V184" i="3"/>
  <c r="X184" i="3"/>
  <c r="Z184" i="3"/>
  <c r="AB184" i="3"/>
  <c r="AD184" i="3"/>
  <c r="AF184" i="3"/>
  <c r="AH184" i="3"/>
  <c r="AJ184" i="3"/>
  <c r="AL184" i="3"/>
  <c r="AN184" i="3"/>
  <c r="AP184" i="3"/>
  <c r="AR184" i="3"/>
  <c r="AT184" i="3"/>
  <c r="AV184" i="3"/>
  <c r="AX184" i="3"/>
  <c r="AZ184" i="3"/>
  <c r="BB184" i="3"/>
  <c r="BD184" i="3"/>
  <c r="BF184" i="3"/>
  <c r="BH184" i="3"/>
  <c r="BJ184" i="3"/>
  <c r="BL184" i="3"/>
  <c r="BN184" i="3"/>
  <c r="BP184" i="3"/>
  <c r="BR184" i="3"/>
  <c r="BT184" i="3"/>
  <c r="BV184" i="3"/>
  <c r="BX184" i="3"/>
  <c r="BZ184" i="3"/>
  <c r="CB184" i="3"/>
  <c r="CD184" i="3"/>
  <c r="CF184" i="3"/>
  <c r="CH184" i="3"/>
  <c r="CJ184" i="3"/>
  <c r="CL184" i="3"/>
  <c r="CN184" i="3"/>
  <c r="CP184" i="3"/>
  <c r="CR184" i="3"/>
  <c r="CT184" i="3"/>
  <c r="CV184" i="3"/>
  <c r="CX184" i="3"/>
  <c r="CZ184" i="3"/>
  <c r="DB184" i="3"/>
  <c r="DD184" i="3"/>
  <c r="DF184" i="3"/>
  <c r="DH184" i="3"/>
  <c r="DJ184" i="3"/>
  <c r="DL184" i="3"/>
  <c r="DN184" i="3"/>
  <c r="DP184" i="3"/>
  <c r="DR184" i="3"/>
  <c r="DT184" i="3"/>
  <c r="DV184" i="3"/>
  <c r="DX184" i="3"/>
  <c r="DZ184" i="3"/>
  <c r="EB184" i="3"/>
  <c r="ED184" i="3"/>
  <c r="EF184" i="3"/>
  <c r="EH184" i="3"/>
  <c r="K185" i="3"/>
  <c r="M185" i="3"/>
  <c r="O185" i="3"/>
  <c r="Q185" i="3"/>
  <c r="S185" i="3"/>
  <c r="U185" i="3"/>
  <c r="W185" i="3"/>
  <c r="Y185" i="3"/>
  <c r="AA185" i="3"/>
  <c r="AC185" i="3"/>
  <c r="AE185" i="3"/>
  <c r="AG185" i="3"/>
  <c r="AI185" i="3"/>
  <c r="AK185" i="3"/>
  <c r="AM185" i="3"/>
  <c r="AO185" i="3"/>
  <c r="AQ185" i="3"/>
  <c r="AS185" i="3"/>
  <c r="AU185" i="3"/>
  <c r="AW185" i="3"/>
  <c r="AY185" i="3"/>
  <c r="BA185" i="3"/>
  <c r="BC185" i="3"/>
  <c r="BE185" i="3"/>
  <c r="BG185" i="3"/>
  <c r="BI185" i="3"/>
  <c r="BK185" i="3"/>
  <c r="BM185" i="3"/>
  <c r="BO185" i="3"/>
  <c r="BQ185" i="3"/>
  <c r="BS185" i="3"/>
  <c r="BU185" i="3"/>
  <c r="BW185" i="3"/>
  <c r="BY185" i="3"/>
  <c r="CA185" i="3"/>
  <c r="CC185" i="3"/>
  <c r="CE185" i="3"/>
  <c r="CG185" i="3"/>
  <c r="CI185" i="3"/>
  <c r="CK185" i="3"/>
  <c r="CM185" i="3"/>
  <c r="CO185" i="3"/>
  <c r="CQ185" i="3"/>
  <c r="CS185" i="3"/>
  <c r="CU185" i="3"/>
  <c r="CW185" i="3"/>
  <c r="CY185" i="3"/>
  <c r="DA185" i="3"/>
  <c r="DC185" i="3"/>
  <c r="DE185" i="3"/>
  <c r="DG185" i="3"/>
  <c r="DI185" i="3"/>
  <c r="DK185" i="3"/>
  <c r="DM185" i="3"/>
  <c r="DO185" i="3"/>
  <c r="DQ185" i="3"/>
  <c r="DS185" i="3"/>
  <c r="DU185" i="3"/>
  <c r="DW185" i="3"/>
  <c r="DY185" i="3"/>
  <c r="EA185" i="3"/>
  <c r="EC185" i="3"/>
  <c r="EE185" i="3"/>
  <c r="EG185" i="3"/>
  <c r="EI185" i="3"/>
  <c r="AE186" i="3"/>
  <c r="AG186" i="3"/>
  <c r="AI186" i="3"/>
  <c r="AK186" i="3"/>
  <c r="AM186" i="3"/>
  <c r="AO186" i="3"/>
  <c r="AQ186" i="3"/>
  <c r="AS186" i="3"/>
  <c r="AU186" i="3"/>
  <c r="AW186" i="3"/>
  <c r="AY186" i="3"/>
  <c r="BA186" i="3"/>
  <c r="BC186" i="3"/>
  <c r="BE186" i="3"/>
  <c r="BG186" i="3"/>
  <c r="BI186" i="3"/>
  <c r="BK186" i="3"/>
  <c r="BM186" i="3"/>
  <c r="BO186" i="3"/>
  <c r="BQ186" i="3"/>
  <c r="BS186" i="3"/>
  <c r="BU186" i="3"/>
  <c r="BW186" i="3"/>
  <c r="BY186" i="3"/>
  <c r="CA186" i="3"/>
  <c r="CC186" i="3"/>
  <c r="CE186" i="3"/>
  <c r="CG186" i="3"/>
  <c r="CI186" i="3"/>
  <c r="CK186" i="3"/>
  <c r="CM186" i="3"/>
  <c r="CO186" i="3"/>
  <c r="CQ186" i="3"/>
  <c r="CS186" i="3"/>
  <c r="CU186" i="3"/>
  <c r="CW186" i="3"/>
  <c r="CY186" i="3"/>
  <c r="DA186" i="3"/>
  <c r="DC186" i="3"/>
  <c r="DE186" i="3"/>
  <c r="DG186" i="3"/>
  <c r="DI186" i="3"/>
  <c r="DK186" i="3"/>
  <c r="DM186" i="3"/>
  <c r="DO186" i="3"/>
  <c r="DQ186" i="3"/>
  <c r="DS186" i="3"/>
  <c r="DU186" i="3"/>
  <c r="DW186" i="3"/>
  <c r="DY186" i="3"/>
  <c r="EA186" i="3"/>
  <c r="EC186" i="3"/>
  <c r="EE186" i="3"/>
  <c r="EG186" i="3"/>
  <c r="EI186" i="3"/>
  <c r="M187" i="3"/>
  <c r="O187" i="3"/>
  <c r="Q187" i="3"/>
  <c r="S187" i="3"/>
  <c r="U187" i="3"/>
  <c r="W187" i="3"/>
  <c r="Y187" i="3"/>
  <c r="AA187" i="3"/>
  <c r="AC187" i="3"/>
  <c r="AE187" i="3"/>
  <c r="AG187" i="3"/>
  <c r="AI187" i="3"/>
  <c r="AK187" i="3"/>
  <c r="AM187" i="3"/>
  <c r="AO187" i="3"/>
  <c r="AQ187" i="3"/>
  <c r="AS187" i="3"/>
  <c r="AU187" i="3"/>
  <c r="AW187" i="3"/>
  <c r="AY187" i="3"/>
  <c r="BA187" i="3"/>
  <c r="BC187" i="3"/>
  <c r="BE187" i="3"/>
  <c r="BG187" i="3"/>
  <c r="BI187" i="3"/>
  <c r="BK187" i="3"/>
  <c r="BM187" i="3"/>
  <c r="BO187" i="3"/>
  <c r="BQ187" i="3"/>
  <c r="BS187" i="3"/>
  <c r="BU187" i="3"/>
  <c r="BW187" i="3"/>
  <c r="BY187" i="3"/>
  <c r="CA187" i="3"/>
  <c r="CC187" i="3"/>
  <c r="CE187" i="3"/>
  <c r="CG187" i="3"/>
  <c r="CI187" i="3"/>
  <c r="CK187" i="3"/>
  <c r="CM187" i="3"/>
  <c r="CO187" i="3"/>
  <c r="CQ187" i="3"/>
  <c r="CS187" i="3"/>
  <c r="CU187" i="3"/>
  <c r="CW187" i="3"/>
  <c r="CY187" i="3"/>
  <c r="DA187" i="3"/>
  <c r="DC187" i="3"/>
  <c r="DE187" i="3"/>
  <c r="DG187" i="3"/>
  <c r="DI187" i="3"/>
  <c r="DK187" i="3"/>
  <c r="DM187" i="3"/>
  <c r="DO187" i="3"/>
  <c r="DQ187" i="3"/>
  <c r="DS187" i="3"/>
  <c r="DU187" i="3"/>
  <c r="DW187" i="3"/>
  <c r="DY187" i="3"/>
  <c r="EA187" i="3"/>
  <c r="EC187" i="3"/>
  <c r="EE187" i="3"/>
  <c r="EG187" i="3"/>
  <c r="EI187" i="3"/>
  <c r="L188" i="3"/>
  <c r="N188" i="3"/>
  <c r="P188" i="3"/>
  <c r="R188" i="3"/>
  <c r="T188" i="3"/>
  <c r="V188" i="3"/>
  <c r="X188" i="3"/>
  <c r="Z188" i="3"/>
  <c r="AB188" i="3"/>
  <c r="AD188" i="3"/>
  <c r="AF188" i="3"/>
  <c r="AH188" i="3"/>
  <c r="AJ188" i="3"/>
  <c r="AL188" i="3"/>
  <c r="AN188" i="3"/>
  <c r="AP188" i="3"/>
  <c r="AR188" i="3"/>
  <c r="AT188" i="3"/>
  <c r="AV188" i="3"/>
  <c r="AX188" i="3"/>
  <c r="AZ188" i="3"/>
  <c r="BB188" i="3"/>
  <c r="BD188" i="3"/>
  <c r="BF188" i="3"/>
  <c r="BH188" i="3"/>
  <c r="BJ188" i="3"/>
  <c r="BL188" i="3"/>
  <c r="BN188" i="3"/>
  <c r="BP188" i="3"/>
  <c r="BR188" i="3"/>
  <c r="BT188" i="3"/>
  <c r="BV188" i="3"/>
  <c r="BX188" i="3"/>
  <c r="BZ188" i="3"/>
  <c r="CB188" i="3"/>
  <c r="CD188" i="3"/>
  <c r="CF188" i="3"/>
  <c r="CH188" i="3"/>
  <c r="CJ188" i="3"/>
  <c r="CL188" i="3"/>
  <c r="CN188" i="3"/>
  <c r="CP188" i="3"/>
  <c r="CR188" i="3"/>
  <c r="CT188" i="3"/>
  <c r="CV188" i="3"/>
  <c r="CX188" i="3"/>
  <c r="CZ188" i="3"/>
  <c r="DB188" i="3"/>
  <c r="DD188" i="3"/>
  <c r="DF188" i="3"/>
  <c r="DH188" i="3"/>
  <c r="DJ188" i="3"/>
  <c r="DL188" i="3"/>
  <c r="DN188" i="3"/>
  <c r="DP188" i="3"/>
  <c r="DR188" i="3"/>
  <c r="DT188" i="3"/>
  <c r="DV188" i="3"/>
  <c r="DX188" i="3"/>
  <c r="DZ188" i="3"/>
  <c r="EB188" i="3"/>
  <c r="ED188" i="3"/>
  <c r="EF188" i="3"/>
  <c r="EH188" i="3"/>
  <c r="L189" i="3"/>
  <c r="N189" i="3"/>
  <c r="P189" i="3"/>
  <c r="R189" i="3"/>
  <c r="T189" i="3"/>
  <c r="V189" i="3"/>
  <c r="X189" i="3"/>
  <c r="Z189" i="3"/>
  <c r="AB189" i="3"/>
  <c r="AD189" i="3"/>
  <c r="AF189" i="3"/>
  <c r="AH189" i="3"/>
  <c r="AJ189" i="3"/>
  <c r="AL189" i="3"/>
  <c r="AN189" i="3"/>
  <c r="AP189" i="3"/>
  <c r="AR189" i="3"/>
  <c r="AT189" i="3"/>
  <c r="AV189" i="3"/>
  <c r="AX189" i="3"/>
  <c r="AZ189" i="3"/>
  <c r="BB189" i="3"/>
  <c r="BD189" i="3"/>
  <c r="BF189" i="3"/>
  <c r="BH189" i="3"/>
  <c r="BJ189" i="3"/>
  <c r="BL189" i="3"/>
  <c r="BN189" i="3"/>
  <c r="BP189" i="3"/>
  <c r="BR189" i="3"/>
  <c r="BT189" i="3"/>
  <c r="BV189" i="3"/>
  <c r="BX189" i="3"/>
  <c r="BZ189" i="3"/>
  <c r="CB189" i="3"/>
  <c r="CD189" i="3"/>
  <c r="CF189" i="3"/>
  <c r="CH189" i="3"/>
  <c r="CJ189" i="3"/>
  <c r="CL189" i="3"/>
  <c r="CN189" i="3"/>
  <c r="CP189" i="3"/>
  <c r="CR189" i="3"/>
  <c r="CT189" i="3"/>
  <c r="CV189" i="3"/>
  <c r="CX189" i="3"/>
  <c r="CZ189" i="3"/>
  <c r="DB189" i="3"/>
  <c r="DD189" i="3"/>
  <c r="DF189" i="3"/>
  <c r="DH189" i="3"/>
  <c r="DJ189" i="3"/>
  <c r="DL189" i="3"/>
  <c r="DN189" i="3"/>
  <c r="DP189" i="3"/>
  <c r="DR189" i="3"/>
  <c r="DT189" i="3"/>
  <c r="DV189" i="3"/>
  <c r="DX189" i="3"/>
  <c r="DZ189" i="3"/>
  <c r="EB189" i="3"/>
  <c r="ED189" i="3"/>
  <c r="EF189" i="3"/>
  <c r="EH189" i="3"/>
  <c r="O190" i="3"/>
  <c r="Q190" i="3"/>
  <c r="S190" i="3"/>
  <c r="U190" i="3"/>
  <c r="W190" i="3"/>
  <c r="Y190" i="3"/>
  <c r="AA190" i="3"/>
  <c r="AC190" i="3"/>
  <c r="AE190" i="3"/>
  <c r="AG190" i="3"/>
  <c r="AI190" i="3"/>
  <c r="AK190" i="3"/>
  <c r="AM190" i="3"/>
  <c r="AO190" i="3"/>
  <c r="AQ190" i="3"/>
  <c r="AS190" i="3"/>
  <c r="AU190" i="3"/>
  <c r="AW190" i="3"/>
  <c r="AY190" i="3"/>
  <c r="BA190" i="3"/>
  <c r="BC190" i="3"/>
  <c r="BE190" i="3"/>
  <c r="BG190" i="3"/>
  <c r="BI190" i="3"/>
  <c r="BK190" i="3"/>
  <c r="BM190" i="3"/>
  <c r="BO190" i="3"/>
  <c r="BQ190" i="3"/>
  <c r="BS190" i="3"/>
  <c r="BU190" i="3"/>
  <c r="BW190" i="3"/>
  <c r="BY190" i="3"/>
  <c r="CA190" i="3"/>
  <c r="CC190" i="3"/>
  <c r="CE190" i="3"/>
  <c r="CG190" i="3"/>
  <c r="CI190" i="3"/>
  <c r="CK190" i="3"/>
  <c r="CM190" i="3"/>
  <c r="CO190" i="3"/>
  <c r="CQ190" i="3"/>
  <c r="CS190" i="3"/>
  <c r="CU190" i="3"/>
  <c r="CW190" i="3"/>
  <c r="CY190" i="3"/>
  <c r="DA190" i="3"/>
  <c r="DC190" i="3"/>
  <c r="DE190" i="3"/>
  <c r="DG190" i="3"/>
  <c r="DI190" i="3"/>
  <c r="DK190" i="3"/>
  <c r="DM190" i="3"/>
  <c r="DO190" i="3"/>
  <c r="DQ190" i="3"/>
  <c r="DS190" i="3"/>
  <c r="DU190" i="3"/>
  <c r="DW190" i="3"/>
  <c r="DY190" i="3"/>
  <c r="EA190" i="3"/>
  <c r="EC190" i="3"/>
  <c r="EE190" i="3"/>
  <c r="EG190" i="3"/>
  <c r="EI190" i="3"/>
  <c r="T191" i="3"/>
  <c r="V191" i="3"/>
  <c r="X191" i="3"/>
  <c r="Z191" i="3"/>
  <c r="AB191" i="3"/>
  <c r="AD191" i="3"/>
  <c r="AF191" i="3"/>
  <c r="AH191" i="3"/>
  <c r="AJ191" i="3"/>
  <c r="AL191" i="3"/>
  <c r="AN191" i="3"/>
  <c r="AP191" i="3"/>
  <c r="AR191" i="3"/>
  <c r="AT191" i="3"/>
  <c r="AV191" i="3"/>
  <c r="AX191" i="3"/>
  <c r="AZ191" i="3"/>
  <c r="BB191" i="3"/>
  <c r="BD191" i="3"/>
  <c r="BF191" i="3"/>
  <c r="BH191" i="3"/>
  <c r="BJ191" i="3"/>
  <c r="BL191" i="3"/>
  <c r="BN191" i="3"/>
  <c r="BP191" i="3"/>
  <c r="BR191" i="3"/>
  <c r="BT191" i="3"/>
  <c r="BV191" i="3"/>
  <c r="BX191" i="3"/>
  <c r="BZ191" i="3"/>
  <c r="CB191" i="3"/>
  <c r="CD191" i="3"/>
  <c r="CF191" i="3"/>
  <c r="CH191" i="3"/>
  <c r="CJ191" i="3"/>
  <c r="CL191" i="3"/>
  <c r="CN191" i="3"/>
  <c r="CP191" i="3"/>
  <c r="CR191" i="3"/>
  <c r="CT191" i="3"/>
  <c r="CV191" i="3"/>
  <c r="CX191" i="3"/>
  <c r="CZ191" i="3"/>
  <c r="DB191" i="3"/>
  <c r="DD191" i="3"/>
  <c r="DF191" i="3"/>
  <c r="DH191" i="3"/>
  <c r="DJ191" i="3"/>
  <c r="DL191" i="3"/>
  <c r="DN191" i="3"/>
  <c r="DP191" i="3"/>
  <c r="DR191" i="3"/>
  <c r="DT191" i="3"/>
  <c r="DV191" i="3"/>
  <c r="DX191" i="3"/>
  <c r="DZ191" i="3"/>
  <c r="EB191" i="3"/>
  <c r="ED191" i="3"/>
  <c r="EF191" i="3"/>
  <c r="EH191" i="3"/>
  <c r="O192" i="3"/>
  <c r="Q192" i="3"/>
  <c r="S192" i="3"/>
  <c r="U192" i="3"/>
  <c r="W192" i="3"/>
  <c r="Y192" i="3"/>
  <c r="AA192" i="3"/>
  <c r="AC192" i="3"/>
  <c r="AE192" i="3"/>
  <c r="AG192" i="3"/>
  <c r="AI192" i="3"/>
  <c r="AK192" i="3"/>
  <c r="AM192" i="3"/>
  <c r="AO192" i="3"/>
  <c r="AQ192" i="3"/>
  <c r="AS192" i="3"/>
  <c r="AU192" i="3"/>
  <c r="AW192" i="3"/>
  <c r="AY192" i="3"/>
  <c r="BA192" i="3"/>
  <c r="BC192" i="3"/>
  <c r="BE192" i="3"/>
  <c r="BG192" i="3"/>
  <c r="BI192" i="3"/>
  <c r="BK192" i="3"/>
  <c r="BM192" i="3"/>
  <c r="BO192" i="3"/>
  <c r="BQ192" i="3"/>
  <c r="BS192" i="3"/>
  <c r="BU192" i="3"/>
  <c r="BW192" i="3"/>
  <c r="BY192" i="3"/>
  <c r="CA192" i="3"/>
  <c r="CC192" i="3"/>
  <c r="CE192" i="3"/>
  <c r="CG192" i="3"/>
  <c r="CI192" i="3"/>
  <c r="CK192" i="3"/>
  <c r="CM192" i="3"/>
  <c r="CO192" i="3"/>
  <c r="CQ192" i="3"/>
  <c r="CS192" i="3"/>
  <c r="CU192" i="3"/>
  <c r="CW192" i="3"/>
  <c r="CY192" i="3"/>
  <c r="DA192" i="3"/>
  <c r="DC192" i="3"/>
  <c r="DE192" i="3"/>
  <c r="DG192" i="3"/>
  <c r="DI192" i="3"/>
  <c r="DK192" i="3"/>
  <c r="DM192" i="3"/>
  <c r="DO192" i="3"/>
  <c r="DQ192" i="3"/>
  <c r="DS192" i="3"/>
  <c r="DU192" i="3"/>
  <c r="DW192" i="3"/>
  <c r="DY192" i="3"/>
  <c r="EA192" i="3"/>
  <c r="EC192" i="3"/>
  <c r="EE192" i="3"/>
  <c r="EG192" i="3"/>
  <c r="EI192" i="3"/>
  <c r="L193" i="3"/>
  <c r="N193" i="3"/>
  <c r="P193" i="3"/>
  <c r="R193" i="3"/>
  <c r="T193" i="3"/>
  <c r="V193" i="3"/>
  <c r="X193" i="3"/>
  <c r="Z193" i="3"/>
  <c r="AB193" i="3"/>
  <c r="AD193" i="3"/>
  <c r="AF193" i="3"/>
  <c r="AH193" i="3"/>
  <c r="AJ193" i="3"/>
  <c r="AL193" i="3"/>
  <c r="AN193" i="3"/>
  <c r="AP193" i="3"/>
  <c r="AR193" i="3"/>
  <c r="AT193" i="3"/>
  <c r="AV193" i="3"/>
  <c r="AX193" i="3"/>
  <c r="AZ193" i="3"/>
  <c r="BB193" i="3"/>
  <c r="BD193" i="3"/>
  <c r="BF193" i="3"/>
  <c r="BH193" i="3"/>
  <c r="BJ193" i="3"/>
  <c r="BL193" i="3"/>
  <c r="BN193" i="3"/>
  <c r="BP193" i="3"/>
  <c r="BR193" i="3"/>
  <c r="BT193" i="3"/>
  <c r="BV193" i="3"/>
  <c r="BX193" i="3"/>
  <c r="BZ193" i="3"/>
  <c r="CB193" i="3"/>
  <c r="CD193" i="3"/>
  <c r="CF193" i="3"/>
  <c r="CH193" i="3"/>
  <c r="CJ193" i="3"/>
  <c r="CL193" i="3"/>
  <c r="CN193" i="3"/>
  <c r="CP193" i="3"/>
  <c r="CR193" i="3"/>
  <c r="CT193" i="3"/>
  <c r="CV193" i="3"/>
  <c r="CX193" i="3"/>
  <c r="CZ193" i="3"/>
  <c r="DB193" i="3"/>
  <c r="DD193" i="3"/>
  <c r="DF193" i="3"/>
  <c r="DH193" i="3"/>
  <c r="DJ193" i="3"/>
  <c r="DL193" i="3"/>
  <c r="DN193" i="3"/>
  <c r="DP193" i="3"/>
  <c r="DR193" i="3"/>
  <c r="DT193" i="3"/>
  <c r="DV193" i="3"/>
  <c r="DX193" i="3"/>
  <c r="DZ193" i="3"/>
  <c r="EB193" i="3"/>
  <c r="ED193" i="3"/>
  <c r="EF193" i="3"/>
  <c r="EH193" i="3"/>
  <c r="M194" i="3"/>
  <c r="O194" i="3"/>
  <c r="Q194" i="3"/>
  <c r="S194" i="3"/>
  <c r="U194" i="3"/>
  <c r="W194" i="3"/>
  <c r="Y194" i="3"/>
  <c r="AA194" i="3"/>
  <c r="AC194" i="3"/>
  <c r="AE194" i="3"/>
  <c r="AG194" i="3"/>
  <c r="AI194" i="3"/>
  <c r="AK194" i="3"/>
  <c r="AM194" i="3"/>
  <c r="AO194" i="3"/>
  <c r="AQ194" i="3"/>
  <c r="AS194" i="3"/>
  <c r="AU194" i="3"/>
  <c r="AW194" i="3"/>
  <c r="AY194" i="3"/>
  <c r="BA194" i="3"/>
  <c r="BC194" i="3"/>
  <c r="BE194" i="3"/>
  <c r="BG194" i="3"/>
  <c r="BI194" i="3"/>
  <c r="BK194" i="3"/>
  <c r="BM194" i="3"/>
  <c r="BO194" i="3"/>
  <c r="BQ194" i="3"/>
  <c r="BS194" i="3"/>
  <c r="BU194" i="3"/>
  <c r="BW194" i="3"/>
  <c r="BY194" i="3"/>
  <c r="CA194" i="3"/>
  <c r="CC194" i="3"/>
  <c r="CE194" i="3"/>
  <c r="CG194" i="3"/>
  <c r="CI194" i="3"/>
  <c r="CK194" i="3"/>
  <c r="CM194" i="3"/>
  <c r="CO194" i="3"/>
  <c r="CQ194" i="3"/>
  <c r="CS194" i="3"/>
  <c r="CU194" i="3"/>
  <c r="CW194" i="3"/>
  <c r="CY194" i="3"/>
  <c r="DA194" i="3"/>
  <c r="DC194" i="3"/>
  <c r="DE194" i="3"/>
  <c r="DG194" i="3"/>
  <c r="DI194" i="3"/>
  <c r="DK194" i="3"/>
  <c r="DM194" i="3"/>
  <c r="DO194" i="3"/>
  <c r="DQ194" i="3"/>
  <c r="DS194" i="3"/>
  <c r="DU194" i="3"/>
  <c r="DW194" i="3"/>
  <c r="DY194" i="3"/>
  <c r="EA194" i="3"/>
  <c r="EC194" i="3"/>
  <c r="EE194" i="3"/>
  <c r="EG194" i="3"/>
  <c r="EI194" i="3"/>
  <c r="Q195" i="3"/>
  <c r="S195" i="3"/>
  <c r="U195" i="3"/>
  <c r="W195" i="3"/>
  <c r="Y195" i="3"/>
  <c r="AA195" i="3"/>
  <c r="AC195" i="3"/>
  <c r="AE195" i="3"/>
  <c r="AG195" i="3"/>
  <c r="AI195" i="3"/>
  <c r="AK195" i="3"/>
  <c r="AM195" i="3"/>
  <c r="AO195" i="3"/>
  <c r="AQ195" i="3"/>
  <c r="AS195" i="3"/>
  <c r="AU195" i="3"/>
  <c r="AW195" i="3"/>
  <c r="AY195" i="3"/>
  <c r="BA195" i="3"/>
  <c r="BC195" i="3"/>
  <c r="BE195" i="3"/>
  <c r="BG195" i="3"/>
  <c r="BI195" i="3"/>
  <c r="BK195" i="3"/>
  <c r="BM195" i="3"/>
  <c r="BO195" i="3"/>
  <c r="BQ195" i="3"/>
  <c r="BS195" i="3"/>
  <c r="BU195" i="3"/>
  <c r="BW195" i="3"/>
  <c r="BY195" i="3"/>
  <c r="CA195" i="3"/>
  <c r="CC195" i="3"/>
  <c r="CE195" i="3"/>
  <c r="CG195" i="3"/>
  <c r="CI195" i="3"/>
  <c r="CK195" i="3"/>
  <c r="CM195" i="3"/>
  <c r="CO195" i="3"/>
  <c r="CQ195" i="3"/>
  <c r="CS195" i="3"/>
  <c r="CU195" i="3"/>
  <c r="CW195" i="3"/>
  <c r="CY195" i="3"/>
  <c r="DA195" i="3"/>
  <c r="DC195" i="3"/>
  <c r="DE195" i="3"/>
  <c r="DG195" i="3"/>
  <c r="DI195" i="3"/>
  <c r="DK195" i="3"/>
  <c r="DM195" i="3"/>
  <c r="DO195" i="3"/>
  <c r="DQ195" i="3"/>
  <c r="DS195" i="3"/>
  <c r="DU195" i="3"/>
  <c r="DW195" i="3"/>
  <c r="DY195" i="3"/>
  <c r="EA195" i="3"/>
  <c r="EC195" i="3"/>
  <c r="EE195" i="3"/>
  <c r="EG195" i="3"/>
  <c r="EI195" i="3"/>
  <c r="AI196" i="3"/>
  <c r="AK196" i="3"/>
  <c r="AM196" i="3"/>
  <c r="AO196" i="3"/>
  <c r="AQ196" i="3"/>
  <c r="AS196" i="3"/>
  <c r="AU196" i="3"/>
  <c r="AW196" i="3"/>
  <c r="AY196" i="3"/>
  <c r="BA196" i="3"/>
  <c r="BC196" i="3"/>
  <c r="BE196" i="3"/>
  <c r="BG196" i="3"/>
  <c r="BI196" i="3"/>
  <c r="BK196" i="3"/>
  <c r="BM196" i="3"/>
  <c r="BO196" i="3"/>
  <c r="BQ196" i="3"/>
  <c r="BS196" i="3"/>
  <c r="BU196" i="3"/>
  <c r="BW196" i="3"/>
  <c r="BY196" i="3"/>
  <c r="CA196" i="3"/>
  <c r="CC196" i="3"/>
  <c r="CE196" i="3"/>
  <c r="CG196" i="3"/>
  <c r="CI196" i="3"/>
  <c r="CK196" i="3"/>
  <c r="CM196" i="3"/>
  <c r="CO196" i="3"/>
  <c r="CQ196" i="3"/>
  <c r="CS196" i="3"/>
  <c r="CU196" i="3"/>
  <c r="CW196" i="3"/>
  <c r="CY196" i="3"/>
  <c r="DA196" i="3"/>
  <c r="DC196" i="3"/>
  <c r="DE196" i="3"/>
  <c r="DG196" i="3"/>
  <c r="DI196" i="3"/>
  <c r="DK196" i="3"/>
  <c r="DM196" i="3"/>
  <c r="DO196" i="3"/>
  <c r="DQ196" i="3"/>
  <c r="DS196" i="3"/>
  <c r="DU196" i="3"/>
  <c r="DW196" i="3"/>
  <c r="DY196" i="3"/>
  <c r="EA196" i="3"/>
  <c r="EC196" i="3"/>
  <c r="EE196" i="3"/>
  <c r="EG196" i="3"/>
  <c r="EI196" i="3"/>
  <c r="AV197" i="3"/>
  <c r="AX197" i="3"/>
  <c r="AZ197" i="3"/>
  <c r="BB197" i="3"/>
  <c r="BD197" i="3"/>
  <c r="BF197" i="3"/>
  <c r="BH197" i="3"/>
  <c r="BJ197" i="3"/>
  <c r="BL197" i="3"/>
  <c r="BN197" i="3"/>
  <c r="BP197" i="3"/>
  <c r="BR197" i="3"/>
  <c r="BT197" i="3"/>
  <c r="BV197" i="3"/>
  <c r="BX197" i="3"/>
  <c r="BZ197" i="3"/>
  <c r="CB197" i="3"/>
  <c r="CD197" i="3"/>
  <c r="CF197" i="3"/>
  <c r="CH197" i="3"/>
  <c r="CJ197" i="3"/>
  <c r="CL197" i="3"/>
  <c r="CN197" i="3"/>
  <c r="CP197" i="3"/>
  <c r="CR197" i="3"/>
  <c r="CT197" i="3"/>
  <c r="CV197" i="3"/>
  <c r="CX197" i="3"/>
  <c r="CZ197" i="3"/>
  <c r="DB197" i="3"/>
  <c r="DD197" i="3"/>
  <c r="DF197" i="3"/>
  <c r="DH197" i="3"/>
  <c r="DJ197" i="3"/>
  <c r="DL197" i="3"/>
  <c r="DN197" i="3"/>
  <c r="DP197" i="3"/>
  <c r="DR197" i="3"/>
  <c r="DT197" i="3"/>
  <c r="DV197" i="3"/>
  <c r="DX197" i="3"/>
  <c r="DZ197" i="3"/>
  <c r="EB197" i="3"/>
  <c r="ED197" i="3"/>
  <c r="EF197" i="3"/>
  <c r="EH197" i="3"/>
  <c r="K198" i="3"/>
  <c r="M198" i="3"/>
  <c r="O198" i="3"/>
  <c r="Q198" i="3"/>
  <c r="S198" i="3"/>
  <c r="U198" i="3"/>
  <c r="W198" i="3"/>
  <c r="Y198" i="3"/>
  <c r="AA198" i="3"/>
  <c r="AC198" i="3"/>
  <c r="AE198" i="3"/>
  <c r="AG198" i="3"/>
  <c r="AI198" i="3"/>
  <c r="AK198" i="3"/>
  <c r="AM198" i="3"/>
  <c r="AO198" i="3"/>
  <c r="AQ198" i="3"/>
  <c r="AS198" i="3"/>
  <c r="AU198" i="3"/>
  <c r="AW198" i="3"/>
  <c r="AY198" i="3"/>
  <c r="BA198" i="3"/>
  <c r="BC198" i="3"/>
  <c r="BE198" i="3"/>
  <c r="BG198" i="3"/>
  <c r="BI198" i="3"/>
  <c r="BK198" i="3"/>
  <c r="BM198" i="3"/>
  <c r="BO198" i="3"/>
  <c r="BQ198" i="3"/>
  <c r="BS198" i="3"/>
  <c r="BU198" i="3"/>
  <c r="BW198" i="3"/>
  <c r="BY198" i="3"/>
  <c r="CA198" i="3"/>
  <c r="CC198" i="3"/>
  <c r="CE198" i="3"/>
  <c r="CG198" i="3"/>
  <c r="CI198" i="3"/>
  <c r="CK198" i="3"/>
  <c r="CM198" i="3"/>
  <c r="CO198" i="3"/>
  <c r="CQ198" i="3"/>
  <c r="CS198" i="3"/>
  <c r="CU198" i="3"/>
  <c r="CW198" i="3"/>
  <c r="CY198" i="3"/>
  <c r="DA198" i="3"/>
  <c r="DC198" i="3"/>
  <c r="DE198" i="3"/>
  <c r="DG198" i="3"/>
  <c r="DI198" i="3"/>
  <c r="DK198" i="3"/>
  <c r="DM198" i="3"/>
  <c r="DO198" i="3"/>
  <c r="DQ198" i="3"/>
  <c r="DS198" i="3"/>
  <c r="DU198" i="3"/>
  <c r="DW198" i="3"/>
  <c r="DY198" i="3"/>
  <c r="EA198" i="3"/>
  <c r="EC198" i="3"/>
  <c r="EE198" i="3"/>
  <c r="EG198" i="3"/>
  <c r="EI198" i="3"/>
  <c r="L199" i="3"/>
  <c r="N199" i="3"/>
  <c r="P199" i="3"/>
  <c r="R199" i="3"/>
  <c r="T199" i="3"/>
  <c r="V199" i="3"/>
  <c r="X199" i="3"/>
  <c r="Z199" i="3"/>
  <c r="AB199" i="3"/>
  <c r="AD199" i="3"/>
  <c r="AF199" i="3"/>
  <c r="AH199" i="3"/>
  <c r="AJ199" i="3"/>
  <c r="AL199" i="3"/>
  <c r="AN199" i="3"/>
  <c r="AP199" i="3"/>
  <c r="AR199" i="3"/>
  <c r="AT199" i="3"/>
  <c r="AV199" i="3"/>
  <c r="AX199" i="3"/>
  <c r="AZ199" i="3"/>
  <c r="BB199" i="3"/>
  <c r="BD199" i="3"/>
  <c r="BF199" i="3"/>
  <c r="BH199" i="3"/>
  <c r="BJ199" i="3"/>
  <c r="BL199" i="3"/>
  <c r="BN199" i="3"/>
  <c r="BP199" i="3"/>
  <c r="BR199" i="3"/>
  <c r="BT199" i="3"/>
  <c r="BV199" i="3"/>
  <c r="BX199" i="3"/>
  <c r="BZ199" i="3"/>
  <c r="CB199" i="3"/>
  <c r="CD199" i="3"/>
  <c r="CF199" i="3"/>
  <c r="CH199" i="3"/>
  <c r="CJ199" i="3"/>
  <c r="CL199" i="3"/>
  <c r="CN199" i="3"/>
  <c r="CP199" i="3"/>
  <c r="CR199" i="3"/>
  <c r="CT199" i="3"/>
  <c r="CV199" i="3"/>
  <c r="CX199" i="3"/>
  <c r="CZ199" i="3"/>
  <c r="DB199" i="3"/>
  <c r="DD199" i="3"/>
  <c r="DF199" i="3"/>
  <c r="DH199" i="3"/>
  <c r="DJ199" i="3"/>
  <c r="DL199" i="3"/>
  <c r="DN199" i="3"/>
  <c r="DP199" i="3"/>
  <c r="DR199" i="3"/>
  <c r="DT199" i="3"/>
  <c r="DV199" i="3"/>
  <c r="DX199" i="3"/>
  <c r="DZ199" i="3"/>
  <c r="EB199" i="3"/>
  <c r="ED199" i="3"/>
  <c r="EF199" i="3"/>
  <c r="EH199" i="3"/>
  <c r="AB200" i="3"/>
  <c r="AD200" i="3"/>
  <c r="AF200" i="3"/>
  <c r="AH200" i="3"/>
  <c r="AJ200" i="3"/>
  <c r="AL200" i="3"/>
  <c r="AN200" i="3"/>
  <c r="AP200" i="3"/>
  <c r="AR200" i="3"/>
  <c r="AT200" i="3"/>
  <c r="AV200" i="3"/>
  <c r="AX200" i="3"/>
  <c r="AZ200" i="3"/>
  <c r="BB200" i="3"/>
  <c r="BD200" i="3"/>
  <c r="BF200" i="3"/>
  <c r="BH200" i="3"/>
  <c r="BJ200" i="3"/>
  <c r="BL200" i="3"/>
  <c r="BN200" i="3"/>
  <c r="BP200" i="3"/>
  <c r="BR200" i="3"/>
  <c r="BT200" i="3"/>
  <c r="BV200" i="3"/>
  <c r="BX200" i="3"/>
  <c r="BZ200" i="3"/>
  <c r="CB200" i="3"/>
  <c r="CD200" i="3"/>
  <c r="CF200" i="3"/>
  <c r="CH200" i="3"/>
  <c r="CJ200" i="3"/>
  <c r="CL200" i="3"/>
  <c r="CN200" i="3"/>
  <c r="CP200" i="3"/>
  <c r="CR200" i="3"/>
  <c r="CT200" i="3"/>
  <c r="CV200" i="3"/>
  <c r="CX200" i="3"/>
  <c r="CZ200" i="3"/>
  <c r="DB200" i="3"/>
  <c r="DD200" i="3"/>
  <c r="DF200" i="3"/>
  <c r="DH200" i="3"/>
  <c r="DJ200" i="3"/>
  <c r="DL200" i="3"/>
  <c r="DN200" i="3"/>
  <c r="DP200" i="3"/>
  <c r="DR200" i="3"/>
  <c r="DT200" i="3"/>
  <c r="DV200" i="3"/>
  <c r="DX200" i="3"/>
  <c r="DZ200" i="3"/>
  <c r="EB200" i="3"/>
  <c r="ED200" i="3"/>
  <c r="EF200" i="3"/>
  <c r="EH200" i="3"/>
  <c r="N201" i="3"/>
  <c r="P201" i="3"/>
  <c r="R201" i="3"/>
  <c r="T201" i="3"/>
  <c r="V201" i="3"/>
  <c r="X201" i="3"/>
  <c r="Z201" i="3"/>
  <c r="AB201" i="3"/>
  <c r="AD201" i="3"/>
  <c r="AF201" i="3"/>
  <c r="AH201" i="3"/>
  <c r="AJ201" i="3"/>
  <c r="AL201" i="3"/>
  <c r="AN201" i="3"/>
  <c r="AP201" i="3"/>
  <c r="AR201" i="3"/>
  <c r="AT201" i="3"/>
  <c r="AV201" i="3"/>
  <c r="AX201" i="3"/>
  <c r="AZ201" i="3"/>
  <c r="BB201" i="3"/>
  <c r="BD201" i="3"/>
  <c r="BF201" i="3"/>
  <c r="BH201" i="3"/>
  <c r="BJ201" i="3"/>
  <c r="BL201" i="3"/>
  <c r="BN201" i="3"/>
  <c r="BP201" i="3"/>
  <c r="BR201" i="3"/>
  <c r="BT201" i="3"/>
  <c r="BV201" i="3"/>
  <c r="BX201" i="3"/>
  <c r="BZ201" i="3"/>
  <c r="CB201" i="3"/>
  <c r="CD201" i="3"/>
  <c r="CF201" i="3"/>
  <c r="CH201" i="3"/>
  <c r="CJ201" i="3"/>
  <c r="CL201" i="3"/>
  <c r="CN201" i="3"/>
  <c r="CP201" i="3"/>
  <c r="CR201" i="3"/>
  <c r="CT201" i="3"/>
  <c r="CV201" i="3"/>
  <c r="CX201" i="3"/>
  <c r="CZ201" i="3"/>
  <c r="DB201" i="3"/>
  <c r="DD201" i="3"/>
  <c r="DF201" i="3"/>
  <c r="DH201" i="3"/>
  <c r="DJ201" i="3"/>
  <c r="DL201" i="3"/>
  <c r="DN201" i="3"/>
  <c r="DP201" i="3"/>
  <c r="DR201" i="3"/>
  <c r="DT201" i="3"/>
  <c r="DV201" i="3"/>
  <c r="DX201" i="3"/>
  <c r="DZ201" i="3"/>
  <c r="EB201" i="3"/>
  <c r="ED201" i="3"/>
  <c r="EF201" i="3"/>
  <c r="EH201" i="3"/>
  <c r="K202" i="3"/>
  <c r="M202" i="3"/>
  <c r="O202" i="3"/>
  <c r="Q202" i="3"/>
  <c r="S202" i="3"/>
  <c r="U202" i="3"/>
  <c r="W202" i="3"/>
  <c r="Y202" i="3"/>
  <c r="AA202" i="3"/>
  <c r="AC202" i="3"/>
  <c r="AE202" i="3"/>
  <c r="AG202" i="3"/>
  <c r="AI202" i="3"/>
  <c r="AK202" i="3"/>
  <c r="AM202" i="3"/>
  <c r="AO202" i="3"/>
  <c r="AQ202" i="3"/>
  <c r="AS202" i="3"/>
  <c r="AU202" i="3"/>
  <c r="AW202" i="3"/>
  <c r="AY202" i="3"/>
  <c r="BA202" i="3"/>
  <c r="BC202" i="3"/>
  <c r="BE202" i="3"/>
  <c r="BG202" i="3"/>
  <c r="BI202" i="3"/>
  <c r="BK202" i="3"/>
  <c r="BM202" i="3"/>
  <c r="BO202" i="3"/>
  <c r="BQ202" i="3"/>
  <c r="BS202" i="3"/>
  <c r="BU202" i="3"/>
  <c r="BW202" i="3"/>
  <c r="BY202" i="3"/>
  <c r="CA202" i="3"/>
  <c r="CC202" i="3"/>
  <c r="CE202" i="3"/>
  <c r="CG202" i="3"/>
  <c r="CI202" i="3"/>
  <c r="CK202" i="3"/>
  <c r="CM202" i="3"/>
  <c r="CO202" i="3"/>
  <c r="CQ202" i="3"/>
  <c r="CS202" i="3"/>
  <c r="CU202" i="3"/>
  <c r="CW202" i="3"/>
  <c r="CY202" i="3"/>
  <c r="DA202" i="3"/>
  <c r="DC202" i="3"/>
  <c r="DE202" i="3"/>
  <c r="DG202" i="3"/>
  <c r="DI202" i="3"/>
  <c r="DK202" i="3"/>
  <c r="DM202" i="3"/>
  <c r="DO202" i="3"/>
  <c r="DQ202" i="3"/>
  <c r="DS202" i="3"/>
  <c r="DU202" i="3"/>
  <c r="DW202" i="3"/>
  <c r="DY202" i="3"/>
  <c r="EA202" i="3"/>
  <c r="EC202" i="3"/>
  <c r="EE202" i="3"/>
  <c r="EG202" i="3"/>
  <c r="EI202" i="3"/>
  <c r="M3" i="3"/>
  <c r="O3" i="3"/>
  <c r="Q3" i="3"/>
  <c r="S3" i="3"/>
  <c r="U3" i="3"/>
  <c r="W3" i="3"/>
  <c r="Y3" i="3"/>
  <c r="AA3" i="3"/>
  <c r="AC3" i="3"/>
  <c r="AE3" i="3"/>
  <c r="AG3" i="3"/>
  <c r="AI3" i="3"/>
  <c r="AK3" i="3"/>
  <c r="AM3" i="3"/>
  <c r="AO3" i="3"/>
  <c r="AQ3" i="3"/>
  <c r="AS3" i="3"/>
  <c r="AU3" i="3"/>
  <c r="AW3" i="3"/>
  <c r="AY3" i="3"/>
  <c r="BA3" i="3"/>
  <c r="BC3" i="3"/>
  <c r="BE3" i="3"/>
  <c r="BG3" i="3"/>
  <c r="BI3" i="3"/>
  <c r="BK3" i="3"/>
  <c r="BM3" i="3"/>
  <c r="BO3" i="3"/>
  <c r="BQ3" i="3"/>
  <c r="BS3" i="3"/>
  <c r="BU3" i="3"/>
  <c r="BW3" i="3"/>
  <c r="BY3" i="3"/>
  <c r="CA3" i="3"/>
  <c r="CC3" i="3"/>
  <c r="CE3" i="3"/>
  <c r="CG3" i="3"/>
  <c r="CI3" i="3"/>
  <c r="CK3" i="3"/>
  <c r="CM3" i="3"/>
  <c r="CO3" i="3"/>
  <c r="CQ3" i="3"/>
  <c r="CS3" i="3"/>
  <c r="CU3" i="3"/>
  <c r="CW3" i="3"/>
  <c r="CY3" i="3"/>
  <c r="DA3" i="3"/>
  <c r="DC3" i="3"/>
  <c r="DE3" i="3"/>
  <c r="DG3" i="3"/>
  <c r="DI3" i="3"/>
  <c r="DK3" i="3"/>
  <c r="DM3" i="3"/>
  <c r="DO3" i="3"/>
  <c r="DQ3" i="3"/>
  <c r="DS3" i="3"/>
  <c r="DU3" i="3"/>
  <c r="DW3" i="3"/>
  <c r="DY3" i="3"/>
  <c r="EA3" i="3"/>
  <c r="EC3" i="3"/>
  <c r="EE3" i="3"/>
  <c r="EG3" i="3"/>
  <c r="AL159" i="3"/>
  <c r="AP159" i="3"/>
  <c r="AT159" i="3"/>
  <c r="AX159" i="3"/>
  <c r="BB159" i="3"/>
  <c r="BF159" i="3"/>
  <c r="BJ159" i="3"/>
  <c r="BN159" i="3"/>
  <c r="BR159" i="3"/>
  <c r="BV159" i="3"/>
  <c r="BZ159" i="3"/>
  <c r="CD159" i="3"/>
  <c r="CH159" i="3"/>
  <c r="CL159" i="3"/>
  <c r="CP159" i="3"/>
  <c r="CT159" i="3"/>
  <c r="CX159" i="3"/>
  <c r="DB159" i="3"/>
  <c r="DF159" i="3"/>
  <c r="DJ159" i="3"/>
  <c r="DN159" i="3"/>
  <c r="DR159" i="3"/>
  <c r="DV159" i="3"/>
  <c r="DZ159" i="3"/>
  <c r="ED159" i="3"/>
  <c r="EH159" i="3"/>
  <c r="U160" i="3"/>
  <c r="Y160" i="3"/>
  <c r="AC160" i="3"/>
  <c r="AG160" i="3"/>
  <c r="AK160" i="3"/>
  <c r="AO160" i="3"/>
  <c r="AS160" i="3"/>
  <c r="AW160" i="3"/>
  <c r="BA160" i="3"/>
  <c r="BD160" i="3"/>
  <c r="BF160" i="3"/>
  <c r="BH160" i="3"/>
  <c r="BJ160" i="3"/>
  <c r="BL160" i="3"/>
  <c r="BN160" i="3"/>
  <c r="BP160" i="3"/>
  <c r="BR160" i="3"/>
  <c r="BT160" i="3"/>
  <c r="BV160" i="3"/>
  <c r="BX160" i="3"/>
  <c r="BZ160" i="3"/>
  <c r="CB160" i="3"/>
  <c r="CD160" i="3"/>
  <c r="CF160" i="3"/>
  <c r="CH160" i="3"/>
  <c r="CJ160" i="3"/>
  <c r="CL160" i="3"/>
  <c r="CN160" i="3"/>
  <c r="CP160" i="3"/>
  <c r="CR160" i="3"/>
  <c r="CT160" i="3"/>
  <c r="CV160" i="3"/>
  <c r="CX160" i="3"/>
  <c r="CZ160" i="3"/>
  <c r="DB160" i="3"/>
  <c r="DD160" i="3"/>
  <c r="DF160" i="3"/>
  <c r="DH160" i="3"/>
  <c r="DJ160" i="3"/>
  <c r="DL160" i="3"/>
  <c r="DN160" i="3"/>
  <c r="DP160" i="3"/>
  <c r="DR160" i="3"/>
  <c r="DT160" i="3"/>
  <c r="DV160" i="3"/>
  <c r="DX160" i="3"/>
  <c r="DZ160" i="3"/>
  <c r="EB160" i="3"/>
  <c r="ED160" i="3"/>
  <c r="EF160" i="3"/>
  <c r="EH160" i="3"/>
  <c r="L161" i="3"/>
  <c r="N161" i="3"/>
  <c r="P161" i="3"/>
  <c r="R161" i="3"/>
  <c r="T161" i="3"/>
  <c r="V161" i="3"/>
  <c r="X161" i="3"/>
  <c r="Z161" i="3"/>
  <c r="AB161" i="3"/>
  <c r="AD161" i="3"/>
  <c r="AF161" i="3"/>
  <c r="AH161" i="3"/>
  <c r="AJ161" i="3"/>
  <c r="AL161" i="3"/>
  <c r="AN161" i="3"/>
  <c r="AP161" i="3"/>
  <c r="AR161" i="3"/>
  <c r="AT161" i="3"/>
  <c r="AV161" i="3"/>
  <c r="AX161" i="3"/>
  <c r="AZ161" i="3"/>
  <c r="BB161" i="3"/>
  <c r="BD161" i="3"/>
  <c r="BF161" i="3"/>
  <c r="BH161" i="3"/>
  <c r="BJ161" i="3"/>
  <c r="BL161" i="3"/>
  <c r="BN161" i="3"/>
  <c r="BP161" i="3"/>
  <c r="BR161" i="3"/>
  <c r="BT161" i="3"/>
  <c r="BV161" i="3"/>
  <c r="BX161" i="3"/>
  <c r="BZ161" i="3"/>
  <c r="CB161" i="3"/>
  <c r="CD161" i="3"/>
  <c r="CF161" i="3"/>
  <c r="CH161" i="3"/>
  <c r="CJ161" i="3"/>
  <c r="CL161" i="3"/>
  <c r="CN161" i="3"/>
  <c r="CP161" i="3"/>
  <c r="CR161" i="3"/>
  <c r="CT161" i="3"/>
  <c r="CV161" i="3"/>
  <c r="CX161" i="3"/>
  <c r="CZ161" i="3"/>
  <c r="DB161" i="3"/>
  <c r="DD161" i="3"/>
  <c r="DF161" i="3"/>
  <c r="DH161" i="3"/>
  <c r="DJ161" i="3"/>
  <c r="DL161" i="3"/>
  <c r="DN161" i="3"/>
  <c r="DP161" i="3"/>
  <c r="DR161" i="3"/>
  <c r="DT161" i="3"/>
  <c r="DV161" i="3"/>
  <c r="DX161" i="3"/>
  <c r="DZ161" i="3"/>
  <c r="EB161" i="3"/>
  <c r="ED161" i="3"/>
  <c r="EF161" i="3"/>
  <c r="EH161" i="3"/>
  <c r="L162" i="3"/>
  <c r="N162" i="3"/>
  <c r="P162" i="3"/>
  <c r="R162" i="3"/>
  <c r="T162" i="3"/>
  <c r="V162" i="3"/>
  <c r="X162" i="3"/>
  <c r="Z162" i="3"/>
  <c r="AB162" i="3"/>
  <c r="AD162" i="3"/>
  <c r="AF162" i="3"/>
  <c r="AH162" i="3"/>
  <c r="AJ162" i="3"/>
  <c r="AL162" i="3"/>
  <c r="AN162" i="3"/>
  <c r="AP162" i="3"/>
  <c r="AR162" i="3"/>
  <c r="AT162" i="3"/>
  <c r="AV162" i="3"/>
  <c r="AX162" i="3"/>
  <c r="AZ162" i="3"/>
  <c r="BB162" i="3"/>
  <c r="BD162" i="3"/>
  <c r="BF162" i="3"/>
  <c r="BH162" i="3"/>
  <c r="BJ162" i="3"/>
  <c r="BL162" i="3"/>
  <c r="BN162" i="3"/>
  <c r="BP162" i="3"/>
  <c r="BR162" i="3"/>
  <c r="BT162" i="3"/>
  <c r="BV162" i="3"/>
  <c r="BX162" i="3"/>
  <c r="BZ162" i="3"/>
  <c r="CB162" i="3"/>
  <c r="CD162" i="3"/>
  <c r="CF162" i="3"/>
  <c r="CH162" i="3"/>
  <c r="CJ162" i="3"/>
  <c r="CL162" i="3"/>
  <c r="CN162" i="3"/>
  <c r="CP162" i="3"/>
  <c r="CR162" i="3"/>
  <c r="CT162" i="3"/>
  <c r="CV162" i="3"/>
  <c r="CX162" i="3"/>
  <c r="CZ162" i="3"/>
  <c r="DB162" i="3"/>
  <c r="DD162" i="3"/>
  <c r="DF162" i="3"/>
  <c r="DH162" i="3"/>
  <c r="DJ162" i="3"/>
  <c r="DL162" i="3"/>
  <c r="DN162" i="3"/>
  <c r="DP162" i="3"/>
  <c r="DR162" i="3"/>
  <c r="DT162" i="3"/>
  <c r="DV162" i="3"/>
  <c r="DX162" i="3"/>
  <c r="DZ162" i="3"/>
  <c r="EB162" i="3"/>
  <c r="ED162" i="3"/>
  <c r="EF162" i="3"/>
  <c r="EH162" i="3"/>
  <c r="K163" i="3"/>
  <c r="M163" i="3"/>
  <c r="O163" i="3"/>
  <c r="Q163" i="3"/>
  <c r="S163" i="3"/>
  <c r="U163" i="3"/>
  <c r="W163" i="3"/>
  <c r="Y163" i="3"/>
  <c r="AA163" i="3"/>
  <c r="AC163" i="3"/>
  <c r="AE163" i="3"/>
  <c r="AG163" i="3"/>
  <c r="AI163" i="3"/>
  <c r="AK163" i="3"/>
  <c r="AM163" i="3"/>
  <c r="AO163" i="3"/>
  <c r="AQ163" i="3"/>
  <c r="AS163" i="3"/>
  <c r="AU163" i="3"/>
  <c r="AW163" i="3"/>
  <c r="AY163" i="3"/>
  <c r="BA163" i="3"/>
  <c r="BC163" i="3"/>
  <c r="BE163" i="3"/>
  <c r="BG163" i="3"/>
  <c r="BI163" i="3"/>
  <c r="BK163" i="3"/>
  <c r="BM163" i="3"/>
  <c r="BO163" i="3"/>
  <c r="BQ163" i="3"/>
  <c r="BS163" i="3"/>
  <c r="BU163" i="3"/>
  <c r="BW163" i="3"/>
  <c r="BY163" i="3"/>
  <c r="CA163" i="3"/>
  <c r="CC163" i="3"/>
  <c r="CE163" i="3"/>
  <c r="CG163" i="3"/>
  <c r="CI163" i="3"/>
  <c r="CK163" i="3"/>
  <c r="CM163" i="3"/>
  <c r="CO163" i="3"/>
  <c r="CQ163" i="3"/>
  <c r="CS163" i="3"/>
  <c r="CU163" i="3"/>
  <c r="CW163" i="3"/>
  <c r="CY163" i="3"/>
  <c r="DA163" i="3"/>
  <c r="DC163" i="3"/>
  <c r="DE163" i="3"/>
  <c r="DG163" i="3"/>
  <c r="DI163" i="3"/>
  <c r="DK163" i="3"/>
  <c r="DM163" i="3"/>
  <c r="DO163" i="3"/>
  <c r="DQ163" i="3"/>
  <c r="DS163" i="3"/>
  <c r="DU163" i="3"/>
  <c r="DW163" i="3"/>
  <c r="DY163" i="3"/>
  <c r="EA163" i="3"/>
  <c r="EC163" i="3"/>
  <c r="EE163" i="3"/>
  <c r="EG163" i="3"/>
  <c r="EI163" i="3"/>
  <c r="M164" i="3"/>
  <c r="O164" i="3"/>
  <c r="Q164" i="3"/>
  <c r="S164" i="3"/>
  <c r="U164" i="3"/>
  <c r="W164" i="3"/>
  <c r="Y164" i="3"/>
  <c r="AA164" i="3"/>
  <c r="AC164" i="3"/>
  <c r="AE164" i="3"/>
  <c r="AG164" i="3"/>
  <c r="AI164" i="3"/>
  <c r="AK164" i="3"/>
  <c r="AM164" i="3"/>
  <c r="AO164" i="3"/>
  <c r="AQ164" i="3"/>
  <c r="AS164" i="3"/>
  <c r="AU164" i="3"/>
  <c r="AW164" i="3"/>
  <c r="AY164" i="3"/>
  <c r="BA164" i="3"/>
  <c r="BC164" i="3"/>
  <c r="BE164" i="3"/>
  <c r="BG164" i="3"/>
  <c r="BI164" i="3"/>
  <c r="BK164" i="3"/>
  <c r="BM164" i="3"/>
  <c r="BO164" i="3"/>
  <c r="BQ164" i="3"/>
  <c r="BS164" i="3"/>
  <c r="BU164" i="3"/>
  <c r="BW164" i="3"/>
  <c r="BY164" i="3"/>
  <c r="CA164" i="3"/>
  <c r="CC164" i="3"/>
  <c r="CE164" i="3"/>
  <c r="CG164" i="3"/>
  <c r="CI164" i="3"/>
  <c r="CK164" i="3"/>
  <c r="CM164" i="3"/>
  <c r="CO164" i="3"/>
  <c r="CQ164" i="3"/>
  <c r="CS164" i="3"/>
  <c r="CU164" i="3"/>
  <c r="CW164" i="3"/>
  <c r="CY164" i="3"/>
  <c r="DA164" i="3"/>
  <c r="DC164" i="3"/>
  <c r="DE164" i="3"/>
  <c r="DG164" i="3"/>
  <c r="DI164" i="3"/>
  <c r="DK164" i="3"/>
  <c r="DM164" i="3"/>
  <c r="DO164" i="3"/>
  <c r="DQ164" i="3"/>
  <c r="DS164" i="3"/>
  <c r="DU164" i="3"/>
  <c r="DW164" i="3"/>
  <c r="DY164" i="3"/>
  <c r="EA164" i="3"/>
  <c r="EC164" i="3"/>
  <c r="EE164" i="3"/>
  <c r="EG164" i="3"/>
  <c r="EI164" i="3"/>
  <c r="M165" i="3"/>
  <c r="O165" i="3"/>
  <c r="Q165" i="3"/>
  <c r="S165" i="3"/>
  <c r="U165" i="3"/>
  <c r="W165" i="3"/>
  <c r="Y165" i="3"/>
  <c r="AA165" i="3"/>
  <c r="AC165" i="3"/>
  <c r="AE165" i="3"/>
  <c r="AG165" i="3"/>
  <c r="AI165" i="3"/>
  <c r="AK165" i="3"/>
  <c r="AM165" i="3"/>
  <c r="AO165" i="3"/>
  <c r="AQ165" i="3"/>
  <c r="AS165" i="3"/>
  <c r="AU165" i="3"/>
  <c r="AW165" i="3"/>
  <c r="AY165" i="3"/>
  <c r="BA165" i="3"/>
  <c r="BC165" i="3"/>
  <c r="BE165" i="3"/>
  <c r="BG165" i="3"/>
  <c r="BI165" i="3"/>
  <c r="BK165" i="3"/>
  <c r="BM165" i="3"/>
  <c r="BO165" i="3"/>
  <c r="BQ165" i="3"/>
  <c r="BS165" i="3"/>
  <c r="BU165" i="3"/>
  <c r="BW165" i="3"/>
  <c r="BY165" i="3"/>
  <c r="CA165" i="3"/>
  <c r="CC165" i="3"/>
  <c r="CE165" i="3"/>
  <c r="CG165" i="3"/>
  <c r="CI165" i="3"/>
  <c r="CK165" i="3"/>
  <c r="CM165" i="3"/>
  <c r="CO165" i="3"/>
  <c r="CQ165" i="3"/>
  <c r="CS165" i="3"/>
  <c r="CU165" i="3"/>
  <c r="CW165" i="3"/>
  <c r="CY165" i="3"/>
  <c r="DA165" i="3"/>
  <c r="DC165" i="3"/>
  <c r="DE165" i="3"/>
  <c r="DG165" i="3"/>
  <c r="DI165" i="3"/>
  <c r="DK165" i="3"/>
  <c r="DM165" i="3"/>
  <c r="DO165" i="3"/>
  <c r="DQ165" i="3"/>
  <c r="DS165" i="3"/>
  <c r="DU165" i="3"/>
  <c r="DW165" i="3"/>
  <c r="DY165" i="3"/>
  <c r="EA165" i="3"/>
  <c r="EC165" i="3"/>
  <c r="EE165" i="3"/>
  <c r="EG165" i="3"/>
  <c r="EI165" i="3"/>
  <c r="L166" i="3"/>
  <c r="N166" i="3"/>
  <c r="P166" i="3"/>
  <c r="R166" i="3"/>
  <c r="T166" i="3"/>
  <c r="V166" i="3"/>
  <c r="X166" i="3"/>
  <c r="Z166" i="3"/>
  <c r="AB166" i="3"/>
  <c r="AD166" i="3"/>
  <c r="AF166" i="3"/>
  <c r="AH166" i="3"/>
  <c r="AJ166" i="3"/>
  <c r="AL166" i="3"/>
  <c r="AN166" i="3"/>
  <c r="AP166" i="3"/>
  <c r="AR166" i="3"/>
  <c r="AT166" i="3"/>
  <c r="AV166" i="3"/>
  <c r="AX166" i="3"/>
  <c r="AZ166" i="3"/>
  <c r="BB166" i="3"/>
  <c r="BD166" i="3"/>
  <c r="BF166" i="3"/>
  <c r="BH166" i="3"/>
  <c r="BJ166" i="3"/>
  <c r="BL166" i="3"/>
  <c r="BN166" i="3"/>
  <c r="BP166" i="3"/>
  <c r="BR166" i="3"/>
  <c r="BT166" i="3"/>
  <c r="BV166" i="3"/>
  <c r="BX166" i="3"/>
  <c r="BZ166" i="3"/>
  <c r="CB166" i="3"/>
  <c r="CD166" i="3"/>
  <c r="CF166" i="3"/>
  <c r="CH166" i="3"/>
  <c r="CJ166" i="3"/>
  <c r="CL166" i="3"/>
  <c r="CN166" i="3"/>
  <c r="CP166" i="3"/>
  <c r="CR166" i="3"/>
  <c r="CT166" i="3"/>
  <c r="CV166" i="3"/>
  <c r="CX166" i="3"/>
  <c r="CZ166" i="3"/>
  <c r="DB166" i="3"/>
  <c r="DD166" i="3"/>
  <c r="DF166" i="3"/>
  <c r="DH166" i="3"/>
  <c r="DJ166" i="3"/>
  <c r="DL166" i="3"/>
  <c r="DN166" i="3"/>
  <c r="DP166" i="3"/>
  <c r="DR166" i="3"/>
  <c r="DT166" i="3"/>
  <c r="DV166" i="3"/>
  <c r="DX166" i="3"/>
  <c r="DZ166" i="3"/>
  <c r="EB166" i="3"/>
  <c r="ED166" i="3"/>
  <c r="EF166" i="3"/>
  <c r="EH166" i="3"/>
  <c r="K167" i="3"/>
  <c r="M167" i="3"/>
  <c r="O167" i="3"/>
  <c r="Q167" i="3"/>
  <c r="S167" i="3"/>
  <c r="U167" i="3"/>
  <c r="W167" i="3"/>
  <c r="Y167" i="3"/>
  <c r="AA167" i="3"/>
  <c r="AC167" i="3"/>
  <c r="AE167" i="3"/>
  <c r="AG167" i="3"/>
  <c r="AI167" i="3"/>
  <c r="AK167" i="3"/>
  <c r="AM167" i="3"/>
  <c r="AO167" i="3"/>
  <c r="AQ167" i="3"/>
  <c r="AS167" i="3"/>
  <c r="AU167" i="3"/>
  <c r="AW167" i="3"/>
  <c r="AY167" i="3"/>
  <c r="BA167" i="3"/>
  <c r="BC167" i="3"/>
  <c r="BE167" i="3"/>
  <c r="BG167" i="3"/>
  <c r="BI167" i="3"/>
  <c r="BK167" i="3"/>
  <c r="BM167" i="3"/>
  <c r="BO167" i="3"/>
  <c r="BQ167" i="3"/>
  <c r="BS167" i="3"/>
  <c r="BU167" i="3"/>
  <c r="BW167" i="3"/>
  <c r="BY167" i="3"/>
  <c r="CA167" i="3"/>
  <c r="CC167" i="3"/>
  <c r="CE167" i="3"/>
  <c r="CG167" i="3"/>
  <c r="CI167" i="3"/>
  <c r="CK167" i="3"/>
  <c r="CM167" i="3"/>
  <c r="CO167" i="3"/>
  <c r="CQ167" i="3"/>
  <c r="CS167" i="3"/>
  <c r="CU167" i="3"/>
  <c r="CW167" i="3"/>
  <c r="CY167" i="3"/>
  <c r="DA167" i="3"/>
  <c r="DC167" i="3"/>
  <c r="DE167" i="3"/>
  <c r="DG167" i="3"/>
  <c r="DI167" i="3"/>
  <c r="DK167" i="3"/>
  <c r="DM167" i="3"/>
  <c r="DO167" i="3"/>
  <c r="DQ167" i="3"/>
  <c r="DS167" i="3"/>
  <c r="DU167" i="3"/>
  <c r="DW167" i="3"/>
  <c r="DY167" i="3"/>
  <c r="EA167" i="3"/>
  <c r="EC167" i="3"/>
  <c r="EE167" i="3"/>
  <c r="EG167" i="3"/>
  <c r="EI167" i="3"/>
  <c r="M168" i="3"/>
  <c r="O168" i="3"/>
  <c r="Q168" i="3"/>
  <c r="S168" i="3"/>
  <c r="U168" i="3"/>
  <c r="W168" i="3"/>
  <c r="Y168" i="3"/>
  <c r="AA168" i="3"/>
  <c r="AC168" i="3"/>
  <c r="AE168" i="3"/>
  <c r="AG168" i="3"/>
  <c r="AI168" i="3"/>
  <c r="AK168" i="3"/>
  <c r="AM168" i="3"/>
  <c r="AO168" i="3"/>
  <c r="AQ168" i="3"/>
  <c r="AS168" i="3"/>
  <c r="AU168" i="3"/>
  <c r="AW168" i="3"/>
  <c r="AY168" i="3"/>
  <c r="BA168" i="3"/>
  <c r="BC168" i="3"/>
  <c r="BE168" i="3"/>
  <c r="BG168" i="3"/>
  <c r="BI168" i="3"/>
  <c r="BK168" i="3"/>
  <c r="BM168" i="3"/>
  <c r="BO168" i="3"/>
  <c r="BQ168" i="3"/>
  <c r="BS168" i="3"/>
  <c r="BU168" i="3"/>
  <c r="BW168" i="3"/>
  <c r="BY168" i="3"/>
  <c r="CA168" i="3"/>
  <c r="CC168" i="3"/>
  <c r="CE168" i="3"/>
  <c r="CG168" i="3"/>
  <c r="CI168" i="3"/>
  <c r="CK168" i="3"/>
  <c r="CM168" i="3"/>
  <c r="CO168" i="3"/>
  <c r="CQ168" i="3"/>
  <c r="CS168" i="3"/>
  <c r="CU168" i="3"/>
  <c r="CW168" i="3"/>
  <c r="CY168" i="3"/>
  <c r="DA168" i="3"/>
  <c r="DC168" i="3"/>
  <c r="DE168" i="3"/>
  <c r="DG168" i="3"/>
  <c r="DI168" i="3"/>
  <c r="DK168" i="3"/>
  <c r="DM168" i="3"/>
  <c r="DO168" i="3"/>
  <c r="DQ168" i="3"/>
  <c r="DS168" i="3"/>
  <c r="DU168" i="3"/>
  <c r="DW168" i="3"/>
  <c r="DY168" i="3"/>
  <c r="EA168" i="3"/>
  <c r="EC168" i="3"/>
  <c r="EE168" i="3"/>
  <c r="EG168" i="3"/>
  <c r="EI168" i="3"/>
  <c r="BQ169" i="3"/>
  <c r="BS169" i="3"/>
  <c r="BU169" i="3"/>
  <c r="BW169" i="3"/>
  <c r="BY169" i="3"/>
  <c r="CA169" i="3"/>
  <c r="CC169" i="3"/>
  <c r="CE169" i="3"/>
  <c r="CG169" i="3"/>
  <c r="CI169" i="3"/>
  <c r="CK169" i="3"/>
  <c r="CM169" i="3"/>
  <c r="CO169" i="3"/>
  <c r="CQ169" i="3"/>
  <c r="CS169" i="3"/>
  <c r="CU169" i="3"/>
  <c r="CW169" i="3"/>
  <c r="CY169" i="3"/>
  <c r="DA169" i="3"/>
  <c r="DC169" i="3"/>
  <c r="DE169" i="3"/>
  <c r="DG169" i="3"/>
  <c r="DI169" i="3"/>
  <c r="DK169" i="3"/>
  <c r="DM169" i="3"/>
  <c r="DO169" i="3"/>
  <c r="DQ169" i="3"/>
  <c r="DS169" i="3"/>
  <c r="DU169" i="3"/>
  <c r="DW169" i="3"/>
  <c r="DY169" i="3"/>
  <c r="EA169" i="3"/>
  <c r="EC169" i="3"/>
  <c r="EE169" i="3"/>
  <c r="EG169" i="3"/>
  <c r="EI169" i="3"/>
  <c r="L170" i="3"/>
  <c r="N170" i="3"/>
  <c r="P170" i="3"/>
  <c r="R170" i="3"/>
  <c r="T170" i="3"/>
  <c r="V170" i="3"/>
  <c r="X170" i="3"/>
  <c r="Z170" i="3"/>
  <c r="AB170" i="3"/>
  <c r="AD170" i="3"/>
  <c r="AF170" i="3"/>
  <c r="AH170" i="3"/>
  <c r="AJ170" i="3"/>
  <c r="AL170" i="3"/>
  <c r="AN170" i="3"/>
  <c r="AP170" i="3"/>
  <c r="AR170" i="3"/>
  <c r="AT170" i="3"/>
  <c r="AV170" i="3"/>
  <c r="AX170" i="3"/>
  <c r="AZ170" i="3"/>
  <c r="BB170" i="3"/>
  <c r="BD170" i="3"/>
  <c r="BF170" i="3"/>
  <c r="BH170" i="3"/>
  <c r="BJ170" i="3"/>
  <c r="BL170" i="3"/>
  <c r="BN170" i="3"/>
  <c r="BP170" i="3"/>
  <c r="BR170" i="3"/>
  <c r="BT170" i="3"/>
  <c r="BV170" i="3"/>
  <c r="BX170" i="3"/>
  <c r="BZ170" i="3"/>
  <c r="CB170" i="3"/>
  <c r="CD170" i="3"/>
  <c r="CF170" i="3"/>
  <c r="CH170" i="3"/>
  <c r="CJ170" i="3"/>
  <c r="CL170" i="3"/>
  <c r="CN170" i="3"/>
  <c r="CP170" i="3"/>
  <c r="CR170" i="3"/>
  <c r="CT170" i="3"/>
  <c r="CV170" i="3"/>
  <c r="CX170" i="3"/>
  <c r="CZ170" i="3"/>
  <c r="DB170" i="3"/>
  <c r="DD170" i="3"/>
  <c r="DF170" i="3"/>
  <c r="DH170" i="3"/>
  <c r="DJ170" i="3"/>
  <c r="DL170" i="3"/>
  <c r="DN170" i="3"/>
  <c r="DP170" i="3"/>
  <c r="DR170" i="3"/>
  <c r="DT170" i="3"/>
  <c r="DV170" i="3"/>
  <c r="DX170" i="3"/>
  <c r="DZ170" i="3"/>
  <c r="EB170" i="3"/>
  <c r="ED170" i="3"/>
  <c r="EF170" i="3"/>
  <c r="EH170" i="3"/>
  <c r="K171" i="3"/>
  <c r="M171" i="3"/>
  <c r="O171" i="3"/>
  <c r="Q171" i="3"/>
  <c r="S171" i="3"/>
  <c r="U171" i="3"/>
  <c r="W171" i="3"/>
  <c r="Y171" i="3"/>
  <c r="AA171" i="3"/>
  <c r="AC171" i="3"/>
  <c r="AE171" i="3"/>
  <c r="AG171" i="3"/>
  <c r="AI171" i="3"/>
  <c r="AK171" i="3"/>
  <c r="AM171" i="3"/>
  <c r="AO171" i="3"/>
  <c r="AQ171" i="3"/>
  <c r="AS171" i="3"/>
  <c r="AU171" i="3"/>
  <c r="AW171" i="3"/>
  <c r="AY171" i="3"/>
  <c r="BA171" i="3"/>
  <c r="BC171" i="3"/>
  <c r="BE171" i="3"/>
  <c r="BG171" i="3"/>
  <c r="BI171" i="3"/>
  <c r="BK171" i="3"/>
  <c r="BM171" i="3"/>
  <c r="BO171" i="3"/>
  <c r="BQ171" i="3"/>
  <c r="BS171" i="3"/>
  <c r="BU171" i="3"/>
  <c r="BW171" i="3"/>
  <c r="BY171" i="3"/>
  <c r="CA171" i="3"/>
  <c r="CC171" i="3"/>
  <c r="CE171" i="3"/>
  <c r="CG171" i="3"/>
  <c r="CI171" i="3"/>
  <c r="CK171" i="3"/>
  <c r="CM171" i="3"/>
  <c r="CO171" i="3"/>
  <c r="CQ171" i="3"/>
  <c r="CS171" i="3"/>
  <c r="CU171" i="3"/>
  <c r="CW171" i="3"/>
  <c r="CY171" i="3"/>
  <c r="DA171" i="3"/>
  <c r="DC171" i="3"/>
  <c r="DE171" i="3"/>
  <c r="DG171" i="3"/>
  <c r="DI171" i="3"/>
  <c r="DK171" i="3"/>
  <c r="DM171" i="3"/>
  <c r="DO171" i="3"/>
  <c r="DQ171" i="3"/>
  <c r="DS171" i="3"/>
  <c r="DU171" i="3"/>
  <c r="DW171" i="3"/>
  <c r="DY171" i="3"/>
  <c r="EA171" i="3"/>
  <c r="EC171" i="3"/>
  <c r="EE171" i="3"/>
  <c r="EG171" i="3"/>
  <c r="EI171" i="3"/>
  <c r="V172" i="3"/>
  <c r="X172" i="3"/>
  <c r="Z172" i="3"/>
  <c r="AB172" i="3"/>
  <c r="AD172" i="3"/>
  <c r="AF172" i="3"/>
  <c r="AH172" i="3"/>
  <c r="AJ172" i="3"/>
  <c r="AL172" i="3"/>
  <c r="AN172" i="3"/>
  <c r="AP172" i="3"/>
  <c r="AR172" i="3"/>
  <c r="AT172" i="3"/>
  <c r="AV172" i="3"/>
  <c r="AX172" i="3"/>
  <c r="AZ172" i="3"/>
  <c r="BB172" i="3"/>
  <c r="BD172" i="3"/>
  <c r="BF172" i="3"/>
  <c r="BH172" i="3"/>
  <c r="BJ172" i="3"/>
  <c r="BL172" i="3"/>
  <c r="BN172" i="3"/>
  <c r="BP172" i="3"/>
  <c r="BR172" i="3"/>
  <c r="BT172" i="3"/>
  <c r="BV172" i="3"/>
  <c r="BX172" i="3"/>
  <c r="BZ172" i="3"/>
  <c r="CB172" i="3"/>
  <c r="CD172" i="3"/>
  <c r="CF172" i="3"/>
  <c r="CH172" i="3"/>
  <c r="CJ172" i="3"/>
  <c r="CL172" i="3"/>
  <c r="CN172" i="3"/>
  <c r="CP172" i="3"/>
  <c r="CR172" i="3"/>
  <c r="CT172" i="3"/>
  <c r="CV172" i="3"/>
  <c r="CX172" i="3"/>
  <c r="CZ172" i="3"/>
  <c r="DB172" i="3"/>
  <c r="DD172" i="3"/>
  <c r="DF172" i="3"/>
  <c r="DH172" i="3"/>
  <c r="DJ172" i="3"/>
  <c r="DL172" i="3"/>
  <c r="DN172" i="3"/>
  <c r="DP172" i="3"/>
  <c r="DR172" i="3"/>
  <c r="DT172" i="3"/>
  <c r="DV172" i="3"/>
  <c r="DX172" i="3"/>
  <c r="DZ172" i="3"/>
  <c r="EB172" i="3"/>
  <c r="ED172" i="3"/>
  <c r="EF172" i="3"/>
  <c r="EH172" i="3"/>
  <c r="T173" i="3"/>
  <c r="V173" i="3"/>
  <c r="X173" i="3"/>
  <c r="Z173" i="3"/>
  <c r="AB173" i="3"/>
  <c r="AD173" i="3"/>
  <c r="AF173" i="3"/>
  <c r="AH173" i="3"/>
  <c r="AJ173" i="3"/>
  <c r="AL173" i="3"/>
  <c r="AN173" i="3"/>
  <c r="AP173" i="3"/>
  <c r="AR173" i="3"/>
  <c r="AT173" i="3"/>
  <c r="AV173" i="3"/>
  <c r="AX173" i="3"/>
  <c r="AZ173" i="3"/>
  <c r="BB173" i="3"/>
  <c r="BD173" i="3"/>
  <c r="BF173" i="3"/>
  <c r="BH173" i="3"/>
  <c r="BJ173" i="3"/>
  <c r="BL173" i="3"/>
  <c r="BN173" i="3"/>
  <c r="BP173" i="3"/>
  <c r="BR173" i="3"/>
  <c r="BT173" i="3"/>
  <c r="BV173" i="3"/>
  <c r="BX173" i="3"/>
  <c r="BZ173" i="3"/>
  <c r="CB173" i="3"/>
  <c r="CD173" i="3"/>
  <c r="CF173" i="3"/>
  <c r="CH173" i="3"/>
  <c r="CJ173" i="3"/>
  <c r="CL173" i="3"/>
  <c r="CN173" i="3"/>
  <c r="CP173" i="3"/>
  <c r="CR173" i="3"/>
  <c r="CT173" i="3"/>
  <c r="CV173" i="3"/>
  <c r="CX173" i="3"/>
  <c r="CZ173" i="3"/>
  <c r="DB173" i="3"/>
  <c r="DD173" i="3"/>
  <c r="DF173" i="3"/>
  <c r="DH173" i="3"/>
  <c r="DJ173" i="3"/>
  <c r="DL173" i="3"/>
  <c r="DN173" i="3"/>
  <c r="DP173" i="3"/>
  <c r="DR173" i="3"/>
  <c r="DT173" i="3"/>
  <c r="DV173" i="3"/>
  <c r="DX173" i="3"/>
  <c r="DZ173" i="3"/>
  <c r="EB173" i="3"/>
  <c r="ED173" i="3"/>
  <c r="EF173" i="3"/>
  <c r="EH173" i="3"/>
  <c r="K174" i="3"/>
  <c r="M174" i="3"/>
  <c r="O174" i="3"/>
  <c r="Q174" i="3"/>
  <c r="S174" i="3"/>
  <c r="U174" i="3"/>
  <c r="W174" i="3"/>
  <c r="Y174" i="3"/>
  <c r="AA174" i="3"/>
  <c r="AC174" i="3"/>
  <c r="AE174" i="3"/>
  <c r="AG174" i="3"/>
  <c r="AI174" i="3"/>
  <c r="AK174" i="3"/>
  <c r="AM174" i="3"/>
  <c r="AO174" i="3"/>
  <c r="AQ174" i="3"/>
  <c r="AS174" i="3"/>
  <c r="AU174" i="3"/>
  <c r="AW174" i="3"/>
  <c r="AY174" i="3"/>
  <c r="BA174" i="3"/>
  <c r="BC174" i="3"/>
  <c r="BE174" i="3"/>
  <c r="BG174" i="3"/>
  <c r="BI174" i="3"/>
  <c r="BK174" i="3"/>
  <c r="BM174" i="3"/>
  <c r="BO174" i="3"/>
  <c r="BQ174" i="3"/>
  <c r="BS174" i="3"/>
  <c r="BU174" i="3"/>
  <c r="BW174" i="3"/>
  <c r="BY174" i="3"/>
  <c r="CA174" i="3"/>
  <c r="CC174" i="3"/>
  <c r="CE174" i="3"/>
  <c r="CG174" i="3"/>
  <c r="CI174" i="3"/>
  <c r="CK174" i="3"/>
  <c r="CM174" i="3"/>
  <c r="CO174" i="3"/>
  <c r="CQ174" i="3"/>
  <c r="CS174" i="3"/>
  <c r="CU174" i="3"/>
  <c r="CW174" i="3"/>
  <c r="CY174" i="3"/>
  <c r="DA174" i="3"/>
  <c r="DC174" i="3"/>
  <c r="DE174" i="3"/>
  <c r="DG174" i="3"/>
  <c r="DI174" i="3"/>
  <c r="DK174" i="3"/>
  <c r="DM174" i="3"/>
  <c r="DO174" i="3"/>
  <c r="DQ174" i="3"/>
  <c r="DS174" i="3"/>
  <c r="DU174" i="3"/>
  <c r="DW174" i="3"/>
  <c r="DY174" i="3"/>
  <c r="EA174" i="3"/>
  <c r="EC174" i="3"/>
  <c r="EE174" i="3"/>
  <c r="EG174" i="3"/>
  <c r="EI174" i="3"/>
  <c r="L175" i="3"/>
  <c r="N175" i="3"/>
  <c r="P175" i="3"/>
  <c r="R175" i="3"/>
  <c r="T175" i="3"/>
  <c r="V175" i="3"/>
  <c r="X175" i="3"/>
  <c r="Z175" i="3"/>
  <c r="AB175" i="3"/>
  <c r="AD175" i="3"/>
  <c r="AF175" i="3"/>
  <c r="AH175" i="3"/>
  <c r="AJ175" i="3"/>
  <c r="AL175" i="3"/>
  <c r="AN175" i="3"/>
  <c r="AP175" i="3"/>
  <c r="AR175" i="3"/>
  <c r="AT175" i="3"/>
  <c r="AV175" i="3"/>
  <c r="AX175" i="3"/>
  <c r="AZ175" i="3"/>
  <c r="BB175" i="3"/>
  <c r="BD175" i="3"/>
  <c r="BF175" i="3"/>
  <c r="BH175" i="3"/>
  <c r="BJ175" i="3"/>
  <c r="BL175" i="3"/>
  <c r="BN175" i="3"/>
  <c r="BP175" i="3"/>
  <c r="BR175" i="3"/>
  <c r="BT175" i="3"/>
  <c r="BV175" i="3"/>
  <c r="BX175" i="3"/>
  <c r="BZ175" i="3"/>
  <c r="CB175" i="3"/>
  <c r="CD175" i="3"/>
  <c r="CF175" i="3"/>
  <c r="CH175" i="3"/>
  <c r="CJ175" i="3"/>
  <c r="CL175" i="3"/>
  <c r="CN175" i="3"/>
  <c r="CP175" i="3"/>
  <c r="CR175" i="3"/>
  <c r="CT175" i="3"/>
  <c r="CV175" i="3"/>
  <c r="CX175" i="3"/>
  <c r="CZ175" i="3"/>
  <c r="DB175" i="3"/>
  <c r="DD175" i="3"/>
  <c r="DF175" i="3"/>
  <c r="DH175" i="3"/>
  <c r="DJ175" i="3"/>
  <c r="DL175" i="3"/>
  <c r="DN175" i="3"/>
  <c r="DP175" i="3"/>
  <c r="DR175" i="3"/>
  <c r="DT175" i="3"/>
  <c r="DV175" i="3"/>
  <c r="DX175" i="3"/>
  <c r="DZ175" i="3"/>
  <c r="EB175" i="3"/>
  <c r="ED175" i="3"/>
  <c r="EF175" i="3"/>
  <c r="EH175" i="3"/>
  <c r="M176" i="3"/>
  <c r="O176" i="3"/>
  <c r="Q176" i="3"/>
  <c r="S176" i="3"/>
  <c r="U176" i="3"/>
  <c r="W176" i="3"/>
  <c r="Y176" i="3"/>
  <c r="AA176" i="3"/>
  <c r="AC176" i="3"/>
  <c r="AE176" i="3"/>
  <c r="AG176" i="3"/>
  <c r="AI176" i="3"/>
  <c r="AK176" i="3"/>
  <c r="AM176" i="3"/>
  <c r="AO176" i="3"/>
  <c r="AQ176" i="3"/>
  <c r="AS176" i="3"/>
  <c r="AU176" i="3"/>
  <c r="AW176" i="3"/>
  <c r="AY176" i="3"/>
  <c r="BA176" i="3"/>
  <c r="BC176" i="3"/>
  <c r="BE176" i="3"/>
  <c r="BG176" i="3"/>
  <c r="BI176" i="3"/>
  <c r="BK176" i="3"/>
  <c r="BM176" i="3"/>
  <c r="BO176" i="3"/>
  <c r="BQ176" i="3"/>
  <c r="BS176" i="3"/>
  <c r="BU176" i="3"/>
  <c r="BW176" i="3"/>
  <c r="BY176" i="3"/>
  <c r="CA176" i="3"/>
  <c r="CC176" i="3"/>
  <c r="CE176" i="3"/>
  <c r="CG176" i="3"/>
  <c r="CI176" i="3"/>
  <c r="CK176" i="3"/>
  <c r="CM176" i="3"/>
  <c r="CO176" i="3"/>
  <c r="CQ176" i="3"/>
  <c r="CS176" i="3"/>
  <c r="CU176" i="3"/>
  <c r="CW176" i="3"/>
  <c r="CY176" i="3"/>
  <c r="DA176" i="3"/>
  <c r="DC176" i="3"/>
  <c r="DE176" i="3"/>
  <c r="DG176" i="3"/>
  <c r="DI176" i="3"/>
  <c r="DK176" i="3"/>
  <c r="DM176" i="3"/>
  <c r="DO176" i="3"/>
  <c r="DQ176" i="3"/>
  <c r="DS176" i="3"/>
  <c r="DU176" i="3"/>
  <c r="DW176" i="3"/>
  <c r="DY176" i="3"/>
  <c r="EA176" i="3"/>
  <c r="EC176" i="3"/>
  <c r="EE176" i="3"/>
  <c r="EG176" i="3"/>
  <c r="EI176" i="3"/>
  <c r="N177" i="3"/>
  <c r="P177" i="3"/>
  <c r="R177" i="3"/>
  <c r="T177" i="3"/>
  <c r="V177" i="3"/>
  <c r="X177" i="3"/>
  <c r="Z177" i="3"/>
  <c r="AB177" i="3"/>
  <c r="AD177" i="3"/>
  <c r="AF177" i="3"/>
  <c r="AH177" i="3"/>
  <c r="AJ177" i="3"/>
  <c r="AL177" i="3"/>
  <c r="AN177" i="3"/>
  <c r="AP177" i="3"/>
  <c r="AR177" i="3"/>
  <c r="AT177" i="3"/>
  <c r="AV177" i="3"/>
  <c r="AX177" i="3"/>
  <c r="AZ177" i="3"/>
  <c r="BB177" i="3"/>
  <c r="BD177" i="3"/>
  <c r="BF177" i="3"/>
  <c r="BH177" i="3"/>
  <c r="BJ177" i="3"/>
  <c r="BL177" i="3"/>
  <c r="BN177" i="3"/>
  <c r="BP177" i="3"/>
  <c r="BR177" i="3"/>
  <c r="BT177" i="3"/>
  <c r="BV177" i="3"/>
  <c r="BX177" i="3"/>
  <c r="BZ177" i="3"/>
  <c r="CB177" i="3"/>
  <c r="CD177" i="3"/>
  <c r="CF177" i="3"/>
  <c r="CH177" i="3"/>
  <c r="CJ177" i="3"/>
  <c r="CL177" i="3"/>
  <c r="CN177" i="3"/>
  <c r="CP177" i="3"/>
  <c r="CR177" i="3"/>
  <c r="CT177" i="3"/>
  <c r="CV177" i="3"/>
  <c r="CX177" i="3"/>
  <c r="CZ177" i="3"/>
  <c r="DB177" i="3"/>
  <c r="DD177" i="3"/>
  <c r="DF177" i="3"/>
  <c r="DH177" i="3"/>
  <c r="DJ177" i="3"/>
  <c r="DL177" i="3"/>
  <c r="DN177" i="3"/>
  <c r="DP177" i="3"/>
  <c r="DR177" i="3"/>
  <c r="DT177" i="3"/>
  <c r="DV177" i="3"/>
  <c r="DX177" i="3"/>
  <c r="DZ177" i="3"/>
  <c r="EB177" i="3"/>
  <c r="ED177" i="3"/>
  <c r="EF177" i="3"/>
  <c r="EH177" i="3"/>
  <c r="N178" i="3"/>
  <c r="P178" i="3"/>
  <c r="R178" i="3"/>
  <c r="T178" i="3"/>
  <c r="V178" i="3"/>
  <c r="X178" i="3"/>
  <c r="Z178" i="3"/>
  <c r="AB178" i="3"/>
  <c r="AD178" i="3"/>
  <c r="AF178" i="3"/>
  <c r="AH178" i="3"/>
  <c r="AJ178" i="3"/>
  <c r="AL178" i="3"/>
  <c r="AN178" i="3"/>
  <c r="AP178" i="3"/>
  <c r="AR178" i="3"/>
  <c r="AT178" i="3"/>
  <c r="AV178" i="3"/>
  <c r="AX178" i="3"/>
  <c r="AZ178" i="3"/>
  <c r="BB178" i="3"/>
  <c r="BD178" i="3"/>
  <c r="BF178" i="3"/>
  <c r="BH178" i="3"/>
  <c r="BJ178" i="3"/>
  <c r="BL178" i="3"/>
  <c r="BN178" i="3"/>
  <c r="BP178" i="3"/>
  <c r="BR178" i="3"/>
  <c r="BT178" i="3"/>
  <c r="BV178" i="3"/>
  <c r="BX178" i="3"/>
  <c r="BZ178" i="3"/>
  <c r="CB178" i="3"/>
  <c r="CD178" i="3"/>
  <c r="CF178" i="3"/>
  <c r="CH178" i="3"/>
  <c r="CJ178" i="3"/>
  <c r="CL178" i="3"/>
  <c r="CN178" i="3"/>
  <c r="CP178" i="3"/>
  <c r="CR178" i="3"/>
  <c r="CT178" i="3"/>
  <c r="CV178" i="3"/>
  <c r="CX178" i="3"/>
  <c r="CZ178" i="3"/>
  <c r="DB178" i="3"/>
  <c r="DD178" i="3"/>
  <c r="DF178" i="3"/>
  <c r="DH178" i="3"/>
  <c r="DJ178" i="3"/>
  <c r="DL178" i="3"/>
  <c r="DN178" i="3"/>
  <c r="DP178" i="3"/>
  <c r="DR178" i="3"/>
  <c r="DT178" i="3"/>
  <c r="DV178" i="3"/>
  <c r="DX178" i="3"/>
  <c r="DZ178" i="3"/>
  <c r="EB178" i="3"/>
  <c r="ED178" i="3"/>
  <c r="EF178" i="3"/>
  <c r="EH178" i="3"/>
  <c r="K179" i="3"/>
  <c r="M179" i="3"/>
  <c r="O179" i="3"/>
  <c r="Q179" i="3"/>
  <c r="S179" i="3"/>
  <c r="U179" i="3"/>
  <c r="W179" i="3"/>
  <c r="Y179" i="3"/>
  <c r="AA179" i="3"/>
  <c r="AC179" i="3"/>
  <c r="AE179" i="3"/>
  <c r="AG179" i="3"/>
  <c r="AI179" i="3"/>
  <c r="AK179" i="3"/>
  <c r="AM179" i="3"/>
  <c r="AO179" i="3"/>
  <c r="AQ179" i="3"/>
  <c r="AS179" i="3"/>
  <c r="AU179" i="3"/>
  <c r="AW179" i="3"/>
  <c r="AY179" i="3"/>
  <c r="BA179" i="3"/>
  <c r="BC179" i="3"/>
  <c r="BE179" i="3"/>
  <c r="BG179" i="3"/>
  <c r="BI179" i="3"/>
  <c r="BK179" i="3"/>
  <c r="BM179" i="3"/>
  <c r="BO179" i="3"/>
  <c r="BQ179" i="3"/>
  <c r="BS179" i="3"/>
  <c r="BU179" i="3"/>
  <c r="BW179" i="3"/>
  <c r="BY179" i="3"/>
  <c r="CA179" i="3"/>
  <c r="CC179" i="3"/>
  <c r="CE179" i="3"/>
  <c r="CG179" i="3"/>
  <c r="CI179" i="3"/>
  <c r="CK179" i="3"/>
  <c r="CM179" i="3"/>
  <c r="CO179" i="3"/>
  <c r="CQ179" i="3"/>
  <c r="CS179" i="3"/>
  <c r="CU179" i="3"/>
  <c r="CW179" i="3"/>
  <c r="CY179" i="3"/>
  <c r="DA179" i="3"/>
  <c r="DC179" i="3"/>
  <c r="DE179" i="3"/>
  <c r="DG179" i="3"/>
  <c r="DI179" i="3"/>
  <c r="DK179" i="3"/>
  <c r="DM179" i="3"/>
  <c r="DO179" i="3"/>
  <c r="DQ179" i="3"/>
  <c r="DS179" i="3"/>
  <c r="DU179" i="3"/>
  <c r="DW179" i="3"/>
  <c r="DY179" i="3"/>
  <c r="EA179" i="3"/>
  <c r="EC179" i="3"/>
  <c r="EE179" i="3"/>
  <c r="EG179" i="3"/>
  <c r="EI179" i="3"/>
  <c r="L180" i="3"/>
  <c r="N180" i="3"/>
  <c r="P180" i="3"/>
  <c r="R180" i="3"/>
  <c r="T180" i="3"/>
  <c r="V180" i="3"/>
  <c r="X180" i="3"/>
  <c r="Z180" i="3"/>
  <c r="AB180" i="3"/>
  <c r="AD180" i="3"/>
  <c r="AF180" i="3"/>
  <c r="AH180" i="3"/>
  <c r="AJ180" i="3"/>
  <c r="AL180" i="3"/>
  <c r="AN180" i="3"/>
  <c r="AP180" i="3"/>
  <c r="AR180" i="3"/>
  <c r="AT180" i="3"/>
  <c r="AV180" i="3"/>
  <c r="AX180" i="3"/>
  <c r="AZ180" i="3"/>
  <c r="BB180" i="3"/>
  <c r="BD180" i="3"/>
  <c r="BF180" i="3"/>
  <c r="BH180" i="3"/>
  <c r="BJ180" i="3"/>
  <c r="BL180" i="3"/>
  <c r="BN180" i="3"/>
  <c r="BP180" i="3"/>
  <c r="BR180" i="3"/>
  <c r="BT180" i="3"/>
  <c r="BV180" i="3"/>
  <c r="BX180" i="3"/>
  <c r="BZ180" i="3"/>
  <c r="CB180" i="3"/>
  <c r="CD180" i="3"/>
  <c r="CF180" i="3"/>
  <c r="CH180" i="3"/>
  <c r="CJ180" i="3"/>
  <c r="CL180" i="3"/>
  <c r="CN180" i="3"/>
  <c r="CP180" i="3"/>
  <c r="CR180" i="3"/>
  <c r="CT180" i="3"/>
  <c r="CV180" i="3"/>
  <c r="CX180" i="3"/>
  <c r="CZ180" i="3"/>
  <c r="DB180" i="3"/>
  <c r="DD180" i="3"/>
  <c r="DF180" i="3"/>
  <c r="DH180" i="3"/>
  <c r="DJ180" i="3"/>
  <c r="DL180" i="3"/>
  <c r="DN180" i="3"/>
  <c r="DP180" i="3"/>
  <c r="DR180" i="3"/>
  <c r="DT180" i="3"/>
  <c r="DV180" i="3"/>
  <c r="DX180" i="3"/>
  <c r="DZ180" i="3"/>
  <c r="EB180" i="3"/>
  <c r="ED180" i="3"/>
  <c r="EF180" i="3"/>
  <c r="EH180" i="3"/>
  <c r="O181" i="3"/>
  <c r="Q181" i="3"/>
  <c r="S181" i="3"/>
  <c r="U181" i="3"/>
  <c r="W181" i="3"/>
  <c r="Y181" i="3"/>
  <c r="AA181" i="3"/>
  <c r="AC181" i="3"/>
  <c r="AE181" i="3"/>
  <c r="AG181" i="3"/>
  <c r="AI181" i="3"/>
  <c r="AK181" i="3"/>
  <c r="AM181" i="3"/>
  <c r="AO181" i="3"/>
  <c r="AQ181" i="3"/>
  <c r="AS181" i="3"/>
  <c r="AU181" i="3"/>
  <c r="AW181" i="3"/>
  <c r="AY181" i="3"/>
  <c r="BA181" i="3"/>
  <c r="BC181" i="3"/>
  <c r="BE181" i="3"/>
  <c r="BG181" i="3"/>
  <c r="BI181" i="3"/>
  <c r="BK181" i="3"/>
  <c r="BM181" i="3"/>
  <c r="BO181" i="3"/>
  <c r="BQ181" i="3"/>
  <c r="BS181" i="3"/>
  <c r="BU181" i="3"/>
  <c r="BW181" i="3"/>
  <c r="BY181" i="3"/>
  <c r="CA181" i="3"/>
  <c r="CC181" i="3"/>
  <c r="CE181" i="3"/>
  <c r="CG181" i="3"/>
  <c r="CI181" i="3"/>
  <c r="CK181" i="3"/>
  <c r="CM181" i="3"/>
  <c r="CO181" i="3"/>
  <c r="CQ181" i="3"/>
  <c r="CS181" i="3"/>
  <c r="CU181" i="3"/>
  <c r="CW181" i="3"/>
  <c r="CY181" i="3"/>
  <c r="DA181" i="3"/>
  <c r="DC181" i="3"/>
  <c r="DE181" i="3"/>
  <c r="DG181" i="3"/>
  <c r="DI181" i="3"/>
  <c r="DK181" i="3"/>
  <c r="DM181" i="3"/>
  <c r="DO181" i="3"/>
  <c r="DQ181" i="3"/>
  <c r="DS181" i="3"/>
  <c r="DU181" i="3"/>
  <c r="DW181" i="3"/>
  <c r="DY181" i="3"/>
  <c r="EA181" i="3"/>
  <c r="EC181" i="3"/>
  <c r="EE181" i="3"/>
  <c r="EG181" i="3"/>
  <c r="EI181" i="3"/>
  <c r="M182" i="3"/>
  <c r="O182" i="3"/>
  <c r="Q182" i="3"/>
  <c r="S182" i="3"/>
  <c r="U182" i="3"/>
  <c r="W182" i="3"/>
  <c r="Y182" i="3"/>
  <c r="AA182" i="3"/>
  <c r="AC182" i="3"/>
  <c r="AE182" i="3"/>
  <c r="AG182" i="3"/>
  <c r="AI182" i="3"/>
  <c r="AK182" i="3"/>
  <c r="AM182" i="3"/>
  <c r="AO182" i="3"/>
  <c r="AQ182" i="3"/>
  <c r="AS182" i="3"/>
  <c r="AU182" i="3"/>
  <c r="AW182" i="3"/>
  <c r="AY182" i="3"/>
  <c r="BA182" i="3"/>
  <c r="BC182" i="3"/>
  <c r="BE182" i="3"/>
  <c r="BG182" i="3"/>
  <c r="BI182" i="3"/>
  <c r="BK182" i="3"/>
  <c r="BM182" i="3"/>
  <c r="BO182" i="3"/>
  <c r="BQ182" i="3"/>
  <c r="BS182" i="3"/>
  <c r="BU182" i="3"/>
  <c r="BW182" i="3"/>
  <c r="BY182" i="3"/>
  <c r="CA182" i="3"/>
  <c r="CC182" i="3"/>
  <c r="CE182" i="3"/>
  <c r="CG182" i="3"/>
  <c r="CI182" i="3"/>
  <c r="CK182" i="3"/>
  <c r="CM182" i="3"/>
  <c r="CO182" i="3"/>
  <c r="CQ182" i="3"/>
  <c r="CS182" i="3"/>
  <c r="CU182" i="3"/>
  <c r="CW182" i="3"/>
  <c r="CY182" i="3"/>
  <c r="DA182" i="3"/>
  <c r="DC182" i="3"/>
  <c r="DE182" i="3"/>
  <c r="DG182" i="3"/>
  <c r="DI182" i="3"/>
  <c r="DK182" i="3"/>
  <c r="DM182" i="3"/>
  <c r="DO182" i="3"/>
  <c r="DQ182" i="3"/>
  <c r="DS182" i="3"/>
  <c r="DU182" i="3"/>
  <c r="DW182" i="3"/>
  <c r="DY182" i="3"/>
  <c r="EA182" i="3"/>
  <c r="EC182" i="3"/>
  <c r="EE182" i="3"/>
  <c r="EG182" i="3"/>
  <c r="EI182" i="3"/>
  <c r="L183" i="3"/>
  <c r="N183" i="3"/>
  <c r="P183" i="3"/>
  <c r="R183" i="3"/>
  <c r="T183" i="3"/>
  <c r="V183" i="3"/>
  <c r="X183" i="3"/>
  <c r="Z183" i="3"/>
  <c r="AB183" i="3"/>
  <c r="AD183" i="3"/>
  <c r="AF183" i="3"/>
  <c r="AH183" i="3"/>
  <c r="AJ183" i="3"/>
  <c r="AL183" i="3"/>
  <c r="AN183" i="3"/>
  <c r="AP183" i="3"/>
  <c r="AR183" i="3"/>
  <c r="AT183" i="3"/>
  <c r="AV183" i="3"/>
  <c r="AX183" i="3"/>
  <c r="AZ183" i="3"/>
  <c r="BB183" i="3"/>
  <c r="BD183" i="3"/>
  <c r="BF183" i="3"/>
  <c r="BH183" i="3"/>
  <c r="BJ183" i="3"/>
  <c r="BL183" i="3"/>
  <c r="BN183" i="3"/>
  <c r="BP183" i="3"/>
  <c r="BR183" i="3"/>
  <c r="BT183" i="3"/>
  <c r="BV183" i="3"/>
  <c r="BX183" i="3"/>
  <c r="BZ183" i="3"/>
  <c r="CB183" i="3"/>
  <c r="CD183" i="3"/>
  <c r="CF183" i="3"/>
  <c r="CH183" i="3"/>
  <c r="CJ183" i="3"/>
  <c r="CL183" i="3"/>
  <c r="CN183" i="3"/>
  <c r="CP183" i="3"/>
  <c r="CR183" i="3"/>
  <c r="CT183" i="3"/>
  <c r="CV183" i="3"/>
  <c r="CX183" i="3"/>
  <c r="CZ183" i="3"/>
  <c r="DB183" i="3"/>
  <c r="DD183" i="3"/>
  <c r="DF183" i="3"/>
  <c r="DH183" i="3"/>
  <c r="DJ183" i="3"/>
  <c r="DL183" i="3"/>
  <c r="DN183" i="3"/>
  <c r="DP183" i="3"/>
  <c r="DR183" i="3"/>
  <c r="DT183" i="3"/>
  <c r="DV183" i="3"/>
  <c r="DX183" i="3"/>
  <c r="DZ183" i="3"/>
  <c r="EB183" i="3"/>
  <c r="ED183" i="3"/>
  <c r="EF183" i="3"/>
  <c r="EH183" i="3"/>
  <c r="K184" i="3"/>
  <c r="M184" i="3"/>
  <c r="O184" i="3"/>
  <c r="Q184" i="3"/>
  <c r="S184" i="3"/>
  <c r="U184" i="3"/>
  <c r="W184" i="3"/>
  <c r="Y184" i="3"/>
  <c r="AA184" i="3"/>
  <c r="AC184" i="3"/>
  <c r="AE184" i="3"/>
  <c r="AG184" i="3"/>
  <c r="AI184" i="3"/>
  <c r="AK184" i="3"/>
  <c r="AM184" i="3"/>
  <c r="AO184" i="3"/>
  <c r="AQ184" i="3"/>
  <c r="AS184" i="3"/>
  <c r="AU184" i="3"/>
  <c r="AW184" i="3"/>
  <c r="AY184" i="3"/>
  <c r="BA184" i="3"/>
  <c r="BC184" i="3"/>
  <c r="BE184" i="3"/>
  <c r="BG184" i="3"/>
  <c r="BI184" i="3"/>
  <c r="BK184" i="3"/>
  <c r="BM184" i="3"/>
  <c r="BO184" i="3"/>
  <c r="BQ184" i="3"/>
  <c r="BS184" i="3"/>
  <c r="BU184" i="3"/>
  <c r="BW184" i="3"/>
  <c r="BY184" i="3"/>
  <c r="CA184" i="3"/>
  <c r="CC184" i="3"/>
  <c r="CE184" i="3"/>
  <c r="CG184" i="3"/>
  <c r="CI184" i="3"/>
  <c r="CK184" i="3"/>
  <c r="CM184" i="3"/>
  <c r="CO184" i="3"/>
  <c r="CQ184" i="3"/>
  <c r="CS184" i="3"/>
  <c r="CU184" i="3"/>
  <c r="CW184" i="3"/>
  <c r="CY184" i="3"/>
  <c r="DA184" i="3"/>
  <c r="DC184" i="3"/>
  <c r="DE184" i="3"/>
  <c r="DG184" i="3"/>
  <c r="DI184" i="3"/>
  <c r="DK184" i="3"/>
  <c r="DM184" i="3"/>
  <c r="DO184" i="3"/>
  <c r="DQ184" i="3"/>
  <c r="DS184" i="3"/>
  <c r="DU184" i="3"/>
  <c r="DW184" i="3"/>
  <c r="DY184" i="3"/>
  <c r="EA184" i="3"/>
  <c r="EC184" i="3"/>
  <c r="EE184" i="3"/>
  <c r="EG184" i="3"/>
  <c r="EI184" i="3"/>
  <c r="L185" i="3"/>
  <c r="N185" i="3"/>
  <c r="P185" i="3"/>
  <c r="R185" i="3"/>
  <c r="T185" i="3"/>
  <c r="V185" i="3"/>
  <c r="X185" i="3"/>
  <c r="Z185" i="3"/>
  <c r="AB185" i="3"/>
  <c r="AD185" i="3"/>
  <c r="AF185" i="3"/>
  <c r="AH185" i="3"/>
  <c r="AJ185" i="3"/>
  <c r="AL185" i="3"/>
  <c r="AN185" i="3"/>
  <c r="AP185" i="3"/>
  <c r="AR185" i="3"/>
  <c r="AT185" i="3"/>
  <c r="AV185" i="3"/>
  <c r="AX185" i="3"/>
  <c r="AZ185" i="3"/>
  <c r="BB185" i="3"/>
  <c r="BD185" i="3"/>
  <c r="BF185" i="3"/>
  <c r="BH185" i="3"/>
  <c r="BJ185" i="3"/>
  <c r="BL185" i="3"/>
  <c r="BN185" i="3"/>
  <c r="BP185" i="3"/>
  <c r="BR185" i="3"/>
  <c r="BT185" i="3"/>
  <c r="BV185" i="3"/>
  <c r="BX185" i="3"/>
  <c r="BZ185" i="3"/>
  <c r="CB185" i="3"/>
  <c r="CD185" i="3"/>
  <c r="CF185" i="3"/>
  <c r="CH185" i="3"/>
  <c r="CJ185" i="3"/>
  <c r="CL185" i="3"/>
  <c r="CN185" i="3"/>
  <c r="CP185" i="3"/>
  <c r="CR185" i="3"/>
  <c r="CT185" i="3"/>
  <c r="CV185" i="3"/>
  <c r="CX185" i="3"/>
  <c r="CZ185" i="3"/>
  <c r="DB185" i="3"/>
  <c r="DD185" i="3"/>
  <c r="DF185" i="3"/>
  <c r="DH185" i="3"/>
  <c r="DJ185" i="3"/>
  <c r="DL185" i="3"/>
  <c r="DN185" i="3"/>
  <c r="DP185" i="3"/>
  <c r="DR185" i="3"/>
  <c r="DT185" i="3"/>
  <c r="DV185" i="3"/>
  <c r="DX185" i="3"/>
  <c r="DZ185" i="3"/>
  <c r="EB185" i="3"/>
  <c r="ED185" i="3"/>
  <c r="EF185" i="3"/>
  <c r="EH185" i="3"/>
  <c r="AD186" i="3"/>
  <c r="AF186" i="3"/>
  <c r="AH186" i="3"/>
  <c r="AJ186" i="3"/>
  <c r="AL186" i="3"/>
  <c r="AN186" i="3"/>
  <c r="AP186" i="3"/>
  <c r="AR186" i="3"/>
  <c r="AT186" i="3"/>
  <c r="AV186" i="3"/>
  <c r="AX186" i="3"/>
  <c r="AZ186" i="3"/>
  <c r="BB186" i="3"/>
  <c r="BD186" i="3"/>
  <c r="BF186" i="3"/>
  <c r="BH186" i="3"/>
  <c r="BJ186" i="3"/>
  <c r="BL186" i="3"/>
  <c r="BN186" i="3"/>
  <c r="BP186" i="3"/>
  <c r="BR186" i="3"/>
  <c r="BT186" i="3"/>
  <c r="BV186" i="3"/>
  <c r="BX186" i="3"/>
  <c r="BZ186" i="3"/>
  <c r="CB186" i="3"/>
  <c r="CD186" i="3"/>
  <c r="CF186" i="3"/>
  <c r="CH186" i="3"/>
  <c r="CJ186" i="3"/>
  <c r="CL186" i="3"/>
  <c r="CN186" i="3"/>
  <c r="CP186" i="3"/>
  <c r="CR186" i="3"/>
  <c r="CT186" i="3"/>
  <c r="CV186" i="3"/>
  <c r="CX186" i="3"/>
  <c r="CZ186" i="3"/>
  <c r="DB186" i="3"/>
  <c r="DD186" i="3"/>
  <c r="DF186" i="3"/>
  <c r="DH186" i="3"/>
  <c r="DJ186" i="3"/>
  <c r="DL186" i="3"/>
  <c r="DN186" i="3"/>
  <c r="DP186" i="3"/>
  <c r="DR186" i="3"/>
  <c r="DT186" i="3"/>
  <c r="DV186" i="3"/>
  <c r="DX186" i="3"/>
  <c r="DZ186" i="3"/>
  <c r="EB186" i="3"/>
  <c r="ED186" i="3"/>
  <c r="EF186" i="3"/>
  <c r="EH186" i="3"/>
  <c r="L187" i="3"/>
  <c r="N187" i="3"/>
  <c r="P187" i="3"/>
  <c r="R187" i="3"/>
  <c r="T187" i="3"/>
  <c r="V187" i="3"/>
  <c r="X187" i="3"/>
  <c r="Z187" i="3"/>
  <c r="AB187" i="3"/>
  <c r="AD187" i="3"/>
  <c r="AF187" i="3"/>
  <c r="AH187" i="3"/>
  <c r="AJ187" i="3"/>
  <c r="AL187" i="3"/>
  <c r="AN187" i="3"/>
  <c r="AP187" i="3"/>
  <c r="AR187" i="3"/>
  <c r="AT187" i="3"/>
  <c r="AV187" i="3"/>
  <c r="AX187" i="3"/>
  <c r="AZ187" i="3"/>
  <c r="BB187" i="3"/>
  <c r="BD187" i="3"/>
  <c r="BF187" i="3"/>
  <c r="BH187" i="3"/>
  <c r="BJ187" i="3"/>
  <c r="BL187" i="3"/>
  <c r="BN187" i="3"/>
  <c r="BP187" i="3"/>
  <c r="BR187" i="3"/>
  <c r="BT187" i="3"/>
  <c r="BV187" i="3"/>
  <c r="BX187" i="3"/>
  <c r="BZ187" i="3"/>
  <c r="CB187" i="3"/>
  <c r="CD187" i="3"/>
  <c r="CF187" i="3"/>
  <c r="CH187" i="3"/>
  <c r="CJ187" i="3"/>
  <c r="CL187" i="3"/>
  <c r="CN187" i="3"/>
  <c r="CP187" i="3"/>
  <c r="CR187" i="3"/>
  <c r="CT187" i="3"/>
  <c r="CV187" i="3"/>
  <c r="CX187" i="3"/>
  <c r="CZ187" i="3"/>
  <c r="DB187" i="3"/>
  <c r="DD187" i="3"/>
  <c r="DF187" i="3"/>
  <c r="DH187" i="3"/>
  <c r="DJ187" i="3"/>
  <c r="DL187" i="3"/>
  <c r="DN187" i="3"/>
  <c r="DP187" i="3"/>
  <c r="DR187" i="3"/>
  <c r="DT187" i="3"/>
  <c r="DV187" i="3"/>
  <c r="DX187" i="3"/>
  <c r="DZ187" i="3"/>
  <c r="EB187" i="3"/>
  <c r="ED187" i="3"/>
  <c r="EF187" i="3"/>
  <c r="EH187" i="3"/>
  <c r="K188" i="3"/>
  <c r="M188" i="3"/>
  <c r="O188" i="3"/>
  <c r="Q188" i="3"/>
  <c r="S188" i="3"/>
  <c r="U188" i="3"/>
  <c r="W188" i="3"/>
  <c r="Y188" i="3"/>
  <c r="AA188" i="3"/>
  <c r="AC188" i="3"/>
  <c r="AE188" i="3"/>
  <c r="AG188" i="3"/>
  <c r="AI188" i="3"/>
  <c r="AK188" i="3"/>
  <c r="AM188" i="3"/>
  <c r="AO188" i="3"/>
  <c r="AQ188" i="3"/>
  <c r="AS188" i="3"/>
  <c r="AU188" i="3"/>
  <c r="AW188" i="3"/>
  <c r="AY188" i="3"/>
  <c r="BA188" i="3"/>
  <c r="BC188" i="3"/>
  <c r="BE188" i="3"/>
  <c r="BG188" i="3"/>
  <c r="BI188" i="3"/>
  <c r="BK188" i="3"/>
  <c r="BM188" i="3"/>
  <c r="BO188" i="3"/>
  <c r="BQ188" i="3"/>
  <c r="BS188" i="3"/>
  <c r="BU188" i="3"/>
  <c r="BW188" i="3"/>
  <c r="BY188" i="3"/>
  <c r="CA188" i="3"/>
  <c r="CC188" i="3"/>
  <c r="CE188" i="3"/>
  <c r="CG188" i="3"/>
  <c r="CI188" i="3"/>
  <c r="CK188" i="3"/>
  <c r="CM188" i="3"/>
  <c r="CO188" i="3"/>
  <c r="CQ188" i="3"/>
  <c r="CS188" i="3"/>
  <c r="CU188" i="3"/>
  <c r="CW188" i="3"/>
  <c r="CY188" i="3"/>
  <c r="DA188" i="3"/>
  <c r="DC188" i="3"/>
  <c r="DE188" i="3"/>
  <c r="DG188" i="3"/>
  <c r="DI188" i="3"/>
  <c r="DK188" i="3"/>
  <c r="DM188" i="3"/>
  <c r="DO188" i="3"/>
  <c r="DQ188" i="3"/>
  <c r="DS188" i="3"/>
  <c r="DU188" i="3"/>
  <c r="DW188" i="3"/>
  <c r="DY188" i="3"/>
  <c r="EA188" i="3"/>
  <c r="EC188" i="3"/>
  <c r="EE188" i="3"/>
  <c r="EG188" i="3"/>
  <c r="EI188" i="3"/>
  <c r="M189" i="3"/>
  <c r="O189" i="3"/>
  <c r="Q189" i="3"/>
  <c r="S189" i="3"/>
  <c r="U189" i="3"/>
  <c r="W189" i="3"/>
  <c r="Y189" i="3"/>
  <c r="AA189" i="3"/>
  <c r="AC189" i="3"/>
  <c r="AE189" i="3"/>
  <c r="AG189" i="3"/>
  <c r="AI189" i="3"/>
  <c r="AK189" i="3"/>
  <c r="AM189" i="3"/>
  <c r="AO189" i="3"/>
  <c r="AQ189" i="3"/>
  <c r="AS189" i="3"/>
  <c r="AU189" i="3"/>
  <c r="AW189" i="3"/>
  <c r="AY189" i="3"/>
  <c r="BA189" i="3"/>
  <c r="BC189" i="3"/>
  <c r="BE189" i="3"/>
  <c r="BG189" i="3"/>
  <c r="BI189" i="3"/>
  <c r="BK189" i="3"/>
  <c r="BM189" i="3"/>
  <c r="BO189" i="3"/>
  <c r="BQ189" i="3"/>
  <c r="BS189" i="3"/>
  <c r="BU189" i="3"/>
  <c r="BW189" i="3"/>
  <c r="BY189" i="3"/>
  <c r="CA189" i="3"/>
  <c r="CC189" i="3"/>
  <c r="CE189" i="3"/>
  <c r="CG189" i="3"/>
  <c r="CI189" i="3"/>
  <c r="CK189" i="3"/>
  <c r="CM189" i="3"/>
  <c r="CO189" i="3"/>
  <c r="CQ189" i="3"/>
  <c r="CS189" i="3"/>
  <c r="CU189" i="3"/>
  <c r="CW189" i="3"/>
  <c r="CY189" i="3"/>
  <c r="DA189" i="3"/>
  <c r="DC189" i="3"/>
  <c r="DE189" i="3"/>
  <c r="DG189" i="3"/>
  <c r="DI189" i="3"/>
  <c r="DK189" i="3"/>
  <c r="DM189" i="3"/>
  <c r="DO189" i="3"/>
  <c r="DQ189" i="3"/>
  <c r="DS189" i="3"/>
  <c r="DU189" i="3"/>
  <c r="DW189" i="3"/>
  <c r="DY189" i="3"/>
  <c r="EA189" i="3"/>
  <c r="EC189" i="3"/>
  <c r="EE189" i="3"/>
  <c r="EG189" i="3"/>
  <c r="EI189" i="3"/>
  <c r="P190" i="3"/>
  <c r="R190" i="3"/>
  <c r="T190" i="3"/>
  <c r="V190" i="3"/>
  <c r="X190" i="3"/>
  <c r="Z190" i="3"/>
  <c r="AB190" i="3"/>
  <c r="AD190" i="3"/>
  <c r="AF190" i="3"/>
  <c r="AH190" i="3"/>
  <c r="AJ190" i="3"/>
  <c r="AL190" i="3"/>
  <c r="AN190" i="3"/>
  <c r="AP190" i="3"/>
  <c r="AR190" i="3"/>
  <c r="AT190" i="3"/>
  <c r="AV190" i="3"/>
  <c r="AX190" i="3"/>
  <c r="AZ190" i="3"/>
  <c r="BB190" i="3"/>
  <c r="BD190" i="3"/>
  <c r="BF190" i="3"/>
  <c r="BH190" i="3"/>
  <c r="BJ190" i="3"/>
  <c r="BL190" i="3"/>
  <c r="BN190" i="3"/>
  <c r="BP190" i="3"/>
  <c r="BR190" i="3"/>
  <c r="BT190" i="3"/>
  <c r="BV190" i="3"/>
  <c r="BX190" i="3"/>
  <c r="BZ190" i="3"/>
  <c r="CB190" i="3"/>
  <c r="CD190" i="3"/>
  <c r="CF190" i="3"/>
  <c r="CH190" i="3"/>
  <c r="CJ190" i="3"/>
  <c r="CL190" i="3"/>
  <c r="CN190" i="3"/>
  <c r="CP190" i="3"/>
  <c r="CR190" i="3"/>
  <c r="CT190" i="3"/>
  <c r="CV190" i="3"/>
  <c r="CX190" i="3"/>
  <c r="CZ190" i="3"/>
  <c r="DB190" i="3"/>
  <c r="DD190" i="3"/>
  <c r="DF190" i="3"/>
  <c r="DH190" i="3"/>
  <c r="DJ190" i="3"/>
  <c r="DL190" i="3"/>
  <c r="DN190" i="3"/>
  <c r="DP190" i="3"/>
  <c r="DR190" i="3"/>
  <c r="DT190" i="3"/>
  <c r="DV190" i="3"/>
  <c r="DX190" i="3"/>
  <c r="DZ190" i="3"/>
  <c r="EB190" i="3"/>
  <c r="ED190" i="3"/>
  <c r="EF190" i="3"/>
  <c r="EH190" i="3"/>
  <c r="S191" i="3"/>
  <c r="U191" i="3"/>
  <c r="W191" i="3"/>
  <c r="Y191" i="3"/>
  <c r="AA191" i="3"/>
  <c r="AC191" i="3"/>
  <c r="AE191" i="3"/>
  <c r="AG191" i="3"/>
  <c r="AI191" i="3"/>
  <c r="AK191" i="3"/>
  <c r="AM191" i="3"/>
  <c r="AO191" i="3"/>
  <c r="AQ191" i="3"/>
  <c r="AS191" i="3"/>
  <c r="AU191" i="3"/>
  <c r="AW191" i="3"/>
  <c r="AY191" i="3"/>
  <c r="BA191" i="3"/>
  <c r="BC191" i="3"/>
  <c r="BE191" i="3"/>
  <c r="BG191" i="3"/>
  <c r="BI191" i="3"/>
  <c r="BK191" i="3"/>
  <c r="BM191" i="3"/>
  <c r="BO191" i="3"/>
  <c r="BQ191" i="3"/>
  <c r="BS191" i="3"/>
  <c r="BU191" i="3"/>
  <c r="BW191" i="3"/>
  <c r="BY191" i="3"/>
  <c r="CA191" i="3"/>
  <c r="CC191" i="3"/>
  <c r="CE191" i="3"/>
  <c r="CG191" i="3"/>
  <c r="CI191" i="3"/>
  <c r="CK191" i="3"/>
  <c r="CM191" i="3"/>
  <c r="CO191" i="3"/>
  <c r="CQ191" i="3"/>
  <c r="CS191" i="3"/>
  <c r="CU191" i="3"/>
  <c r="CW191" i="3"/>
  <c r="CY191" i="3"/>
  <c r="DA191" i="3"/>
  <c r="DC191" i="3"/>
  <c r="DE191" i="3"/>
  <c r="DG191" i="3"/>
  <c r="DI191" i="3"/>
  <c r="DK191" i="3"/>
  <c r="DM191" i="3"/>
  <c r="DO191" i="3"/>
  <c r="DQ191" i="3"/>
  <c r="DS191" i="3"/>
  <c r="DU191" i="3"/>
  <c r="DW191" i="3"/>
  <c r="DY191" i="3"/>
  <c r="EA191" i="3"/>
  <c r="EC191" i="3"/>
  <c r="EE191" i="3"/>
  <c r="EG191" i="3"/>
  <c r="EI191" i="3"/>
  <c r="P192" i="3"/>
  <c r="R192" i="3"/>
  <c r="T192" i="3"/>
  <c r="V192" i="3"/>
  <c r="X192" i="3"/>
  <c r="Z192" i="3"/>
  <c r="AB192" i="3"/>
  <c r="AD192" i="3"/>
  <c r="AF192" i="3"/>
  <c r="AH192" i="3"/>
  <c r="AJ192" i="3"/>
  <c r="AL192" i="3"/>
  <c r="AN192" i="3"/>
  <c r="AP192" i="3"/>
  <c r="AR192" i="3"/>
  <c r="AT192" i="3"/>
  <c r="AV192" i="3"/>
  <c r="AX192" i="3"/>
  <c r="AZ192" i="3"/>
  <c r="BB192" i="3"/>
  <c r="BD192" i="3"/>
  <c r="BF192" i="3"/>
  <c r="BH192" i="3"/>
  <c r="BJ192" i="3"/>
  <c r="BL192" i="3"/>
  <c r="BN192" i="3"/>
  <c r="BP192" i="3"/>
  <c r="BR192" i="3"/>
  <c r="BT192" i="3"/>
  <c r="BV192" i="3"/>
  <c r="BX192" i="3"/>
  <c r="BZ192" i="3"/>
  <c r="CB192" i="3"/>
  <c r="CD192" i="3"/>
  <c r="CF192" i="3"/>
  <c r="CH192" i="3"/>
  <c r="CJ192" i="3"/>
  <c r="CL192" i="3"/>
  <c r="CN192" i="3"/>
  <c r="CP192" i="3"/>
  <c r="CR192" i="3"/>
  <c r="CT192" i="3"/>
  <c r="CV192" i="3"/>
  <c r="CX192" i="3"/>
  <c r="CZ192" i="3"/>
  <c r="DB192" i="3"/>
  <c r="DD192" i="3"/>
  <c r="DF192" i="3"/>
  <c r="DH192" i="3"/>
  <c r="DJ192" i="3"/>
  <c r="DL192" i="3"/>
  <c r="DN192" i="3"/>
  <c r="DP192" i="3"/>
  <c r="DR192" i="3"/>
  <c r="DT192" i="3"/>
  <c r="DV192" i="3"/>
  <c r="DX192" i="3"/>
  <c r="DZ192" i="3"/>
  <c r="EB192" i="3"/>
  <c r="ED192" i="3"/>
  <c r="EF192" i="3"/>
  <c r="EH192" i="3"/>
  <c r="K193" i="3"/>
  <c r="M193" i="3"/>
  <c r="O193" i="3"/>
  <c r="Q193" i="3"/>
  <c r="S193" i="3"/>
  <c r="U193" i="3"/>
  <c r="W193" i="3"/>
  <c r="Y193" i="3"/>
  <c r="AA193" i="3"/>
  <c r="AC193" i="3"/>
  <c r="AE193" i="3"/>
  <c r="AG193" i="3"/>
  <c r="AI193" i="3"/>
  <c r="AK193" i="3"/>
  <c r="AM193" i="3"/>
  <c r="AO193" i="3"/>
  <c r="AQ193" i="3"/>
  <c r="AS193" i="3"/>
  <c r="AU193" i="3"/>
  <c r="AW193" i="3"/>
  <c r="AY193" i="3"/>
  <c r="BA193" i="3"/>
  <c r="BC193" i="3"/>
  <c r="BE193" i="3"/>
  <c r="BG193" i="3"/>
  <c r="BI193" i="3"/>
  <c r="BK193" i="3"/>
  <c r="BM193" i="3"/>
  <c r="BO193" i="3"/>
  <c r="BQ193" i="3"/>
  <c r="BS193" i="3"/>
  <c r="BU193" i="3"/>
  <c r="BW193" i="3"/>
  <c r="BY193" i="3"/>
  <c r="CA193" i="3"/>
  <c r="CC193" i="3"/>
  <c r="CE193" i="3"/>
  <c r="CG193" i="3"/>
  <c r="CI193" i="3"/>
  <c r="CK193" i="3"/>
  <c r="CM193" i="3"/>
  <c r="CO193" i="3"/>
  <c r="CQ193" i="3"/>
  <c r="CS193" i="3"/>
  <c r="CU193" i="3"/>
  <c r="CW193" i="3"/>
  <c r="CY193" i="3"/>
  <c r="DA193" i="3"/>
  <c r="DC193" i="3"/>
  <c r="DE193" i="3"/>
  <c r="DG193" i="3"/>
  <c r="DI193" i="3"/>
  <c r="DK193" i="3"/>
  <c r="DM193" i="3"/>
  <c r="DO193" i="3"/>
  <c r="DQ193" i="3"/>
  <c r="DS193" i="3"/>
  <c r="DU193" i="3"/>
  <c r="DW193" i="3"/>
  <c r="DY193" i="3"/>
  <c r="EA193" i="3"/>
  <c r="EC193" i="3"/>
  <c r="EE193" i="3"/>
  <c r="EG193" i="3"/>
  <c r="EI193" i="3"/>
  <c r="N194" i="3"/>
  <c r="P194" i="3"/>
  <c r="R194" i="3"/>
  <c r="T194" i="3"/>
  <c r="V194" i="3"/>
  <c r="X194" i="3"/>
  <c r="Z194" i="3"/>
  <c r="AB194" i="3"/>
  <c r="AD194" i="3"/>
  <c r="AF194" i="3"/>
  <c r="AH194" i="3"/>
  <c r="AJ194" i="3"/>
  <c r="AL194" i="3"/>
  <c r="AN194" i="3"/>
  <c r="AP194" i="3"/>
  <c r="AR194" i="3"/>
  <c r="AT194" i="3"/>
  <c r="AV194" i="3"/>
  <c r="AX194" i="3"/>
  <c r="AZ194" i="3"/>
  <c r="BB194" i="3"/>
  <c r="BD194" i="3"/>
  <c r="BF194" i="3"/>
  <c r="BH194" i="3"/>
  <c r="BJ194" i="3"/>
  <c r="BL194" i="3"/>
  <c r="BN194" i="3"/>
  <c r="BP194" i="3"/>
  <c r="BR194" i="3"/>
  <c r="BT194" i="3"/>
  <c r="BV194" i="3"/>
  <c r="BX194" i="3"/>
  <c r="BZ194" i="3"/>
  <c r="CB194" i="3"/>
  <c r="CD194" i="3"/>
  <c r="CF194" i="3"/>
  <c r="CH194" i="3"/>
  <c r="CJ194" i="3"/>
  <c r="CL194" i="3"/>
  <c r="CN194" i="3"/>
  <c r="CP194" i="3"/>
  <c r="CR194" i="3"/>
  <c r="CT194" i="3"/>
  <c r="CV194" i="3"/>
  <c r="CX194" i="3"/>
  <c r="CZ194" i="3"/>
  <c r="DB194" i="3"/>
  <c r="DD194" i="3"/>
  <c r="DF194" i="3"/>
  <c r="DH194" i="3"/>
  <c r="DJ194" i="3"/>
  <c r="DL194" i="3"/>
  <c r="DN194" i="3"/>
  <c r="DP194" i="3"/>
  <c r="DR194" i="3"/>
  <c r="DT194" i="3"/>
  <c r="DV194" i="3"/>
  <c r="DX194" i="3"/>
  <c r="DZ194" i="3"/>
  <c r="EB194" i="3"/>
  <c r="ED194" i="3"/>
  <c r="EF194" i="3"/>
  <c r="EH194" i="3"/>
  <c r="P195" i="3"/>
  <c r="R195" i="3"/>
  <c r="T195" i="3"/>
  <c r="V195" i="3"/>
  <c r="X195" i="3"/>
  <c r="Z195" i="3"/>
  <c r="AB195" i="3"/>
  <c r="AD195" i="3"/>
  <c r="AF195" i="3"/>
  <c r="AH195" i="3"/>
  <c r="AJ195" i="3"/>
  <c r="AL195" i="3"/>
  <c r="AN195" i="3"/>
  <c r="AP195" i="3"/>
  <c r="AR195" i="3"/>
  <c r="AT195" i="3"/>
  <c r="AV195" i="3"/>
  <c r="AX195" i="3"/>
  <c r="AZ195" i="3"/>
  <c r="BB195" i="3"/>
  <c r="BD195" i="3"/>
  <c r="BF195" i="3"/>
  <c r="BH195" i="3"/>
  <c r="BJ195" i="3"/>
  <c r="BL195" i="3"/>
  <c r="BN195" i="3"/>
  <c r="BP195" i="3"/>
  <c r="BR195" i="3"/>
  <c r="BT195" i="3"/>
  <c r="BV195" i="3"/>
  <c r="BX195" i="3"/>
  <c r="BZ195" i="3"/>
  <c r="CB195" i="3"/>
  <c r="CD195" i="3"/>
  <c r="CF195" i="3"/>
  <c r="CH195" i="3"/>
  <c r="CJ195" i="3"/>
  <c r="CL195" i="3"/>
  <c r="CN195" i="3"/>
  <c r="CP195" i="3"/>
  <c r="CR195" i="3"/>
  <c r="CT195" i="3"/>
  <c r="CV195" i="3"/>
  <c r="CX195" i="3"/>
  <c r="CZ195" i="3"/>
  <c r="DB195" i="3"/>
  <c r="DD195" i="3"/>
  <c r="DF195" i="3"/>
  <c r="DH195" i="3"/>
  <c r="DJ195" i="3"/>
  <c r="DL195" i="3"/>
  <c r="DN195" i="3"/>
  <c r="DP195" i="3"/>
  <c r="DR195" i="3"/>
  <c r="DT195" i="3"/>
  <c r="DV195" i="3"/>
  <c r="DX195" i="3"/>
  <c r="DZ195" i="3"/>
  <c r="EB195" i="3"/>
  <c r="ED195" i="3"/>
  <c r="EF195" i="3"/>
  <c r="EH195" i="3"/>
  <c r="AH196" i="3"/>
  <c r="AJ196" i="3"/>
  <c r="AL196" i="3"/>
  <c r="AN196" i="3"/>
  <c r="AP196" i="3"/>
  <c r="AR196" i="3"/>
  <c r="AT196" i="3"/>
  <c r="AV196" i="3"/>
  <c r="AX196" i="3"/>
  <c r="AZ196" i="3"/>
  <c r="BB196" i="3"/>
  <c r="BD196" i="3"/>
  <c r="BF196" i="3"/>
  <c r="BH196" i="3"/>
  <c r="BJ196" i="3"/>
  <c r="BL196" i="3"/>
  <c r="BN196" i="3"/>
  <c r="BP196" i="3"/>
  <c r="BR196" i="3"/>
  <c r="BT196" i="3"/>
  <c r="BV196" i="3"/>
  <c r="BX196" i="3"/>
  <c r="BZ196" i="3"/>
  <c r="CB196" i="3"/>
  <c r="CD196" i="3"/>
  <c r="CF196" i="3"/>
  <c r="CH196" i="3"/>
  <c r="CJ196" i="3"/>
  <c r="CL196" i="3"/>
  <c r="CN196" i="3"/>
  <c r="CP196" i="3"/>
  <c r="CR196" i="3"/>
  <c r="CT196" i="3"/>
  <c r="CV196" i="3"/>
  <c r="CX196" i="3"/>
  <c r="CZ196" i="3"/>
  <c r="DB196" i="3"/>
  <c r="DD196" i="3"/>
  <c r="DF196" i="3"/>
  <c r="DH196" i="3"/>
  <c r="DJ196" i="3"/>
  <c r="DL196" i="3"/>
  <c r="DN196" i="3"/>
  <c r="DP196" i="3"/>
  <c r="DR196" i="3"/>
  <c r="DT196" i="3"/>
  <c r="DV196" i="3"/>
  <c r="DX196" i="3"/>
  <c r="DZ196" i="3"/>
  <c r="EB196" i="3"/>
  <c r="ED196" i="3"/>
  <c r="EF196" i="3"/>
  <c r="EH196" i="3"/>
  <c r="AU197" i="3"/>
  <c r="AW197" i="3"/>
  <c r="AY197" i="3"/>
  <c r="BA197" i="3"/>
  <c r="BC197" i="3"/>
  <c r="BE197" i="3"/>
  <c r="BG197" i="3"/>
  <c r="BI197" i="3"/>
  <c r="BK197" i="3"/>
  <c r="BM197" i="3"/>
  <c r="BO197" i="3"/>
  <c r="BQ197" i="3"/>
  <c r="BS197" i="3"/>
  <c r="BU197" i="3"/>
  <c r="BW197" i="3"/>
  <c r="BY197" i="3"/>
  <c r="CA197" i="3"/>
  <c r="CC197" i="3"/>
  <c r="CE197" i="3"/>
  <c r="CG197" i="3"/>
  <c r="CI197" i="3"/>
  <c r="CK197" i="3"/>
  <c r="CM197" i="3"/>
  <c r="CO197" i="3"/>
  <c r="CQ197" i="3"/>
  <c r="CS197" i="3"/>
  <c r="CU197" i="3"/>
  <c r="CW197" i="3"/>
  <c r="CY197" i="3"/>
  <c r="DA197" i="3"/>
  <c r="DC197" i="3"/>
  <c r="DE197" i="3"/>
  <c r="DG197" i="3"/>
  <c r="DI197" i="3"/>
  <c r="DK197" i="3"/>
  <c r="DM197" i="3"/>
  <c r="DO197" i="3"/>
  <c r="DQ197" i="3"/>
  <c r="DS197" i="3"/>
  <c r="DU197" i="3"/>
  <c r="DW197" i="3"/>
  <c r="DY197" i="3"/>
  <c r="EA197" i="3"/>
  <c r="EC197" i="3"/>
  <c r="EE197" i="3"/>
  <c r="EG197" i="3"/>
  <c r="EI197" i="3"/>
  <c r="L198" i="3"/>
  <c r="N198" i="3"/>
  <c r="P198" i="3"/>
  <c r="R198" i="3"/>
  <c r="T198" i="3"/>
  <c r="V198" i="3"/>
  <c r="X198" i="3"/>
  <c r="Z198" i="3"/>
  <c r="AB198" i="3"/>
  <c r="AD198" i="3"/>
  <c r="AF198" i="3"/>
  <c r="AH198" i="3"/>
  <c r="AJ198" i="3"/>
  <c r="AL198" i="3"/>
  <c r="AN198" i="3"/>
  <c r="AP198" i="3"/>
  <c r="AR198" i="3"/>
  <c r="AT198" i="3"/>
  <c r="AV198" i="3"/>
  <c r="AX198" i="3"/>
  <c r="AZ198" i="3"/>
  <c r="BB198" i="3"/>
  <c r="BD198" i="3"/>
  <c r="BF198" i="3"/>
  <c r="BH198" i="3"/>
  <c r="BJ198" i="3"/>
  <c r="BL198" i="3"/>
  <c r="BN198" i="3"/>
  <c r="BP198" i="3"/>
  <c r="BR198" i="3"/>
  <c r="BT198" i="3"/>
  <c r="BV198" i="3"/>
  <c r="BX198" i="3"/>
  <c r="BZ198" i="3"/>
  <c r="CB198" i="3"/>
  <c r="CD198" i="3"/>
  <c r="CF198" i="3"/>
  <c r="CH198" i="3"/>
  <c r="CJ198" i="3"/>
  <c r="CL198" i="3"/>
  <c r="CN198" i="3"/>
  <c r="CP198" i="3"/>
  <c r="CR198" i="3"/>
  <c r="CT198" i="3"/>
  <c r="CV198" i="3"/>
  <c r="CX198" i="3"/>
  <c r="CZ198" i="3"/>
  <c r="DB198" i="3"/>
  <c r="DD198" i="3"/>
  <c r="DF198" i="3"/>
  <c r="DH198" i="3"/>
  <c r="DJ198" i="3"/>
  <c r="DL198" i="3"/>
  <c r="DN198" i="3"/>
  <c r="DP198" i="3"/>
  <c r="DR198" i="3"/>
  <c r="DT198" i="3"/>
  <c r="DV198" i="3"/>
  <c r="DX198" i="3"/>
  <c r="DZ198" i="3"/>
  <c r="EB198" i="3"/>
  <c r="ED198" i="3"/>
  <c r="EF198" i="3"/>
  <c r="EH198" i="3"/>
  <c r="K199" i="3"/>
  <c r="M199" i="3"/>
  <c r="O199" i="3"/>
  <c r="Q199" i="3"/>
  <c r="S199" i="3"/>
  <c r="U199" i="3"/>
  <c r="W199" i="3"/>
  <c r="Y199" i="3"/>
  <c r="AA199" i="3"/>
  <c r="AC199" i="3"/>
  <c r="AE199" i="3"/>
  <c r="AG199" i="3"/>
  <c r="AI199" i="3"/>
  <c r="AK199" i="3"/>
  <c r="AM199" i="3"/>
  <c r="AO199" i="3"/>
  <c r="AQ199" i="3"/>
  <c r="AS199" i="3"/>
  <c r="AU199" i="3"/>
  <c r="AW199" i="3"/>
  <c r="AY199" i="3"/>
  <c r="BA199" i="3"/>
  <c r="BC199" i="3"/>
  <c r="BE199" i="3"/>
  <c r="BG199" i="3"/>
  <c r="BI199" i="3"/>
  <c r="BK199" i="3"/>
  <c r="BM199" i="3"/>
  <c r="BO199" i="3"/>
  <c r="BQ199" i="3"/>
  <c r="BS199" i="3"/>
  <c r="BU199" i="3"/>
  <c r="BW199" i="3"/>
  <c r="BY199" i="3"/>
  <c r="CA199" i="3"/>
  <c r="CC199" i="3"/>
  <c r="CE199" i="3"/>
  <c r="CG199" i="3"/>
  <c r="CI199" i="3"/>
  <c r="CK199" i="3"/>
  <c r="CM199" i="3"/>
  <c r="CO199" i="3"/>
  <c r="CQ199" i="3"/>
  <c r="CS199" i="3"/>
  <c r="CU199" i="3"/>
  <c r="CW199" i="3"/>
  <c r="CY199" i="3"/>
  <c r="DA199" i="3"/>
  <c r="DC199" i="3"/>
  <c r="DE199" i="3"/>
  <c r="DG199" i="3"/>
  <c r="DI199" i="3"/>
  <c r="DK199" i="3"/>
  <c r="DM199" i="3"/>
  <c r="DO199" i="3"/>
  <c r="DQ199" i="3"/>
  <c r="DS199" i="3"/>
  <c r="DU199" i="3"/>
  <c r="DW199" i="3"/>
  <c r="DY199" i="3"/>
  <c r="EA199" i="3"/>
  <c r="EC199" i="3"/>
  <c r="EE199" i="3"/>
  <c r="EG199" i="3"/>
  <c r="EI199" i="3"/>
  <c r="AC200" i="3"/>
  <c r="AE200" i="3"/>
  <c r="AG200" i="3"/>
  <c r="AI200" i="3"/>
  <c r="AK200" i="3"/>
  <c r="AM200" i="3"/>
  <c r="AO200" i="3"/>
  <c r="AQ200" i="3"/>
  <c r="AS200" i="3"/>
  <c r="AU200" i="3"/>
  <c r="AW200" i="3"/>
  <c r="AY200" i="3"/>
  <c r="BA200" i="3"/>
  <c r="BC200" i="3"/>
  <c r="BE200" i="3"/>
  <c r="BG200" i="3"/>
  <c r="BI200" i="3"/>
  <c r="BK200" i="3"/>
  <c r="BM200" i="3"/>
  <c r="BO200" i="3"/>
  <c r="BQ200" i="3"/>
  <c r="BS200" i="3"/>
  <c r="BU200" i="3"/>
  <c r="BW200" i="3"/>
  <c r="BY200" i="3"/>
  <c r="CA200" i="3"/>
  <c r="CC200" i="3"/>
  <c r="CE200" i="3"/>
  <c r="CG200" i="3"/>
  <c r="CI200" i="3"/>
  <c r="CK200" i="3"/>
  <c r="CM200" i="3"/>
  <c r="CO200" i="3"/>
  <c r="CQ200" i="3"/>
  <c r="CS200" i="3"/>
  <c r="CU200" i="3"/>
  <c r="CW200" i="3"/>
  <c r="CY200" i="3"/>
  <c r="DA200" i="3"/>
  <c r="DC200" i="3"/>
  <c r="DE200" i="3"/>
  <c r="DG200" i="3"/>
  <c r="DI200" i="3"/>
  <c r="DK200" i="3"/>
  <c r="DM200" i="3"/>
  <c r="DO200" i="3"/>
  <c r="DQ200" i="3"/>
  <c r="DS200" i="3"/>
  <c r="DU200" i="3"/>
  <c r="DW200" i="3"/>
  <c r="DY200" i="3"/>
  <c r="EA200" i="3"/>
  <c r="EC200" i="3"/>
  <c r="EE200" i="3"/>
  <c r="EG200" i="3"/>
  <c r="EI200" i="3"/>
  <c r="O201" i="3"/>
  <c r="Q201" i="3"/>
  <c r="S201" i="3"/>
  <c r="U201" i="3"/>
  <c r="W201" i="3"/>
  <c r="Y201" i="3"/>
  <c r="AA201" i="3"/>
  <c r="AC201" i="3"/>
  <c r="AE201" i="3"/>
  <c r="AG201" i="3"/>
  <c r="AI201" i="3"/>
  <c r="AK201" i="3"/>
  <c r="AM201" i="3"/>
  <c r="AO201" i="3"/>
  <c r="AQ201" i="3"/>
  <c r="AS201" i="3"/>
  <c r="AU201" i="3"/>
  <c r="AW201" i="3"/>
  <c r="AY201" i="3"/>
  <c r="BA201" i="3"/>
  <c r="BC201" i="3"/>
  <c r="BE201" i="3"/>
  <c r="BG201" i="3"/>
  <c r="BI201" i="3"/>
  <c r="BK201" i="3"/>
  <c r="BM201" i="3"/>
  <c r="BO201" i="3"/>
  <c r="BQ201" i="3"/>
  <c r="BS201" i="3"/>
  <c r="BU201" i="3"/>
  <c r="BW201" i="3"/>
  <c r="BY201" i="3"/>
  <c r="CA201" i="3"/>
  <c r="CC201" i="3"/>
  <c r="CE201" i="3"/>
  <c r="CG201" i="3"/>
  <c r="CI201" i="3"/>
  <c r="CK201" i="3"/>
  <c r="CM201" i="3"/>
  <c r="CO201" i="3"/>
  <c r="CQ201" i="3"/>
  <c r="CS201" i="3"/>
  <c r="CU201" i="3"/>
  <c r="CW201" i="3"/>
  <c r="CY201" i="3"/>
  <c r="DA201" i="3"/>
  <c r="DC201" i="3"/>
  <c r="DE201" i="3"/>
  <c r="DG201" i="3"/>
  <c r="DI201" i="3"/>
  <c r="DK201" i="3"/>
  <c r="DM201" i="3"/>
  <c r="DO201" i="3"/>
  <c r="DQ201" i="3"/>
  <c r="DS201" i="3"/>
  <c r="DU201" i="3"/>
  <c r="DW201" i="3"/>
  <c r="DY201" i="3"/>
  <c r="EA201" i="3"/>
  <c r="EC201" i="3"/>
  <c r="EE201" i="3"/>
  <c r="EG201" i="3"/>
  <c r="EI201" i="3"/>
  <c r="L202" i="3"/>
  <c r="N202" i="3"/>
  <c r="P202" i="3"/>
  <c r="R202" i="3"/>
  <c r="T202" i="3"/>
  <c r="V202" i="3"/>
  <c r="X202" i="3"/>
  <c r="Z202" i="3"/>
  <c r="AB202" i="3"/>
  <c r="AD202" i="3"/>
  <c r="AF202" i="3"/>
  <c r="AH202" i="3"/>
  <c r="AJ202" i="3"/>
  <c r="AL202" i="3"/>
  <c r="AN202" i="3"/>
  <c r="AP202" i="3"/>
  <c r="AR202" i="3"/>
  <c r="AT202" i="3"/>
  <c r="AV202" i="3"/>
  <c r="AX202" i="3"/>
  <c r="AZ202" i="3"/>
  <c r="BB202" i="3"/>
  <c r="BD202" i="3"/>
  <c r="BF202" i="3"/>
  <c r="BH202" i="3"/>
  <c r="BJ202" i="3"/>
  <c r="BL202" i="3"/>
  <c r="BN202" i="3"/>
  <c r="BP202" i="3"/>
  <c r="BR202" i="3"/>
  <c r="BT202" i="3"/>
  <c r="BV202" i="3"/>
  <c r="BX202" i="3"/>
  <c r="BZ202" i="3"/>
  <c r="CB202" i="3"/>
  <c r="CD202" i="3"/>
  <c r="CF202" i="3"/>
  <c r="CH202" i="3"/>
  <c r="CJ202" i="3"/>
  <c r="CL202" i="3"/>
  <c r="CN202" i="3"/>
  <c r="CP202" i="3"/>
  <c r="CR202" i="3"/>
  <c r="CT202" i="3"/>
  <c r="CV202" i="3"/>
  <c r="CX202" i="3"/>
  <c r="CZ202" i="3"/>
  <c r="DB202" i="3"/>
  <c r="DD202" i="3"/>
  <c r="DF202" i="3"/>
  <c r="DH202" i="3"/>
  <c r="DJ202" i="3"/>
  <c r="DL202" i="3"/>
  <c r="DN202" i="3"/>
  <c r="DP202" i="3"/>
  <c r="DR202" i="3"/>
  <c r="DT202" i="3"/>
  <c r="DV202" i="3"/>
  <c r="DX202" i="3"/>
  <c r="DZ202" i="3"/>
  <c r="EB202" i="3"/>
  <c r="ED202" i="3"/>
  <c r="EF202" i="3"/>
  <c r="EH202" i="3"/>
  <c r="EI3" i="3"/>
  <c r="N3" i="3"/>
  <c r="P3" i="3"/>
  <c r="R3" i="3"/>
  <c r="T3" i="3"/>
  <c r="V3" i="3"/>
  <c r="X3" i="3"/>
  <c r="Z3" i="3"/>
  <c r="AB3" i="3"/>
  <c r="AD3" i="3"/>
  <c r="AF3" i="3"/>
  <c r="AH3" i="3"/>
  <c r="AJ3" i="3"/>
  <c r="AL3" i="3"/>
  <c r="AN3" i="3"/>
  <c r="AP3" i="3"/>
  <c r="AR3" i="3"/>
  <c r="AT3" i="3"/>
  <c r="AV3" i="3"/>
  <c r="AX3" i="3"/>
  <c r="AZ3" i="3"/>
  <c r="BB3" i="3"/>
  <c r="BD3" i="3"/>
  <c r="BF3" i="3"/>
  <c r="BH3" i="3"/>
  <c r="BJ3" i="3"/>
  <c r="BL3" i="3"/>
  <c r="BN3" i="3"/>
  <c r="BP3" i="3"/>
  <c r="BR3" i="3"/>
  <c r="BT3" i="3"/>
  <c r="BV3" i="3"/>
  <c r="BX3" i="3"/>
  <c r="BZ3" i="3"/>
  <c r="CB3" i="3"/>
  <c r="CD3" i="3"/>
  <c r="CF3" i="3"/>
  <c r="CH3" i="3"/>
  <c r="CJ3" i="3"/>
  <c r="CL3" i="3"/>
  <c r="CN3" i="3"/>
  <c r="CP3" i="3"/>
  <c r="CR3" i="3"/>
  <c r="CT3" i="3"/>
  <c r="CV3" i="3"/>
  <c r="CX3" i="3"/>
  <c r="CZ3" i="3"/>
  <c r="DB3" i="3"/>
  <c r="DD3" i="3"/>
  <c r="DF3" i="3"/>
  <c r="DH3" i="3"/>
  <c r="DJ3" i="3"/>
  <c r="DL3" i="3"/>
  <c r="DN3" i="3"/>
  <c r="DP3" i="3"/>
  <c r="DR3" i="3"/>
  <c r="DT3" i="3"/>
  <c r="DV3" i="3"/>
  <c r="DX3" i="3"/>
  <c r="DZ3" i="3"/>
  <c r="EB3" i="3"/>
  <c r="ED3" i="3"/>
  <c r="EF3" i="3"/>
  <c r="EH3" i="3"/>
  <c r="K161" i="3"/>
  <c r="N18" i="3"/>
  <c r="J183" i="3"/>
  <c r="J41" i="3"/>
  <c r="EJ41" i="3" s="1"/>
  <c r="O191" i="3"/>
  <c r="Z151" i="3"/>
  <c r="DZ153" i="3"/>
  <c r="U152" i="3"/>
  <c r="N77" i="3"/>
  <c r="S173" i="3"/>
  <c r="K165" i="3"/>
  <c r="AS197" i="3"/>
  <c r="X152" i="3"/>
  <c r="Q156" i="3"/>
  <c r="J101" i="3"/>
  <c r="K79" i="3"/>
  <c r="AT197" i="3"/>
  <c r="P156" i="3"/>
  <c r="K191" i="3"/>
  <c r="AU142" i="3"/>
  <c r="BO131" i="3"/>
  <c r="EE15" i="3"/>
  <c r="EB153" i="3"/>
  <c r="CA157" i="3"/>
  <c r="BU148" i="3"/>
  <c r="CI67" i="3"/>
  <c r="W48" i="3"/>
  <c r="BX114" i="3"/>
  <c r="EA153" i="3"/>
  <c r="S32" i="3"/>
  <c r="BX148" i="3"/>
  <c r="BO169" i="3"/>
  <c r="ED15" i="3"/>
  <c r="R32" i="3"/>
  <c r="AT55" i="3"/>
  <c r="S7" i="3"/>
  <c r="Q173" i="3"/>
  <c r="AE54" i="3"/>
  <c r="DY153" i="3"/>
  <c r="BK128" i="3"/>
  <c r="EF15" i="3"/>
  <c r="CM67" i="3"/>
  <c r="P12" i="3"/>
  <c r="BN131" i="3"/>
  <c r="DW15" i="3"/>
  <c r="CJ67" i="3"/>
  <c r="M121" i="3"/>
  <c r="CK67" i="3"/>
  <c r="CL67" i="3"/>
  <c r="L137" i="3"/>
  <c r="R7" i="3"/>
  <c r="BK169" i="3"/>
  <c r="DX15" i="3"/>
  <c r="BX157" i="3"/>
  <c r="AR55" i="3"/>
  <c r="AS55" i="3"/>
  <c r="R173" i="3"/>
  <c r="O12" i="3"/>
  <c r="Q155" i="3"/>
  <c r="M18" i="3"/>
  <c r="T115" i="3"/>
  <c r="AG196" i="3"/>
  <c r="BV148" i="3"/>
  <c r="BW148" i="3"/>
  <c r="S74" i="3"/>
  <c r="BM169" i="3"/>
  <c r="BJ169" i="3"/>
  <c r="L24" i="3"/>
  <c r="AT142" i="3"/>
  <c r="BY157" i="3"/>
  <c r="BZ157" i="3"/>
  <c r="BT114" i="3"/>
  <c r="DV153" i="3"/>
  <c r="BL169" i="3"/>
  <c r="BL131" i="3"/>
  <c r="BJ131" i="3"/>
  <c r="BG128" i="3"/>
  <c r="BM131" i="3"/>
  <c r="BS114" i="3"/>
  <c r="BH128" i="3"/>
  <c r="DZ15" i="3"/>
  <c r="V154" i="3"/>
  <c r="BU114" i="3"/>
  <c r="EC15" i="3"/>
  <c r="BW114" i="3"/>
  <c r="DU153" i="3"/>
  <c r="BI128" i="3"/>
  <c r="DT153" i="3"/>
  <c r="DS153" i="3"/>
  <c r="BN169" i="3"/>
  <c r="DR153" i="3"/>
  <c r="R150" i="3"/>
  <c r="AC186" i="3"/>
  <c r="BK131" i="3"/>
  <c r="BV114" i="3"/>
  <c r="DX153" i="3"/>
  <c r="EB15" i="3"/>
  <c r="DY15" i="3"/>
  <c r="BJ128" i="3"/>
  <c r="BI169" i="3"/>
  <c r="EA15" i="3"/>
  <c r="DW153" i="3"/>
  <c r="BF128" i="3"/>
  <c r="AR197" i="3"/>
  <c r="V48" i="3"/>
  <c r="BS148" i="3"/>
  <c r="L120" i="3"/>
  <c r="Q150" i="3"/>
  <c r="N192" i="3"/>
  <c r="X16" i="3"/>
  <c r="R160" i="3"/>
  <c r="BD131" i="3"/>
  <c r="BF131" i="3"/>
  <c r="O173" i="3"/>
  <c r="Y83" i="3"/>
  <c r="S172" i="3"/>
  <c r="BI131" i="3"/>
  <c r="R172" i="3"/>
  <c r="X83" i="3"/>
  <c r="R74" i="3"/>
  <c r="P173" i="3"/>
  <c r="K164" i="3"/>
  <c r="U48" i="3"/>
  <c r="N173" i="3"/>
  <c r="BD169" i="3"/>
  <c r="P155" i="3"/>
  <c r="W83" i="3"/>
  <c r="Z83" i="3"/>
  <c r="K24" i="3"/>
  <c r="K168" i="3"/>
  <c r="DP15" i="3"/>
  <c r="BC131" i="3"/>
  <c r="AO55" i="3"/>
  <c r="BM114" i="3"/>
  <c r="DR15" i="3"/>
  <c r="DN153" i="3"/>
  <c r="DS15" i="3"/>
  <c r="BF169" i="3"/>
  <c r="P150" i="3"/>
  <c r="BV157" i="3"/>
  <c r="DP153" i="3"/>
  <c r="BT148" i="3"/>
  <c r="BE128" i="3"/>
  <c r="BH169" i="3"/>
  <c r="DK153" i="3"/>
  <c r="BQ148" i="3"/>
  <c r="AZ128" i="3"/>
  <c r="BN114" i="3"/>
  <c r="BA128" i="3"/>
  <c r="BE169" i="3"/>
  <c r="BC128" i="3"/>
  <c r="U154" i="3"/>
  <c r="AP55" i="3"/>
  <c r="DU15" i="3"/>
  <c r="CH67" i="3"/>
  <c r="DQ153" i="3"/>
  <c r="BR114" i="3"/>
  <c r="K23" i="3"/>
  <c r="BL114" i="3"/>
  <c r="CF67" i="3"/>
  <c r="DL153" i="3"/>
  <c r="DQ15" i="3"/>
  <c r="DM153" i="3"/>
  <c r="BO114" i="3"/>
  <c r="BP114" i="3"/>
  <c r="DT15" i="3"/>
  <c r="BR148" i="3"/>
  <c r="BQ114" i="3"/>
  <c r="BD128" i="3"/>
  <c r="BW157" i="3"/>
  <c r="DV15" i="3"/>
  <c r="Q143" i="3"/>
  <c r="AY128" i="3"/>
  <c r="BU157" i="3"/>
  <c r="BC169" i="3"/>
  <c r="BE131" i="3"/>
  <c r="BB128" i="3"/>
  <c r="DO153" i="3"/>
  <c r="BG131" i="3"/>
  <c r="CG67" i="3"/>
  <c r="BG169" i="3"/>
  <c r="BH131" i="3"/>
  <c r="AQ55" i="3"/>
  <c r="W152" i="3"/>
  <c r="T172" i="3"/>
  <c r="AF148" i="3"/>
  <c r="AG142" i="3"/>
  <c r="K200" i="3"/>
  <c r="J152" i="3"/>
  <c r="J67" i="3"/>
  <c r="R94" i="3"/>
  <c r="J37" i="3"/>
  <c r="CA67" i="3"/>
  <c r="Y44" i="3"/>
  <c r="BZ67" i="3"/>
  <c r="K18" i="3"/>
  <c r="BA169" i="3"/>
  <c r="AW169" i="3"/>
  <c r="X44" i="3"/>
  <c r="S146" i="3"/>
  <c r="N158" i="3"/>
  <c r="AP128" i="3"/>
  <c r="K34" i="3"/>
  <c r="M63" i="3"/>
  <c r="L134" i="3"/>
  <c r="J95" i="3"/>
  <c r="AO157" i="3"/>
  <c r="R48" i="3"/>
  <c r="W131" i="3"/>
  <c r="AZ67" i="3"/>
  <c r="L143" i="3"/>
  <c r="O119" i="3"/>
  <c r="K137" i="3"/>
  <c r="P196" i="3"/>
  <c r="AD148" i="3"/>
  <c r="N97" i="3"/>
  <c r="L5" i="3"/>
  <c r="J194" i="3"/>
  <c r="K87" i="3"/>
  <c r="J76" i="3"/>
  <c r="K25" i="3"/>
  <c r="J87" i="3"/>
  <c r="K50" i="3"/>
  <c r="BG153" i="3"/>
  <c r="K187" i="3"/>
  <c r="J18" i="3"/>
  <c r="K105" i="3"/>
  <c r="AP15" i="3"/>
  <c r="J100" i="3"/>
  <c r="M152" i="3"/>
  <c r="M151" i="3"/>
  <c r="S15" i="3"/>
  <c r="J48" i="3"/>
  <c r="J162" i="3"/>
  <c r="J130" i="3"/>
  <c r="J60" i="3"/>
  <c r="K152" i="3"/>
  <c r="Z67" i="3"/>
  <c r="T148" i="3"/>
  <c r="V67" i="3"/>
  <c r="L44" i="3"/>
  <c r="K16" i="3"/>
  <c r="J195" i="3"/>
  <c r="J119" i="3"/>
  <c r="W16" i="3"/>
  <c r="J106" i="3"/>
  <c r="K196" i="3"/>
  <c r="AN55" i="3"/>
  <c r="L88" i="3"/>
  <c r="AR142" i="3"/>
  <c r="K37" i="3"/>
  <c r="N190" i="3"/>
  <c r="AD54" i="3"/>
  <c r="M134" i="3"/>
  <c r="L75" i="3"/>
  <c r="V146" i="3"/>
  <c r="L18" i="3"/>
  <c r="BB169" i="3"/>
  <c r="AX169" i="3"/>
  <c r="R146" i="3"/>
  <c r="Q65" i="3"/>
  <c r="AQ131" i="3"/>
  <c r="K134" i="3"/>
  <c r="U186" i="3"/>
  <c r="O97" i="3"/>
  <c r="L11" i="3"/>
  <c r="BR15" i="3"/>
  <c r="AM148" i="3"/>
  <c r="AK148" i="3"/>
  <c r="AV67" i="3"/>
  <c r="O74" i="3"/>
  <c r="M94" i="3"/>
  <c r="M195" i="3"/>
  <c r="O196" i="3"/>
  <c r="AB148" i="3"/>
  <c r="L3" i="3"/>
  <c r="J58" i="3"/>
  <c r="L178" i="3"/>
  <c r="L60" i="3"/>
  <c r="K75" i="3"/>
  <c r="K178" i="3"/>
  <c r="K60" i="3"/>
  <c r="N49" i="3"/>
  <c r="J50" i="3"/>
  <c r="J187" i="3"/>
  <c r="J34" i="3"/>
  <c r="J25" i="3"/>
  <c r="O186" i="3"/>
  <c r="W128" i="3"/>
  <c r="K150" i="3"/>
  <c r="L106" i="3"/>
  <c r="AF153" i="3"/>
  <c r="J104" i="3"/>
  <c r="J97" i="3"/>
  <c r="J158" i="3"/>
  <c r="O114" i="3"/>
  <c r="Q153" i="3"/>
  <c r="K48" i="3"/>
  <c r="J89" i="3"/>
  <c r="J129" i="3"/>
  <c r="J177" i="3"/>
  <c r="K153" i="3"/>
  <c r="J150" i="3"/>
  <c r="J151" i="3"/>
  <c r="J52" i="3"/>
  <c r="J172" i="3"/>
  <c r="S148" i="3"/>
  <c r="S157" i="3"/>
  <c r="P157" i="3"/>
  <c r="J148" i="3"/>
  <c r="J45" i="3"/>
  <c r="T15" i="3"/>
  <c r="N200" i="3"/>
  <c r="R15" i="3"/>
  <c r="N157" i="3"/>
  <c r="AM55" i="3"/>
  <c r="AS142" i="3"/>
  <c r="O195" i="3"/>
  <c r="P143" i="3"/>
  <c r="L50" i="3"/>
  <c r="N96" i="3"/>
  <c r="V152" i="3"/>
  <c r="AY169" i="3"/>
  <c r="J35" i="3"/>
  <c r="BH148" i="3"/>
  <c r="Q146" i="3"/>
  <c r="Q32" i="3"/>
  <c r="AO128" i="3"/>
  <c r="M59" i="3"/>
  <c r="J88" i="3"/>
  <c r="K162" i="3"/>
  <c r="L57" i="3"/>
  <c r="BN153" i="3"/>
  <c r="AA131" i="3"/>
  <c r="N195" i="3"/>
  <c r="Q7" i="3"/>
  <c r="O51" i="3"/>
  <c r="N94" i="3"/>
  <c r="Q196" i="3"/>
  <c r="N51" i="3"/>
  <c r="AC148" i="3"/>
  <c r="O7" i="3"/>
  <c r="K80" i="3"/>
  <c r="L177" i="3"/>
  <c r="L63" i="3"/>
  <c r="K130" i="3"/>
  <c r="K177" i="3"/>
  <c r="K63" i="3"/>
  <c r="J31" i="3"/>
  <c r="L181" i="3"/>
  <c r="L98" i="3"/>
  <c r="Q131" i="3"/>
  <c r="AT15" i="3"/>
  <c r="O152" i="3"/>
  <c r="M200" i="3"/>
  <c r="J200" i="3"/>
  <c r="J118" i="3"/>
  <c r="Q15" i="3"/>
  <c r="J80" i="3"/>
  <c r="J160" i="3"/>
  <c r="J178" i="3"/>
  <c r="J59" i="3"/>
  <c r="K154" i="3"/>
  <c r="X67" i="3"/>
  <c r="Q148" i="3"/>
  <c r="S67" i="3"/>
  <c r="K119" i="3"/>
  <c r="L196" i="3"/>
  <c r="J137" i="3"/>
  <c r="S100" i="3"/>
  <c r="U197" i="3"/>
  <c r="K141" i="3"/>
  <c r="J51" i="3"/>
  <c r="CC67" i="3"/>
  <c r="CB67" i="3"/>
  <c r="V16" i="3"/>
  <c r="U16" i="3"/>
  <c r="AQ142" i="3"/>
  <c r="Y49" i="3"/>
  <c r="K76" i="3"/>
  <c r="K31" i="3"/>
  <c r="BL148" i="3"/>
  <c r="K194" i="3"/>
  <c r="AZ169" i="3"/>
  <c r="S154" i="3"/>
  <c r="AQ128" i="3"/>
  <c r="M178" i="3"/>
  <c r="M57" i="3"/>
  <c r="Q160" i="3"/>
  <c r="P100" i="3"/>
  <c r="AC131" i="3"/>
  <c r="L82" i="3"/>
  <c r="L65" i="3"/>
  <c r="AX67" i="3"/>
  <c r="K68" i="3"/>
  <c r="M141" i="3"/>
  <c r="K121" i="3"/>
  <c r="R196" i="3"/>
  <c r="P115" i="3"/>
  <c r="AE148" i="3"/>
  <c r="K104" i="3"/>
  <c r="L176" i="3"/>
  <c r="K192" i="3"/>
  <c r="L78" i="3"/>
  <c r="L59" i="3"/>
  <c r="K129" i="3"/>
  <c r="K78" i="3"/>
  <c r="K59" i="3"/>
  <c r="J147" i="3"/>
  <c r="BH153" i="3"/>
  <c r="K98" i="3"/>
  <c r="K65" i="3"/>
  <c r="L112" i="3"/>
  <c r="L93" i="3"/>
  <c r="M128" i="3"/>
  <c r="J10" i="3"/>
  <c r="AO15" i="3"/>
  <c r="K100" i="3"/>
  <c r="J98" i="3"/>
  <c r="M48" i="3"/>
  <c r="L200" i="3"/>
  <c r="R153" i="3"/>
  <c r="V15" i="3"/>
  <c r="J201" i="3"/>
  <c r="J192" i="3"/>
  <c r="J78" i="3"/>
  <c r="J63" i="3"/>
  <c r="K151" i="3"/>
  <c r="K114" i="3"/>
  <c r="J114" i="3"/>
  <c r="K195" i="3"/>
  <c r="U148" i="3"/>
  <c r="J121" i="3"/>
  <c r="Q157" i="3"/>
  <c r="L51" i="3"/>
  <c r="J196" i="3"/>
  <c r="J74" i="3"/>
  <c r="J16" i="3"/>
  <c r="J49" i="3"/>
  <c r="J44" i="3"/>
  <c r="K49" i="3"/>
  <c r="J53" i="3"/>
  <c r="K44" i="3"/>
  <c r="L146" i="3"/>
  <c r="Z153" i="3"/>
  <c r="P197" i="3"/>
  <c r="R197" i="3"/>
  <c r="S197" i="3"/>
  <c r="J3" i="3"/>
  <c r="L100" i="3"/>
  <c r="J131" i="3"/>
  <c r="K7" i="3"/>
  <c r="K132" i="3"/>
  <c r="J28" i="3"/>
  <c r="AA153" i="3"/>
  <c r="Q197" i="3"/>
  <c r="AU15" i="3"/>
  <c r="L28" i="3"/>
  <c r="AN153" i="3"/>
  <c r="P106" i="3"/>
  <c r="AO153" i="3"/>
  <c r="P128" i="3"/>
  <c r="AP153" i="3"/>
  <c r="AQ153" i="3"/>
  <c r="R128" i="3"/>
  <c r="N131" i="3"/>
  <c r="AS153" i="3"/>
  <c r="T128" i="3"/>
  <c r="P131" i="3"/>
  <c r="V128" i="3"/>
  <c r="AL153" i="3"/>
  <c r="N186" i="3"/>
  <c r="BE15" i="3"/>
  <c r="AB114" i="3"/>
  <c r="L105" i="3"/>
  <c r="P186" i="3"/>
  <c r="K160" i="3"/>
  <c r="X197" i="3"/>
  <c r="V169" i="3"/>
  <c r="AC114" i="3"/>
  <c r="BA153" i="3"/>
  <c r="Z197" i="3"/>
  <c r="BN15" i="3"/>
  <c r="Q152" i="3"/>
  <c r="X169" i="3"/>
  <c r="J155" i="3"/>
  <c r="K96" i="3"/>
  <c r="W148" i="3"/>
  <c r="L83" i="3"/>
  <c r="K12" i="3"/>
  <c r="L12" i="3"/>
  <c r="AR148" i="3"/>
  <c r="Q54" i="3"/>
  <c r="M105" i="3"/>
  <c r="U200" i="3"/>
  <c r="BG15" i="3"/>
  <c r="T131" i="3"/>
  <c r="M7" i="3"/>
  <c r="Q151" i="3"/>
  <c r="S186" i="3"/>
  <c r="AC197" i="3"/>
  <c r="O105" i="3"/>
  <c r="P105" i="3"/>
  <c r="K158" i="3"/>
  <c r="AG67" i="3"/>
  <c r="N44" i="3"/>
  <c r="AA148" i="3"/>
  <c r="L94" i="3"/>
  <c r="W157" i="3"/>
  <c r="X157" i="3"/>
  <c r="Y157" i="3"/>
  <c r="M51" i="3"/>
  <c r="R142" i="3"/>
  <c r="L141" i="3"/>
  <c r="N74" i="3"/>
  <c r="O83" i="3"/>
  <c r="P83" i="3"/>
  <c r="M191" i="3"/>
  <c r="V142" i="3"/>
  <c r="W142" i="3"/>
  <c r="X142" i="3"/>
  <c r="K173" i="3"/>
  <c r="N191" i="3"/>
  <c r="O146" i="3"/>
  <c r="BH67" i="3"/>
  <c r="BW15" i="3"/>
  <c r="O36" i="3"/>
  <c r="M84" i="3"/>
  <c r="AW157" i="3"/>
  <c r="R105" i="3"/>
  <c r="BL67" i="3"/>
  <c r="AG169" i="3"/>
  <c r="AH114" i="3"/>
  <c r="AI114" i="3"/>
  <c r="BM67" i="3"/>
  <c r="CC15" i="3"/>
  <c r="CA153" i="3"/>
  <c r="AD128" i="3"/>
  <c r="BA157" i="3"/>
  <c r="CG15" i="3"/>
  <c r="L192" i="3"/>
  <c r="BQ67" i="3"/>
  <c r="R100" i="3"/>
  <c r="BD157" i="3"/>
  <c r="T106" i="3"/>
  <c r="AJ169" i="3"/>
  <c r="CL15" i="3"/>
  <c r="CH153" i="3"/>
  <c r="AK128" i="3"/>
  <c r="AR131" i="3"/>
  <c r="R152" i="3"/>
  <c r="U36" i="3"/>
  <c r="AA200" i="3"/>
  <c r="CY15" i="3"/>
  <c r="AM197" i="3"/>
  <c r="DB15" i="3"/>
  <c r="T152" i="3"/>
  <c r="AB186" i="3"/>
  <c r="CZ153" i="3"/>
  <c r="DH15" i="3"/>
  <c r="L58" i="3"/>
  <c r="S54" i="3"/>
  <c r="AT148" i="3"/>
  <c r="AE169" i="3"/>
  <c r="BS153" i="3"/>
  <c r="U44" i="3"/>
  <c r="M53" i="3"/>
  <c r="T49" i="3"/>
  <c r="AH197" i="3"/>
  <c r="M95" i="3"/>
  <c r="L29" i="3"/>
  <c r="BZ15" i="3"/>
  <c r="BY153" i="3"/>
  <c r="W54" i="3"/>
  <c r="AX148" i="3"/>
  <c r="Z200" i="3"/>
  <c r="AI131" i="3"/>
  <c r="CD153" i="3"/>
  <c r="AG128" i="3"/>
  <c r="BB157" i="3"/>
  <c r="S106" i="3"/>
  <c r="AI55" i="3"/>
  <c r="L155" i="3"/>
  <c r="AR114" i="3"/>
  <c r="AL169" i="3"/>
  <c r="AJ128" i="3"/>
  <c r="V44" i="3"/>
  <c r="N53" i="3"/>
  <c r="U49" i="3"/>
  <c r="AC54" i="3"/>
  <c r="BD148" i="3"/>
  <c r="AO131" i="3"/>
  <c r="BX67" i="3"/>
  <c r="CQ15" i="3"/>
  <c r="BL157" i="3"/>
  <c r="BK157" i="3"/>
  <c r="BJ157" i="3"/>
  <c r="AD196" i="3"/>
  <c r="S36" i="3"/>
  <c r="AY114" i="3"/>
  <c r="CV15" i="3"/>
  <c r="AJ197" i="3"/>
  <c r="R154" i="3"/>
  <c r="AS169" i="3"/>
  <c r="CV153" i="3"/>
  <c r="Q67" i="3"/>
  <c r="O148" i="3"/>
  <c r="O15" i="3"/>
  <c r="J132" i="3"/>
  <c r="Z15" i="3"/>
  <c r="M186" i="3"/>
  <c r="AH153" i="3"/>
  <c r="M54" i="3"/>
  <c r="Y169" i="3"/>
  <c r="AN157" i="3"/>
  <c r="AC169" i="3"/>
  <c r="P54" i="3"/>
  <c r="CY153" i="3"/>
  <c r="J30" i="3"/>
  <c r="J55" i="3"/>
  <c r="L191" i="3"/>
  <c r="J197" i="3"/>
  <c r="L197" i="3"/>
  <c r="S153" i="3"/>
  <c r="V153" i="3"/>
  <c r="AN15" i="3"/>
  <c r="M106" i="3"/>
  <c r="Q16" i="3"/>
  <c r="M65" i="3"/>
  <c r="R115" i="3"/>
  <c r="Y128" i="3"/>
  <c r="L54" i="3"/>
  <c r="BB67" i="3"/>
  <c r="L53" i="3"/>
  <c r="AA128" i="3"/>
  <c r="L30" i="3"/>
  <c r="M160" i="3"/>
  <c r="DO15" i="3"/>
  <c r="L45" i="3"/>
  <c r="BJ148" i="3"/>
  <c r="DM15" i="3"/>
  <c r="DK15" i="3"/>
  <c r="DI15" i="3"/>
  <c r="BM157" i="3"/>
  <c r="BO153" i="3"/>
  <c r="DE15" i="3"/>
  <c r="L68" i="3"/>
  <c r="Q94" i="3"/>
  <c r="AK55" i="3"/>
  <c r="DG153" i="3"/>
  <c r="AV128" i="3"/>
  <c r="AX131" i="3"/>
  <c r="DC153" i="3"/>
  <c r="AR128" i="3"/>
  <c r="S16" i="3"/>
  <c r="K139" i="3"/>
  <c r="O94" i="3"/>
  <c r="Z44" i="3"/>
  <c r="M173" i="3"/>
  <c r="W49" i="3"/>
  <c r="BO148" i="3"/>
  <c r="BQ157" i="3"/>
  <c r="T146" i="3"/>
  <c r="AT67" i="3"/>
  <c r="Q51" i="3"/>
  <c r="BP153" i="3"/>
  <c r="J109" i="3"/>
  <c r="K15" i="3"/>
  <c r="N151" i="3"/>
  <c r="K57" i="3"/>
  <c r="K36" i="3"/>
  <c r="AB67" i="3"/>
  <c r="R16" i="3"/>
  <c r="X15" i="3"/>
  <c r="J103" i="3"/>
  <c r="P74" i="3"/>
  <c r="J57" i="3"/>
  <c r="Z131" i="3"/>
  <c r="S196" i="3"/>
  <c r="L172" i="3"/>
  <c r="Y131" i="3"/>
  <c r="P154" i="3"/>
  <c r="M12" i="3"/>
  <c r="AA142" i="3"/>
  <c r="AL157" i="3"/>
  <c r="Z128" i="3"/>
  <c r="AI157" i="3"/>
  <c r="M158" i="3"/>
  <c r="K77" i="3"/>
  <c r="M30" i="3"/>
  <c r="N16" i="3"/>
  <c r="T67" i="3"/>
  <c r="L55" i="3"/>
  <c r="J47" i="3"/>
  <c r="L119" i="3"/>
  <c r="N148" i="3"/>
  <c r="K146" i="3"/>
  <c r="J84" i="3"/>
  <c r="P148" i="3"/>
  <c r="J15" i="3"/>
  <c r="Z49" i="3"/>
  <c r="T48" i="3"/>
  <c r="Y67" i="3"/>
  <c r="J94" i="3"/>
  <c r="J123" i="3"/>
  <c r="J22" i="3"/>
  <c r="EJ22" i="3" s="1"/>
  <c r="J72" i="3"/>
  <c r="EJ72" i="3" s="1"/>
  <c r="J62" i="3"/>
  <c r="EJ62" i="3" s="1"/>
  <c r="J111" i="3"/>
  <c r="J19" i="3"/>
  <c r="EJ19" i="3" s="1"/>
  <c r="J127" i="3"/>
  <c r="J188" i="3"/>
  <c r="J70" i="3"/>
  <c r="EJ70" i="3" s="1"/>
  <c r="J27" i="3"/>
  <c r="EJ27" i="3" s="1"/>
  <c r="J39" i="3"/>
  <c r="EJ39" i="3" s="1"/>
  <c r="J142" i="3"/>
  <c r="J83" i="3"/>
  <c r="J191" i="3"/>
  <c r="L142" i="3"/>
  <c r="M142" i="3"/>
  <c r="N142" i="3"/>
  <c r="K156" i="3"/>
  <c r="AG15" i="3"/>
  <c r="AI15" i="3"/>
  <c r="AK15" i="3"/>
  <c r="AL15" i="3"/>
  <c r="J5" i="3"/>
  <c r="AF15" i="3"/>
  <c r="J8" i="3"/>
  <c r="J86" i="3"/>
  <c r="O151" i="3"/>
  <c r="K169" i="3"/>
  <c r="AC153" i="3"/>
  <c r="L89" i="3"/>
  <c r="AW15" i="3"/>
  <c r="Q200" i="3"/>
  <c r="AX15" i="3"/>
  <c r="L97" i="3"/>
  <c r="U114" i="3"/>
  <c r="V114" i="3"/>
  <c r="K3" i="3"/>
  <c r="W114" i="3"/>
  <c r="BB15" i="3"/>
  <c r="K6" i="3"/>
  <c r="O131" i="3"/>
  <c r="BD15" i="3"/>
  <c r="AA114" i="3"/>
  <c r="AV15" i="3"/>
  <c r="J93" i="3"/>
  <c r="K116" i="3"/>
  <c r="N36" i="3"/>
  <c r="K84" i="3"/>
  <c r="J65" i="3"/>
  <c r="AV153" i="3"/>
  <c r="S200" i="3"/>
  <c r="R106" i="3"/>
  <c r="L7" i="3"/>
  <c r="BI15" i="3"/>
  <c r="AZ153" i="3"/>
  <c r="X128" i="3"/>
  <c r="Q186" i="3"/>
  <c r="BB153" i="3"/>
  <c r="AB197" i="3"/>
  <c r="BP15" i="3"/>
  <c r="BI153" i="3"/>
  <c r="BJ153" i="3"/>
  <c r="V148" i="3"/>
  <c r="M115" i="3"/>
  <c r="N196" i="3"/>
  <c r="AH67" i="3"/>
  <c r="P160" i="3"/>
  <c r="X55" i="3"/>
  <c r="BV15" i="3"/>
  <c r="S131" i="3"/>
  <c r="W197" i="3"/>
  <c r="M32" i="3"/>
  <c r="BM15" i="3"/>
  <c r="R151" i="3"/>
  <c r="W169" i="3"/>
  <c r="J29" i="3"/>
  <c r="K29" i="3"/>
  <c r="M28" i="3"/>
  <c r="Y148" i="3"/>
  <c r="U157" i="3"/>
  <c r="L156" i="3"/>
  <c r="O55" i="3"/>
  <c r="K54" i="3"/>
  <c r="O49" i="3"/>
  <c r="O44" i="3"/>
  <c r="M74" i="3"/>
  <c r="AN67" i="3"/>
  <c r="K43" i="3"/>
  <c r="K189" i="3"/>
  <c r="Q115" i="3"/>
  <c r="AA157" i="3"/>
  <c r="K82" i="3"/>
  <c r="AQ67" i="3"/>
  <c r="AR67" i="3"/>
  <c r="AS67" i="3"/>
  <c r="N146" i="3"/>
  <c r="AH148" i="3"/>
  <c r="AI148" i="3"/>
  <c r="AR157" i="3"/>
  <c r="AF197" i="3"/>
  <c r="W186" i="3"/>
  <c r="T54" i="3"/>
  <c r="AU148" i="3"/>
  <c r="M29" i="3"/>
  <c r="AX157" i="3"/>
  <c r="BV153" i="3"/>
  <c r="AC128" i="3"/>
  <c r="Q36" i="3"/>
  <c r="AY157" i="3"/>
  <c r="AJ114" i="3"/>
  <c r="CF15" i="3"/>
  <c r="X54" i="3"/>
  <c r="AY148" i="3"/>
  <c r="AH131" i="3"/>
  <c r="Q100" i="3"/>
  <c r="BC157" i="3"/>
  <c r="AA54" i="3"/>
  <c r="BB148" i="3"/>
  <c r="P77" i="3"/>
  <c r="CE153" i="3"/>
  <c r="AH128" i="3"/>
  <c r="AN131" i="3"/>
  <c r="N155" i="3"/>
  <c r="AW114" i="3"/>
  <c r="CN153" i="3"/>
  <c r="CW15" i="3"/>
  <c r="L150" i="3"/>
  <c r="CR153" i="3"/>
  <c r="CT153" i="3"/>
  <c r="AN197" i="3"/>
  <c r="DD15" i="3"/>
  <c r="DG15" i="3"/>
  <c r="AV169" i="3"/>
  <c r="AQ197" i="3"/>
  <c r="M58" i="3"/>
  <c r="Z55" i="3"/>
  <c r="P36" i="3"/>
  <c r="N84" i="3"/>
  <c r="O32" i="3"/>
  <c r="AJ142" i="3"/>
  <c r="AI142" i="3"/>
  <c r="AH142" i="3"/>
  <c r="BY15" i="3"/>
  <c r="L64" i="3"/>
  <c r="O65" i="3"/>
  <c r="AE131" i="3"/>
  <c r="CD15" i="3"/>
  <c r="AD55" i="3"/>
  <c r="BZ153" i="3"/>
  <c r="M181" i="3"/>
  <c r="AO114" i="3"/>
  <c r="CI15" i="3"/>
  <c r="Y54" i="3"/>
  <c r="AZ148" i="3"/>
  <c r="O77" i="3"/>
  <c r="BU67" i="3"/>
  <c r="AK169" i="3"/>
  <c r="CM15" i="3"/>
  <c r="M155" i="3"/>
  <c r="AM131" i="3"/>
  <c r="AM142" i="3"/>
  <c r="AL142" i="3"/>
  <c r="AK142" i="3"/>
  <c r="AJ55" i="3"/>
  <c r="U151" i="3"/>
  <c r="AU114" i="3"/>
  <c r="AO169" i="3"/>
  <c r="AM128" i="3"/>
  <c r="W44" i="3"/>
  <c r="O53" i="3"/>
  <c r="V49" i="3"/>
  <c r="CL153" i="3"/>
  <c r="W151" i="3"/>
  <c r="T36" i="3"/>
  <c r="BA114" i="3"/>
  <c r="CX15" i="3"/>
  <c r="AL197" i="3"/>
  <c r="Y151" i="3"/>
  <c r="AA186" i="3"/>
  <c r="L115" i="3"/>
  <c r="L49" i="3"/>
  <c r="AA67" i="3"/>
  <c r="K32" i="3"/>
  <c r="AB15" i="3"/>
  <c r="J69" i="3"/>
  <c r="K69" i="3"/>
  <c r="AN148" i="3"/>
  <c r="AD114" i="3"/>
  <c r="Q74" i="3"/>
  <c r="V55" i="3"/>
  <c r="BF67" i="3"/>
  <c r="AT131" i="3"/>
  <c r="O142" i="3"/>
  <c r="K83" i="3"/>
  <c r="R157" i="3"/>
  <c r="J77" i="3"/>
  <c r="M153" i="3"/>
  <c r="O153" i="3"/>
  <c r="P114" i="3"/>
  <c r="S114" i="3"/>
  <c r="L77" i="3"/>
  <c r="K181" i="3"/>
  <c r="AG157" i="3"/>
  <c r="R49" i="3"/>
  <c r="V131" i="3"/>
  <c r="AY67" i="3"/>
  <c r="AO148" i="3"/>
  <c r="T196" i="3"/>
  <c r="AF114" i="3"/>
  <c r="P51" i="3"/>
  <c r="L158" i="3"/>
  <c r="BB131" i="3"/>
  <c r="BP157" i="3"/>
  <c r="BJ114" i="3"/>
  <c r="BH114" i="3"/>
  <c r="BF114" i="3"/>
  <c r="M109" i="3"/>
  <c r="T83" i="3"/>
  <c r="BE67" i="3"/>
  <c r="O160" i="3"/>
  <c r="BE148" i="3"/>
  <c r="O143" i="3"/>
  <c r="BK148" i="3"/>
  <c r="BA131" i="3"/>
  <c r="DF153" i="3"/>
  <c r="AU128" i="3"/>
  <c r="AW131" i="3"/>
  <c r="DB153" i="3"/>
  <c r="P94" i="3"/>
  <c r="L101" i="3"/>
  <c r="M143" i="3"/>
  <c r="L47" i="3"/>
  <c r="BS157" i="3"/>
  <c r="CE67" i="3"/>
  <c r="BR157" i="3"/>
  <c r="K103" i="3"/>
  <c r="R148" i="3"/>
  <c r="BI148" i="3"/>
  <c r="AD131" i="3"/>
  <c r="AP148" i="3"/>
  <c r="AU169" i="3"/>
  <c r="Z142" i="3"/>
  <c r="K11" i="3"/>
  <c r="AM157" i="3"/>
  <c r="J36" i="3"/>
  <c r="N169" i="3"/>
  <c r="V196" i="3"/>
  <c r="Y15" i="3"/>
  <c r="K106" i="3"/>
  <c r="AU67" i="3"/>
  <c r="AE114" i="3"/>
  <c r="Q83" i="3"/>
  <c r="AK157" i="3"/>
  <c r="AE157" i="3"/>
  <c r="AC142" i="3"/>
  <c r="K110" i="3"/>
  <c r="P169" i="3"/>
  <c r="L186" i="3"/>
  <c r="T200" i="3"/>
  <c r="P151" i="3"/>
  <c r="AJ157" i="3"/>
  <c r="O54" i="3"/>
  <c r="O115" i="3"/>
  <c r="BQ15" i="3"/>
  <c r="J128" i="3"/>
  <c r="U67" i="3"/>
  <c r="K55" i="3"/>
  <c r="J176" i="3"/>
  <c r="M44" i="3"/>
  <c r="K115" i="3"/>
  <c r="J189" i="3"/>
  <c r="J156" i="3"/>
  <c r="J153" i="3"/>
  <c r="R67" i="3"/>
  <c r="U15" i="3"/>
  <c r="W146" i="3"/>
  <c r="L74" i="3"/>
  <c r="L114" i="3"/>
  <c r="J14" i="3"/>
  <c r="EJ14" i="3" s="1"/>
  <c r="J124" i="3"/>
  <c r="J20" i="3"/>
  <c r="EJ20" i="3" s="1"/>
  <c r="J26" i="3"/>
  <c r="EJ26" i="3" s="1"/>
  <c r="J61" i="3"/>
  <c r="EJ61" i="3" s="1"/>
  <c r="J40" i="3"/>
  <c r="EJ40" i="3" s="1"/>
  <c r="J161" i="3"/>
  <c r="J164" i="3"/>
  <c r="J17" i="3"/>
  <c r="EJ17" i="3" s="1"/>
  <c r="J73" i="3"/>
  <c r="EJ73" i="3" s="1"/>
  <c r="J193" i="3"/>
  <c r="J136" i="3"/>
  <c r="J115" i="3"/>
  <c r="J157" i="3"/>
  <c r="J82" i="3"/>
  <c r="N67" i="3"/>
  <c r="O67" i="3"/>
  <c r="P67" i="3"/>
  <c r="J143" i="3"/>
  <c r="N152" i="3"/>
  <c r="L169" i="3"/>
  <c r="J186" i="3"/>
  <c r="K186" i="3"/>
  <c r="J6" i="3"/>
  <c r="Y153" i="3"/>
  <c r="K128" i="3"/>
  <c r="K8" i="3"/>
  <c r="J182" i="3"/>
  <c r="O197" i="3"/>
  <c r="N154" i="3"/>
  <c r="M169" i="3"/>
  <c r="AK153" i="3"/>
  <c r="AM153" i="3"/>
  <c r="AD67" i="3"/>
  <c r="S169" i="3"/>
  <c r="K131" i="3"/>
  <c r="L131" i="3"/>
  <c r="Q128" i="3"/>
  <c r="M131" i="3"/>
  <c r="AR153" i="3"/>
  <c r="S128" i="3"/>
  <c r="Y114" i="3"/>
  <c r="AT153" i="3"/>
  <c r="U128" i="3"/>
  <c r="N100" i="3"/>
  <c r="J116" i="3"/>
  <c r="R169" i="3"/>
  <c r="U169" i="3"/>
  <c r="BF15" i="3"/>
  <c r="K112" i="3"/>
  <c r="N105" i="3"/>
  <c r="L160" i="3"/>
  <c r="AY153" i="3"/>
  <c r="BJ15" i="3"/>
  <c r="BK15" i="3"/>
  <c r="P152" i="3"/>
  <c r="R186" i="3"/>
  <c r="BD153" i="3"/>
  <c r="BF153" i="3"/>
  <c r="K86" i="3"/>
  <c r="M97" i="3"/>
  <c r="M172" i="3"/>
  <c r="M96" i="3"/>
  <c r="N172" i="3"/>
  <c r="Z148" i="3"/>
  <c r="K95" i="3"/>
  <c r="BG67" i="3"/>
  <c r="AE197" i="3"/>
  <c r="M201" i="3"/>
  <c r="L84" i="3"/>
  <c r="BH15" i="3"/>
  <c r="V200" i="3"/>
  <c r="N7" i="3"/>
  <c r="AA197" i="3"/>
  <c r="BO15" i="3"/>
  <c r="J64" i="3"/>
  <c r="K64" i="3"/>
  <c r="K66" i="3"/>
  <c r="L118" i="3"/>
  <c r="J12" i="3"/>
  <c r="AI67" i="3"/>
  <c r="K190" i="3"/>
  <c r="AJ67" i="3"/>
  <c r="P55" i="3"/>
  <c r="Q55" i="3"/>
  <c r="R55" i="3"/>
  <c r="K30" i="3"/>
  <c r="S142" i="3"/>
  <c r="AG148" i="3"/>
  <c r="AO67" i="3"/>
  <c r="O16" i="3"/>
  <c r="U142" i="3"/>
  <c r="AP67" i="3"/>
  <c r="AB157" i="3"/>
  <c r="AC157" i="3"/>
  <c r="AD157" i="3"/>
  <c r="M156" i="3"/>
  <c r="N156" i="3"/>
  <c r="R54" i="3"/>
  <c r="AS148" i="3"/>
  <c r="BR153" i="3"/>
  <c r="W200" i="3"/>
  <c r="AA55" i="3"/>
  <c r="M64" i="3"/>
  <c r="U54" i="3"/>
  <c r="AV148" i="3"/>
  <c r="CA15" i="3"/>
  <c r="BW153" i="3"/>
  <c r="V54" i="3"/>
  <c r="AW148" i="3"/>
  <c r="R36" i="3"/>
  <c r="AG131" i="3"/>
  <c r="AE55" i="3"/>
  <c r="N5" i="3"/>
  <c r="AN114" i="3"/>
  <c r="Z54" i="3"/>
  <c r="BA148" i="3"/>
  <c r="AH55" i="3"/>
  <c r="BS67" i="3"/>
  <c r="AI169" i="3"/>
  <c r="AK131" i="3"/>
  <c r="T151" i="3"/>
  <c r="AT114" i="3"/>
  <c r="AP169" i="3"/>
  <c r="CR15" i="3"/>
  <c r="CU15" i="3"/>
  <c r="CP153" i="3"/>
  <c r="S152" i="3"/>
  <c r="AR169" i="3"/>
  <c r="Y186" i="3"/>
  <c r="CU153" i="3"/>
  <c r="AP197" i="3"/>
  <c r="BD114" i="3"/>
  <c r="O155" i="3"/>
  <c r="S48" i="3"/>
  <c r="M150" i="3"/>
  <c r="BI67" i="3"/>
  <c r="X186" i="3"/>
  <c r="AG197" i="3"/>
  <c r="BJ67" i="3"/>
  <c r="Z196" i="3"/>
  <c r="Y196" i="3"/>
  <c r="M82" i="3"/>
  <c r="BT153" i="3"/>
  <c r="P93" i="3"/>
  <c r="AF169" i="3"/>
  <c r="AG114" i="3"/>
  <c r="AK114" i="3"/>
  <c r="BN67" i="3"/>
  <c r="CE15" i="3"/>
  <c r="CC153" i="3"/>
  <c r="AF128" i="3"/>
  <c r="AJ131" i="3"/>
  <c r="AF55" i="3"/>
  <c r="BR67" i="3"/>
  <c r="AH169" i="3"/>
  <c r="BE157" i="3"/>
  <c r="CF153" i="3"/>
  <c r="AI128" i="3"/>
  <c r="CG153" i="3"/>
  <c r="AS114" i="3"/>
  <c r="AC196" i="3"/>
  <c r="AB196" i="3"/>
  <c r="N82" i="3"/>
  <c r="BW67" i="3"/>
  <c r="AN169" i="3"/>
  <c r="CP15" i="3"/>
  <c r="V151" i="3"/>
  <c r="AP131" i="3"/>
  <c r="AP142" i="3"/>
  <c r="AO142" i="3"/>
  <c r="AN142" i="3"/>
  <c r="CS15" i="3"/>
  <c r="CM153" i="3"/>
  <c r="Q154" i="3"/>
  <c r="V36" i="3"/>
  <c r="CQ153" i="3"/>
  <c r="CZ15" i="3"/>
  <c r="DC15" i="3"/>
  <c r="M196" i="3"/>
  <c r="L148" i="3"/>
  <c r="J154" i="3"/>
  <c r="J32" i="3"/>
  <c r="L151" i="3"/>
  <c r="AC15" i="3"/>
  <c r="O169" i="3"/>
  <c r="L128" i="3"/>
  <c r="P191" i="3"/>
  <c r="Q119" i="3"/>
  <c r="S151" i="3"/>
  <c r="AQ148" i="3"/>
  <c r="AS131" i="3"/>
  <c r="P142" i="3"/>
  <c r="L16" i="3"/>
  <c r="M55" i="3"/>
  <c r="P15" i="3"/>
  <c r="K197" i="3"/>
  <c r="M197" i="3"/>
  <c r="U153" i="3"/>
  <c r="X153" i="3"/>
  <c r="AC67" i="3"/>
  <c r="K89" i="3"/>
  <c r="T55" i="3"/>
  <c r="AH157" i="3"/>
  <c r="BK153" i="3"/>
  <c r="BN148" i="3"/>
  <c r="Z169" i="3"/>
  <c r="S49" i="3"/>
  <c r="T44" i="3"/>
  <c r="AB131" i="3"/>
  <c r="AE142" i="3"/>
  <c r="N150" i="3"/>
  <c r="BK114" i="3"/>
  <c r="K140" i="3"/>
  <c r="DN15" i="3"/>
  <c r="DL15" i="3"/>
  <c r="DJ15" i="3"/>
  <c r="K52" i="3"/>
  <c r="Q172" i="3"/>
  <c r="W55" i="3"/>
  <c r="DF15" i="3"/>
  <c r="BM148" i="3"/>
  <c r="X49" i="3"/>
  <c r="DH153" i="3"/>
  <c r="AZ131" i="3"/>
  <c r="DE153" i="3"/>
  <c r="AT128" i="3"/>
  <c r="AV131" i="3"/>
  <c r="M101" i="3"/>
  <c r="Q191" i="3"/>
  <c r="BN157" i="3"/>
  <c r="O106" i="3"/>
  <c r="BC114" i="3"/>
  <c r="L173" i="3"/>
  <c r="BP148" i="3"/>
  <c r="DI153" i="3"/>
  <c r="J146" i="3"/>
  <c r="U146" i="3"/>
  <c r="O48" i="3"/>
  <c r="AB169" i="3"/>
  <c r="O100" i="3"/>
  <c r="BB114" i="3"/>
  <c r="M154" i="3"/>
  <c r="P48" i="3"/>
  <c r="J66" i="3"/>
  <c r="R114" i="3"/>
  <c r="O200" i="3"/>
  <c r="BC67" i="3"/>
  <c r="W153" i="3"/>
  <c r="L69" i="3"/>
  <c r="P119" i="3"/>
  <c r="U55" i="3"/>
  <c r="R83" i="3"/>
  <c r="AM15" i="3"/>
  <c r="N12" i="3"/>
  <c r="AA169" i="3"/>
  <c r="BL153" i="3"/>
  <c r="AF67" i="3"/>
  <c r="J105" i="3"/>
  <c r="P146" i="3"/>
  <c r="J68" i="3"/>
  <c r="BT15" i="3"/>
  <c r="V197" i="3"/>
  <c r="Q169" i="3"/>
  <c r="BY67" i="3"/>
  <c r="N15" i="3"/>
  <c r="K176" i="3"/>
  <c r="U83" i="3"/>
  <c r="L48" i="3"/>
  <c r="Q142" i="3"/>
  <c r="T157" i="3"/>
  <c r="L15" i="3"/>
  <c r="K148" i="3"/>
  <c r="J190" i="3"/>
  <c r="L154" i="3"/>
  <c r="V83" i="3"/>
  <c r="W67" i="3"/>
  <c r="M148" i="3"/>
  <c r="J167" i="3"/>
  <c r="J122" i="3"/>
  <c r="J179" i="3"/>
  <c r="J91" i="3"/>
  <c r="J85" i="3"/>
  <c r="EJ85" i="3" s="1"/>
  <c r="J38" i="3"/>
  <c r="EJ38" i="3" s="1"/>
  <c r="J166" i="3"/>
  <c r="J165" i="3"/>
  <c r="J171" i="3"/>
  <c r="J138" i="3"/>
  <c r="J24" i="3"/>
  <c r="K67" i="3"/>
  <c r="L67" i="3"/>
  <c r="K142" i="3"/>
  <c r="M67" i="3"/>
  <c r="K157" i="3"/>
  <c r="L157" i="3"/>
  <c r="M157" i="3"/>
  <c r="J140" i="3"/>
  <c r="J169" i="3"/>
  <c r="AB153" i="3"/>
  <c r="AD153" i="3"/>
  <c r="AE153" i="3"/>
  <c r="M100" i="3"/>
  <c r="T114" i="3"/>
  <c r="L32" i="3"/>
  <c r="K28" i="3"/>
  <c r="AH15" i="3"/>
  <c r="AJ15" i="3"/>
  <c r="K97" i="3"/>
  <c r="N89" i="3"/>
  <c r="O128" i="3"/>
  <c r="K93" i="3"/>
  <c r="M77" i="3"/>
  <c r="AY15" i="3"/>
  <c r="T169" i="3"/>
  <c r="AZ15" i="3"/>
  <c r="BA15" i="3"/>
  <c r="K5" i="3"/>
  <c r="X114" i="3"/>
  <c r="BC15" i="3"/>
  <c r="K4" i="3"/>
  <c r="Z114" i="3"/>
  <c r="M89" i="3"/>
  <c r="N128" i="3"/>
  <c r="P200" i="3"/>
  <c r="L201" i="3"/>
  <c r="R200" i="3"/>
  <c r="AU153" i="3"/>
  <c r="R131" i="3"/>
  <c r="Q106" i="3"/>
  <c r="AE67" i="3"/>
  <c r="M93" i="3"/>
  <c r="L132" i="3"/>
  <c r="N32" i="3"/>
  <c r="U131" i="3"/>
  <c r="Y197" i="3"/>
  <c r="BL15" i="3"/>
  <c r="M69" i="3"/>
  <c r="T186" i="3"/>
  <c r="AD197" i="3"/>
  <c r="K182" i="3"/>
  <c r="N28" i="3"/>
  <c r="L96" i="3"/>
  <c r="X148" i="3"/>
  <c r="N83" i="3"/>
  <c r="N115" i="3"/>
  <c r="AQ157" i="3"/>
  <c r="BQ153" i="3"/>
  <c r="L10" i="3"/>
  <c r="AW153" i="3"/>
  <c r="AX153" i="3"/>
  <c r="L8" i="3"/>
  <c r="BC153" i="3"/>
  <c r="BE153" i="3"/>
  <c r="N93" i="3"/>
  <c r="O93" i="3"/>
  <c r="N48" i="3"/>
  <c r="K46" i="3"/>
  <c r="M83" i="3"/>
  <c r="M146" i="3"/>
  <c r="V157" i="3"/>
  <c r="AK67" i="3"/>
  <c r="AL67" i="3"/>
  <c r="AM67" i="3"/>
  <c r="M119" i="3"/>
  <c r="Z157" i="3"/>
  <c r="N119" i="3"/>
  <c r="T142" i="3"/>
  <c r="P44" i="3"/>
  <c r="P49" i="3"/>
  <c r="Q44" i="3"/>
  <c r="Q49" i="3"/>
  <c r="K53" i="3"/>
  <c r="R44" i="3"/>
  <c r="Y142" i="3"/>
  <c r="K109" i="3"/>
  <c r="L190" i="3"/>
  <c r="Y55" i="3"/>
  <c r="L95" i="3"/>
  <c r="V186" i="3"/>
  <c r="AD169" i="3"/>
  <c r="BK67" i="3"/>
  <c r="Q93" i="3"/>
  <c r="AB55" i="3"/>
  <c r="P65" i="3"/>
  <c r="AF131" i="3"/>
  <c r="CB15" i="3"/>
  <c r="AC55" i="3"/>
  <c r="BX153" i="3"/>
  <c r="M5" i="3"/>
  <c r="AM114" i="3"/>
  <c r="BO67" i="3"/>
  <c r="CB153" i="3"/>
  <c r="AE128" i="3"/>
  <c r="AG55" i="3"/>
  <c r="M192" i="3"/>
  <c r="BT67" i="3"/>
  <c r="CK15" i="3"/>
  <c r="K155" i="3"/>
  <c r="AQ114" i="3"/>
  <c r="AM169" i="3"/>
  <c r="CO15" i="3"/>
  <c r="CK153" i="3"/>
  <c r="AN128" i="3"/>
  <c r="AZ114" i="3"/>
  <c r="AI197" i="3"/>
  <c r="AK197" i="3"/>
  <c r="DA15" i="3"/>
  <c r="N69" i="3"/>
  <c r="Z186" i="3"/>
  <c r="CW153" i="3"/>
  <c r="AU131" i="3"/>
  <c r="DA153" i="3"/>
  <c r="K58" i="3"/>
  <c r="T154" i="3"/>
  <c r="AS157" i="3"/>
  <c r="X200" i="3"/>
  <c r="BX15" i="3"/>
  <c r="AV157" i="3"/>
  <c r="AU157" i="3"/>
  <c r="AT157" i="3"/>
  <c r="X196" i="3"/>
  <c r="P32" i="3"/>
  <c r="Q105" i="3"/>
  <c r="BU153" i="3"/>
  <c r="AB128" i="3"/>
  <c r="Y200" i="3"/>
  <c r="AZ157" i="3"/>
  <c r="AL114" i="3"/>
  <c r="CH15" i="3"/>
  <c r="N181" i="3"/>
  <c r="AP114" i="3"/>
  <c r="BP67" i="3"/>
  <c r="CJ15" i="3"/>
  <c r="AB54" i="3"/>
  <c r="BC148" i="3"/>
  <c r="AL131" i="3"/>
  <c r="BV67" i="3"/>
  <c r="CN15" i="3"/>
  <c r="BH157" i="3"/>
  <c r="BG157" i="3"/>
  <c r="BF157" i="3"/>
  <c r="AA196" i="3"/>
  <c r="BI157" i="3"/>
  <c r="CI153" i="3"/>
  <c r="AL128" i="3"/>
  <c r="CJ153" i="3"/>
  <c r="AV114" i="3"/>
  <c r="AF196" i="3"/>
  <c r="AE196" i="3"/>
  <c r="O82" i="3"/>
  <c r="AX114" i="3"/>
  <c r="CT15" i="3"/>
  <c r="CO153" i="3"/>
  <c r="X151" i="3"/>
  <c r="AQ169" i="3"/>
  <c r="CS153" i="3"/>
  <c r="AO197" i="3"/>
  <c r="K74" i="3"/>
  <c r="J54" i="3"/>
  <c r="M15" i="3"/>
  <c r="J7" i="3"/>
  <c r="K201" i="3"/>
  <c r="AE15" i="3"/>
  <c r="O154" i="3"/>
  <c r="AJ153" i="3"/>
  <c r="S83" i="3"/>
  <c r="W196" i="3"/>
  <c r="BD67" i="3"/>
  <c r="BU15" i="3"/>
  <c r="CX153" i="3"/>
  <c r="R65" i="3"/>
  <c r="K51" i="3"/>
  <c r="O157" i="3"/>
  <c r="K94" i="3"/>
  <c r="L153" i="3"/>
  <c r="N153" i="3"/>
  <c r="N114" i="3"/>
  <c r="Q114" i="3"/>
  <c r="AG153" i="3"/>
  <c r="AR15" i="3"/>
  <c r="O172" i="3"/>
  <c r="S44" i="3"/>
  <c r="N65" i="3"/>
  <c r="AL55" i="3"/>
  <c r="X131" i="3"/>
  <c r="N54" i="3"/>
  <c r="U196" i="3"/>
  <c r="BM153" i="3"/>
  <c r="AD142" i="3"/>
  <c r="DJ153" i="3"/>
  <c r="AX128" i="3"/>
  <c r="S115" i="3"/>
  <c r="BI114" i="3"/>
  <c r="BG114" i="3"/>
  <c r="BE114" i="3"/>
  <c r="M190" i="3"/>
  <c r="L52" i="3"/>
  <c r="N160" i="3"/>
  <c r="AT169" i="3"/>
  <c r="T16" i="3"/>
  <c r="N143" i="3"/>
  <c r="BO157" i="3"/>
  <c r="AW128" i="3"/>
  <c r="AY131" i="3"/>
  <c r="DD153" i="3"/>
  <c r="AS128" i="3"/>
  <c r="R191" i="3"/>
  <c r="K47" i="3"/>
  <c r="O156" i="3"/>
  <c r="P172" i="3"/>
  <c r="BT157" i="3"/>
  <c r="BG148" i="3"/>
  <c r="CD67" i="3"/>
  <c r="O150" i="3"/>
  <c r="BF148" i="3"/>
  <c r="L109" i="3"/>
  <c r="BA67" i="3"/>
  <c r="AF142" i="3"/>
  <c r="P97" i="3"/>
  <c r="W15" i="3"/>
  <c r="L36" i="3"/>
  <c r="AS15" i="3"/>
  <c r="P153" i="3"/>
  <c r="L152" i="3"/>
  <c r="N106" i="3"/>
  <c r="N197" i="3"/>
  <c r="J11" i="3"/>
  <c r="AI153" i="3"/>
  <c r="AJ148" i="3"/>
  <c r="AB142" i="3"/>
  <c r="P7" i="3"/>
  <c r="AQ15" i="3"/>
  <c r="AF157" i="3"/>
  <c r="T197" i="3"/>
  <c r="BS15" i="3"/>
  <c r="K45" i="3"/>
  <c r="AW67" i="3"/>
  <c r="AL148" i="3"/>
  <c r="S55" i="3"/>
  <c r="AP157" i="3"/>
  <c r="P16" i="3"/>
  <c r="Q48" i="3"/>
  <c r="J96" i="3"/>
  <c r="T153" i="3"/>
  <c r="AA15" i="3"/>
  <c r="J110" i="3"/>
  <c r="L139" i="3"/>
  <c r="M36" i="3"/>
  <c r="J43" i="3"/>
  <c r="N55" i="3"/>
  <c r="M16" i="3"/>
  <c r="M114" i="3"/>
  <c r="K143" i="3"/>
  <c r="AD15" i="3"/>
  <c r="J159" i="3"/>
  <c r="M49" i="3"/>
  <c r="K172" i="3"/>
  <c r="J126" i="3"/>
  <c r="J175" i="3"/>
  <c r="J71" i="3"/>
  <c r="J92" i="3"/>
  <c r="J108" i="3"/>
  <c r="J135" i="3"/>
  <c r="J168" i="3"/>
  <c r="J125" i="3"/>
  <c r="J21" i="3"/>
  <c r="EJ21" i="3" s="1"/>
  <c r="J90" i="3"/>
  <c r="EJ90" i="3" s="1"/>
  <c r="J42" i="3"/>
  <c r="EJ42" i="3" s="1"/>
  <c r="K88" i="3"/>
  <c r="L195" i="3"/>
  <c r="J174" i="3"/>
  <c r="K10" i="3"/>
  <c r="J184" i="3"/>
  <c r="J145" i="3"/>
  <c r="J144" i="3"/>
  <c r="L121" i="3"/>
  <c r="L194" i="3"/>
  <c r="K101" i="3"/>
  <c r="J56" i="3"/>
  <c r="EJ56" i="3" s="1"/>
  <c r="J79" i="3"/>
  <c r="J117" i="3"/>
  <c r="K35" i="3"/>
  <c r="EJ35" i="3" s="1"/>
  <c r="J134" i="3"/>
  <c r="J75" i="3"/>
  <c r="J202" i="3"/>
  <c r="J185" i="3"/>
  <c r="L104" i="3"/>
  <c r="K147" i="3"/>
  <c r="J120" i="3"/>
  <c r="J113" i="3"/>
  <c r="J107" i="3"/>
  <c r="J163" i="3"/>
  <c r="J99" i="3"/>
  <c r="J81" i="3"/>
  <c r="EJ81" i="3" s="1"/>
  <c r="J199" i="3"/>
  <c r="J33" i="3"/>
  <c r="EJ33" i="3" s="1"/>
  <c r="J181" i="3"/>
  <c r="J141" i="3"/>
  <c r="J198" i="3"/>
  <c r="K120" i="3"/>
  <c r="J180" i="3"/>
  <c r="J170" i="3"/>
  <c r="L87" i="3"/>
  <c r="J13" i="3"/>
  <c r="EJ13" i="3" s="1"/>
  <c r="J23" i="3"/>
  <c r="J46" i="3"/>
  <c r="J133" i="3"/>
  <c r="J4" i="3"/>
  <c r="EJ4" i="3" s="1"/>
  <c r="J173" i="3"/>
  <c r="J149" i="3"/>
  <c r="J139" i="3"/>
  <c r="K118" i="3"/>
  <c r="J112" i="3"/>
  <c r="J9" i="3"/>
  <c r="EJ9" i="3" s="1"/>
  <c r="EJ92" i="3" l="1"/>
  <c r="EJ91" i="3"/>
  <c r="EJ71" i="3"/>
  <c r="EJ104" i="3"/>
  <c r="EJ99" i="3"/>
  <c r="EJ68" i="3"/>
  <c r="EJ79" i="3"/>
  <c r="EJ10" i="3"/>
  <c r="EJ25" i="3"/>
  <c r="EJ6" i="3"/>
  <c r="EJ80" i="3"/>
  <c r="EJ113" i="3"/>
  <c r="EJ108" i="3"/>
  <c r="EJ110" i="3"/>
  <c r="EJ126" i="3"/>
  <c r="EJ122" i="3"/>
  <c r="EJ116" i="3"/>
  <c r="EJ124" i="3"/>
  <c r="EJ149" i="3"/>
  <c r="EJ141" i="3"/>
  <c r="EJ145" i="3"/>
  <c r="EJ138" i="3"/>
  <c r="EJ136" i="3"/>
  <c r="EJ107" i="3"/>
  <c r="EJ117" i="3"/>
  <c r="EJ125" i="3"/>
  <c r="EJ98" i="3"/>
  <c r="EJ118" i="3"/>
  <c r="EJ46" i="3"/>
  <c r="EJ170" i="3"/>
  <c r="EJ163" i="3"/>
  <c r="EJ147" i="3"/>
  <c r="EJ185" i="3"/>
  <c r="EJ75" i="3"/>
  <c r="EJ101" i="3"/>
  <c r="EJ121" i="3"/>
  <c r="EJ195" i="3"/>
  <c r="EJ168" i="3"/>
  <c r="EJ165" i="3"/>
  <c r="EJ12" i="3"/>
  <c r="EJ164" i="3"/>
  <c r="EJ176" i="3"/>
  <c r="EJ188" i="3"/>
  <c r="EJ78" i="3"/>
  <c r="EJ34" i="3"/>
  <c r="EJ162" i="3"/>
  <c r="EJ18" i="3"/>
  <c r="EJ37" i="3"/>
  <c r="EJ133" i="3"/>
  <c r="EJ144" i="3"/>
  <c r="EJ135" i="3"/>
  <c r="EJ127" i="3"/>
  <c r="EJ111" i="3"/>
  <c r="EJ123" i="3"/>
  <c r="EJ159" i="3"/>
  <c r="EJ161" i="3"/>
  <c r="EJ174" i="3"/>
  <c r="EJ171" i="3"/>
  <c r="EJ166" i="3"/>
  <c r="EJ167" i="3"/>
  <c r="EJ64" i="3"/>
  <c r="EJ186" i="3"/>
  <c r="EJ157" i="3"/>
  <c r="EJ77" i="3"/>
  <c r="EJ29" i="3"/>
  <c r="EJ191" i="3"/>
  <c r="EJ142" i="3"/>
  <c r="EJ94" i="3"/>
  <c r="EJ15" i="3"/>
  <c r="EJ84" i="3"/>
  <c r="EJ47" i="3"/>
  <c r="EJ44" i="3"/>
  <c r="EJ16" i="3"/>
  <c r="EJ148" i="3"/>
  <c r="EJ172" i="3"/>
  <c r="EJ151" i="3"/>
  <c r="EJ95" i="3"/>
  <c r="EJ67" i="3"/>
  <c r="EJ169" i="3"/>
  <c r="EJ190" i="3"/>
  <c r="EJ154" i="3"/>
  <c r="EJ182" i="3"/>
  <c r="EJ156" i="3"/>
  <c r="EJ86" i="3"/>
  <c r="EJ197" i="3"/>
  <c r="EJ55" i="3"/>
  <c r="EJ155" i="3"/>
  <c r="EJ28" i="3"/>
  <c r="EJ53" i="3"/>
  <c r="EJ196" i="3"/>
  <c r="EJ114" i="3"/>
  <c r="EJ201" i="3"/>
  <c r="EJ59" i="3"/>
  <c r="EJ160" i="3"/>
  <c r="EJ200" i="3"/>
  <c r="EJ129" i="3"/>
  <c r="EJ97" i="3"/>
  <c r="EJ50" i="3"/>
  <c r="EJ106" i="3"/>
  <c r="EJ119" i="3"/>
  <c r="EJ60" i="3"/>
  <c r="EJ76" i="3"/>
  <c r="EJ112" i="3"/>
  <c r="EJ139" i="3"/>
  <c r="EJ173" i="3"/>
  <c r="EJ23" i="3"/>
  <c r="EJ87" i="3"/>
  <c r="EJ180" i="3"/>
  <c r="EJ198" i="3"/>
  <c r="EJ181" i="3"/>
  <c r="EJ199" i="3"/>
  <c r="EJ120" i="3"/>
  <c r="EJ202" i="3"/>
  <c r="EJ134" i="3"/>
  <c r="EJ194" i="3"/>
  <c r="EJ184" i="3"/>
  <c r="EJ88" i="3"/>
  <c r="EJ175" i="3"/>
  <c r="EJ43" i="3"/>
  <c r="EJ96" i="3"/>
  <c r="EJ11" i="3"/>
  <c r="EJ7" i="3"/>
  <c r="EJ54" i="3"/>
  <c r="EJ140" i="3"/>
  <c r="EJ24" i="3"/>
  <c r="EJ179" i="3"/>
  <c r="EJ105" i="3"/>
  <c r="EJ66" i="3"/>
  <c r="EJ146" i="3"/>
  <c r="EJ32" i="3"/>
  <c r="EJ143" i="3"/>
  <c r="EJ82" i="3"/>
  <c r="EJ115" i="3"/>
  <c r="EJ193" i="3"/>
  <c r="EJ153" i="3"/>
  <c r="EJ189" i="3"/>
  <c r="EJ128" i="3"/>
  <c r="EJ36" i="3"/>
  <c r="EJ69" i="3"/>
  <c r="EJ65" i="3"/>
  <c r="EJ93" i="3"/>
  <c r="EJ8" i="3"/>
  <c r="EJ5" i="3"/>
  <c r="EJ83" i="3"/>
  <c r="EJ57" i="3"/>
  <c r="EJ103" i="3"/>
  <c r="EJ109" i="3"/>
  <c r="EJ30" i="3"/>
  <c r="EJ132" i="3"/>
  <c r="EJ131" i="3"/>
  <c r="EJ3" i="3"/>
  <c r="EJ49" i="3"/>
  <c r="EJ74" i="3"/>
  <c r="EJ63" i="3"/>
  <c r="EJ192" i="3"/>
  <c r="EJ51" i="3"/>
  <c r="EJ137" i="3"/>
  <c r="EJ178" i="3"/>
  <c r="EJ31" i="3"/>
  <c r="EJ45" i="3"/>
  <c r="EJ52" i="3"/>
  <c r="EJ150" i="3"/>
  <c r="EJ177" i="3"/>
  <c r="EJ89" i="3"/>
  <c r="EJ158" i="3"/>
  <c r="EJ187" i="3"/>
  <c r="EJ58" i="3"/>
  <c r="EJ130" i="3"/>
  <c r="EJ48" i="3"/>
  <c r="EJ100" i="3"/>
  <c r="EJ152" i="3"/>
  <c r="EJ183" i="3"/>
  <c r="EJ10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94E431-D3C6-48E1-A569-52A8E5228F28}" keepAlive="1" name="Consulta - T1" description="Conexión a la consulta 'T1' en el libro." type="5" refreshedVersion="8" background="1" saveData="1">
    <dbPr connection="Provider=Microsoft.Mashup.OleDb.1;Data Source=$Workbook$;Location=T1;Extended Properties=&quot;&quot;" command="SELECT * FROM [T1]"/>
  </connection>
  <connection id="2" xr16:uid="{595F3565-67B5-4B44-B739-408132899FFC}" keepAlive="1" name="Consulta - T2" description="Conexión a la consulta 'T2' en el libro." type="5" refreshedVersion="8" background="1" saveData="1">
    <dbPr connection="Provider=Microsoft.Mashup.OleDb.1;Data Source=$Workbook$;Location=T2;Extended Properties=&quot;&quot;" command="SELECT * FROM [T2]"/>
  </connection>
  <connection id="3" xr16:uid="{DE6B17CC-583E-44AF-B65D-7ADC25088B42}" keepAlive="1" name="Consulta - T3" description="Conexión a la consulta 'T3' en el libro." type="5" refreshedVersion="8" background="1" saveData="1">
    <dbPr connection="Provider=Microsoft.Mashup.OleDb.1;Data Source=$Workbook$;Location=T3;Extended Properties=&quot;&quot;" command="SELECT * FROM [T3]"/>
  </connection>
  <connection id="4" xr16:uid="{5562273F-BB04-4058-A57D-D861A9507FC9}" keepAlive="1" name="Consulta - T4" description="Conexión a la consulta 'T4' en el libro." type="5" refreshedVersion="8" background="1" saveData="1">
    <dbPr connection="Provider=Microsoft.Mashup.OleDb.1;Data Source=$Workbook$;Location=T4;Extended Properties=&quot;&quot;" command="SELECT * FROM [T4]"/>
  </connection>
  <connection id="5" xr16:uid="{22FDFEAB-55E9-441F-AC24-2A861ADB858E}" keepAlive="1" name="Consulta - T5" description="Conexión a la consulta 'T5' en el libro." type="5" refreshedVersion="8" background="1" saveData="1">
    <dbPr connection="Provider=Microsoft.Mashup.OleDb.1;Data Source=$Workbook$;Location=T5;Extended Properties=&quot;&quot;" command="SELECT * FROM [T5]"/>
  </connection>
  <connection id="6" xr16:uid="{DEA2ABB5-16BB-49E3-9B47-C6BB17C60433}" keepAlive="1" name="Consulta - T6" description="Conexión a la consulta 'T6' en el libro." type="5" refreshedVersion="8" background="1" saveData="1">
    <dbPr connection="Provider=Microsoft.Mashup.OleDb.1;Data Source=$Workbook$;Location=T6;Extended Properties=&quot;&quot;" command="SELECT * FROM [T6]"/>
  </connection>
  <connection id="7" xr16:uid="{10C2C642-08BC-4DEC-A822-CF612EB185F3}" keepAlive="1" name="Consulta - T7(1)" description="Conexión a la consulta 'T7' en el libro." type="5" refreshedVersion="8" background="1" saveData="1">
    <dbPr connection="Provider=Microsoft.Mashup.OleDb.1;Data Source=$Workbook$;Location=T7;Extended Properties=&quot;&quot;" command="SELECT * FROM [T7]"/>
  </connection>
</connections>
</file>

<file path=xl/sharedStrings.xml><?xml version="1.0" encoding="utf-8"?>
<sst xmlns="http://schemas.openxmlformats.org/spreadsheetml/2006/main" count="7196" uniqueCount="1087">
  <si>
    <t>I. EMPANADA PORC</t>
  </si>
  <si>
    <t>I. PALOS QUESO</t>
  </si>
  <si>
    <t>I. MASITAS CASERAS</t>
  </si>
  <si>
    <t>I. NACHOS</t>
  </si>
  <si>
    <t>I. TORTILLAS CH</t>
  </si>
  <si>
    <t>I. FILETILLO POLLO</t>
  </si>
  <si>
    <t>I. CAMARON PORCION</t>
  </si>
  <si>
    <t>I. TORTILLAS GR</t>
  </si>
  <si>
    <t>I. CHAMP. PORCION</t>
  </si>
  <si>
    <t>I. QUESO GRANULADO</t>
  </si>
  <si>
    <t>I. CHURRA QUES.</t>
  </si>
  <si>
    <t>I. LOMO 250</t>
  </si>
  <si>
    <t>I. ARROZ PORCION</t>
  </si>
  <si>
    <t>I. PAPAS FRITAS</t>
  </si>
  <si>
    <t>I. CRUDO PORC</t>
  </si>
  <si>
    <t>I. FETTUCCINI PORCION</t>
  </si>
  <si>
    <t>I. CREMA ESPESA</t>
  </si>
  <si>
    <t>I. CAMARON APA</t>
  </si>
  <si>
    <t>I. BROCHETA CAMARON</t>
  </si>
  <si>
    <t>I. BROWNIE</t>
  </si>
  <si>
    <t>SONATA TECLADOS</t>
  </si>
  <si>
    <t>PICNIC TECLADOS</t>
  </si>
  <si>
    <t>FESTIVAL TECLADOS</t>
  </si>
  <si>
    <t>I. CIBOULET</t>
  </si>
  <si>
    <t>I. CHURRASCO PORCION</t>
  </si>
  <si>
    <t>CHEESE FRITAS GRANDES</t>
  </si>
  <si>
    <t>I. HAMBURGUESA</t>
  </si>
  <si>
    <t>I. QUESO CHEDAR</t>
  </si>
  <si>
    <t>I. PAN FRICA</t>
  </si>
  <si>
    <t>TECLADOS BURGER</t>
  </si>
  <si>
    <t>I. JAMON</t>
  </si>
  <si>
    <t>I. MECHADA SAND</t>
  </si>
  <si>
    <t>I. TOCINO PORCION</t>
  </si>
  <si>
    <t>BIG MECHADA</t>
  </si>
  <si>
    <t>I. TOMATE</t>
  </si>
  <si>
    <t>I. PALTA</t>
  </si>
  <si>
    <t>I. SALMON DE 250</t>
  </si>
  <si>
    <t>I. VERDURAS SALTEADAS</t>
  </si>
  <si>
    <t>I. PAPA SELECTA</t>
  </si>
  <si>
    <t>I. MECHADA MENU</t>
  </si>
  <si>
    <t>I. CEBOLLA MORADA</t>
  </si>
  <si>
    <t>I. CHOCLO PERUANO PORCION</t>
  </si>
  <si>
    <t>I. SAL</t>
  </si>
  <si>
    <t>I. ABSOLUT AZUL</t>
  </si>
  <si>
    <t>I. ABSOLUT MANGO</t>
  </si>
  <si>
    <t>I. ABSOLUT RASPERRI</t>
  </si>
  <si>
    <t>I. ABSOLUT VAINILLA</t>
  </si>
  <si>
    <t>I. ALTO 35</t>
  </si>
  <si>
    <t>I. ALTO 40</t>
  </si>
  <si>
    <t>I. APEROL</t>
  </si>
  <si>
    <t>I. ARVEJAS</t>
  </si>
  <si>
    <t>I. AZUCAR FLOR</t>
  </si>
  <si>
    <t>I. BECK,S</t>
  </si>
  <si>
    <t>I. BECKS S/ALCOHOL</t>
  </si>
  <si>
    <t>I. BEEFEATER</t>
  </si>
  <si>
    <t>I. BODEGA TINTO</t>
  </si>
  <si>
    <t>I. BUDWEISER</t>
  </si>
  <si>
    <t>I. CACHAZA</t>
  </si>
  <si>
    <t>I. CAMPARI</t>
  </si>
  <si>
    <t>I. CHAMP BRUT 750</t>
  </si>
  <si>
    <t>I. COCA COLA 1,5</t>
  </si>
  <si>
    <t>I. COCA COLA 350</t>
  </si>
  <si>
    <t>I. COCA LIGHT 350</t>
  </si>
  <si>
    <t>I. COCA ZERO 350</t>
  </si>
  <si>
    <t>I. COGNAC 3 PALOS</t>
  </si>
  <si>
    <t>I. CORONA</t>
  </si>
  <si>
    <t>I. CREMA DE CASSIS</t>
  </si>
  <si>
    <t>I. CURACAO</t>
  </si>
  <si>
    <t>I. CUSQUENA TRIGO</t>
  </si>
  <si>
    <t>I. ERRAZ ESTATE RESERVA SAUVIGNON BLANC</t>
  </si>
  <si>
    <t>I. ERRAZURIZ ESTATE RESERVA CABERNET SAUVIGNON</t>
  </si>
  <si>
    <t>I. FANTA 350</t>
  </si>
  <si>
    <t>I. FERNET BRANCA</t>
  </si>
  <si>
    <t>I. FETTIMAN LGHT</t>
  </si>
  <si>
    <t>I. fil. pollo ques</t>
  </si>
  <si>
    <t>I. GIN BATALLA</t>
  </si>
  <si>
    <t>I. GIN HENDRICKS</t>
  </si>
  <si>
    <t>I. GINGER 0 350</t>
  </si>
  <si>
    <t>I. GINGER BEER</t>
  </si>
  <si>
    <t>I. GOOSE 312</t>
  </si>
  <si>
    <t>I. GOOSE IPA</t>
  </si>
  <si>
    <t>I. GOOSE SOFI</t>
  </si>
  <si>
    <t>I. GRANADINA</t>
  </si>
  <si>
    <t>I. JACK DANIELS</t>
  </si>
  <si>
    <t>I. JACK FIRE</t>
  </si>
  <si>
    <t>I. JACK HONEY</t>
  </si>
  <si>
    <t>I. JAGERMEISTER</t>
  </si>
  <si>
    <t>I. JOHNNIE NEGRO</t>
  </si>
  <si>
    <t>I. JOHNNIE ROJO</t>
  </si>
  <si>
    <t>I. JUGO NARANJA</t>
  </si>
  <si>
    <t>I. JUGO PINA 1 LTS</t>
  </si>
  <si>
    <t>I. JUGO TOMATE</t>
  </si>
  <si>
    <t>I. MARRASQUINO ROJO</t>
  </si>
  <si>
    <t>I. MARTINI DRY</t>
  </si>
  <si>
    <t>I. MARTINI ROSSO</t>
  </si>
  <si>
    <t>I. MINERAL C/GAS 330</t>
  </si>
  <si>
    <t>I. MINERAL S/GAS 330</t>
  </si>
  <si>
    <t>I. MINERAL1.6LT  C/G</t>
  </si>
  <si>
    <t>I. MISTRAL DE 35</t>
  </si>
  <si>
    <t>I. MISTRAL NOBEL</t>
  </si>
  <si>
    <t>I. MONSTER</t>
  </si>
  <si>
    <t>I. NEGRA MODELO</t>
  </si>
  <si>
    <t>I. PALTA UNIDAD</t>
  </si>
  <si>
    <t>I. PIMIENTA NEGRA</t>
  </si>
  <si>
    <t>I. PULPA ARAN FRAM</t>
  </si>
  <si>
    <t>I. PULPA FRAMBUESA</t>
  </si>
  <si>
    <t>I. PULPA LIMON</t>
  </si>
  <si>
    <t>I. PULPA MANGO</t>
  </si>
  <si>
    <t>I. PULPA MARACUYA</t>
  </si>
  <si>
    <t>I. RAMAZZOTTI</t>
  </si>
  <si>
    <t>I. RBULL ENERGY DR</t>
  </si>
  <si>
    <t>I. RBULL SUGAR FRE</t>
  </si>
  <si>
    <t>I. RE BULL YELLOW</t>
  </si>
  <si>
    <t>I. RICC. MOSCATO</t>
  </si>
  <si>
    <t>I. RICC. PROSECCO</t>
  </si>
  <si>
    <t>I. RICCADONNA BRUT</t>
  </si>
  <si>
    <t>I. RON BLANCO BATALLA</t>
  </si>
  <si>
    <t>I. RON DORADO BATALLA</t>
  </si>
  <si>
    <t>I. SALSA INGLESA</t>
  </si>
  <si>
    <t>I. SPRITE 350</t>
  </si>
  <si>
    <t>I. SPRITE ZERO 350</t>
  </si>
  <si>
    <t>I. STELLA ARTOIS</t>
  </si>
  <si>
    <t>I. STOLICHNAYA 750CC</t>
  </si>
  <si>
    <t>I. TEQUILA BATALLA</t>
  </si>
  <si>
    <t>I. TEQUILA JIMADOR</t>
  </si>
  <si>
    <t>I. TONICA  FENTIMS</t>
  </si>
  <si>
    <t>I. TONICA 1,5 LTS</t>
  </si>
  <si>
    <t>I. TONICA 350</t>
  </si>
  <si>
    <t>I. TRIPLE SEC</t>
  </si>
  <si>
    <t>I. VODKA BATALLA</t>
  </si>
  <si>
    <t>I. WISKY BATALLA</t>
  </si>
  <si>
    <t>ML</t>
  </si>
  <si>
    <t>U.</t>
  </si>
  <si>
    <t>GR</t>
  </si>
  <si>
    <t>I. ESENCIA COCO</t>
  </si>
  <si>
    <t>PORC</t>
  </si>
  <si>
    <t>BOT</t>
  </si>
  <si>
    <t>MARTINI DRY</t>
  </si>
  <si>
    <t>MANHATTAN</t>
  </si>
  <si>
    <t>CAIPIRINHA FRAMBUESA</t>
  </si>
  <si>
    <t>CAIPIRINHA MANGO</t>
  </si>
  <si>
    <t>CAIPIRINHA FRUTILLA</t>
  </si>
  <si>
    <t>DAIQUIRI MANGO</t>
  </si>
  <si>
    <t>CAIPIROSKA MANGO</t>
  </si>
  <si>
    <t>MANGO COLADA</t>
  </si>
  <si>
    <t>MAITAI</t>
  </si>
  <si>
    <t>LAGUNA AZUL</t>
  </si>
  <si>
    <t>EXTASIS</t>
  </si>
  <si>
    <t>COSMOPOLITAN</t>
  </si>
  <si>
    <t>GOD FATHER</t>
  </si>
  <si>
    <t>GOD MOTHER</t>
  </si>
  <si>
    <t>TOM COLLINS</t>
  </si>
  <si>
    <t>KAMIKAZE</t>
  </si>
  <si>
    <t>TEQUILA SUNRISE</t>
  </si>
  <si>
    <t>BLACK RUSSIAN</t>
  </si>
  <si>
    <t>WHITE RUSSIAN</t>
  </si>
  <si>
    <t>ATARDECER DE PLATA</t>
  </si>
  <si>
    <t>BLOODY MARY</t>
  </si>
  <si>
    <t>LM</t>
  </si>
  <si>
    <t>U</t>
  </si>
  <si>
    <t>PRODUCTO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</si>
  <si>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</si>
  <si>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</si>
  <si>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</si>
  <si>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</si>
  <si>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</si>
  <si>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</si>
  <si>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</si>
  <si>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</si>
  <si>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</si>
  <si>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</si>
  <si>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</si>
  <si>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</si>
  <si>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</si>
  <si>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</si>
  <si>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</si>
  <si>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</si>
  <si>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</si>
  <si>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</si>
  <si>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</si>
  <si>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</si>
  <si>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</si>
  <si>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</si>
  <si>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</si>
  <si>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</si>
  <si>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</si>
  <si>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</si>
  <si>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</si>
  <si>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</si>
  <si>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</si>
  <si>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</si>
  <si>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</si>
  <si>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</si>
  <si>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</si>
  <si>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</si>
  <si>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</si>
  <si>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</si>
  <si>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</si>
  <si>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</si>
  <si>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</si>
  <si>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</si>
  <si>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FINAL</t>
  </si>
  <si>
    <t>PRODUCTOS</t>
  </si>
  <si>
    <t>descrip</t>
  </si>
  <si>
    <t>cantidad</t>
  </si>
  <si>
    <t>Michelada Full</t>
  </si>
  <si>
    <t>CONSUMOS</t>
  </si>
  <si>
    <t>CHEESE CAMARONES</t>
  </si>
  <si>
    <t>APEROL SPRITZ</t>
  </si>
  <si>
    <t>I. HUEVOS</t>
  </si>
  <si>
    <t>I. CLAVO DE OLOR</t>
  </si>
  <si>
    <t>LONG ISLAND ICE TEA</t>
  </si>
  <si>
    <t>41</t>
  </si>
  <si>
    <t>42</t>
  </si>
  <si>
    <t>43</t>
  </si>
  <si>
    <t>44</t>
  </si>
  <si>
    <t>45</t>
  </si>
  <si>
    <t>SEX ON THE BEACH</t>
  </si>
  <si>
    <t>I. BARRIL GOOSE IPA</t>
  </si>
  <si>
    <t xml:space="preserve">I. BARRIL STELLA </t>
  </si>
  <si>
    <t>I. BARRIL BECKER</t>
  </si>
  <si>
    <t>I. BARRIL HOEGARDN</t>
  </si>
  <si>
    <t>4 Shot Jagermeister</t>
  </si>
  <si>
    <t>HH Ramazzotti</t>
  </si>
  <si>
    <t>MOSCOW MULE</t>
  </si>
  <si>
    <t>FRAMBUESA SOUR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</si>
  <si>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</si>
  <si>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</si>
  <si>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</si>
  <si>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</si>
  <si>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</si>
  <si>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</si>
  <si>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</si>
  <si>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</si>
  <si>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</si>
  <si>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</si>
  <si>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MENU CARNE A LA DIANA</t>
  </si>
  <si>
    <t>PISCO SOUR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</si>
  <si>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</si>
  <si>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</si>
  <si>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</si>
  <si>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</si>
  <si>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</si>
  <si>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</si>
  <si>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</si>
  <si>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</si>
  <si>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</si>
  <si>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</si>
  <si>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</si>
  <si>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</si>
  <si>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</si>
  <si>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</si>
  <si>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</si>
  <si>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</si>
  <si>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</si>
  <si>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</si>
  <si>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</si>
  <si>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</si>
  <si>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</si>
  <si>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</si>
  <si>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</si>
  <si>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</si>
  <si>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</si>
  <si>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</si>
  <si>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</si>
  <si>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</si>
  <si>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</si>
  <si>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</si>
  <si>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E</t>
  </si>
  <si>
    <t>I. BAILEYS</t>
  </si>
  <si>
    <t>I. BRUJAS 35</t>
  </si>
  <si>
    <t>I. BRUJAS 40</t>
  </si>
  <si>
    <t>I. PAMPERO ANIVERSARIO</t>
  </si>
  <si>
    <t>I. PAMPERO SELECCION</t>
  </si>
  <si>
    <t>I. SMIRNOFF</t>
  </si>
  <si>
    <t>I. TANQUERAY LONDON</t>
  </si>
  <si>
    <t>I. TANQUERAY SEVILLA</t>
  </si>
  <si>
    <t>I. TANQUERAY TEN</t>
  </si>
  <si>
    <t>I. THE SINGLETON 12</t>
  </si>
  <si>
    <t xml:space="preserve">I. VAT 69 </t>
  </si>
  <si>
    <t>I. ZACAPAR</t>
  </si>
  <si>
    <t>86</t>
  </si>
  <si>
    <t>87</t>
  </si>
  <si>
    <t>88</t>
  </si>
  <si>
    <t>89</t>
  </si>
  <si>
    <t>90</t>
  </si>
  <si>
    <t>I. HIELO</t>
  </si>
  <si>
    <t>I. ALTO TRANSPARENTE 40</t>
  </si>
  <si>
    <t>ZACAPA AMBAR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</si>
  <si>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</si>
  <si>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</si>
  <si>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</si>
  <si>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</si>
  <si>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</si>
  <si>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</si>
  <si>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</si>
  <si>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</si>
  <si>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</si>
  <si>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</si>
  <si>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</si>
  <si>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</si>
  <si>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</si>
  <si>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</si>
  <si>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</si>
  <si>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</si>
  <si>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</si>
  <si>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</si>
  <si>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</si>
  <si>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</si>
  <si>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Schop Cusqueña</t>
  </si>
  <si>
    <t>I. BARRIL CUSQUENA</t>
  </si>
  <si>
    <t>I. BAGUETTE</t>
  </si>
  <si>
    <t>I. COCA ZERO 1,5</t>
  </si>
  <si>
    <t>I. GINGER ALE ZERO 1,5</t>
  </si>
  <si>
    <t>Alto 40° Transparente</t>
  </si>
  <si>
    <t>Alto del Carmen 35°</t>
  </si>
  <si>
    <t>Coca Cola Zero  350cc</t>
  </si>
  <si>
    <t>HH Mojito Clásico</t>
  </si>
  <si>
    <t>HH Mojito Maracuyá</t>
  </si>
  <si>
    <t>Menu Doble Cheese Burger</t>
  </si>
  <si>
    <t>Mojito Clásico</t>
  </si>
  <si>
    <t>Mojito Maracuyá</t>
  </si>
  <si>
    <t>Piña Colada</t>
  </si>
  <si>
    <t>Promo Alto 35°</t>
  </si>
  <si>
    <t>Quesadilla Pollo - Champignon</t>
  </si>
  <si>
    <t>Spring Rolls</t>
  </si>
  <si>
    <t>Tartaro de Salmón</t>
  </si>
  <si>
    <t>PALOS DE QUESO</t>
  </si>
  <si>
    <t>TOTOPOS</t>
  </si>
  <si>
    <t>CAMEMBERT APANADO</t>
  </si>
  <si>
    <t>QUESADILLA CARNE</t>
  </si>
  <si>
    <t>QUESADILLA CAMARON</t>
  </si>
  <si>
    <t>LOMO A LO POBRE</t>
  </si>
  <si>
    <t>CRUDO</t>
  </si>
  <si>
    <t>CHEESE TECLADOS</t>
  </si>
  <si>
    <t>CHEESE CHAMPIÑONES</t>
  </si>
  <si>
    <t>CHEESE MECHADA</t>
  </si>
  <si>
    <t>PAPAS FRITAS GRANDES</t>
  </si>
  <si>
    <t>VEGETARIANO</t>
  </si>
  <si>
    <t>SINPIRINHA</t>
  </si>
  <si>
    <t>BATIDO MANGO</t>
  </si>
  <si>
    <t>BATIDO FRAMBUESA</t>
  </si>
  <si>
    <t>BATIDO FRUTILLA</t>
  </si>
  <si>
    <t>MOJITO SIN ALCOHOL</t>
  </si>
  <si>
    <t>PIÑA COLADA SIN ALCOHOL</t>
  </si>
  <si>
    <t>JUGO ARANDANO FRAMBUESA</t>
  </si>
  <si>
    <t>JUGO MANGO</t>
  </si>
  <si>
    <t>JUGO FRAMBUESA</t>
  </si>
  <si>
    <t>JUGO FRUTILLA</t>
  </si>
  <si>
    <t>LIMONADA</t>
  </si>
  <si>
    <t>COCA COLA 350CC</t>
  </si>
  <si>
    <t>COCA COLA LIGHT 350CC</t>
  </si>
  <si>
    <t>SPRITE 350CC</t>
  </si>
  <si>
    <t>SPRITE ZERO 350CC</t>
  </si>
  <si>
    <t>FANTA 350CC</t>
  </si>
  <si>
    <t>MINERAL SIN GAS</t>
  </si>
  <si>
    <t>MINERAL CON GAS</t>
  </si>
  <si>
    <t>RED BULL NORMAL</t>
  </si>
  <si>
    <t>RED BULL SUGAR FREE</t>
  </si>
  <si>
    <t>FENTIMANS TONIC WATER</t>
  </si>
  <si>
    <t>FENTIMANS LIGHT TONIC</t>
  </si>
  <si>
    <t>FENTIMANS GINGER BEER</t>
  </si>
  <si>
    <t>ESPUMANTE DE LA CASA</t>
  </si>
  <si>
    <t>RICCADONNA MOSCATO ROSE</t>
  </si>
  <si>
    <t>RICCADONNA PROSECCO</t>
  </si>
  <si>
    <t>RICCADONNA CHARDONNAY BRUT</t>
  </si>
  <si>
    <t>CALITERRA RESERVA CHARDONNAY</t>
  </si>
  <si>
    <t>WHISKY SOUR</t>
  </si>
  <si>
    <t>KIR ROYAL</t>
  </si>
  <si>
    <t>CAIPIRINHA TRADICIONAL</t>
  </si>
  <si>
    <t>CAIPIROSKA TRADICIONAL</t>
  </si>
  <si>
    <t>RAMAZZOTTI</t>
  </si>
  <si>
    <t>JACK DANIELS</t>
  </si>
  <si>
    <t>JACK DANIELS HONEY</t>
  </si>
  <si>
    <t>VAT 69</t>
  </si>
  <si>
    <t>SMIRNOFF</t>
  </si>
  <si>
    <t>ABSOLUT BLUE</t>
  </si>
  <si>
    <t>ABSOLUT RAZZ</t>
  </si>
  <si>
    <t>ABSOLUT VAINILLA</t>
  </si>
  <si>
    <t>ABSOLUT MANGO</t>
  </si>
  <si>
    <t>JAGERMEISTER + BEBIDA</t>
  </si>
  <si>
    <t>PAMPERO ESPECIAL</t>
  </si>
  <si>
    <t>PAMPERO ANIVERSARIO</t>
  </si>
  <si>
    <t>TANQUERAY LONDON</t>
  </si>
  <si>
    <t>TANQUERAY SEVILLA</t>
  </si>
  <si>
    <t>TANQUERAY TEN</t>
  </si>
  <si>
    <t>HENDRICKS</t>
  </si>
  <si>
    <t>BEEFEATER</t>
  </si>
  <si>
    <t>TROPICAL GIN</t>
  </si>
  <si>
    <t>FERNET BRANCA</t>
  </si>
  <si>
    <t>BAILEYS</t>
  </si>
  <si>
    <t>DAIQUIRI FRAMBUESA</t>
  </si>
  <si>
    <t>MARGARITA FRUTILLA</t>
  </si>
  <si>
    <t>MARGARITA FRAMBUESA</t>
  </si>
  <si>
    <t>TENNESSE MULE</t>
  </si>
  <si>
    <t>BERLIN MULE</t>
  </si>
  <si>
    <t>LONDON MULE</t>
  </si>
  <si>
    <t>CLAVO OXIDADO</t>
  </si>
  <si>
    <t>MAMACITA</t>
  </si>
  <si>
    <t>MOJITO JACK DANIELS</t>
  </si>
  <si>
    <t>MOJITO ABSOLUT RAZZ</t>
  </si>
  <si>
    <t>MOJITO ABSOLUT VAINILLA</t>
  </si>
  <si>
    <t>MOJITO ABSOLUT MANGO</t>
  </si>
  <si>
    <t>MOJITO CORONA</t>
  </si>
  <si>
    <t>VALENTINA DRINK</t>
  </si>
  <si>
    <t>SCHOP BECKER</t>
  </si>
  <si>
    <t>SCHOP GOOSE ISLAND IPA</t>
  </si>
  <si>
    <t>SCHOP HOEGGARDEN</t>
  </si>
  <si>
    <t>SCHOP STELLA ARTOIS</t>
  </si>
  <si>
    <t>CORONA</t>
  </si>
  <si>
    <t>STELLA ARTOIS</t>
  </si>
  <si>
    <t>BUDWEISER</t>
  </si>
  <si>
    <t>BECKS</t>
  </si>
  <si>
    <t>NEGRA MODELO</t>
  </si>
  <si>
    <t>GOOSE ISLAND IPA</t>
  </si>
  <si>
    <t>GOOSE ISLAND 312</t>
  </si>
  <si>
    <t>GOSSE ISLAND SOFIE</t>
  </si>
  <si>
    <t>STELLA ARTOIS SIN ALCOHOL</t>
  </si>
  <si>
    <t>CAMPARI NARANJA</t>
  </si>
  <si>
    <t>SHOT JACK DANIELS FIRE</t>
  </si>
  <si>
    <t>2 SHOT JACK DANIELS FIRE</t>
  </si>
  <si>
    <t>SHOT TEQUILA JIMADOR</t>
  </si>
  <si>
    <t>2 SHOT TEQUILA JIMADOR</t>
  </si>
  <si>
    <t>PROMO STOLI PREMIUM</t>
  </si>
  <si>
    <t>PROMO PISCO SOUR</t>
  </si>
  <si>
    <t>MOJITO XL</t>
  </si>
  <si>
    <t>MARGARITA XL</t>
  </si>
  <si>
    <t>MARGARITA XL FRUTILLA</t>
  </si>
  <si>
    <t>VASO SANGRIA</t>
  </si>
  <si>
    <t>JARRO SANGRIA</t>
  </si>
  <si>
    <t>BROWNIE CON HELADO</t>
  </si>
  <si>
    <t>CHEESECAKE</t>
  </si>
  <si>
    <t>BEACH BOYS</t>
  </si>
  <si>
    <t>AL CAPONE</t>
  </si>
  <si>
    <t>FLORENCE SPRITZ</t>
  </si>
  <si>
    <t>NASHVILLE HONEY</t>
  </si>
  <si>
    <t>NEGRONI</t>
  </si>
  <si>
    <t>GIN TONIC</t>
  </si>
  <si>
    <t>MENU</t>
  </si>
  <si>
    <t>MENU CARNE MECHADA</t>
  </si>
  <si>
    <t>MENU SALMON A LO POBRE</t>
  </si>
  <si>
    <t>MENU LOMO A LO POBRE</t>
  </si>
  <si>
    <t>MENU POLLO A LO POBRE</t>
  </si>
  <si>
    <t>MENU SALMON A LA PLANCHA</t>
  </si>
  <si>
    <t>MENU POLLO AL LIMON</t>
  </si>
  <si>
    <t>MENU POLLO AL CURRY</t>
  </si>
  <si>
    <t>MENU LOMO SALTADO</t>
  </si>
  <si>
    <t>MENU PASTA CON CAMARONES</t>
  </si>
  <si>
    <t>MENU COCA COLA 350CC</t>
  </si>
  <si>
    <t>MENU COCA COLA ZERO 350CC</t>
  </si>
  <si>
    <t>MENU COCA COLA LIGHT 350CC</t>
  </si>
  <si>
    <t>MENU SCHWEPPES GINGER ZERO 350CC</t>
  </si>
  <si>
    <t>MENU FANTA 350CC</t>
  </si>
  <si>
    <t>MENU SPRITE 350CC</t>
  </si>
  <si>
    <t>MENU SPRITE ZERO 350CC</t>
  </si>
  <si>
    <t>MENU SCHOP STELLA</t>
  </si>
  <si>
    <t>MENU MINERAL CON GAS</t>
  </si>
  <si>
    <t>MENU MINERAL SIN GAS</t>
  </si>
  <si>
    <t>PROMO COCA COLA 350CC</t>
  </si>
  <si>
    <t>PROMO COCA COLA ZERO 350CC</t>
  </si>
  <si>
    <t>PROMO COCA COLA LIGHT 350CC</t>
  </si>
  <si>
    <t>PROMO SCHWEPPES GINGER ZERO 350CC</t>
  </si>
  <si>
    <t>PROMO FANTA 350CC</t>
  </si>
  <si>
    <t>PROMO SPRITE 350CC</t>
  </si>
  <si>
    <t>PROMO SPRITE ZERO 350CC</t>
  </si>
  <si>
    <t>PROMO SCHWEPPES TONICA 350CC</t>
  </si>
  <si>
    <t>PROMO FENTIMANS TONIC WATER</t>
  </si>
  <si>
    <t>PROMO FENTIMANS LIGHT WATER</t>
  </si>
  <si>
    <t>PROMO COCA COLA 237CC</t>
  </si>
  <si>
    <t>PROMO COCA COLA ZERO 237CC</t>
  </si>
  <si>
    <t>PROMO SPRITE 237CC</t>
  </si>
  <si>
    <t>BOTELLA ABSOLUT RAZZ</t>
  </si>
  <si>
    <t>BOTELLA ABSOLUT BLUE</t>
  </si>
  <si>
    <t>BOTELLA J RED</t>
  </si>
  <si>
    <t>BOTELLA JACK DANIELS 1 LTS</t>
  </si>
  <si>
    <t>D.PROMO ALTO CHEESE</t>
  </si>
  <si>
    <t>D.PROMO ALTO</t>
  </si>
  <si>
    <t>D.SIX PACK CORONA</t>
  </si>
  <si>
    <t xml:space="preserve">D.PROMO CORONA FAJITAS </t>
  </si>
  <si>
    <t>D.PROMO MOJITO CHEESE</t>
  </si>
  <si>
    <t xml:space="preserve">D.PROMO MOJITO QUESADILLAS </t>
  </si>
  <si>
    <t xml:space="preserve">D.PROMO APEROL SPRITZ </t>
  </si>
  <si>
    <t xml:space="preserve">D.PROMO APEROL SPRITZ SONATA </t>
  </si>
  <si>
    <t>D.PROMO RAMAZZOTI SPRITZ</t>
  </si>
  <si>
    <t>D.PROMO RAMAZZOTI SPRITZ SONATA</t>
  </si>
  <si>
    <t>D.PROMO DAIKIRI CHEESE</t>
  </si>
  <si>
    <t>D.PROMO JACK RED BULL</t>
  </si>
  <si>
    <t>D.PROMO JACK RED BULL CHEESE</t>
  </si>
  <si>
    <t xml:space="preserve">D.PROMO JAGER RED BULL </t>
  </si>
  <si>
    <t>D.PROMO JAGER RED BULL CHEESE</t>
  </si>
  <si>
    <t xml:space="preserve">D.PROMO MARGARITA </t>
  </si>
  <si>
    <t xml:space="preserve">D.PROMO LONG ISLAND </t>
  </si>
  <si>
    <t xml:space="preserve">D.PROMO LONG ISLAND CHEESE </t>
  </si>
  <si>
    <t xml:space="preserve">D.PROMO PISCO SOUR QUESADILLAS </t>
  </si>
  <si>
    <t xml:space="preserve">D.PROMO MOJITO CORONA </t>
  </si>
  <si>
    <t xml:space="preserve">D.PROMO CAIPIROSKA </t>
  </si>
  <si>
    <t xml:space="preserve">D.PROMO CAIPIROSKA CHEESE </t>
  </si>
  <si>
    <t>D.PROMO MOJITO RAZZ</t>
  </si>
  <si>
    <t xml:space="preserve">D.PROMO MOJITO RAZZ CHEESE </t>
  </si>
  <si>
    <t xml:space="preserve">D.PROMO MOJITO STOLICH </t>
  </si>
  <si>
    <t>D.PROMO MOJITO STOLICH CHEESE</t>
  </si>
  <si>
    <t xml:space="preserve">D.PROMO JAGER TONIC </t>
  </si>
  <si>
    <t>D.PROMO JAGER TONIC CHEESE</t>
  </si>
  <si>
    <t>D.PROMO MOJITO MARACUYA</t>
  </si>
  <si>
    <t>D.PROMO MOJ. MARACUYA CHEESE</t>
  </si>
  <si>
    <t>D.PROMO MOJ. MARACUYA TRILOGIA</t>
  </si>
  <si>
    <t>D.PROMO MOJ. FRAMBUESA CHEESE</t>
  </si>
  <si>
    <t>D.PROMO MOJ. FRAMBUESA TRILOGIA</t>
  </si>
  <si>
    <t xml:space="preserve">D.RED BULL </t>
  </si>
  <si>
    <t>D.RED BULL YELLOW</t>
  </si>
  <si>
    <t xml:space="preserve">D.MONSTER </t>
  </si>
  <si>
    <t xml:space="preserve">D.PROMO MONSTER </t>
  </si>
  <si>
    <t>D.COCA ZERO 1.5</t>
  </si>
  <si>
    <t>D.TONICA 1.5</t>
  </si>
  <si>
    <t>D.GINGER ZERO 1.5</t>
  </si>
  <si>
    <t>D.COCA ZERO 350CC</t>
  </si>
  <si>
    <t>D.SPRITE ZERO 350CC</t>
  </si>
  <si>
    <t>D.COCA NORMAL 350CC</t>
  </si>
  <si>
    <t>D.CORONA</t>
  </si>
  <si>
    <t>D.BUDWEISER</t>
  </si>
  <si>
    <t>I. CAMEMBERT</t>
  </si>
  <si>
    <t>I. SALSA CHEDDAR</t>
  </si>
  <si>
    <t>I. CHICKEN FINGER</t>
  </si>
  <si>
    <t>I. REINETA</t>
  </si>
  <si>
    <t>D.CHEESE TECLADOS</t>
  </si>
  <si>
    <t>D.FAJITAS</t>
  </si>
  <si>
    <t>D.TOTOPOS</t>
  </si>
  <si>
    <t>D.EMPANADAS</t>
  </si>
  <si>
    <t>D.CRUDO TECLADOS</t>
  </si>
  <si>
    <t>D.QUESADILLA CAMARON</t>
  </si>
  <si>
    <t>D.QUESADILLA CARNE</t>
  </si>
  <si>
    <t>D.CHEESE CHAMPIGNON</t>
  </si>
  <si>
    <t>D.CHEESE FRITAS GRANDES</t>
  </si>
  <si>
    <t>D.SONATA TECLADOS</t>
  </si>
  <si>
    <t>Alto del Carmen 40°</t>
  </si>
  <si>
    <t>Brujas de Salamanca 35°</t>
  </si>
  <si>
    <t>Brujas de Salamanca 40°</t>
  </si>
  <si>
    <t>Caliterra Cabernet Sauvignon</t>
  </si>
  <si>
    <t>Caliterra Sauvignon Blanc</t>
  </si>
  <si>
    <t>D.CAMEMBERT APANADO</t>
  </si>
  <si>
    <t>D.CHEESE CAMARON</t>
  </si>
  <si>
    <t>D.COCA NORMAL1.5</t>
  </si>
  <si>
    <t>D.FESTIVAL TECLADOS</t>
  </si>
  <si>
    <t>D.LOMO SALTADO</t>
  </si>
  <si>
    <t>D.PALOS DE QUESO</t>
  </si>
  <si>
    <t>D.PICNIC TECLADOS</t>
  </si>
  <si>
    <t>D.PROMO CAIPIRINA</t>
  </si>
  <si>
    <t>D.SPRING ROLLS</t>
  </si>
  <si>
    <t>Daiquiri XL Frambuesa</t>
  </si>
  <si>
    <t>Daiquiri XL Frutilla</t>
  </si>
  <si>
    <t>Errazuriz Cabernet Sauvignon</t>
  </si>
  <si>
    <t>Fajita</t>
  </si>
  <si>
    <t>HH Mojito Corona</t>
  </si>
  <si>
    <t>Margarita XL Blue</t>
  </si>
  <si>
    <t>Margarita XL Frambuesa</t>
  </si>
  <si>
    <t>Menu Salmon Salad</t>
  </si>
  <si>
    <t>Menu copa de vino blanco</t>
  </si>
  <si>
    <t>Menu copa de vino tinto</t>
  </si>
  <si>
    <t>Mistral 35°</t>
  </si>
  <si>
    <t>Mistral Nobel 40°</t>
  </si>
  <si>
    <t>Mojito Absolut</t>
  </si>
  <si>
    <t>Morande Reserva Cabernet Sauvignon</t>
  </si>
  <si>
    <t>Morande Reserva Carmenere</t>
  </si>
  <si>
    <t>Promo Alto 35° + Monster</t>
  </si>
  <si>
    <t>Promo Alto 35° + Redbull</t>
  </si>
  <si>
    <t>Promo Alto 40° Reservado</t>
  </si>
  <si>
    <t>Promo Mistral 35° + Redbull</t>
  </si>
  <si>
    <t>Stolichnaya Premium</t>
  </si>
  <si>
    <t>D.POLLO AL LIMON</t>
  </si>
  <si>
    <t>D.BIG MECHADA</t>
  </si>
  <si>
    <t>I. TOCINO</t>
  </si>
  <si>
    <t>I. LECHUGA HIDROPONICA</t>
  </si>
  <si>
    <t>DOBLE CHEESE BURGER</t>
  </si>
  <si>
    <t>I. LECHUGA COSTINA</t>
  </si>
  <si>
    <t>ERRAZURIZ SAUVIGNON BLANC</t>
  </si>
  <si>
    <t>CALITERRA  MERLOT</t>
  </si>
  <si>
    <t>MARGARITA</t>
  </si>
  <si>
    <t>I. STOLI PEPINO</t>
  </si>
  <si>
    <t>CUSQUEÑA GOLDEN LAGER</t>
  </si>
  <si>
    <t>CUSQUEÑA DARK LAGER</t>
  </si>
  <si>
    <t>CUSQUEÑA RED LAGER</t>
  </si>
  <si>
    <t>CUSQUEÑA TRIGO</t>
  </si>
  <si>
    <t>I. PULPA FRUTILLA</t>
  </si>
  <si>
    <t>I. CHEESECAKE</t>
  </si>
  <si>
    <t>I. COCA COLA 237CC</t>
  </si>
  <si>
    <t>I. COCA ZERO 237CC</t>
  </si>
  <si>
    <t>I. SPRITE 237CC</t>
  </si>
  <si>
    <t>D.PAPAS GRANDES</t>
  </si>
  <si>
    <t>D.TARTARO SALMON</t>
  </si>
  <si>
    <t xml:space="preserve">D.PROMO CAIPIRINA CHEESE </t>
  </si>
  <si>
    <t>D.PROMO PINA COLADA</t>
  </si>
  <si>
    <t>HH Caipirinha</t>
  </si>
  <si>
    <t>HH Caipirinha Frambuesa</t>
  </si>
  <si>
    <t>HH Caipirinha Frutilla</t>
  </si>
  <si>
    <t>HH Caipirinha Mango</t>
  </si>
  <si>
    <t>HH Cosmopolitan</t>
  </si>
  <si>
    <t>HH Daiquiri Frambuesa</t>
  </si>
  <si>
    <t>HH Daiquiri Frutilla</t>
  </si>
  <si>
    <t>HH Daiquiri Mango</t>
  </si>
  <si>
    <t>HH Margarita</t>
  </si>
  <si>
    <t>HH Margarita Blue</t>
  </si>
  <si>
    <t>HH Margarita Frambuesa</t>
  </si>
  <si>
    <t>HH Margarita Frutilla</t>
  </si>
  <si>
    <t>HH Pisco Sour</t>
  </si>
  <si>
    <t>Promo Redbull</t>
  </si>
  <si>
    <t>Alto 40° Reservado</t>
  </si>
  <si>
    <t>Brownie con Helado</t>
  </si>
  <si>
    <t>CLASICO TECLADOS</t>
  </si>
  <si>
    <t>Caiproska Frambuesa</t>
  </si>
  <si>
    <t>Ceviche Mixto</t>
  </si>
  <si>
    <t>Cheese Teclados</t>
  </si>
  <si>
    <t>Cheesecake</t>
  </si>
  <si>
    <t>D.CHEESE MECHADA</t>
  </si>
  <si>
    <t>D.CHICKEN FINGERS</t>
  </si>
  <si>
    <t>D.MOJITO CORONA CHEESE</t>
  </si>
  <si>
    <t>D.PROMO MARGARITA CHEESE</t>
  </si>
  <si>
    <t>D.QUESADILLAS POLLO CHAMPIGNON</t>
  </si>
  <si>
    <t>Daiquiri Futilla</t>
  </si>
  <si>
    <t>EXTRA SALSA CHEDDAR</t>
  </si>
  <si>
    <t>EXTRA TOSTADAS</t>
  </si>
  <si>
    <t>Extra Palta</t>
  </si>
  <si>
    <t>Extra churrasco</t>
  </si>
  <si>
    <t>Jack Daniels Fire</t>
  </si>
  <si>
    <t>Jagermeister</t>
  </si>
  <si>
    <t>Johnnie Walker Black</t>
  </si>
  <si>
    <t>Johnnie Walker Red</t>
  </si>
  <si>
    <t>Michelada</t>
  </si>
  <si>
    <t>Monster Zero</t>
  </si>
  <si>
    <t>POLLO MIX</t>
  </si>
  <si>
    <t>Pisco Sour Alto 35°</t>
  </si>
  <si>
    <t>Pisco Sour Mistral 35°</t>
  </si>
  <si>
    <t>Promo Fentimans Tónica</t>
  </si>
  <si>
    <t>SCHOP LEFFE</t>
  </si>
  <si>
    <t>Schweppes Ginger Zero 350cc</t>
  </si>
  <si>
    <t>I. PALMITO</t>
  </si>
  <si>
    <t>I. ATUN 180GR PORCION</t>
  </si>
  <si>
    <t>I. LIMON PICA</t>
  </si>
  <si>
    <t>I. MENTA</t>
  </si>
  <si>
    <t>I. MEDALLA REAL CARMENERE</t>
  </si>
  <si>
    <t>MEDALLA REAL RESERVA CHARDONNAY</t>
  </si>
  <si>
    <t>I. MEDALLA REAL CHARDONNAY</t>
  </si>
  <si>
    <t>MEDALLA REAL CABERNET SAUVIGNON</t>
  </si>
  <si>
    <t>I. MEDALLA CABER</t>
  </si>
  <si>
    <t>CARMEN GRAN RESERVA CABERNET SAUV</t>
  </si>
  <si>
    <t>I. RESERVA CAB SAV</t>
  </si>
  <si>
    <t>MEDALLA REAL RESERVA CARMENERE</t>
  </si>
  <si>
    <t>I. MEDALLA CARME</t>
  </si>
  <si>
    <t>I. RESERVA CARME</t>
  </si>
  <si>
    <t>MEDALLA REAL RESERVA BLANCO CHARDONNAY</t>
  </si>
  <si>
    <t>I. MEDALLA BLANC CHAR</t>
  </si>
  <si>
    <t>CASA REAL MERLOT</t>
  </si>
  <si>
    <t>I. MEDALLA MERLOT</t>
  </si>
  <si>
    <t>Caipiroska Frutilla</t>
  </si>
  <si>
    <t>The Singleton 12</t>
  </si>
  <si>
    <t>Daiquiri Limón</t>
  </si>
  <si>
    <t>Margarita Blue</t>
  </si>
  <si>
    <t>I. AMARETO</t>
  </si>
  <si>
    <t>I. LICOR DE CAFé</t>
  </si>
  <si>
    <t>I. LICOR DE WISKY</t>
  </si>
  <si>
    <t>I. LICOR DE CAFÉ</t>
  </si>
  <si>
    <t>I. CUSQUENA GOLDEN</t>
  </si>
  <si>
    <t>I. CUSQUENA DARK</t>
  </si>
  <si>
    <t>I. CUSQUENA RED LAGER</t>
  </si>
  <si>
    <t>Promo Brujas de Salamanca 35</t>
  </si>
  <si>
    <t>D.TECLADOS BURGER</t>
  </si>
  <si>
    <t>D.DOBLE CHEESE BURGER</t>
  </si>
  <si>
    <t>D. PROMO CORONA CHEESE</t>
  </si>
  <si>
    <t>D.PROMO MOJITO</t>
  </si>
  <si>
    <t>D.PROMO PISCO SOUR</t>
  </si>
  <si>
    <t>D.PROMO SANGRIA</t>
  </si>
  <si>
    <t>D.PROMO SANGRIA CHEESE</t>
  </si>
  <si>
    <t>D.PROMO PINA COLADA CHEESE</t>
  </si>
  <si>
    <t>D.AGUA CON GAS 1.6</t>
  </si>
  <si>
    <t>DOBLE CHEESE NOT BURGER</t>
  </si>
  <si>
    <t>I. NOT HAMBURGUESA</t>
  </si>
  <si>
    <t>TECLADOS NOT BURGER</t>
  </si>
  <si>
    <t>I. GIN GABRI</t>
  </si>
  <si>
    <t>BULLEIT</t>
  </si>
  <si>
    <t>I. BULLEIT</t>
  </si>
  <si>
    <t>JW BLONDE</t>
  </si>
  <si>
    <t>I. JW BLONDE</t>
  </si>
  <si>
    <t>Mojito Mango</t>
  </si>
  <si>
    <t>Mojito Berries</t>
  </si>
  <si>
    <t>Mojito Frutilla</t>
  </si>
  <si>
    <t>I. BARRIL KM 24.7 IPA</t>
  </si>
  <si>
    <t>Schop KM 24/7 Amber Lager</t>
  </si>
  <si>
    <t>I. BARRIL KM 24.7</t>
  </si>
  <si>
    <t>HH Mojito Mango</t>
  </si>
  <si>
    <t>HH Mojito Berries</t>
  </si>
  <si>
    <t>HH Mojito Frutilla</t>
  </si>
  <si>
    <t>I. LEFFE</t>
  </si>
  <si>
    <t>Schweppes Tonica 350cc</t>
  </si>
  <si>
    <t>HH BECKER MICHELADA</t>
  </si>
  <si>
    <t>HH Schop Becker</t>
  </si>
  <si>
    <t>D.LOMO A LO POBRE</t>
  </si>
  <si>
    <t>D.VEGETARIANO</t>
  </si>
  <si>
    <t>D.CLASICO TECLADOS</t>
  </si>
  <si>
    <t>D.CAMENBERT APANADO</t>
  </si>
  <si>
    <t>I. CALITERRA SAUVN</t>
  </si>
  <si>
    <t>I. CALITERRA CHARN</t>
  </si>
  <si>
    <t>I. CALITERRA CABER</t>
  </si>
  <si>
    <t>I. CALITERRA CARME</t>
  </si>
  <si>
    <t>I. CALITERRA MERLT</t>
  </si>
  <si>
    <t>I. MORANDE CARMENERE</t>
  </si>
  <si>
    <t>I. MORANDE CAB SAV</t>
  </si>
  <si>
    <t>SCHOP BUDWISER</t>
  </si>
  <si>
    <t>I. BARRIL BUDWEISER</t>
  </si>
  <si>
    <t>Extra Camaron</t>
  </si>
  <si>
    <t>Extra Champignon</t>
  </si>
  <si>
    <t>Extra crema acida</t>
  </si>
  <si>
    <t>Extra guacamole</t>
  </si>
  <si>
    <t>Extra tocino</t>
  </si>
  <si>
    <t>Extra tortilla</t>
  </si>
  <si>
    <t>Cafe Doble</t>
  </si>
  <si>
    <t>I. CAFÉ</t>
  </si>
  <si>
    <t>Cafe Simple</t>
  </si>
  <si>
    <t>MENU CRUDO</t>
  </si>
  <si>
    <t>EXTRA AJI AMARILLO</t>
  </si>
  <si>
    <t>Extra Pollo</t>
  </si>
  <si>
    <t>Extra Burger</t>
  </si>
  <si>
    <t>Extra Pico de gallo</t>
  </si>
  <si>
    <t>Not Burger</t>
  </si>
  <si>
    <t>D.POLLO CRISPY MIX</t>
  </si>
  <si>
    <t>Bot. Alto 35°</t>
  </si>
  <si>
    <t>Chicken Finger</t>
  </si>
  <si>
    <t>BULLEIT TONIC</t>
  </si>
  <si>
    <t>Cheddar´s cheese individual</t>
  </si>
  <si>
    <t>Cheese Individual</t>
  </si>
  <si>
    <t>GIN GABRI</t>
  </si>
  <si>
    <t>Violetto Spritz</t>
  </si>
  <si>
    <t>Johnnie Fruity</t>
  </si>
  <si>
    <t>Johnnie Ginger</t>
  </si>
  <si>
    <t>MEDALLA REAL RVA CARMENER</t>
  </si>
  <si>
    <t>MOJITO JAGER</t>
  </si>
  <si>
    <t>CARMEN RVA FRIDA KAHLO CARME</t>
  </si>
  <si>
    <t>EMPANADAS MIXTAS</t>
  </si>
  <si>
    <t xml:space="preserve">D.PROMO DAIKIRI </t>
  </si>
  <si>
    <t>CALITERRA  CARMENERE</t>
  </si>
  <si>
    <t>I. RAMAZZOTTI VIOLETTO</t>
  </si>
  <si>
    <t>RED BULL YELLOW</t>
  </si>
  <si>
    <t>Extra salsa ajo</t>
  </si>
  <si>
    <t>Cheddar's cheese grandes</t>
  </si>
  <si>
    <t>Jagermeister Mojito</t>
  </si>
  <si>
    <t>Menu Ceviche Salmon</t>
  </si>
  <si>
    <t>Schop 24/7 Amber Lager</t>
  </si>
  <si>
    <t>Schop 24/7 Ipa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</si>
  <si>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</si>
  <si>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</si>
  <si>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</si>
  <si>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</si>
  <si>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</si>
  <si>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</si>
  <si>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</si>
  <si>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</si>
  <si>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</si>
  <si>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</si>
  <si>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</si>
  <si>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</si>
  <si>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</si>
  <si>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</si>
  <si>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</si>
  <si>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D.PROMO MOJ. FRMABUESA</t>
  </si>
  <si>
    <t>Mojito Paris</t>
  </si>
  <si>
    <t>Cheddar's cheese grande</t>
  </si>
  <si>
    <t>Copa espumante</t>
  </si>
  <si>
    <t>M. SALMON A LA PLANCHA</t>
  </si>
  <si>
    <t>P- MOJITO FRAMBUESA</t>
  </si>
  <si>
    <t>P. MOJITO CLASICO</t>
  </si>
  <si>
    <t>P. MOJITO MANGO</t>
  </si>
  <si>
    <t>P. MOJITO MARACUYA</t>
  </si>
  <si>
    <t>Cheddar's cheese individuales</t>
  </si>
  <si>
    <t>M. CARNE MECHADA</t>
  </si>
  <si>
    <t>M. PAPAS FRITAS</t>
  </si>
  <si>
    <t>M. POLLO A LA PLANCHA</t>
  </si>
  <si>
    <t>M. POLLO AL CURRY</t>
  </si>
  <si>
    <t>M. POLLO AL LIMON</t>
  </si>
  <si>
    <t>MENU WRAP POLLO</t>
  </si>
  <si>
    <t>Empanadas Mixta</t>
  </si>
  <si>
    <t>M. SALMON PLANCHA</t>
  </si>
  <si>
    <t>P. Mojito Frambuesa</t>
  </si>
  <si>
    <t>Schop KM24/7 IPA</t>
  </si>
  <si>
    <t>Cheddar's cheese individual</t>
  </si>
  <si>
    <t>P. Mojito Frutilla</t>
  </si>
  <si>
    <t>Riccadonna Chardonnay</t>
  </si>
  <si>
    <t>CARMEN GRAN RVA CS</t>
  </si>
  <si>
    <t>Tartaro Salmón</t>
  </si>
  <si>
    <t>PROMO MARGARITA</t>
  </si>
  <si>
    <t>PROMO SCHOP BECKER 2X</t>
  </si>
  <si>
    <t>SCHOP KM 24/7 IPA</t>
  </si>
  <si>
    <t>PROMO DAIKIRI</t>
  </si>
  <si>
    <t>Mojito Clasico2</t>
  </si>
  <si>
    <t>Mojito Frambuesa2</t>
  </si>
  <si>
    <t>Mojito Maracuya2</t>
  </si>
  <si>
    <t>Mojito Mango2</t>
  </si>
  <si>
    <t>Mojito Frutilla2</t>
  </si>
  <si>
    <t>Piscolon</t>
  </si>
  <si>
    <t>M. ARROZ</t>
  </si>
  <si>
    <t>MENU CON AGREGADO</t>
  </si>
  <si>
    <t>ARROZ CHAUFA</t>
  </si>
  <si>
    <t>Empanadas de queso</t>
  </si>
  <si>
    <t>A. PROMO ALTO</t>
  </si>
  <si>
    <t>Menu Tallarin Saltado</t>
  </si>
  <si>
    <t>QUESADILLA MECHADA</t>
  </si>
  <si>
    <t>I. SPAGHETTI</t>
  </si>
  <si>
    <t>Cheddar´s Cheese grande</t>
  </si>
  <si>
    <t>P.CHEESE TECLADOS</t>
  </si>
  <si>
    <t>TOTOPITOS</t>
  </si>
  <si>
    <t>COPA DE ESPUMANTE</t>
  </si>
  <si>
    <t>Promo Red Bull Light</t>
  </si>
  <si>
    <t>D.PROMO MOJ. FRAMBUESA</t>
  </si>
  <si>
    <t>126</t>
  </si>
  <si>
    <t>127</t>
  </si>
  <si>
    <t>128</t>
  </si>
  <si>
    <t>129</t>
  </si>
  <si>
    <t>130</t>
  </si>
  <si>
    <t>CARMEN GRAN RVA FRIDA KAHLO CAR</t>
  </si>
  <si>
    <t>Fernet Nero</t>
  </si>
  <si>
    <t>HH BECKER MICHELADO</t>
  </si>
  <si>
    <t>A.PROMO PISCO SOUR</t>
  </si>
  <si>
    <t>PROMO TANQUERAY ROYAL</t>
  </si>
  <si>
    <t>I. TANQUERAY ROYAL</t>
  </si>
  <si>
    <t>A. PROMO PISCO SOUR</t>
  </si>
  <si>
    <t>Cheddar´s Cheese grandes</t>
  </si>
  <si>
    <t>PROMO JOHNNIE BLONDE</t>
  </si>
  <si>
    <t>I. JOHNNIE BLONDE</t>
  </si>
  <si>
    <t>GIN TANQUERAY ROYAL</t>
  </si>
  <si>
    <t>D.PROMO MOJITO QUESADILLAS</t>
  </si>
  <si>
    <t>P.QUESADILLAS</t>
  </si>
  <si>
    <t>Extra Hamburguesa</t>
  </si>
  <si>
    <t>GIN TANQUERAY RAOYAL</t>
  </si>
  <si>
    <t>D.PROMO MOJITO CORONA</t>
  </si>
  <si>
    <t>MENU CRUDO TECLADOS</t>
  </si>
  <si>
    <t>GIN 97</t>
  </si>
  <si>
    <t>D.PROMO CORONA FAJITAS</t>
  </si>
  <si>
    <t>Festival Teclados</t>
  </si>
  <si>
    <t>Ramazzotti</t>
  </si>
  <si>
    <t>Schop Stella Artois</t>
  </si>
  <si>
    <t>Sonata Teclados</t>
  </si>
  <si>
    <t>Mojito Corona</t>
  </si>
  <si>
    <t>Picnic Teclados</t>
  </si>
  <si>
    <t>Sprite 350cc</t>
  </si>
  <si>
    <t>Coca Cola 350cc</t>
  </si>
  <si>
    <t>Tropical Gin</t>
  </si>
  <si>
    <t>Crudo</t>
  </si>
  <si>
    <t>Aperol Spritz</t>
  </si>
  <si>
    <t>Mango Colada</t>
  </si>
  <si>
    <t>Negroni</t>
  </si>
  <si>
    <t>Promo Schweppes Tonica 350cc</t>
  </si>
  <si>
    <t>Stella Artois Sin Alcohol</t>
  </si>
  <si>
    <t>Promo coca cola zero 350cc</t>
  </si>
  <si>
    <t>Promo coca cola zero 237cc</t>
  </si>
  <si>
    <t>Tanqueray London</t>
  </si>
  <si>
    <t>Teclados Burger</t>
  </si>
  <si>
    <t>Cheese Mechada</t>
  </si>
  <si>
    <t>Jack Daniels</t>
  </si>
  <si>
    <t>Quesadilla Camaron</t>
  </si>
  <si>
    <t>Pisco Sour</t>
  </si>
  <si>
    <t>Jugo Mango</t>
  </si>
  <si>
    <t>Mineral sin gas</t>
  </si>
  <si>
    <t>Corona</t>
  </si>
  <si>
    <t>Quesadilla Carne</t>
  </si>
  <si>
    <t>Totopos</t>
  </si>
  <si>
    <t>Limonada</t>
  </si>
  <si>
    <t>Big Mechada</t>
  </si>
  <si>
    <t>Moscow Mule</t>
  </si>
  <si>
    <t>Doble Cheese NOT Burger</t>
  </si>
  <si>
    <t>WRAP DE POLLO</t>
  </si>
  <si>
    <t>Promo Schweppes Ginger zero 350cc</t>
  </si>
  <si>
    <t>WRAP VEGGIE</t>
  </si>
  <si>
    <t>Coca Cola Light 350cc</t>
  </si>
  <si>
    <t>Clavo Oxidado</t>
  </si>
  <si>
    <t>Papas Fritas Grandes</t>
  </si>
  <si>
    <t>Empanadas Mixtas</t>
  </si>
  <si>
    <t>Doble Cheese Burger</t>
  </si>
  <si>
    <t>Margarita</t>
  </si>
  <si>
    <t>London Mule</t>
  </si>
  <si>
    <t>Cheese Camarones</t>
  </si>
  <si>
    <t>God Father</t>
  </si>
  <si>
    <t>Budweiser</t>
  </si>
  <si>
    <t>Hendricks</t>
  </si>
  <si>
    <t>Jugo Frutilla</t>
  </si>
  <si>
    <t>Mamacita</t>
  </si>
  <si>
    <t>CORONA TROPICAL</t>
  </si>
  <si>
    <t>Vaso Sangria</t>
  </si>
  <si>
    <t>Promo Coca cola Light 350cc</t>
  </si>
  <si>
    <t>Mineral con gas</t>
  </si>
  <si>
    <t>CORONA SUNRISE</t>
  </si>
  <si>
    <t>TECLADOS SMOKED</t>
  </si>
  <si>
    <t>Caipirinha Tradicional</t>
  </si>
  <si>
    <t>HH JOHNNIE ROJO FRUITY</t>
  </si>
  <si>
    <t>HH JOHNNIE ROJO GINGER</t>
  </si>
  <si>
    <t>Margarita Frambuesa</t>
  </si>
  <si>
    <t>CHURRASCO MARINO</t>
  </si>
  <si>
    <t>Florence Spritz</t>
  </si>
  <si>
    <t>MARACUYA SOUR</t>
  </si>
  <si>
    <t>Martini Dry</t>
  </si>
  <si>
    <t>Espumante de la casa</t>
  </si>
  <si>
    <t>Etiquetas de fila</t>
  </si>
  <si>
    <t>Recuento de T1 CODIGO</t>
  </si>
  <si>
    <t>2 Shot Tequila Jimador</t>
  </si>
  <si>
    <t>Absolut Blue</t>
  </si>
  <si>
    <t>AROS DE CEBOLLA APANADO</t>
  </si>
  <si>
    <t>Atardecer de Plata</t>
  </si>
  <si>
    <t>Beach Boys</t>
  </si>
  <si>
    <t>Beefeater</t>
  </si>
  <si>
    <t>Berlin Mule</t>
  </si>
  <si>
    <t>Black Russian</t>
  </si>
  <si>
    <t>Bloody Mary</t>
  </si>
  <si>
    <t>Blue</t>
  </si>
  <si>
    <t>Cafe Americano</t>
  </si>
  <si>
    <t>Caipirinha Frambuesa</t>
  </si>
  <si>
    <t>Caipirinha Sabores 2X</t>
  </si>
  <si>
    <t>Camarones al Pil Pil</t>
  </si>
  <si>
    <t>CARIÑOSITO</t>
  </si>
  <si>
    <t>CHARDONAY SOUR</t>
  </si>
  <si>
    <t>Chardonnay Sour X2</t>
  </si>
  <si>
    <t>Cheese Champiñones</t>
  </si>
  <si>
    <t>Cheese Fritas Grandes</t>
  </si>
  <si>
    <t>clasico</t>
  </si>
  <si>
    <t>CORONA 0.0</t>
  </si>
  <si>
    <t>CORONA DEEP BLUE</t>
  </si>
  <si>
    <t>Cosmopolitan</t>
  </si>
  <si>
    <t>Cosmopolitan 2X</t>
  </si>
  <si>
    <t>Cusqueña Golden Lager</t>
  </si>
  <si>
    <t>D.PROMO LONG ISLAND</t>
  </si>
  <si>
    <t>D.RED BULL</t>
  </si>
  <si>
    <t>Daiquiri 2X</t>
  </si>
  <si>
    <t>Daiquiri Frambuesa</t>
  </si>
  <si>
    <t>Daiquiri Mango</t>
  </si>
  <si>
    <t>EXPRESO MARTINI</t>
  </si>
  <si>
    <t>Extasis</t>
  </si>
  <si>
    <t>EXTRA CREMA ACIDA</t>
  </si>
  <si>
    <t>EXTRA GUACAMOLE</t>
  </si>
  <si>
    <t>EXTRA SALSA de AJO</t>
  </si>
  <si>
    <t>EXTRA TOCINO</t>
  </si>
  <si>
    <t>EXTRA TORTILLA</t>
  </si>
  <si>
    <t>Fanta 350cc</t>
  </si>
  <si>
    <t>Fentimans Ginger Beer</t>
  </si>
  <si>
    <t>Fernet Branca</t>
  </si>
  <si>
    <t>Frambuesa</t>
  </si>
  <si>
    <t>Frutilla</t>
  </si>
  <si>
    <t>GIN DE VERANO</t>
  </si>
  <si>
    <t>HH Chardonnay sour</t>
  </si>
  <si>
    <t>HH Crudo</t>
  </si>
  <si>
    <t>HH Doble Cheese Bruger</t>
  </si>
  <si>
    <t>HH Laguna azul</t>
  </si>
  <si>
    <t>HH MOJITO BERRIES</t>
  </si>
  <si>
    <t>HH MOJITO FRUTILLA</t>
  </si>
  <si>
    <t>HH MOJITO MANGO</t>
  </si>
  <si>
    <t>HH Totopos</t>
  </si>
  <si>
    <t>Jack Daniels Honey</t>
  </si>
  <si>
    <t>Jarro Sangria</t>
  </si>
  <si>
    <t>Johnnie Fruity 2X</t>
  </si>
  <si>
    <t>Johnnie Ginger 2X</t>
  </si>
  <si>
    <t>Jugo Frambuesa</t>
  </si>
  <si>
    <t>Kamikaze</t>
  </si>
  <si>
    <t>KENTUCKY MULE</t>
  </si>
  <si>
    <t>Laguna Azul</t>
  </si>
  <si>
    <t>Laguna Azul 2X</t>
  </si>
  <si>
    <t>Lomo a lo Pobre</t>
  </si>
  <si>
    <t>Long Island Ice Tea</t>
  </si>
  <si>
    <t>Maitai</t>
  </si>
  <si>
    <t>Maitai 2X</t>
  </si>
  <si>
    <t>Mango</t>
  </si>
  <si>
    <t>Maracuya</t>
  </si>
  <si>
    <t>margarita blue spicy</t>
  </si>
  <si>
    <t>Margarita Frutilla</t>
  </si>
  <si>
    <t>Margarita Sabores 2X</t>
  </si>
  <si>
    <t>Menu Coca cola 350cc</t>
  </si>
  <si>
    <t>Menu coca cola light 350cc</t>
  </si>
  <si>
    <t>Menu Coca cola zero 350cc</t>
  </si>
  <si>
    <t>Menu Fanta 350cc</t>
  </si>
  <si>
    <t>Menu Lomo a lo pobre</t>
  </si>
  <si>
    <t>Menu Lomo Saltado</t>
  </si>
  <si>
    <t>Menu Mineral con gas</t>
  </si>
  <si>
    <t>Menu Mineral sin gas</t>
  </si>
  <si>
    <t>Menu Pasta con Camarones</t>
  </si>
  <si>
    <t>Menu Pollo a lo pobre</t>
  </si>
  <si>
    <t>Menu Pollo al Curry</t>
  </si>
  <si>
    <t>Menu Pollo al Limon</t>
  </si>
  <si>
    <t>Menu Salmon a la plancha</t>
  </si>
  <si>
    <t>Menu Salmon a lo Pobre</t>
  </si>
  <si>
    <t>Menu Schop Stella</t>
  </si>
  <si>
    <t>Menu Schweppes Ginger zero 350cc</t>
  </si>
  <si>
    <t>Menu Sprite 350cc</t>
  </si>
  <si>
    <t>Menu Sprite Zero 350cc</t>
  </si>
  <si>
    <t>MERLUZA A LO POBRE</t>
  </si>
  <si>
    <t>Mojito Absolut Mango</t>
  </si>
  <si>
    <t>Mojito Absolut Razz</t>
  </si>
  <si>
    <t>Mojito Absolut Vainilla</t>
  </si>
  <si>
    <t>MOJITO BERRIES</t>
  </si>
  <si>
    <t>MOJITO CORONA 0.0</t>
  </si>
  <si>
    <t>Mojito Corona 2X</t>
  </si>
  <si>
    <t>MOJITO FRUTILLA</t>
  </si>
  <si>
    <t>Mojito Jack Daniels</t>
  </si>
  <si>
    <t>MOJITO MANGO</t>
  </si>
  <si>
    <t>Mojito Sabores 2X</t>
  </si>
  <si>
    <t>Mojito Sin Alcohol</t>
  </si>
  <si>
    <t>Mojito Tanqueray Sevilla</t>
  </si>
  <si>
    <t>Mojito Xl</t>
  </si>
  <si>
    <t>Palos de Queso</t>
  </si>
  <si>
    <t>Pampero Aniversario</t>
  </si>
  <si>
    <t>Pampero Especial</t>
  </si>
  <si>
    <t>Piña Colada Sin Alcohol</t>
  </si>
  <si>
    <t>Pisco Sour 2X</t>
  </si>
  <si>
    <t>Promo coca cola 237cc</t>
  </si>
  <si>
    <t>Promo Coca cola 350cc</t>
  </si>
  <si>
    <t>Promo Fentimans Tónica Light</t>
  </si>
  <si>
    <t>Promo pisco Sour</t>
  </si>
  <si>
    <t>Promo Sprite 237cc</t>
  </si>
  <si>
    <t>Pumpkin</t>
  </si>
  <si>
    <t>QUESADILLA CHAMPIÑON</t>
  </si>
  <si>
    <t>Red Bull normal</t>
  </si>
  <si>
    <t>Red Bull sugar free</t>
  </si>
  <si>
    <t>Red Bull yellow</t>
  </si>
  <si>
    <t>Schop Becker</t>
  </si>
  <si>
    <t>Schop Becker 2X</t>
  </si>
  <si>
    <t>Schop Becker Michelado 2X</t>
  </si>
  <si>
    <t>Sex on The beach</t>
  </si>
  <si>
    <t>Shot Jack Daniels Fire</t>
  </si>
  <si>
    <t>Shot Tequila Jimador</t>
  </si>
  <si>
    <t>Sprite Zero 350cc</t>
  </si>
  <si>
    <t>Stella Artois</t>
  </si>
  <si>
    <t>Tanqueray Sevilla</t>
  </si>
  <si>
    <t>Teclados  NOT Burger</t>
  </si>
  <si>
    <t>Tennesse Mule</t>
  </si>
  <si>
    <t>Tequila Sunrise</t>
  </si>
  <si>
    <t>Whiskey Sour 2X</t>
  </si>
  <si>
    <t>White Russian</t>
  </si>
  <si>
    <t>WRAP ACEVICHADO</t>
  </si>
  <si>
    <t>WRAP DE MECHADA</t>
  </si>
  <si>
    <t>Total general</t>
  </si>
  <si>
    <t>Recuento de T2 0</t>
  </si>
  <si>
    <t>(en blanco)</t>
  </si>
  <si>
    <t>Recuento de T3 CODIGO</t>
  </si>
  <si>
    <t>Absolut Razz</t>
  </si>
  <si>
    <t>AJI VERDE SOUR</t>
  </si>
  <si>
    <t>Caipirinha Frutilla</t>
  </si>
  <si>
    <t>Caipirinha Mango</t>
  </si>
  <si>
    <t>Caipiroska Tradicional</t>
  </si>
  <si>
    <t>D.COCA NORMAL 1.5</t>
  </si>
  <si>
    <t>D.PROMO LONG ISLAND CHEESE</t>
  </si>
  <si>
    <t>Ghost Blood</t>
  </si>
  <si>
    <t>halloween</t>
  </si>
  <si>
    <t>HH Maitai</t>
  </si>
  <si>
    <t>Jagermeister + Bebida</t>
  </si>
  <si>
    <t>Maleficent</t>
  </si>
  <si>
    <t>margarita maracuya spicy</t>
  </si>
  <si>
    <t>margarita spicy</t>
  </si>
  <si>
    <t>Margarita XL</t>
  </si>
  <si>
    <t>Mojito Clasico 2X</t>
  </si>
  <si>
    <t>Mojito Tanqueray Royale</t>
  </si>
  <si>
    <t>Nashville Honey</t>
  </si>
  <si>
    <t>Promo Margarita</t>
  </si>
  <si>
    <t>Promo Sprite 350cc</t>
  </si>
  <si>
    <t>Promo Sprite Zero 350cc</t>
  </si>
  <si>
    <t>RED BULL FRUTA DEL DRAGON</t>
  </si>
  <si>
    <t>Tanqueray Ten</t>
  </si>
  <si>
    <t>Zacapa Ambar</t>
  </si>
  <si>
    <t>Recuento de T4 CODIGO</t>
  </si>
  <si>
    <t>B.CRUDO</t>
  </si>
  <si>
    <t>Baileys</t>
  </si>
  <si>
    <t>NOT Burger</t>
  </si>
  <si>
    <t>Recuento de T5 CODIGO</t>
  </si>
  <si>
    <t>Recuento de T6 CODIGO</t>
  </si>
  <si>
    <t>2 Shot Jack Daniels Fire</t>
  </si>
  <si>
    <t>Caipiroska Mango</t>
  </si>
  <si>
    <t>Campari Naranja</t>
  </si>
  <si>
    <t>EXTRA BURGER</t>
  </si>
  <si>
    <t>EXTRAS</t>
  </si>
  <si>
    <t>HH WHISKEY SOUR JHONNIE ROJO</t>
  </si>
  <si>
    <t>Margarita XL Frutilla</t>
  </si>
  <si>
    <t>Vat 69</t>
  </si>
  <si>
    <t>Cusqueña Trigo</t>
  </si>
  <si>
    <t>EXTRA PICO DE GALLO</t>
  </si>
  <si>
    <t>Kir Royal</t>
  </si>
  <si>
    <t>Riccadonna Moscato Rose</t>
  </si>
  <si>
    <t>Smirnoff</t>
  </si>
  <si>
    <t>Ticket de Evento</t>
  </si>
  <si>
    <t>Recuento de T7 CODIGO</t>
  </si>
  <si>
    <t>ID</t>
  </si>
  <si>
    <t>Suma de VALOR CON BEBIDA</t>
  </si>
  <si>
    <t>Suma de VALOR SIN BEBIDA</t>
  </si>
  <si>
    <t>Columna1</t>
  </si>
  <si>
    <t>VALORIZACION</t>
  </si>
  <si>
    <t>SUBTOTAL</t>
  </si>
  <si>
    <t>Columna2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</si>
</sst>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  <fill>
      <patternFill patternType="solid">
        <fgColor rgb="FF00FF00"/>
        <bgColor rgb="FF00FF00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9CC2E5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9CC2E5"/>
      </left>
      <right/>
      <top style="thin">
        <color rgb="FF9CC2E5"/>
      </top>
      <bottom style="thin">
        <color rgb="FF9CC2E5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52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/>
    <xf numFmtId="0" fontId="2" fillId="0" borderId="15" xfId="0" applyFont="1" applyBorder="1"/>
    <xf numFmtId="0" fontId="0" fillId="2" borderId="16" xfId="0" applyFill="1" applyBorder="1"/>
    <xf numFmtId="0" fontId="5" fillId="0" borderId="17" xfId="0" applyFont="1" applyBorder="1"/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/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/>
    <xf numFmtId="0" fontId="5" fillId="0" borderId="28" xfId="0" applyFont="1" applyBorder="1" applyAlignment="1">
      <alignment horizontal="center" vertical="center"/>
    </xf>
    <xf numFmtId="0" fontId="5" fillId="0" borderId="30" xfId="0" applyFont="1" applyBorder="1"/>
    <xf numFmtId="0" fontId="5" fillId="0" borderId="31" xfId="0" applyFont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0" fontId="5" fillId="0" borderId="32" xfId="0" applyFont="1" applyBorder="1"/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/>
    <xf numFmtId="0" fontId="5" fillId="0" borderId="35" xfId="0" applyFont="1" applyBorder="1" applyAlignment="1">
      <alignment horizontal="center" vertical="center"/>
    </xf>
    <xf numFmtId="0" fontId="5" fillId="0" borderId="37" xfId="0" applyFont="1" applyBorder="1"/>
    <xf numFmtId="0" fontId="5" fillId="0" borderId="21" xfId="0" applyFont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3" borderId="35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38" xfId="0" applyFont="1" applyBorder="1" applyAlignment="1">
      <alignment horizontal="left"/>
    </xf>
    <xf numFmtId="0" fontId="6" fillId="3" borderId="28" xfId="0" applyFont="1" applyFill="1" applyBorder="1" applyAlignment="1">
      <alignment horizontal="center"/>
    </xf>
    <xf numFmtId="0" fontId="5" fillId="3" borderId="28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/>
    </xf>
    <xf numFmtId="0" fontId="5" fillId="3" borderId="19" xfId="0" applyFont="1" applyFill="1" applyBorder="1" applyAlignment="1">
      <alignment horizontal="center" vertical="center"/>
    </xf>
    <xf numFmtId="0" fontId="5" fillId="0" borderId="39" xfId="0" applyFont="1" applyBorder="1"/>
    <xf numFmtId="0" fontId="5" fillId="0" borderId="40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/>
    </xf>
    <xf numFmtId="0" fontId="5" fillId="3" borderId="40" xfId="0" applyFont="1" applyFill="1" applyBorder="1" applyAlignment="1">
      <alignment horizontal="center" vertical="center"/>
    </xf>
    <xf numFmtId="0" fontId="5" fillId="0" borderId="41" xfId="0" applyFont="1" applyBorder="1"/>
    <xf numFmtId="0" fontId="5" fillId="0" borderId="42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/>
    </xf>
    <xf numFmtId="0" fontId="5" fillId="3" borderId="42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/>
    </xf>
    <xf numFmtId="0" fontId="6" fillId="3" borderId="43" xfId="0" applyFont="1" applyFill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3" borderId="44" xfId="0" applyFont="1" applyFill="1" applyBorder="1" applyAlignment="1">
      <alignment horizontal="center"/>
    </xf>
    <xf numFmtId="0" fontId="5" fillId="3" borderId="33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/>
    </xf>
    <xf numFmtId="0" fontId="5" fillId="0" borderId="42" xfId="0" applyFont="1" applyBorder="1"/>
    <xf numFmtId="0" fontId="6" fillId="3" borderId="42" xfId="0" applyFont="1" applyFill="1" applyBorder="1" applyAlignment="1">
      <alignment horizontal="center"/>
    </xf>
    <xf numFmtId="0" fontId="5" fillId="3" borderId="25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3" xfId="0" applyFont="1" applyBorder="1"/>
    <xf numFmtId="0" fontId="5" fillId="0" borderId="21" xfId="0" applyFont="1" applyBorder="1"/>
    <xf numFmtId="0" fontId="5" fillId="0" borderId="35" xfId="0" applyFont="1" applyBorder="1"/>
    <xf numFmtId="0" fontId="7" fillId="0" borderId="17" xfId="0" applyFont="1" applyBorder="1" applyAlignment="1">
      <alignment vertical="center"/>
    </xf>
    <xf numFmtId="0" fontId="0" fillId="0" borderId="3" xfId="0" applyBorder="1"/>
    <xf numFmtId="0" fontId="5" fillId="3" borderId="19" xfId="0" applyFont="1" applyFill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7" fillId="0" borderId="37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/>
    <xf numFmtId="0" fontId="5" fillId="3" borderId="1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 applyAlignment="1">
      <alignment horizontal="center"/>
    </xf>
    <xf numFmtId="0" fontId="4" fillId="0" borderId="13" xfId="0" applyFont="1" applyBorder="1"/>
    <xf numFmtId="0" fontId="5" fillId="0" borderId="45" xfId="0" applyFont="1" applyBorder="1" applyAlignment="1">
      <alignment horizontal="center"/>
    </xf>
    <xf numFmtId="0" fontId="0" fillId="0" borderId="46" xfId="0" applyBorder="1"/>
    <xf numFmtId="0" fontId="5" fillId="3" borderId="6" xfId="0" applyFont="1" applyFill="1" applyBorder="1" applyAlignment="1">
      <alignment horizontal="center" vertical="center"/>
    </xf>
    <xf numFmtId="0" fontId="0" fillId="0" borderId="1" xfId="0" applyBorder="1"/>
    <xf numFmtId="0" fontId="5" fillId="0" borderId="38" xfId="0" applyFont="1" applyBorder="1" applyAlignment="1">
      <alignment horizontal="center" vertical="center"/>
    </xf>
    <xf numFmtId="0" fontId="6" fillId="3" borderId="35" xfId="0" applyFont="1" applyFill="1" applyBorder="1" applyAlignment="1">
      <alignment horizontal="center"/>
    </xf>
    <xf numFmtId="0" fontId="5" fillId="3" borderId="38" xfId="0" applyFont="1" applyFill="1" applyBorder="1" applyAlignment="1">
      <alignment horizontal="center" vertical="center"/>
    </xf>
    <xf numFmtId="0" fontId="5" fillId="0" borderId="38" xfId="0" applyFont="1" applyBorder="1" applyAlignment="1">
      <alignment horizontal="center"/>
    </xf>
    <xf numFmtId="0" fontId="6" fillId="3" borderId="21" xfId="0" applyFont="1" applyFill="1" applyBorder="1" applyAlignment="1">
      <alignment horizontal="center"/>
    </xf>
    <xf numFmtId="0" fontId="5" fillId="3" borderId="28" xfId="0" applyFont="1" applyFill="1" applyBorder="1" applyAlignment="1">
      <alignment horizontal="center"/>
    </xf>
    <xf numFmtId="0" fontId="5" fillId="3" borderId="42" xfId="0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49" xfId="0" applyFont="1" applyBorder="1" applyAlignment="1">
      <alignment horizontal="center" vertical="center"/>
    </xf>
    <xf numFmtId="0" fontId="6" fillId="3" borderId="25" xfId="0" applyFont="1" applyFill="1" applyBorder="1" applyAlignment="1">
      <alignment horizontal="center"/>
    </xf>
    <xf numFmtId="0" fontId="6" fillId="3" borderId="38" xfId="0" applyFont="1" applyFill="1" applyBorder="1" applyAlignment="1">
      <alignment horizontal="center"/>
    </xf>
    <xf numFmtId="0" fontId="2" fillId="0" borderId="48" xfId="0" applyFont="1" applyBorder="1"/>
    <xf numFmtId="0" fontId="2" fillId="0" borderId="1" xfId="0" applyFont="1" applyBorder="1"/>
    <xf numFmtId="0" fontId="5" fillId="0" borderId="0" xfId="0" applyFont="1"/>
    <xf numFmtId="0" fontId="5" fillId="5" borderId="38" xfId="0" applyFont="1" applyFill="1" applyBorder="1" applyAlignment="1">
      <alignment horizontal="left"/>
    </xf>
    <xf numFmtId="0" fontId="5" fillId="3" borderId="34" xfId="0" applyFont="1" applyFill="1" applyBorder="1"/>
    <xf numFmtId="0" fontId="5" fillId="3" borderId="50" xfId="0" applyFont="1" applyFill="1" applyBorder="1"/>
    <xf numFmtId="0" fontId="5" fillId="0" borderId="50" xfId="0" applyFont="1" applyBorder="1"/>
    <xf numFmtId="0" fontId="5" fillId="0" borderId="31" xfId="0" applyFont="1" applyBorder="1"/>
    <xf numFmtId="0" fontId="5" fillId="0" borderId="27" xfId="0" applyFont="1" applyBorder="1" applyAlignment="1">
      <alignment horizontal="left"/>
    </xf>
    <xf numFmtId="0" fontId="5" fillId="5" borderId="28" xfId="0" applyFont="1" applyFill="1" applyBorder="1" applyAlignment="1">
      <alignment horizontal="center"/>
    </xf>
    <xf numFmtId="0" fontId="5" fillId="0" borderId="30" xfId="0" applyFont="1" applyBorder="1" applyAlignment="1">
      <alignment horizontal="left"/>
    </xf>
    <xf numFmtId="0" fontId="5" fillId="0" borderId="51" xfId="0" applyFont="1" applyBorder="1"/>
    <xf numFmtId="0" fontId="5" fillId="5" borderId="38" xfId="0" applyFont="1" applyFill="1" applyBorder="1" applyAlignment="1">
      <alignment horizontal="center"/>
    </xf>
    <xf numFmtId="0" fontId="5" fillId="0" borderId="19" xfId="0" applyFont="1" applyBorder="1"/>
    <xf numFmtId="0" fontId="5" fillId="5" borderId="19" xfId="0" applyFont="1" applyFill="1" applyBorder="1" applyAlignment="1">
      <alignment horizontal="left"/>
    </xf>
    <xf numFmtId="0" fontId="5" fillId="0" borderId="52" xfId="0" applyFont="1" applyBorder="1"/>
    <xf numFmtId="0" fontId="5" fillId="0" borderId="22" xfId="0" applyFont="1" applyBorder="1"/>
    <xf numFmtId="0" fontId="5" fillId="0" borderId="28" xfId="0" applyFont="1" applyBorder="1"/>
    <xf numFmtId="0" fontId="5" fillId="0" borderId="21" xfId="0" applyFont="1" applyBorder="1" applyAlignment="1">
      <alignment horizontal="left"/>
    </xf>
    <xf numFmtId="0" fontId="5" fillId="3" borderId="21" xfId="0" applyFont="1" applyFill="1" applyBorder="1" applyAlignment="1">
      <alignment horizontal="left"/>
    </xf>
    <xf numFmtId="0" fontId="5" fillId="3" borderId="50" xfId="0" applyFont="1" applyFill="1" applyBorder="1" applyAlignment="1">
      <alignment horizontal="left"/>
    </xf>
    <xf numFmtId="0" fontId="5" fillId="0" borderId="50" xfId="0" applyFont="1" applyBorder="1" applyAlignment="1">
      <alignment horizontal="left"/>
    </xf>
    <xf numFmtId="0" fontId="5" fillId="3" borderId="0" xfId="0" applyFont="1" applyFill="1" applyAlignment="1">
      <alignment horizontal="left"/>
    </xf>
    <xf numFmtId="0" fontId="5" fillId="3" borderId="27" xfId="0" applyFont="1" applyFill="1" applyBorder="1" applyAlignment="1">
      <alignment horizontal="left"/>
    </xf>
    <xf numFmtId="0" fontId="5" fillId="0" borderId="37" xfId="0" applyFont="1" applyBorder="1" applyAlignment="1">
      <alignment horizontal="left"/>
    </xf>
    <xf numFmtId="0" fontId="0" fillId="0" borderId="6" xfId="0" applyBorder="1"/>
    <xf numFmtId="0" fontId="5" fillId="5" borderId="6" xfId="0" applyFont="1" applyFill="1" applyBorder="1" applyAlignment="1">
      <alignment horizontal="center"/>
    </xf>
    <xf numFmtId="0" fontId="0" fillId="0" borderId="9" xfId="0" applyBorder="1"/>
    <xf numFmtId="0" fontId="5" fillId="4" borderId="21" xfId="0" applyFont="1" applyFill="1" applyBorder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0" fillId="2" borderId="58" xfId="0" applyFill="1" applyBorder="1"/>
    <xf numFmtId="0" fontId="5" fillId="0" borderId="59" xfId="0" applyFont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0" fillId="0" borderId="62" xfId="0" applyBorder="1"/>
    <xf numFmtId="0" fontId="0" fillId="0" borderId="3" xfId="0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5" fillId="3" borderId="63" xfId="0" applyFont="1" applyFill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0" fillId="0" borderId="47" xfId="0" applyBorder="1"/>
    <xf numFmtId="0" fontId="0" fillId="0" borderId="65" xfId="0" applyBorder="1" applyAlignment="1">
      <alignment horizontal="center"/>
    </xf>
    <xf numFmtId="0" fontId="5" fillId="0" borderId="67" xfId="0" applyFont="1" applyBorder="1" applyAlignment="1">
      <alignment horizontal="center" vertical="center"/>
    </xf>
    <xf numFmtId="0" fontId="0" fillId="2" borderId="57" xfId="0" applyFill="1" applyBorder="1"/>
    <xf numFmtId="0" fontId="0" fillId="0" borderId="58" xfId="0" applyBorder="1"/>
    <xf numFmtId="0" fontId="5" fillId="3" borderId="59" xfId="0" applyFont="1" applyFill="1" applyBorder="1" applyAlignment="1">
      <alignment horizontal="center" vertical="center"/>
    </xf>
    <xf numFmtId="0" fontId="0" fillId="0" borderId="68" xfId="0" applyBorder="1"/>
    <xf numFmtId="0" fontId="5" fillId="0" borderId="69" xfId="0" applyFont="1" applyBorder="1" applyAlignment="1">
      <alignment horizontal="center" vertical="center"/>
    </xf>
    <xf numFmtId="0" fontId="0" fillId="0" borderId="70" xfId="0" applyBorder="1"/>
    <xf numFmtId="0" fontId="5" fillId="0" borderId="63" xfId="0" applyFont="1" applyBorder="1"/>
    <xf numFmtId="0" fontId="5" fillId="5" borderId="71" xfId="0" applyFont="1" applyFill="1" applyBorder="1" applyAlignment="1">
      <alignment horizontal="center"/>
    </xf>
    <xf numFmtId="0" fontId="5" fillId="0" borderId="72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0" fillId="2" borderId="73" xfId="0" applyFill="1" applyBorder="1"/>
    <xf numFmtId="0" fontId="5" fillId="5" borderId="21" xfId="0" applyFont="1" applyFill="1" applyBorder="1" applyAlignment="1">
      <alignment horizontal="center"/>
    </xf>
    <xf numFmtId="0" fontId="5" fillId="5" borderId="35" xfId="0" applyFont="1" applyFill="1" applyBorder="1" applyAlignment="1">
      <alignment horizontal="center"/>
    </xf>
    <xf numFmtId="0" fontId="5" fillId="5" borderId="31" xfId="0" applyFont="1" applyFill="1" applyBorder="1" applyAlignment="1">
      <alignment horizontal="center"/>
    </xf>
    <xf numFmtId="0" fontId="5" fillId="5" borderId="33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0" fillId="2" borderId="74" xfId="0" applyFill="1" applyBorder="1"/>
    <xf numFmtId="0" fontId="5" fillId="0" borderId="10" xfId="0" applyFont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0" fillId="0" borderId="9" xfId="0" applyBorder="1" applyAlignment="1">
      <alignment horizontal="center" vertical="center"/>
    </xf>
    <xf numFmtId="0" fontId="0" fillId="0" borderId="74" xfId="0" applyBorder="1"/>
    <xf numFmtId="0" fontId="0" fillId="0" borderId="14" xfId="0" applyBorder="1"/>
    <xf numFmtId="0" fontId="5" fillId="3" borderId="13" xfId="0" applyFont="1" applyFill="1" applyBorder="1"/>
    <xf numFmtId="0" fontId="5" fillId="3" borderId="7" xfId="0" applyFont="1" applyFill="1" applyBorder="1"/>
    <xf numFmtId="0" fontId="5" fillId="3" borderId="14" xfId="0" applyFont="1" applyFill="1" applyBorder="1"/>
    <xf numFmtId="0" fontId="4" fillId="2" borderId="13" xfId="0" applyFont="1" applyFill="1" applyBorder="1"/>
    <xf numFmtId="0" fontId="4" fillId="2" borderId="7" xfId="0" applyFont="1" applyFill="1" applyBorder="1"/>
    <xf numFmtId="0" fontId="4" fillId="2" borderId="14" xfId="0" applyFont="1" applyFill="1" applyBorder="1"/>
    <xf numFmtId="0" fontId="5" fillId="0" borderId="2" xfId="0" applyFont="1" applyBorder="1"/>
    <xf numFmtId="0" fontId="4" fillId="2" borderId="8" xfId="0" applyFont="1" applyFill="1" applyBorder="1"/>
    <xf numFmtId="0" fontId="5" fillId="3" borderId="1" xfId="0" applyFont="1" applyFill="1" applyBorder="1"/>
    <xf numFmtId="0" fontId="5" fillId="3" borderId="2" xfId="0" applyFont="1" applyFill="1" applyBorder="1"/>
    <xf numFmtId="0" fontId="5" fillId="3" borderId="11" xfId="0" applyFont="1" applyFill="1" applyBorder="1"/>
    <xf numFmtId="0" fontId="5" fillId="0" borderId="9" xfId="0" applyFont="1" applyBorder="1"/>
    <xf numFmtId="0" fontId="4" fillId="3" borderId="11" xfId="0" applyFont="1" applyFill="1" applyBorder="1"/>
    <xf numFmtId="0" fontId="5" fillId="0" borderId="7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4" xfId="0" applyBorder="1"/>
    <xf numFmtId="0" fontId="5" fillId="0" borderId="4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5" fillId="0" borderId="66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7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5" fillId="0" borderId="1" xfId="0" applyFont="1" applyBorder="1"/>
    <xf numFmtId="0" fontId="5" fillId="0" borderId="13" xfId="0" applyFont="1" applyBorder="1"/>
    <xf numFmtId="0" fontId="5" fillId="0" borderId="53" xfId="0" applyFont="1" applyBorder="1" applyAlignment="1">
      <alignment horizontal="center"/>
    </xf>
    <xf numFmtId="0" fontId="5" fillId="0" borderId="7" xfId="0" applyFont="1" applyBorder="1"/>
    <xf numFmtId="0" fontId="5" fillId="0" borderId="54" xfId="0" applyFont="1" applyBorder="1" applyAlignment="1">
      <alignment horizontal="center"/>
    </xf>
    <xf numFmtId="0" fontId="5" fillId="0" borderId="8" xfId="0" applyFont="1" applyBorder="1"/>
    <xf numFmtId="0" fontId="5" fillId="0" borderId="72" xfId="0" applyFont="1" applyBorder="1" applyAlignment="1">
      <alignment horizontal="center"/>
    </xf>
    <xf numFmtId="0" fontId="0" fillId="0" borderId="77" xfId="0" applyBorder="1" applyAlignment="1">
      <alignment horizontal="center" vertical="center"/>
    </xf>
    <xf numFmtId="0" fontId="5" fillId="0" borderId="66" xfId="0" applyFont="1" applyBorder="1" applyAlignment="1">
      <alignment horizontal="center"/>
    </xf>
    <xf numFmtId="0" fontId="5" fillId="3" borderId="78" xfId="0" applyFont="1" applyFill="1" applyBorder="1" applyAlignment="1">
      <alignment horizontal="left"/>
    </xf>
    <xf numFmtId="0" fontId="0" fillId="0" borderId="79" xfId="0" applyBorder="1" applyAlignment="1">
      <alignment horizontal="center" vertical="center"/>
    </xf>
    <xf numFmtId="0" fontId="0" fillId="0" borderId="79" xfId="0" applyBorder="1"/>
    <xf numFmtId="0" fontId="5" fillId="0" borderId="79" xfId="0" applyFont="1" applyBorder="1" applyAlignment="1">
      <alignment horizontal="center" vertical="center"/>
    </xf>
    <xf numFmtId="0" fontId="5" fillId="0" borderId="80" xfId="0" applyFont="1" applyBorder="1" applyAlignment="1">
      <alignment horizontal="center" vertical="center"/>
    </xf>
    <xf numFmtId="0" fontId="5" fillId="0" borderId="78" xfId="0" applyFont="1" applyBorder="1" applyAlignment="1">
      <alignment horizontal="left"/>
    </xf>
    <xf numFmtId="0" fontId="5" fillId="0" borderId="79" xfId="0" applyFont="1" applyBorder="1" applyAlignment="1">
      <alignment horizontal="center"/>
    </xf>
    <xf numFmtId="0" fontId="5" fillId="0" borderId="80" xfId="0" applyFont="1" applyBorder="1" applyAlignment="1">
      <alignment horizontal="center"/>
    </xf>
    <xf numFmtId="0" fontId="5" fillId="3" borderId="13" xfId="0" applyFont="1" applyFill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77" xfId="0" applyFont="1" applyBorder="1" applyAlignment="1">
      <alignment horizontal="left"/>
    </xf>
    <xf numFmtId="0" fontId="5" fillId="0" borderId="77" xfId="0" applyFont="1" applyBorder="1" applyAlignment="1">
      <alignment horizontal="center"/>
    </xf>
    <xf numFmtId="0" fontId="5" fillId="0" borderId="77" xfId="0" applyFont="1" applyBorder="1" applyAlignment="1">
      <alignment horizontal="center" vertical="center"/>
    </xf>
    <xf numFmtId="0" fontId="5" fillId="0" borderId="47" xfId="0" applyFont="1" applyBorder="1"/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5" fillId="0" borderId="14" xfId="0" applyFont="1" applyBorder="1"/>
    <xf numFmtId="0" fontId="5" fillId="0" borderId="6" xfId="0" applyFont="1" applyBorder="1"/>
    <xf numFmtId="0" fontId="0" fillId="0" borderId="7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3" borderId="11" xfId="0" applyFill="1" applyBorder="1"/>
    <xf numFmtId="0" fontId="0" fillId="2" borderId="1" xfId="0" applyFill="1" applyBorder="1"/>
    <xf numFmtId="0" fontId="0" fillId="3" borderId="1" xfId="0" applyFill="1" applyBorder="1"/>
    <xf numFmtId="0" fontId="2" fillId="0" borderId="2" xfId="0" applyFont="1" applyBorder="1"/>
    <xf numFmtId="0" fontId="8" fillId="0" borderId="35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0" xfId="0" applyNumberFormat="1"/>
    <xf numFmtId="1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5" xfId="2" xr:uid="{00000000-0005-0000-0000-000002000000}"/>
  </cellStyles>
  <dxfs count="23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2"/>
      </font>
    </dxf>
    <dxf>
      <font>
        <b val="0"/>
        <strike val="0"/>
        <outline val="0"/>
        <shadow val="0"/>
        <u val="none"/>
        <vertAlign val="baseline"/>
        <sz val="12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medium">
          <color rgb="FF000000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4147C4D-9EAF-4BEF-A2F8-6A0D82A63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EB558A6-8C86-48A9-8283-D42DEE16E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7AD1607-2E13-4DB1-A223-64788FF11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32B7916-8BB2-4B86-99DC-A3C4BF936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F687E1E-406B-4E84-86C6-DF5B1990E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0</xdr:col>
          <xdr:colOff>685800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D362F02-713F-4365-BF1E-5F338BE52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SACAR VENTAS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567C642D-B82F-4ABB-A50E-F765F0B248B7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Etiquetas de fila" tableColumnId="1"/>
      <queryTableField id="2" name="Recuento de T1 CODIGO" tableColumnId="2"/>
      <queryTableField id="3" dataBound="0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C767910A-B834-4A14-9BF2-64D79473DF81}" autoFormatId="16" applyNumberFormats="0" applyBorderFormats="0" applyFontFormats="0" applyPatternFormats="0" applyAlignmentFormats="0" applyWidthHeightFormats="0">
  <queryTableRefresh nextId="3">
    <queryTableFields count="2">
      <queryTableField id="1" name="Etiquetas de fila" tableColumnId="1"/>
      <queryTableField id="2" name="Recuento de T2 0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3" xr16:uid="{59D79D9E-B800-44A5-96B4-7D943B68C26E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Etiquetas de fila" tableColumnId="1"/>
      <queryTableField id="2" name="Recuento de T3 CODIGO" tableColumnId="2"/>
      <queryTableField id="3" dataBound="0" tableColumnId="3"/>
      <queryTableField id="4" dataBound="0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4" xr16:uid="{F7193AC6-C82D-4C8A-8FBA-AE4E0351C076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Etiquetas de fila" tableColumnId="1"/>
      <queryTableField id="2" name="Recuento de T4 CODIGO" tableColumnId="2"/>
      <queryTableField id="3" dataBound="0" tableColumnId="3"/>
      <queryTableField id="4" dataBound="0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5" xr16:uid="{CADDD509-7785-42D0-9778-1DE0E9BAAB2F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Etiquetas de fila" tableColumnId="1"/>
      <queryTableField id="2" name="Recuento de T5 CODIGO" tableColumnId="2"/>
      <queryTableField id="3" dataBound="0" tableColumnId="3"/>
      <queryTableField id="4" dataBound="0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6" xr16:uid="{72210A69-F4C2-4F26-AC09-D7360F3EE454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Etiquetas de fila" tableColumnId="1"/>
      <queryTableField id="2" name="Recuento de T6 CODIGO" tableColumnId="2"/>
      <queryTableField id="3" dataBound="0" tableColumnId="3"/>
      <queryTableField id="4" dataBound="0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7" xr16:uid="{7843AEFD-0549-4555-9D63-A82D6BDA1513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Etiquetas de fila" tableColumnId="1"/>
      <queryTableField id="2" name="Recuento de T7 CODIGO" tableColumnId="2"/>
      <queryTableField id="3" dataBound="0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B2:C400" totalsRowShown="0">
  <autoFilter ref="B2:C400" xr:uid="{00000000-0009-0000-0100-000003000000}"/>
  <tableColumns count="2">
    <tableColumn id="1" xr3:uid="{00000000-0010-0000-0000-000001000000}" name="descrip" dataDxfId="34">
      <calculatedColumnFormula>TRANSPOSE(T1_[Etiquetas de fila])</calculatedColumnFormula>
    </tableColumn>
    <tableColumn id="42" xr3:uid="{00000000-0010-0000-0000-00002A000000}" name="cantidad" dataDxfId="33">
      <calculatedColumnFormula>TRANSPOSE(T1_[Recuento de T1 CODIGO])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3DBDE53-E08C-4564-87D7-BED1E6041880}" name="T1_" displayName="T1_" ref="A1:D286" tableType="queryTable" totalsRowShown="0">
  <autoFilter ref="A1:D286" xr:uid="{53DBDE53-E08C-4564-87D7-BED1E6041880}"/>
  <tableColumns count="4">
    <tableColumn id="1" xr3:uid="{3349FC20-3B11-44C5-BC0B-75AEC0E919D1}" uniqueName="1" name="Etiquetas de fila" queryTableFieldId="1" dataDxfId="38"/>
    <tableColumn id="2" xr3:uid="{F094B11D-04CC-48CA-91E2-938F7AA23E6D}" uniqueName="2" name="Recuento de T1 CODIGO" queryTableFieldId="2"/>
    <tableColumn id="3" xr3:uid="{674EEC2E-84ED-4D0E-A86A-CA855780DB7C}" uniqueName="3" name="Columna1" queryTableFieldId="3" dataDxfId="1">
      <calculatedColumnFormula>LOOKUP(T1_[[#This Row],[Etiquetas de fila]],'VALORIZACION CARTA'!B:B,'VALORIZACION CARTA'!C:C)</calculatedColumnFormula>
    </tableColumn>
    <tableColumn id="4" xr3:uid="{995E47B9-A251-4E93-9118-0BE6057124CA}" uniqueName="4" name="Columna2" queryTableFieldId="4" dataDxfId="0">
      <calculatedColumnFormula>SUM(T1_[[#This Row],[Recuento de T1 CODIGO]]*T1_[[#This Row],[Columna1]])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6B7873-D180-4E69-B3F7-92F628C65679}" name="Tabla35" displayName="Tabla35" ref="B2:C400" totalsRowShown="0">
  <autoFilter ref="B2:C400" xr:uid="{00000000-0009-0000-0100-000003000000}"/>
  <tableColumns count="2">
    <tableColumn id="1" xr3:uid="{2B8D1B7F-0AED-46AC-8484-AB2B11DD2489}" name="descrip" dataDxfId="32">
      <calculatedColumnFormula>TRANSPOSE(T2_[Recuento de T2 0])</calculatedColumnFormula>
    </tableColumn>
    <tableColumn id="42" xr3:uid="{B8694CA9-B707-4C7F-B6E8-01C7FB7CCE0A}" name="cantida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0424D76-611B-446A-9A6F-D5030E72C1B2}" name="T2_" displayName="T2_" ref="A1:B3" tableType="queryTable" totalsRowShown="0">
  <autoFilter ref="A1:B3" xr:uid="{D0424D76-611B-446A-9A6F-D5030E72C1B2}"/>
  <tableColumns count="2">
    <tableColumn id="1" xr3:uid="{3AAEA1E1-628B-4D13-B110-1E88ACDE9FF8}" uniqueName="1" name="Etiquetas de fila" queryTableFieldId="1" dataDxfId="37"/>
    <tableColumn id="2" xr3:uid="{6FE31A77-47DB-442C-9AC4-E2E1FF9AA75E}" uniqueName="2" name="Recuento de T2 0" queryTableField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1C457C-9457-41C1-B79A-23D8263FC40F}" name="Tabla36" displayName="Tabla36" ref="B2:C400" totalsRowShown="0">
  <autoFilter ref="B2:C400" xr:uid="{00000000-0009-0000-0100-000003000000}"/>
  <tableColumns count="2">
    <tableColumn id="1" xr3:uid="{FE25896E-CC0C-4F9D-AAF1-44DA6F92B8E9}" name="descrip" dataDxfId="31">
      <calculatedColumnFormula>TRANSPOSE(T3_[Etiquetas de fila])</calculatedColumnFormula>
    </tableColumn>
    <tableColumn id="42" xr3:uid="{75EB815C-48C7-4785-AE55-D223A29C70C7}" name="cantidad" dataDxfId="30">
      <calculatedColumnFormula>TRANSPOSE(T3_[Recuento de T3 CODIGO])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FB58F1F-B13E-4B05-B46C-8413DC87522A}" name="T3_" displayName="T3_" ref="A1:D280" tableType="queryTable" totalsRowShown="0">
  <autoFilter ref="A1:D280" xr:uid="{1FB58F1F-B13E-4B05-B46C-8413DC87522A}"/>
  <tableColumns count="4">
    <tableColumn id="1" xr3:uid="{8161BC3F-B6C9-4B71-8AAE-8FEE54314944}" uniqueName="1" name="Etiquetas de fila" queryTableFieldId="1" dataDxfId="36"/>
    <tableColumn id="2" xr3:uid="{0471FB34-59B1-4A52-9F85-DEB85D1A6C19}" uniqueName="2" name="Recuento de T3 CODIGO" queryTableFieldId="2"/>
    <tableColumn id="3" xr3:uid="{1820DF43-8A61-4956-9FF7-2C10251ED20C}" uniqueName="3" name="Columna1" queryTableFieldId="3" dataDxfId="3">
      <calculatedColumnFormula>LOOKUP(T3_[[#This Row],[Etiquetas de fila]],'VALORIZACION CARTA'!B:B,'VALORIZACION CARTA'!C:C)</calculatedColumnFormula>
    </tableColumn>
    <tableColumn id="4" xr3:uid="{95591B6A-EFB5-47E8-B32C-178DE238E722}" uniqueName="4" name="Columna2" queryTableFieldId="4" dataDxfId="2">
      <calculatedColumnFormula>SUM(T3_[[#This Row],[Recuento de T3 CODIGO]]*T3_[[#This Row],[Columna1]])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A69D71C-0176-445F-946F-7CD0198117E3}" name="Tabla367" displayName="Tabla367" ref="B2:C400" totalsRowShown="0">
  <autoFilter ref="B2:C400" xr:uid="{00000000-0009-0000-0100-000003000000}"/>
  <tableColumns count="2">
    <tableColumn id="1" xr3:uid="{F0EA52C3-4028-466E-A105-D0674ED9F145}" name="descrip" dataDxfId="28">
      <calculatedColumnFormula>TRANSPOSE(T4_[Etiquetas de fila])</calculatedColumnFormula>
    </tableColumn>
    <tableColumn id="42" xr3:uid="{0EFD9F59-20F3-428B-BEA7-1AD884B2ABC9}" name="cantidad" dataDxfId="27">
      <calculatedColumnFormula>TRANSPOSE(T4_[Recuento de T4 CODIGO])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0DFE572-2C19-4942-B789-39ACD094EE95}" name="T4_" displayName="T4_" ref="A1:D225" tableType="queryTable" totalsRowShown="0">
  <autoFilter ref="A1:D225" xr:uid="{90DFE572-2C19-4942-B789-39ACD094EE95}"/>
  <tableColumns count="4">
    <tableColumn id="1" xr3:uid="{1B98E631-A41F-4468-BE9F-F00CFEFD8E9D}" uniqueName="1" name="Etiquetas de fila" queryTableFieldId="1" dataDxfId="29"/>
    <tableColumn id="2" xr3:uid="{C145A760-A07C-4F45-9539-C45E2072029F}" uniqueName="2" name="Recuento de T4 CODIGO" queryTableFieldId="2"/>
    <tableColumn id="3" xr3:uid="{72C4914D-764C-4829-9BB9-C81E801EB4C7}" uniqueName="3" name="Columna1" queryTableFieldId="3" dataDxfId="5">
      <calculatedColumnFormula>LOOKUP(T4_[[#This Row],[Etiquetas de fila]],'VALORIZACION CARTA'!B:B,'VALORIZACION CARTA'!C:C)</calculatedColumnFormula>
    </tableColumn>
    <tableColumn id="4" xr3:uid="{99310880-0B38-4FC5-AF22-5F67DE20EC54}" uniqueName="4" name="Columna2" queryTableFieldId="4" dataDxfId="4">
      <calculatedColumnFormula>SUM(T4_[[#This Row],[Columna1]]*T4_[[#This Row],[Recuento de T4 CODIGO]])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15786D-524B-4073-ADF1-2C49273CF0A0}" name="Tabla36789" displayName="Tabla36789" ref="B2:C400" totalsRowShown="0">
  <autoFilter ref="B2:C400" xr:uid="{00000000-0009-0000-0100-000003000000}"/>
  <tableColumns count="2">
    <tableColumn id="1" xr3:uid="{670D16A6-0F29-4DB7-A008-509C59FA6B68}" name="descrip" dataDxfId="26">
      <calculatedColumnFormula>TRANSPOSE(T5_[Etiquetas de fila])</calculatedColumnFormula>
    </tableColumn>
    <tableColumn id="42" xr3:uid="{B4577D12-3BF5-461C-AE96-96232AAD6CB4}" name="cantidad" dataDxfId="25">
      <calculatedColumnFormula>TRANSPOSE(T5_[Recuento de T5 CODIGO])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5152852-4BD1-46BF-891A-1D4586E387BE}" name="T5_" displayName="T5_" ref="A1:D225" tableType="queryTable" totalsRowShown="0">
  <autoFilter ref="A1:D225" xr:uid="{D5152852-4BD1-46BF-891A-1D4586E387BE}"/>
  <tableColumns count="4">
    <tableColumn id="1" xr3:uid="{A09D779F-71BE-4FBD-A2F5-75370CD59744}" uniqueName="1" name="Etiquetas de fila" queryTableFieldId="1" dataDxfId="39"/>
    <tableColumn id="2" xr3:uid="{8266EE36-4852-4F0A-963F-F8CF3FAD1CE4}" uniqueName="2" name="Recuento de T5 CODIGO" queryTableFieldId="2"/>
    <tableColumn id="3" xr3:uid="{65941AFC-89E4-4B4F-88D0-56DA90B00456}" uniqueName="3" name="Columna1" queryTableFieldId="3" dataDxfId="7">
      <calculatedColumnFormula>LOOKUP(T5_[[#This Row],[Etiquetas de fila]],'VALORIZACION CARTA'!B:B,'VALORIZACION CARTA'!C:C)</calculatedColumnFormula>
    </tableColumn>
    <tableColumn id="4" xr3:uid="{B711B91D-E118-4837-B6FE-B2C9D3306687}" uniqueName="4" name="Columna2" queryTableFieldId="4" dataDxfId="6">
      <calculatedColumnFormula>SUM(T5_[[#This Row],[Recuento de T5 CODIGO]]*T5_[[#This Row],[Columna1]])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DB223-1FF7-465F-B840-CA50A844C0AA}" name="Tabla3678910" displayName="Tabla3678910" ref="B2:C400" totalsRowShown="0">
  <autoFilter ref="B2:C400" xr:uid="{00000000-0009-0000-0100-000003000000}"/>
  <tableColumns count="2">
    <tableColumn id="1" xr3:uid="{B5EAE590-7257-4017-B3CC-3E75269E3EB7}" name="descrip" dataDxfId="24">
      <calculatedColumnFormula>TRANSPOSE(T6_[Etiquetas de fila])</calculatedColumnFormula>
    </tableColumn>
    <tableColumn id="42" xr3:uid="{A0C07379-0918-4D8A-91E8-82C0958B5878}" name="cantidad" dataDxfId="23">
      <calculatedColumnFormula>TRANSPOSE(T6_[Recuento de T6 CODIGO])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89F5530-B25E-4C54-B978-837F6F97DFE5}" name="T6_" displayName="T6_" ref="A1:D252" tableType="queryTable" totalsRowShown="0">
  <autoFilter ref="A1:D252" xr:uid="{989F5530-B25E-4C54-B978-837F6F97DFE5}"/>
  <tableColumns count="4">
    <tableColumn id="1" xr3:uid="{82966A0B-03AF-4D94-8B64-B957DE2C294D}" uniqueName="1" name="Etiquetas de fila" queryTableFieldId="1" dataDxfId="40"/>
    <tableColumn id="2" xr3:uid="{1FE30BDC-1E72-4929-9036-48BFF5F8D94D}" uniqueName="2" name="Recuento de T6 CODIGO" queryTableFieldId="2"/>
    <tableColumn id="3" xr3:uid="{1ACFA649-DF99-496E-8B4D-FD85FA405298}" uniqueName="3" name="Columna1" queryTableFieldId="3" dataDxfId="9">
      <calculatedColumnFormula>LOOKUP(T6_[[#This Row],[Etiquetas de fila]],'VALORIZACION CARTA'!B:B,'VALORIZACION CARTA'!C:C)</calculatedColumnFormula>
    </tableColumn>
    <tableColumn id="4" xr3:uid="{89477174-0384-4BBC-AFF7-3F1650CE8342}" uniqueName="4" name="Columna2" queryTableFieldId="4" dataDxfId="8">
      <calculatedColumnFormula>SUM(T6_[[#This Row],[Recuento de T6 CODIGO]]*T6_[[#This Row],[Columna1]])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A56C65-C5FC-494E-A08E-D7DCFB75851A}" name="Tabla3678" displayName="Tabla3678" ref="B2:C400" totalsRowShown="0">
  <autoFilter ref="B2:C400" xr:uid="{00000000-0009-0000-0100-000003000000}"/>
  <tableColumns count="2">
    <tableColumn id="1" xr3:uid="{7455BAF2-FB11-4B75-A95A-0EEF4C7C188D}" name="descrip" dataDxfId="22">
      <calculatedColumnFormula>TRANSPOSE(_T7[Etiquetas de fila])</calculatedColumnFormula>
    </tableColumn>
    <tableColumn id="42" xr3:uid="{DE2CBDA0-D712-43D9-B06F-BBF3CDE95FDB}" name="cantidad" dataDxfId="21">
      <calculatedColumnFormula>TRANSPOSE(_T7[Recuento de T7 CODIGO])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13673A4-4516-48DC-AC1D-827D62F0F9CF}" name="_T7" displayName="_T7" ref="A1:D236" tableType="queryTable" totalsRowShown="0">
  <autoFilter ref="A1:D236" xr:uid="{D13673A4-4516-48DC-AC1D-827D62F0F9CF}"/>
  <tableColumns count="4">
    <tableColumn id="1" xr3:uid="{9AD74D57-819E-46E0-A8BD-8CD3B0E81FFA}" uniqueName="1" name="Etiquetas de fila" queryTableFieldId="1" dataDxfId="35"/>
    <tableColumn id="2" xr3:uid="{829081E0-7952-42F6-A23F-DA19C0C94D8E}" uniqueName="2" name="Recuento de T7 CODIGO" queryTableFieldId="2"/>
    <tableColumn id="3" xr3:uid="{E406DCAF-A0FA-4F91-906E-0CA3610751D4}" uniqueName="3" name="VALORIZACION" queryTableFieldId="3" dataDxfId="11">
      <calculatedColumnFormula>LOOKUP(_T7[[#This Row],[Etiquetas de fila]],'VALORIZACION CARTA'!B:B,'VALORIZACION CARTA'!C:C)</calculatedColumnFormula>
    </tableColumn>
    <tableColumn id="4" xr3:uid="{52069531-F234-4FD4-A59F-E7F9222E4713}" uniqueName="4" name="SUBTOTAL" queryTableFieldId="4" dataDxfId="10">
      <calculatedColumnFormula>SUM(_T7[[#This Row],[Recuento de T7 CODIGO]]*_T7[[#This Row],[VALORIZACION]])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I2:EJ202" totalsRowShown="0">
  <autoFilter ref="I2:EJ202" xr:uid="{00000000-0009-0000-0100-000001000000}"/>
  <sortState xmlns:xlrd2="http://schemas.microsoft.com/office/spreadsheetml/2017/richdata2" ref="E3:EF202">
    <sortCondition ref="E2:E202"/>
  </sortState>
  <tableColumns count="132">
    <tableColumn id="1" xr3:uid="{00000000-0010-0000-0100-000001000000}" name="PRODUCTO" dataDxfId="164"/>
    <tableColumn id="2" xr3:uid="{00000000-0010-0000-0100-000002000000}" name="1" dataDxfId="163">
      <calculatedColumnFormula>IFERROR(VLOOKUP($I3&amp;"-"&amp;J$2,$A$3:$C$1700,3,FALSE),0)</calculatedColumnFormula>
    </tableColumn>
    <tableColumn id="3" xr3:uid="{00000000-0010-0000-0100-000003000000}" name="2" dataDxfId="162">
      <calculatedColumnFormula>IFERROR(VLOOKUP($I3&amp;"-"&amp;K$2,$A$3:$C$1700,3,FALSE),0)</calculatedColumnFormula>
    </tableColumn>
    <tableColumn id="4" xr3:uid="{00000000-0010-0000-0100-000004000000}" name="3" dataDxfId="161">
      <calculatedColumnFormula>IFERROR(VLOOKUP($I3&amp;"-"&amp;L$2,$A$3:$C$1700,3,FALSE),0)</calculatedColumnFormula>
    </tableColumn>
    <tableColumn id="5" xr3:uid="{00000000-0010-0000-0100-000005000000}" name="4" dataDxfId="160">
      <calculatedColumnFormula>IFERROR(VLOOKUP($I3&amp;"-"&amp;M$2,$A$3:$C$1700,3,FALSE),0)</calculatedColumnFormula>
    </tableColumn>
    <tableColumn id="6" xr3:uid="{00000000-0010-0000-0100-000006000000}" name="5" dataDxfId="159">
      <calculatedColumnFormula>IFERROR(VLOOKUP($I3&amp;"-"&amp;N$2,$A$3:$C$1700,3,FALSE),0)</calculatedColumnFormula>
    </tableColumn>
    <tableColumn id="7" xr3:uid="{00000000-0010-0000-0100-000007000000}" name="6" dataDxfId="158">
      <calculatedColumnFormula>IFERROR(VLOOKUP($I3&amp;"-"&amp;O$2,$A$3:$C$1700,3,FALSE),0)</calculatedColumnFormula>
    </tableColumn>
    <tableColumn id="8" xr3:uid="{00000000-0010-0000-0100-000008000000}" name="7" dataDxfId="157">
      <calculatedColumnFormula>IFERROR(VLOOKUP($I3&amp;"-"&amp;P$2,$A$3:$C$1700,3,FALSE),0)</calculatedColumnFormula>
    </tableColumn>
    <tableColumn id="9" xr3:uid="{00000000-0010-0000-0100-000009000000}" name="8" dataDxfId="156">
      <calculatedColumnFormula>IFERROR(VLOOKUP($I3&amp;"-"&amp;Q$2,$A$3:$C$1700,3,FALSE),0)</calculatedColumnFormula>
    </tableColumn>
    <tableColumn id="10" xr3:uid="{00000000-0010-0000-0100-00000A000000}" name="9" dataDxfId="155">
      <calculatedColumnFormula>IFERROR(VLOOKUP($I3&amp;"-"&amp;R$2,$A$3:$C$1700,3,FALSE),0)</calculatedColumnFormula>
    </tableColumn>
    <tableColumn id="11" xr3:uid="{00000000-0010-0000-0100-00000B000000}" name="10" dataDxfId="154">
      <calculatedColumnFormula>IFERROR(VLOOKUP($I3&amp;"-"&amp;S$2,$A$3:$C$1700,3,FALSE),0)</calculatedColumnFormula>
    </tableColumn>
    <tableColumn id="12" xr3:uid="{00000000-0010-0000-0100-00000C000000}" name="11" dataDxfId="153">
      <calculatedColumnFormula>IFERROR(VLOOKUP($I3&amp;"-"&amp;T$2,$A$3:$C$1700,3,FALSE),0)</calculatedColumnFormula>
    </tableColumn>
    <tableColumn id="13" xr3:uid="{00000000-0010-0000-0100-00000D000000}" name="12" dataDxfId="152">
      <calculatedColumnFormula>IFERROR(VLOOKUP($I3&amp;"-"&amp;U$2,$A$3:$C$1700,3,FALSE),0)</calculatedColumnFormula>
    </tableColumn>
    <tableColumn id="14" xr3:uid="{00000000-0010-0000-0100-00000E000000}" name="13" dataDxfId="151">
      <calculatedColumnFormula>IFERROR(VLOOKUP($I3&amp;"-"&amp;V$2,$A$3:$C$1700,3,FALSE),0)</calculatedColumnFormula>
    </tableColumn>
    <tableColumn id="15" xr3:uid="{00000000-0010-0000-0100-00000F000000}" name="14" dataDxfId="150">
      <calculatedColumnFormula>IFERROR(VLOOKUP($I3&amp;"-"&amp;W$2,$A$3:$C$1700,3,FALSE),0)</calculatedColumnFormula>
    </tableColumn>
    <tableColumn id="16" xr3:uid="{00000000-0010-0000-0100-000010000000}" name="15" dataDxfId="149">
      <calculatedColumnFormula>IFERROR(VLOOKUP($I3&amp;"-"&amp;X$2,$A$3:$C$1700,3,FALSE),0)</calculatedColumnFormula>
    </tableColumn>
    <tableColumn id="17" xr3:uid="{00000000-0010-0000-0100-000011000000}" name="16" dataDxfId="148">
      <calculatedColumnFormula>IFERROR(VLOOKUP($I3&amp;"-"&amp;Y$2,$A$3:$C$1700,3,FALSE),0)</calculatedColumnFormula>
    </tableColumn>
    <tableColumn id="18" xr3:uid="{00000000-0010-0000-0100-000012000000}" name="17" dataDxfId="147">
      <calculatedColumnFormula>IFERROR(VLOOKUP($I3&amp;"-"&amp;Z$2,$A$3:$C$1700,3,FALSE),0)</calculatedColumnFormula>
    </tableColumn>
    <tableColumn id="19" xr3:uid="{00000000-0010-0000-0100-000013000000}" name="18" dataDxfId="146">
      <calculatedColumnFormula>IFERROR(VLOOKUP($I3&amp;"-"&amp;AA$2,$A$3:$C$1700,3,FALSE),0)</calculatedColumnFormula>
    </tableColumn>
    <tableColumn id="20" xr3:uid="{00000000-0010-0000-0100-000014000000}" name="19" dataDxfId="145">
      <calculatedColumnFormula>IFERROR(VLOOKUP($I3&amp;"-"&amp;AB$2,$A$3:$C$1700,3,FALSE),0)</calculatedColumnFormula>
    </tableColumn>
    <tableColumn id="21" xr3:uid="{00000000-0010-0000-0100-000015000000}" name="20" dataDxfId="144">
      <calculatedColumnFormula>IFERROR(VLOOKUP($I3&amp;"-"&amp;AC$2,$A$3:$C$1700,3,FALSE),0)</calculatedColumnFormula>
    </tableColumn>
    <tableColumn id="22" xr3:uid="{00000000-0010-0000-0100-000016000000}" name="21" dataDxfId="143">
      <calculatedColumnFormula>IFERROR(VLOOKUP($I3&amp;"-"&amp;AD$2,$A$3:$C$1700,3,FALSE),0)</calculatedColumnFormula>
    </tableColumn>
    <tableColumn id="23" xr3:uid="{00000000-0010-0000-0100-000017000000}" name="22" dataDxfId="142">
      <calculatedColumnFormula>IFERROR(VLOOKUP($I3&amp;"-"&amp;AE$2,$A$3:$C$1700,3,FALSE),0)</calculatedColumnFormula>
    </tableColumn>
    <tableColumn id="24" xr3:uid="{00000000-0010-0000-0100-000018000000}" name="23" dataDxfId="141">
      <calculatedColumnFormula>IFERROR(VLOOKUP($I3&amp;"-"&amp;AF$2,$A$3:$C$1700,3,FALSE),0)</calculatedColumnFormula>
    </tableColumn>
    <tableColumn id="25" xr3:uid="{00000000-0010-0000-0100-000019000000}" name="24" dataDxfId="140">
      <calculatedColumnFormula>IFERROR(VLOOKUP($I3&amp;"-"&amp;AG$2,$A$3:$C$1700,3,FALSE),0)</calculatedColumnFormula>
    </tableColumn>
    <tableColumn id="26" xr3:uid="{00000000-0010-0000-0100-00001A000000}" name="25" dataDxfId="139">
      <calculatedColumnFormula>IFERROR(VLOOKUP($I3&amp;"-"&amp;AH$2,$A$3:$C$1700,3,FALSE),0)</calculatedColumnFormula>
    </tableColumn>
    <tableColumn id="27" xr3:uid="{00000000-0010-0000-0100-00001B000000}" name="26" dataDxfId="138">
      <calculatedColumnFormula>IFERROR(VLOOKUP($I3&amp;"-"&amp;AI$2,$A$3:$C$1700,3,FALSE),0)</calculatedColumnFormula>
    </tableColumn>
    <tableColumn id="28" xr3:uid="{00000000-0010-0000-0100-00001C000000}" name="27" dataDxfId="137">
      <calculatedColumnFormula>IFERROR(VLOOKUP($I3&amp;"-"&amp;AJ$2,$A$3:$C$1700,3,FALSE),0)</calculatedColumnFormula>
    </tableColumn>
    <tableColumn id="29" xr3:uid="{00000000-0010-0000-0100-00001D000000}" name="28" dataDxfId="136">
      <calculatedColumnFormula>IFERROR(VLOOKUP($I3&amp;"-"&amp;AK$2,$A$3:$C$1700,3,FALSE),0)</calculatedColumnFormula>
    </tableColumn>
    <tableColumn id="30" xr3:uid="{00000000-0010-0000-0100-00001E000000}" name="29" dataDxfId="135">
      <calculatedColumnFormula>IFERROR(VLOOKUP($I3&amp;"-"&amp;AL$2,$A$3:$C$1700,3,FALSE),0)</calculatedColumnFormula>
    </tableColumn>
    <tableColumn id="31" xr3:uid="{00000000-0010-0000-0100-00001F000000}" name="30" dataDxfId="134">
      <calculatedColumnFormula>IFERROR(VLOOKUP($I3&amp;"-"&amp;AM$2,$A$3:$C$1700,3,FALSE),0)</calculatedColumnFormula>
    </tableColumn>
    <tableColumn id="32" xr3:uid="{00000000-0010-0000-0100-000020000000}" name="31" dataDxfId="133">
      <calculatedColumnFormula>IFERROR(VLOOKUP($I3&amp;"-"&amp;AN$2,$A$3:$C$1700,3,FALSE),0)</calculatedColumnFormula>
    </tableColumn>
    <tableColumn id="33" xr3:uid="{00000000-0010-0000-0100-000021000000}" name="32" dataDxfId="132">
      <calculatedColumnFormula>IFERROR(VLOOKUP($I3&amp;"-"&amp;AO$2,$A$3:$C$1700,3,FALSE),0)</calculatedColumnFormula>
    </tableColumn>
    <tableColumn id="34" xr3:uid="{00000000-0010-0000-0100-000022000000}" name="33" dataDxfId="131">
      <calculatedColumnFormula>IFERROR(VLOOKUP($I3&amp;"-"&amp;AP$2,$A$3:$C$1700,3,FALSE),0)</calculatedColumnFormula>
    </tableColumn>
    <tableColumn id="35" xr3:uid="{00000000-0010-0000-0100-000023000000}" name="34" dataDxfId="130">
      <calculatedColumnFormula>IFERROR(VLOOKUP($I3&amp;"-"&amp;AQ$2,$A$3:$C$1700,3,FALSE),0)</calculatedColumnFormula>
    </tableColumn>
    <tableColumn id="36" xr3:uid="{00000000-0010-0000-0100-000024000000}" name="35" dataDxfId="129">
      <calculatedColumnFormula>IFERROR(VLOOKUP($I3&amp;"-"&amp;AR$2,$A$3:$C$1700,3,FALSE),0)</calculatedColumnFormula>
    </tableColumn>
    <tableColumn id="37" xr3:uid="{00000000-0010-0000-0100-000025000000}" name="36" dataDxfId="128">
      <calculatedColumnFormula>IFERROR(VLOOKUP($I3&amp;"-"&amp;AS$2,$A$3:$C$1700,3,FALSE),0)</calculatedColumnFormula>
    </tableColumn>
    <tableColumn id="38" xr3:uid="{00000000-0010-0000-0100-000026000000}" name="37" dataDxfId="127">
      <calculatedColumnFormula>IFERROR(VLOOKUP($I3&amp;"-"&amp;AT$2,$A$3:$C$1700,3,FALSE),0)</calculatedColumnFormula>
    </tableColumn>
    <tableColumn id="39" xr3:uid="{00000000-0010-0000-0100-000027000000}" name="38" dataDxfId="126">
      <calculatedColumnFormula>IFERROR(VLOOKUP($I3&amp;"-"&amp;AU$2,$A$3:$C$1700,3,FALSE),0)</calculatedColumnFormula>
    </tableColumn>
    <tableColumn id="40" xr3:uid="{00000000-0010-0000-0100-000028000000}" name="39" dataDxfId="125">
      <calculatedColumnFormula>IFERROR(VLOOKUP($I3&amp;"-"&amp;AV$2,$A$3:$C$1700,3,FALSE),0)</calculatedColumnFormula>
    </tableColumn>
    <tableColumn id="47" xr3:uid="{00000000-0010-0000-0100-00002F000000}" name="40" dataDxfId="124">
      <calculatedColumnFormula>IFERROR(VLOOKUP($I3&amp;"-"&amp;AW$2,$A$3:$C$1700,3,FALSE),0)</calculatedColumnFormula>
    </tableColumn>
    <tableColumn id="46" xr3:uid="{00000000-0010-0000-0100-00002E000000}" name="41" dataDxfId="123">
      <calculatedColumnFormula>IFERROR(VLOOKUP($I3&amp;"-"&amp;AX$2,$A$3:$C$1700,3,FALSE),0)</calculatedColumnFormula>
    </tableColumn>
    <tableColumn id="45" xr3:uid="{00000000-0010-0000-0100-00002D000000}" name="42" dataDxfId="122">
      <calculatedColumnFormula>IFERROR(VLOOKUP($I3&amp;"-"&amp;AY$2,$A$3:$C$1700,3,FALSE),0)</calculatedColumnFormula>
    </tableColumn>
    <tableColumn id="44" xr3:uid="{00000000-0010-0000-0100-00002C000000}" name="43" dataDxfId="121">
      <calculatedColumnFormula>IFERROR(VLOOKUP($I3&amp;"-"&amp;AZ$2,$A$3:$C$1700,3,FALSE),0)</calculatedColumnFormula>
    </tableColumn>
    <tableColumn id="43" xr3:uid="{00000000-0010-0000-0100-00002B000000}" name="44" dataDxfId="120">
      <calculatedColumnFormula>IFERROR(VLOOKUP($I3&amp;"-"&amp;BA$2,$A$3:$C$1700,3,FALSE),0)</calculatedColumnFormula>
    </tableColumn>
    <tableColumn id="52" xr3:uid="{00000000-0010-0000-0100-000034000000}" name="45" dataDxfId="119">
      <calculatedColumnFormula>IFERROR(VLOOKUP($I3&amp;"-"&amp;BB$2,$A$3:$C$1700,3,FALSE),0)</calculatedColumnFormula>
    </tableColumn>
    <tableColumn id="51" xr3:uid="{00000000-0010-0000-0100-000033000000}" name="46" dataDxfId="118">
      <calculatedColumnFormula>IFERROR(VLOOKUP($I3&amp;"-"&amp;BC$2,$A$3:$C$1700,3,FALSE),0)</calculatedColumnFormula>
    </tableColumn>
    <tableColumn id="50" xr3:uid="{00000000-0010-0000-0100-000032000000}" name="47" dataDxfId="117">
      <calculatedColumnFormula>IFERROR(VLOOKUP($I3&amp;"-"&amp;BD$2,$A$3:$C$1700,3,FALSE),0)</calculatedColumnFormula>
    </tableColumn>
    <tableColumn id="49" xr3:uid="{00000000-0010-0000-0100-000031000000}" name="48" dataDxfId="116">
      <calculatedColumnFormula>IFERROR(VLOOKUP($I3&amp;"-"&amp;BE$2,$A$3:$C$1700,3,FALSE),0)</calculatedColumnFormula>
    </tableColumn>
    <tableColumn id="48" xr3:uid="{00000000-0010-0000-0100-000030000000}" name="49" dataDxfId="115">
      <calculatedColumnFormula>IFERROR(VLOOKUP($I3&amp;"-"&amp;BF$2,$A$3:$C$1700,3,FALSE),0)</calculatedColumnFormula>
    </tableColumn>
    <tableColumn id="57" xr3:uid="{00000000-0010-0000-0100-000039000000}" name="50" dataDxfId="114">
      <calculatedColumnFormula>IFERROR(VLOOKUP($I3&amp;"-"&amp;BG$2,$A$3:$C$1700,3,FALSE),0)</calculatedColumnFormula>
    </tableColumn>
    <tableColumn id="56" xr3:uid="{00000000-0010-0000-0100-000038000000}" name="51" dataDxfId="113">
      <calculatedColumnFormula>IFERROR(VLOOKUP($I3&amp;"-"&amp;BH$2,$A$3:$C$1700,3,FALSE),0)</calculatedColumnFormula>
    </tableColumn>
    <tableColumn id="55" xr3:uid="{00000000-0010-0000-0100-000037000000}" name="52" dataDxfId="112">
      <calculatedColumnFormula>IFERROR(VLOOKUP($I3&amp;"-"&amp;BI$2,$A$3:$C$1700,3,FALSE),0)</calculatedColumnFormula>
    </tableColumn>
    <tableColumn id="54" xr3:uid="{00000000-0010-0000-0100-000036000000}" name="53" dataDxfId="111">
      <calculatedColumnFormula>IFERROR(VLOOKUP($I3&amp;"-"&amp;BJ$2,$A$3:$C$1700,3,FALSE),0)</calculatedColumnFormula>
    </tableColumn>
    <tableColumn id="53" xr3:uid="{00000000-0010-0000-0100-000035000000}" name="54" dataDxfId="110">
      <calculatedColumnFormula>IFERROR(VLOOKUP($I3&amp;"-"&amp;BK$2,$A$3:$C$1700,3,FALSE),0)</calculatedColumnFormula>
    </tableColumn>
    <tableColumn id="62" xr3:uid="{00000000-0010-0000-0100-00003E000000}" name="55" dataDxfId="109">
      <calculatedColumnFormula>IFERROR(VLOOKUP($I3&amp;"-"&amp;BL$2,$A$3:$C$1700,3,FALSE),0)</calculatedColumnFormula>
    </tableColumn>
    <tableColumn id="61" xr3:uid="{00000000-0010-0000-0100-00003D000000}" name="56" dataDxfId="108">
      <calculatedColumnFormula>IFERROR(VLOOKUP($I3&amp;"-"&amp;BM$2,$A$3:$C$1700,3,FALSE),0)</calculatedColumnFormula>
    </tableColumn>
    <tableColumn id="60" xr3:uid="{00000000-0010-0000-0100-00003C000000}" name="57" dataDxfId="107">
      <calculatedColumnFormula>IFERROR(VLOOKUP($I3&amp;"-"&amp;BN$2,$A$3:$C$1700,3,FALSE),0)</calculatedColumnFormula>
    </tableColumn>
    <tableColumn id="59" xr3:uid="{00000000-0010-0000-0100-00003B000000}" name="58" dataDxfId="106">
      <calculatedColumnFormula>IFERROR(VLOOKUP($I3&amp;"-"&amp;BO$2,$A$3:$C$1700,3,FALSE),0)</calculatedColumnFormula>
    </tableColumn>
    <tableColumn id="58" xr3:uid="{00000000-0010-0000-0100-00003A000000}" name="59" dataDxfId="105">
      <calculatedColumnFormula>IFERROR(VLOOKUP($I3&amp;"-"&amp;BP$2,$A$3:$C$1700,3,FALSE),0)</calculatedColumnFormula>
    </tableColumn>
    <tableColumn id="64" xr3:uid="{00000000-0010-0000-0100-000040000000}" name="60" dataDxfId="104">
      <calculatedColumnFormula>IFERROR(VLOOKUP($I3&amp;"-"&amp;BQ$2,$A$3:$C$1700,3,FALSE),0)</calculatedColumnFormula>
    </tableColumn>
    <tableColumn id="63" xr3:uid="{00000000-0010-0000-0100-00003F000000}" name="61" dataDxfId="103">
      <calculatedColumnFormula>IFERROR(VLOOKUP($I3&amp;"-"&amp;BR$2,$A$3:$C$1700,3,FALSE),0)</calculatedColumnFormula>
    </tableColumn>
    <tableColumn id="67" xr3:uid="{00000000-0010-0000-0100-000043000000}" name="62" dataDxfId="102">
      <calculatedColumnFormula>IFERROR(VLOOKUP($I3&amp;"-"&amp;BS$2,$A$3:$C$1700,3,FALSE),0)</calculatedColumnFormula>
    </tableColumn>
    <tableColumn id="66" xr3:uid="{00000000-0010-0000-0100-000042000000}" name="63" dataDxfId="101">
      <calculatedColumnFormula>IFERROR(VLOOKUP($I3&amp;"-"&amp;BT$2,$A$3:$C$1700,3,FALSE),0)</calculatedColumnFormula>
    </tableColumn>
    <tableColumn id="65" xr3:uid="{00000000-0010-0000-0100-000041000000}" name="64" dataDxfId="100">
      <calculatedColumnFormula>IFERROR(VLOOKUP($I3&amp;"-"&amp;BU$2,$A$3:$C$1700,3,FALSE),0)</calculatedColumnFormula>
    </tableColumn>
    <tableColumn id="72" xr3:uid="{00000000-0010-0000-0100-000048000000}" name="65" dataDxfId="99">
      <calculatedColumnFormula>IFERROR(VLOOKUP($I3&amp;"-"&amp;BV$2,$A$3:$C$1700,3,FALSE),0)</calculatedColumnFormula>
    </tableColumn>
    <tableColumn id="71" xr3:uid="{00000000-0010-0000-0100-000047000000}" name="66" dataDxfId="98">
      <calculatedColumnFormula>IFERROR(VLOOKUP($I3&amp;"-"&amp;BW$2,$A$3:$C$1700,3,FALSE),0)</calculatedColumnFormula>
    </tableColumn>
    <tableColumn id="70" xr3:uid="{00000000-0010-0000-0100-000046000000}" name="67" dataDxfId="97">
      <calculatedColumnFormula>IFERROR(VLOOKUP($I3&amp;"-"&amp;BX$2,$A$3:$C$1700,3,FALSE),0)</calculatedColumnFormula>
    </tableColumn>
    <tableColumn id="69" xr3:uid="{00000000-0010-0000-0100-000045000000}" name="68" dataDxfId="96">
      <calculatedColumnFormula>IFERROR(VLOOKUP($I3&amp;"-"&amp;BY$2,$A$3:$C$1700,3,FALSE),0)</calculatedColumnFormula>
    </tableColumn>
    <tableColumn id="68" xr3:uid="{00000000-0010-0000-0100-000044000000}" name="69" dataDxfId="95">
      <calculatedColumnFormula>IFERROR(VLOOKUP($I3&amp;"-"&amp;BZ$2,$A$3:$C$1700,3,FALSE),0)</calculatedColumnFormula>
    </tableColumn>
    <tableColumn id="76" xr3:uid="{00000000-0010-0000-0100-00004C000000}" name="70" dataDxfId="94">
      <calculatedColumnFormula>IFERROR(VLOOKUP($I3&amp;"-"&amp;CA$2,$A$3:$C$1700,3,FALSE),0)</calculatedColumnFormula>
    </tableColumn>
    <tableColumn id="75" xr3:uid="{00000000-0010-0000-0100-00004B000000}" name="71" dataDxfId="93">
      <calculatedColumnFormula>IFERROR(VLOOKUP($I3&amp;"-"&amp;CB$2,$A$3:$C$1700,3,FALSE),0)</calculatedColumnFormula>
    </tableColumn>
    <tableColumn id="74" xr3:uid="{00000000-0010-0000-0100-00004A000000}" name="72" dataDxfId="92">
      <calculatedColumnFormula>IFERROR(VLOOKUP($I3&amp;"-"&amp;CC$2,$A$3:$C$1700,3,FALSE),0)</calculatedColumnFormula>
    </tableColumn>
    <tableColumn id="73" xr3:uid="{00000000-0010-0000-0100-000049000000}" name="73" dataDxfId="91">
      <calculatedColumnFormula>IFERROR(VLOOKUP($I3&amp;"-"&amp;CD$2,$A$3:$C$1700,3,FALSE),0)</calculatedColumnFormula>
    </tableColumn>
    <tableColumn id="77" xr3:uid="{00000000-0010-0000-0100-00004D000000}" name="74" dataDxfId="90">
      <calculatedColumnFormula>IFERROR(VLOOKUP($I3&amp;"-"&amp;CE$2,$A$3:$C$1700,3,FALSE),0)</calculatedColumnFormula>
    </tableColumn>
    <tableColumn id="82" xr3:uid="{00000000-0010-0000-0100-000052000000}" name="75" dataDxfId="89">
      <calculatedColumnFormula>IFERROR(VLOOKUP($I3&amp;"-"&amp;CF$2,$A$3:$C$1700,3,FALSE),0)</calculatedColumnFormula>
    </tableColumn>
    <tableColumn id="81" xr3:uid="{00000000-0010-0000-0100-000051000000}" name="76" dataDxfId="88">
      <calculatedColumnFormula>IFERROR(VLOOKUP($I3&amp;"-"&amp;CG$2,$A$3:$C$1700,3,FALSE),0)</calculatedColumnFormula>
    </tableColumn>
    <tableColumn id="80" xr3:uid="{00000000-0010-0000-0100-000050000000}" name="77" dataDxfId="87">
      <calculatedColumnFormula>IFERROR(VLOOKUP($I3&amp;"-"&amp;CH$2,$A$3:$C$1700,3,FALSE),0)</calculatedColumnFormula>
    </tableColumn>
    <tableColumn id="79" xr3:uid="{00000000-0010-0000-0100-00004F000000}" name="78" dataDxfId="86">
      <calculatedColumnFormula>IFERROR(VLOOKUP($I3&amp;"-"&amp;CI$2,$A$3:$C$1700,3,FALSE),0)</calculatedColumnFormula>
    </tableColumn>
    <tableColumn id="78" xr3:uid="{00000000-0010-0000-0100-00004E000000}" name="79" dataDxfId="85">
      <calculatedColumnFormula>IFERROR(VLOOKUP($I3&amp;"-"&amp;CJ$2,$A$3:$C$1700,3,FALSE),0)</calculatedColumnFormula>
    </tableColumn>
    <tableColumn id="87" xr3:uid="{00000000-0010-0000-0100-000057000000}" name="80" dataDxfId="84">
      <calculatedColumnFormula>IFERROR(VLOOKUP($I3&amp;"-"&amp;CK$2,$A$3:$C$1700,3,FALSE),0)</calculatedColumnFormula>
    </tableColumn>
    <tableColumn id="86" xr3:uid="{00000000-0010-0000-0100-000056000000}" name="81" dataDxfId="83">
      <calculatedColumnFormula>IFERROR(VLOOKUP($I3&amp;"-"&amp;CL$2,$A$3:$C$1700,3,FALSE),0)</calculatedColumnFormula>
    </tableColumn>
    <tableColumn id="85" xr3:uid="{00000000-0010-0000-0100-000055000000}" name="82" dataDxfId="82">
      <calculatedColumnFormula>IFERROR(VLOOKUP($I3&amp;"-"&amp;CM$2,$A$3:$C$1700,3,FALSE),0)</calculatedColumnFormula>
    </tableColumn>
    <tableColumn id="84" xr3:uid="{00000000-0010-0000-0100-000054000000}" name="83" dataDxfId="81">
      <calculatedColumnFormula>IFERROR(VLOOKUP($I3&amp;"-"&amp;CN$2,$A$3:$C$1700,3,FALSE),0)</calculatedColumnFormula>
    </tableColumn>
    <tableColumn id="83" xr3:uid="{00000000-0010-0000-0100-000053000000}" name="84" dataDxfId="80">
      <calculatedColumnFormula>IFERROR(VLOOKUP($I3&amp;"-"&amp;CO$2,$A$3:$C$1700,3,FALSE),0)</calculatedColumnFormula>
    </tableColumn>
    <tableColumn id="91" xr3:uid="{00000000-0010-0000-0100-00005B000000}" name="85" dataDxfId="79">
      <calculatedColumnFormula>IFERROR(VLOOKUP($I3&amp;"-"&amp;CP$2,$A$3:$C$1700,3,FALSE),0)</calculatedColumnFormula>
    </tableColumn>
    <tableColumn id="90" xr3:uid="{00000000-0010-0000-0100-00005A000000}" name="86" dataDxfId="78">
      <calculatedColumnFormula>IFERROR(VLOOKUP($I3&amp;"-"&amp;CQ$2,$A$3:$C$1700,3,FALSE),0)</calculatedColumnFormula>
    </tableColumn>
    <tableColumn id="89" xr3:uid="{00000000-0010-0000-0100-000059000000}" name="87" dataDxfId="77">
      <calculatedColumnFormula>IFERROR(VLOOKUP($I3&amp;"-"&amp;CR$2,$A$3:$C$1700,3,FALSE),0)</calculatedColumnFormula>
    </tableColumn>
    <tableColumn id="88" xr3:uid="{00000000-0010-0000-0100-000058000000}" name="88" dataDxfId="76">
      <calculatedColumnFormula>IFERROR(VLOOKUP($I3&amp;"-"&amp;CS$2,$A$3:$C$1700,3,FALSE),0)</calculatedColumnFormula>
    </tableColumn>
    <tableColumn id="92" xr3:uid="{00000000-0010-0000-0100-00005C000000}" name="89" dataDxfId="75">
      <calculatedColumnFormula>IFERROR(VLOOKUP($I3&amp;"-"&amp;CT$2,$A$3:$C$1700,3,FALSE),0)</calculatedColumnFormula>
    </tableColumn>
    <tableColumn id="41" xr3:uid="{00000000-0010-0000-0100-000029000000}" name="90" dataDxfId="74">
      <calculatedColumnFormula>IFERROR(VLOOKUP($I3&amp;"-"&amp;CU$2,$A$3:$C$1700,3,FALSE),0)</calculatedColumnFormula>
    </tableColumn>
    <tableColumn id="112" xr3:uid="{00000000-0010-0000-0100-000070000000}" name="91" dataDxfId="73">
      <calculatedColumnFormula>IFERROR(VLOOKUP($I3&amp;"-"&amp;CV$2,$A$3:$C$1700,3,FALSE),0)</calculatedColumnFormula>
    </tableColumn>
    <tableColumn id="111" xr3:uid="{00000000-0010-0000-0100-00006F000000}" name="92" dataDxfId="72">
      <calculatedColumnFormula>IFERROR(VLOOKUP($I3&amp;"-"&amp;CW$2,$A$3:$C$1700,3,FALSE),0)</calculatedColumnFormula>
    </tableColumn>
    <tableColumn id="110" xr3:uid="{00000000-0010-0000-0100-00006E000000}" name="93" dataDxfId="71">
      <calculatedColumnFormula>IFERROR(VLOOKUP($I3&amp;"-"&amp;CX$2,$A$3:$C$1700,3,FALSE),0)</calculatedColumnFormula>
    </tableColumn>
    <tableColumn id="109" xr3:uid="{00000000-0010-0000-0100-00006D000000}" name="94" dataDxfId="70">
      <calculatedColumnFormula>IFERROR(VLOOKUP($I3&amp;"-"&amp;CY$2,$A$3:$C$1700,3,FALSE),0)</calculatedColumnFormula>
    </tableColumn>
    <tableColumn id="108" xr3:uid="{00000000-0010-0000-0100-00006C000000}" name="95" dataDxfId="69">
      <calculatedColumnFormula>IFERROR(VLOOKUP($I3&amp;"-"&amp;CZ$2,$A$3:$C$1700,3,FALSE),0)</calculatedColumnFormula>
    </tableColumn>
    <tableColumn id="107" xr3:uid="{00000000-0010-0000-0100-00006B000000}" name="96" dataDxfId="68">
      <calculatedColumnFormula>IFERROR(VLOOKUP($I3&amp;"-"&amp;DA$2,$A$3:$C$1700,3,FALSE),0)</calculatedColumnFormula>
    </tableColumn>
    <tableColumn id="106" xr3:uid="{00000000-0010-0000-0100-00006A000000}" name="97" dataDxfId="67">
      <calculatedColumnFormula>IFERROR(VLOOKUP($I3&amp;"-"&amp;DB$2,$A$3:$C$1700,3,FALSE),0)</calculatedColumnFormula>
    </tableColumn>
    <tableColumn id="105" xr3:uid="{00000000-0010-0000-0100-000069000000}" name="98" dataDxfId="66">
      <calculatedColumnFormula>IFERROR(VLOOKUP($I3&amp;"-"&amp;DC$2,$A$3:$C$1700,3,FALSE),0)</calculatedColumnFormula>
    </tableColumn>
    <tableColumn id="104" xr3:uid="{00000000-0010-0000-0100-000068000000}" name="99" dataDxfId="65">
      <calculatedColumnFormula>IFERROR(VLOOKUP($I3&amp;"-"&amp;DD$2,$A$3:$C$1700,3,FALSE),0)</calculatedColumnFormula>
    </tableColumn>
    <tableColumn id="103" xr3:uid="{00000000-0010-0000-0100-000067000000}" name="100" dataDxfId="64">
      <calculatedColumnFormula>IFERROR(VLOOKUP($I3&amp;"-"&amp;DE$2,$A$3:$C$1700,3,FALSE),0)</calculatedColumnFormula>
    </tableColumn>
    <tableColumn id="102" xr3:uid="{00000000-0010-0000-0100-000066000000}" name="101" dataDxfId="63">
      <calculatedColumnFormula>IFERROR(VLOOKUP($I3&amp;"-"&amp;DF$2,$A$3:$C$1700,3,FALSE),0)</calculatedColumnFormula>
    </tableColumn>
    <tableColumn id="101" xr3:uid="{00000000-0010-0000-0100-000065000000}" name="102" dataDxfId="62">
      <calculatedColumnFormula>IFERROR(VLOOKUP($I3&amp;"-"&amp;DG$2,$A$3:$C$1700,3,FALSE),0)</calculatedColumnFormula>
    </tableColumn>
    <tableColumn id="100" xr3:uid="{00000000-0010-0000-0100-000064000000}" name="103" dataDxfId="61">
      <calculatedColumnFormula>IFERROR(VLOOKUP($I3&amp;"-"&amp;DH$2,$A$3:$C$1700,3,FALSE),0)</calculatedColumnFormula>
    </tableColumn>
    <tableColumn id="99" xr3:uid="{00000000-0010-0000-0100-000063000000}" name="104" dataDxfId="60">
      <calculatedColumnFormula>IFERROR(VLOOKUP($I3&amp;"-"&amp;DI$2,$A$3:$C$1700,3,FALSE),0)</calculatedColumnFormula>
    </tableColumn>
    <tableColumn id="98" xr3:uid="{00000000-0010-0000-0100-000062000000}" name="105" dataDxfId="59">
      <calculatedColumnFormula>IFERROR(VLOOKUP($I3&amp;"-"&amp;DJ$2,$A$3:$C$1700,3,FALSE),0)</calculatedColumnFormula>
    </tableColumn>
    <tableColumn id="97" xr3:uid="{00000000-0010-0000-0100-000061000000}" name="106" dataDxfId="58">
      <calculatedColumnFormula>IFERROR(VLOOKUP($I3&amp;"-"&amp;DK$2,$A$3:$C$1700,3,FALSE),0)</calculatedColumnFormula>
    </tableColumn>
    <tableColumn id="96" xr3:uid="{00000000-0010-0000-0100-000060000000}" name="107" dataDxfId="57">
      <calculatedColumnFormula>IFERROR(VLOOKUP($I3&amp;"-"&amp;DL$2,$A$3:$C$1700,3,FALSE),0)</calculatedColumnFormula>
    </tableColumn>
    <tableColumn id="95" xr3:uid="{00000000-0010-0000-0100-00005F000000}" name="108" dataDxfId="56">
      <calculatedColumnFormula>IFERROR(VLOOKUP($I3&amp;"-"&amp;DM$2,$A$3:$C$1700,3,FALSE),0)</calculatedColumnFormula>
    </tableColumn>
    <tableColumn id="94" xr3:uid="{00000000-0010-0000-0100-00005E000000}" name="109" dataDxfId="55">
      <calculatedColumnFormula>IFERROR(VLOOKUP($I3&amp;"-"&amp;DN$2,$A$3:$C$1700,3,FALSE),0)</calculatedColumnFormula>
    </tableColumn>
    <tableColumn id="93" xr3:uid="{00000000-0010-0000-0100-00005D000000}" name="110" dataDxfId="54">
      <calculatedColumnFormula>IFERROR(VLOOKUP($I3&amp;"-"&amp;DO$2,$A$3:$C$1700,3,FALSE),0)</calculatedColumnFormula>
    </tableColumn>
    <tableColumn id="127" xr3:uid="{00000000-0010-0000-0100-00007F000000}" name="111">
      <calculatedColumnFormula>IFERROR(VLOOKUP($I3&amp;"-"&amp;DP$2,$A$3:$C$1700,3,FALSE),0)</calculatedColumnFormula>
    </tableColumn>
    <tableColumn id="126" xr3:uid="{00000000-0010-0000-0100-00007E000000}" name="112">
      <calculatedColumnFormula>IFERROR(VLOOKUP($I3&amp;"-"&amp;DQ$2,$A$3:$C$1700,3,FALSE),0)</calculatedColumnFormula>
    </tableColumn>
    <tableColumn id="125" xr3:uid="{00000000-0010-0000-0100-00007D000000}" name="113">
      <calculatedColumnFormula>IFERROR(VLOOKUP($I3&amp;"-"&amp;DR$2,$A$3:$C$1700,3,FALSE),0)</calculatedColumnFormula>
    </tableColumn>
    <tableColumn id="124" xr3:uid="{00000000-0010-0000-0100-00007C000000}" name="114">
      <calculatedColumnFormula>IFERROR(VLOOKUP($I3&amp;"-"&amp;DS$2,$A$3:$C$1700,3,FALSE),0)</calculatedColumnFormula>
    </tableColumn>
    <tableColumn id="123" xr3:uid="{00000000-0010-0000-0100-00007B000000}" name="115">
      <calculatedColumnFormula>IFERROR(VLOOKUP($I3&amp;"-"&amp;DT$2,$A$3:$C$1700,3,FALSE),0)</calculatedColumnFormula>
    </tableColumn>
    <tableColumn id="122" xr3:uid="{00000000-0010-0000-0100-00007A000000}" name="116">
      <calculatedColumnFormula>IFERROR(VLOOKUP($I3&amp;"-"&amp;DU$2,$A$3:$C$1700,3,FALSE),0)</calculatedColumnFormula>
    </tableColumn>
    <tableColumn id="121" xr3:uid="{00000000-0010-0000-0100-000079000000}" name="117">
      <calculatedColumnFormula>IFERROR(VLOOKUP($I3&amp;"-"&amp;DV$2,$A$3:$C$1700,3,FALSE),0)</calculatedColumnFormula>
    </tableColumn>
    <tableColumn id="120" xr3:uid="{00000000-0010-0000-0100-000078000000}" name="118">
      <calculatedColumnFormula>IFERROR(VLOOKUP($I3&amp;"-"&amp;DW$2,$A$3:$C$1700,3,FALSE),0)</calculatedColumnFormula>
    </tableColumn>
    <tableColumn id="119" xr3:uid="{00000000-0010-0000-0100-000077000000}" name="119">
      <calculatedColumnFormula>IFERROR(VLOOKUP($I3&amp;"-"&amp;DX$2,$A$3:$C$1700,3,FALSE),0)</calculatedColumnFormula>
    </tableColumn>
    <tableColumn id="118" xr3:uid="{00000000-0010-0000-0100-000076000000}" name="120">
      <calculatedColumnFormula>IFERROR(VLOOKUP($I3&amp;"-"&amp;DY$2,$A$3:$C$1700,3,FALSE),0)</calculatedColumnFormula>
    </tableColumn>
    <tableColumn id="117" xr3:uid="{00000000-0010-0000-0100-000075000000}" name="121">
      <calculatedColumnFormula>IFERROR(VLOOKUP($I3&amp;"-"&amp;DZ$2,$A$3:$C$1700,3,FALSE),0)</calculatedColumnFormula>
    </tableColumn>
    <tableColumn id="116" xr3:uid="{00000000-0010-0000-0100-000074000000}" name="122">
      <calculatedColumnFormula>IFERROR(VLOOKUP($I3&amp;"-"&amp;EA$2,$A$3:$C$1700,3,FALSE),0)</calculatedColumnFormula>
    </tableColumn>
    <tableColumn id="115" xr3:uid="{00000000-0010-0000-0100-000073000000}" name="123">
      <calculatedColumnFormula>IFERROR(VLOOKUP($I3&amp;"-"&amp;EB$2,$A$3:$C$1700,3,FALSE),0)</calculatedColumnFormula>
    </tableColumn>
    <tableColumn id="114" xr3:uid="{00000000-0010-0000-0100-000072000000}" name="124">
      <calculatedColumnFormula>IFERROR(VLOOKUP($I3&amp;"-"&amp;EC$2,$A$3:$C$1700,3,FALSE),0)</calculatedColumnFormula>
    </tableColumn>
    <tableColumn id="113" xr3:uid="{00000000-0010-0000-0100-000071000000}" name="125">
      <calculatedColumnFormula>IFERROR(VLOOKUP($I3&amp;"-"&amp;ED$2,$A$3:$C$1700,3,FALSE),0)</calculatedColumnFormula>
    </tableColumn>
    <tableColumn id="132" xr3:uid="{00000000-0010-0000-0100-000084000000}" name="126" dataDxfId="53">
      <calculatedColumnFormula>IFERROR(VLOOKUP($I3&amp;"-"&amp;EE$2,$A$3:$C$1700,3,FALSE),0)</calculatedColumnFormula>
    </tableColumn>
    <tableColumn id="131" xr3:uid="{00000000-0010-0000-0100-000083000000}" name="127" dataDxfId="52">
      <calculatedColumnFormula>IFERROR(VLOOKUP($I3&amp;"-"&amp;EF$2,$A$3:$C$1700,3,FALSE),0)</calculatedColumnFormula>
    </tableColumn>
    <tableColumn id="130" xr3:uid="{00000000-0010-0000-0100-000082000000}" name="128" dataDxfId="51">
      <calculatedColumnFormula>IFERROR(VLOOKUP($I3&amp;"-"&amp;EG$2,$A$3:$C$1700,3,FALSE),0)</calculatedColumnFormula>
    </tableColumn>
    <tableColumn id="129" xr3:uid="{00000000-0010-0000-0100-000081000000}" name="129" dataDxfId="50">
      <calculatedColumnFormula>IFERROR(VLOOKUP($I3&amp;"-"&amp;EH$2,$A$3:$C$1700,3,FALSE),0)</calculatedColumnFormula>
    </tableColumn>
    <tableColumn id="128" xr3:uid="{00000000-0010-0000-0100-000080000000}" name="130" dataDxfId="49">
      <calculatedColumnFormula>IFERROR(VLOOKUP($I3&amp;"-"&amp;EI$2,$A$3:$C$1700,3,FALSE),0)</calculatedColumnFormula>
    </tableColumn>
    <tableColumn id="42" xr3:uid="{00000000-0010-0000-0100-00002A000000}" name="FINAL" dataDxfId="48">
      <calculatedColumnFormula>SUM(Tabla1[[#This Row],[1]:[130]])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F1073B-A461-4EC3-B584-B450AC5D0D23}" name="Tabla21126" displayName="Tabla21126" ref="C1:D201" totalsRowShown="0" headerRowDxfId="18" dataDxfId="17" headerRowBorderDxfId="15" tableBorderDxfId="16" totalsRowBorderDxfId="14">
  <autoFilter ref="C1:D201" xr:uid="{7DF1073B-A461-4EC3-B584-B450AC5D0D23}"/>
  <sortState xmlns:xlrd2="http://schemas.microsoft.com/office/spreadsheetml/2017/richdata2" ref="C2:D200">
    <sortCondition ref="C1:C200"/>
  </sortState>
  <tableColumns count="2">
    <tableColumn id="1" xr3:uid="{CC3BE37A-AF3B-45BD-B5B3-854696E6BD53}" name="PRODUCTOS" dataDxfId="13"/>
    <tableColumn id="2" xr3:uid="{EAF61D5E-DB3F-4AB4-8BA2-58A94CE4CDC8}" name="CONSUMOS" dataDxfId="12">
      <calculatedColumnFormula>IFERROR(VLOOKUP(C2,Tabla1[#All],132,FALSE),0)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pageSetUpPr fitToPage="1"/>
  </sheetPr>
  <dimension ref="A1:E1656"/>
  <sheetViews>
    <sheetView zoomScale="80" zoomScaleNormal="80" zoomScaleSheetLayoutView="100" workbookViewId="0">
      <pane ySplit="1" topLeftCell="A2" activePane="bottomLeft" state="frozen"/>
      <selection pane="bottomLeft" activeCell="B8" sqref="B8"/>
    </sheetView>
  </sheetViews>
  <sheetFormatPr baseColWidth="10" defaultColWidth="11.42578125" defaultRowHeight="15.75" x14ac:dyDescent="0.25"/>
  <cols>
    <col min="1" max="1" width="49.7109375" style="11" bestFit="1" customWidth="1"/>
    <col min="2" max="2" width="13.5703125" style="8" customWidth="1"/>
    <col min="3" max="3" width="15.7109375" style="7" customWidth="1"/>
    <col min="4" max="4" width="52.42578125" style="7" bestFit="1" customWidth="1"/>
    <col min="5" max="5" width="15.28515625" style="7" customWidth="1"/>
  </cols>
  <sheetData>
    <row r="1" spans="1:5" ht="16.5" thickBot="1" x14ac:dyDescent="0.3">
      <c r="A1" s="10"/>
      <c r="B1" s="14"/>
      <c r="C1" s="13"/>
      <c r="D1" s="13"/>
      <c r="E1" s="12"/>
    </row>
    <row r="2" spans="1:5" thickBot="1" x14ac:dyDescent="0.3">
      <c r="A2" s="17" t="s">
        <v>724</v>
      </c>
      <c r="B2" s="14">
        <f>IFERROR(VLOOKUP(A2,Tabla3[],2,FALSE),0)</f>
        <v>11</v>
      </c>
      <c r="C2" s="20"/>
      <c r="D2" s="20" t="s">
        <v>522</v>
      </c>
      <c r="E2" s="21">
        <f>B2</f>
        <v>11</v>
      </c>
    </row>
    <row r="3" spans="1:5" thickBot="1" x14ac:dyDescent="0.3">
      <c r="A3" s="22" t="s">
        <v>735</v>
      </c>
      <c r="B3" s="14">
        <f>IFERROR(VLOOKUP(A3,Tabla3[],2,FALSE),0)</f>
        <v>16</v>
      </c>
      <c r="C3" s="23"/>
      <c r="D3" s="23" t="s">
        <v>0</v>
      </c>
      <c r="E3" s="24">
        <f>B3*2</f>
        <v>32</v>
      </c>
    </row>
    <row r="4" spans="1:5" ht="15.75" customHeight="1" thickBot="1" x14ac:dyDescent="0.3">
      <c r="A4" s="25" t="s">
        <v>327</v>
      </c>
      <c r="B4" s="14">
        <f>IFERROR(VLOOKUP(A4,Tabla3[],2,FALSE),0)</f>
        <v>6</v>
      </c>
      <c r="C4" s="26"/>
      <c r="D4" s="26" t="s">
        <v>16</v>
      </c>
      <c r="E4" s="26">
        <f>B4*50</f>
        <v>300</v>
      </c>
    </row>
    <row r="5" spans="1:5" ht="15.75" customHeight="1" thickBot="1" x14ac:dyDescent="0.3">
      <c r="A5" s="27"/>
      <c r="B5" s="14">
        <f>IFERROR(VLOOKUP(A5,Tabla3[],2,FALSE),0)</f>
        <v>0</v>
      </c>
      <c r="C5" s="28"/>
      <c r="D5" s="28" t="s">
        <v>1</v>
      </c>
      <c r="E5" s="28">
        <f>B4*2</f>
        <v>12</v>
      </c>
    </row>
    <row r="6" spans="1:5" ht="15.75" customHeight="1" thickBot="1" x14ac:dyDescent="0.3">
      <c r="A6" s="30" t="s">
        <v>325</v>
      </c>
      <c r="B6" s="14">
        <f>IFERROR(VLOOKUP(A6,Tabla3[],2,FALSE),0)</f>
        <v>1</v>
      </c>
      <c r="C6" s="31"/>
      <c r="D6" s="31" t="s">
        <v>2</v>
      </c>
      <c r="E6" s="31">
        <f>B6*2</f>
        <v>2</v>
      </c>
    </row>
    <row r="7" spans="1:5" ht="15.75" customHeight="1" thickBot="1" x14ac:dyDescent="0.3">
      <c r="A7" s="32"/>
      <c r="B7" s="14">
        <f>IFERROR(VLOOKUP(A7,Tabla3[],2,FALSE),0)</f>
        <v>0</v>
      </c>
      <c r="C7" s="33"/>
      <c r="D7" s="33" t="s">
        <v>16</v>
      </c>
      <c r="E7" s="33">
        <f>B6*50</f>
        <v>50</v>
      </c>
    </row>
    <row r="8" spans="1:5" thickBot="1" x14ac:dyDescent="0.3">
      <c r="A8" s="25" t="s">
        <v>328</v>
      </c>
      <c r="B8" s="14">
        <f>IFERROR(VLOOKUP(A8,Tabla3[],2,FALSE),0)</f>
        <v>11</v>
      </c>
      <c r="C8" s="26"/>
      <c r="D8" s="26" t="s">
        <v>3</v>
      </c>
      <c r="E8" s="26">
        <f>B8</f>
        <v>11</v>
      </c>
    </row>
    <row r="9" spans="1:5" thickBot="1" x14ac:dyDescent="0.3">
      <c r="A9" s="34"/>
      <c r="B9" s="14">
        <f>IFERROR(VLOOKUP(A9,Tabla3[],2,FALSE),0)</f>
        <v>0</v>
      </c>
      <c r="C9" s="35"/>
      <c r="D9" s="35" t="s">
        <v>521</v>
      </c>
      <c r="E9" s="35">
        <f>B8*150</f>
        <v>1650</v>
      </c>
    </row>
    <row r="10" spans="1:5" thickBot="1" x14ac:dyDescent="0.3">
      <c r="A10" s="27"/>
      <c r="B10" s="14">
        <f>IFERROR(VLOOKUP(A10,Tabla3[],2,FALSE),0)</f>
        <v>0</v>
      </c>
      <c r="C10" s="28"/>
      <c r="D10" s="28" t="s">
        <v>35</v>
      </c>
      <c r="E10" s="28">
        <f>B8*150</f>
        <v>1650</v>
      </c>
    </row>
    <row r="11" spans="1:5" thickBot="1" x14ac:dyDescent="0.3">
      <c r="A11" s="30" t="s">
        <v>329</v>
      </c>
      <c r="B11" s="14">
        <f>IFERROR(VLOOKUP(A11,Tabla3[],2,FALSE),0)</f>
        <v>0</v>
      </c>
      <c r="C11" s="31"/>
      <c r="D11" s="31" t="s">
        <v>520</v>
      </c>
      <c r="E11" s="31">
        <f>B11</f>
        <v>0</v>
      </c>
    </row>
    <row r="12" spans="1:5" thickBot="1" x14ac:dyDescent="0.3">
      <c r="A12" s="34"/>
      <c r="B12" s="14">
        <f>IFERROR(VLOOKUP(A12,Tabla3[],2,FALSE),0)</f>
        <v>0</v>
      </c>
      <c r="C12" s="35"/>
      <c r="D12" s="35" t="s">
        <v>311</v>
      </c>
      <c r="E12" s="35">
        <f>B11*2</f>
        <v>0</v>
      </c>
    </row>
    <row r="13" spans="1:5" thickBot="1" x14ac:dyDescent="0.3">
      <c r="A13" s="27"/>
      <c r="B13" s="14">
        <f>IFERROR(VLOOKUP(A13,Tabla3[],2,FALSE),0)</f>
        <v>0</v>
      </c>
      <c r="C13" s="28"/>
      <c r="D13" s="28" t="s">
        <v>16</v>
      </c>
      <c r="E13" s="28">
        <f>B11*50</f>
        <v>0</v>
      </c>
    </row>
    <row r="14" spans="1:5" ht="15" customHeight="1" thickBot="1" x14ac:dyDescent="0.3">
      <c r="A14" s="30" t="s">
        <v>551</v>
      </c>
      <c r="B14" s="14">
        <f>IFERROR(VLOOKUP(A14,Tabla3[],2,FALSE),0)</f>
        <v>0</v>
      </c>
      <c r="C14" s="31"/>
      <c r="D14" s="31" t="s">
        <v>4</v>
      </c>
      <c r="E14" s="31">
        <f>B14*6</f>
        <v>0</v>
      </c>
    </row>
    <row r="15" spans="1:5" ht="15" customHeight="1" thickBot="1" x14ac:dyDescent="0.3">
      <c r="A15" s="34"/>
      <c r="B15" s="14">
        <f>IFERROR(VLOOKUP(A15,Tabla3[],2,FALSE),0)</f>
        <v>0</v>
      </c>
      <c r="C15" s="35"/>
      <c r="D15" s="35" t="s">
        <v>11</v>
      </c>
      <c r="E15" s="35">
        <f>B14</f>
        <v>0</v>
      </c>
    </row>
    <row r="16" spans="1:5" ht="15" customHeight="1" thickBot="1" x14ac:dyDescent="0.3">
      <c r="A16" s="34"/>
      <c r="B16" s="14">
        <f>IFERROR(VLOOKUP(A16,Tabla3[],2,FALSE),0)</f>
        <v>0</v>
      </c>
      <c r="C16" s="35"/>
      <c r="D16" s="35" t="s">
        <v>5</v>
      </c>
      <c r="E16" s="35">
        <f>B14</f>
        <v>0</v>
      </c>
    </row>
    <row r="17" spans="1:5" ht="15" customHeight="1" thickBot="1" x14ac:dyDescent="0.3">
      <c r="A17" s="34"/>
      <c r="B17" s="14">
        <f>IFERROR(VLOOKUP(A17,Tabla3[],2,FALSE),0)</f>
        <v>0</v>
      </c>
      <c r="C17" s="35"/>
      <c r="D17" s="35" t="s">
        <v>8</v>
      </c>
      <c r="E17" s="35">
        <f>B14</f>
        <v>0</v>
      </c>
    </row>
    <row r="18" spans="1:5" ht="15" customHeight="1" thickBot="1" x14ac:dyDescent="0.3">
      <c r="A18" s="34"/>
      <c r="B18" s="14">
        <f>IFERROR(VLOOKUP(A18,Tabla3[],2,FALSE),0)</f>
        <v>0</v>
      </c>
      <c r="C18" s="35"/>
      <c r="D18" s="35" t="s">
        <v>35</v>
      </c>
      <c r="E18" s="35">
        <f>B14*50</f>
        <v>0</v>
      </c>
    </row>
    <row r="19" spans="1:5" ht="15" customHeight="1" thickBot="1" x14ac:dyDescent="0.3">
      <c r="A19" s="34"/>
      <c r="B19" s="14">
        <f>IFERROR(VLOOKUP(A19,Tabla3[],2,FALSE),0)</f>
        <v>0</v>
      </c>
      <c r="C19" s="35"/>
      <c r="D19" s="35" t="s">
        <v>9</v>
      </c>
      <c r="E19" s="35">
        <f>B14*80</f>
        <v>0</v>
      </c>
    </row>
    <row r="20" spans="1:5" ht="15" customHeight="1" thickBot="1" x14ac:dyDescent="0.3">
      <c r="A20" s="34"/>
      <c r="B20" s="14">
        <f>IFERROR(VLOOKUP(A20,Tabla3[],2,FALSE),0)</f>
        <v>0</v>
      </c>
      <c r="C20" s="35"/>
      <c r="D20" s="35" t="s">
        <v>34</v>
      </c>
      <c r="E20" s="35">
        <f>B14*0.5</f>
        <v>0</v>
      </c>
    </row>
    <row r="21" spans="1:5" ht="15.75" customHeight="1" thickBot="1" x14ac:dyDescent="0.3">
      <c r="A21" s="34"/>
      <c r="B21" s="14">
        <f>IFERROR(VLOOKUP(A21,Tabla3[],2,FALSE),0)</f>
        <v>0</v>
      </c>
      <c r="C21" s="35"/>
      <c r="D21" s="35" t="s">
        <v>6</v>
      </c>
      <c r="E21" s="35">
        <f>B14</f>
        <v>0</v>
      </c>
    </row>
    <row r="22" spans="1:5" ht="15.75" customHeight="1" thickBot="1" x14ac:dyDescent="0.3">
      <c r="A22" s="27"/>
      <c r="B22" s="14">
        <f>IFERROR(VLOOKUP(A22,Tabla3[],2,FALSE),0)</f>
        <v>0</v>
      </c>
      <c r="C22" s="28"/>
      <c r="D22" s="28" t="s">
        <v>16</v>
      </c>
      <c r="E22" s="28">
        <f>B14*100</f>
        <v>0</v>
      </c>
    </row>
    <row r="23" spans="1:5" ht="15" customHeight="1" thickBot="1" x14ac:dyDescent="0.3">
      <c r="A23" s="30" t="s">
        <v>324</v>
      </c>
      <c r="B23" s="14">
        <f>IFERROR(VLOOKUP(A23,Tabla3[],2,FALSE),0)</f>
        <v>33</v>
      </c>
      <c r="C23" s="31"/>
      <c r="D23" s="31" t="s">
        <v>7</v>
      </c>
      <c r="E23" s="31">
        <f>B23</f>
        <v>33</v>
      </c>
    </row>
    <row r="24" spans="1:5" ht="15" customHeight="1" thickBot="1" x14ac:dyDescent="0.3">
      <c r="A24" s="34"/>
      <c r="B24" s="14">
        <f>IFERROR(VLOOKUP(A24,Tabla3[],2,FALSE),0)</f>
        <v>0</v>
      </c>
      <c r="C24" s="35"/>
      <c r="D24" s="35" t="s">
        <v>74</v>
      </c>
      <c r="E24" s="35">
        <f>B23</f>
        <v>33</v>
      </c>
    </row>
    <row r="25" spans="1:5" ht="15" customHeight="1" thickBot="1" x14ac:dyDescent="0.3">
      <c r="A25" s="34"/>
      <c r="B25" s="14">
        <f>IFERROR(VLOOKUP(A25,Tabla3[],2,FALSE),0)</f>
        <v>0</v>
      </c>
      <c r="C25" s="35"/>
      <c r="D25" s="35" t="s">
        <v>35</v>
      </c>
      <c r="E25" s="35">
        <f>B23*50</f>
        <v>1650</v>
      </c>
    </row>
    <row r="26" spans="1:5" ht="15" customHeight="1" thickBot="1" x14ac:dyDescent="0.3">
      <c r="A26" s="34"/>
      <c r="B26" s="14">
        <f>IFERROR(VLOOKUP(A26,Tabla3[],2,FALSE),0)</f>
        <v>0</v>
      </c>
      <c r="C26" s="35"/>
      <c r="D26" s="35" t="s">
        <v>8</v>
      </c>
      <c r="E26" s="35">
        <f>B23</f>
        <v>33</v>
      </c>
    </row>
    <row r="27" spans="1:5" ht="15.75" customHeight="1" thickBot="1" x14ac:dyDescent="0.3">
      <c r="A27" s="34"/>
      <c r="B27" s="14">
        <f>IFERROR(VLOOKUP(A27,Tabla3[],2,FALSE),0)</f>
        <v>0</v>
      </c>
      <c r="C27" s="35"/>
      <c r="D27" s="35" t="s">
        <v>9</v>
      </c>
      <c r="E27" s="35">
        <f>B23*90</f>
        <v>2970</v>
      </c>
    </row>
    <row r="28" spans="1:5" ht="15.75" customHeight="1" thickBot="1" x14ac:dyDescent="0.3">
      <c r="A28" s="32"/>
      <c r="B28" s="14">
        <f>IFERROR(VLOOKUP(A28,Tabla3[],2,FALSE),0)</f>
        <v>0</v>
      </c>
      <c r="C28" s="33"/>
      <c r="D28" s="33" t="s">
        <v>16</v>
      </c>
      <c r="E28" s="33">
        <f>B23*50</f>
        <v>1650</v>
      </c>
    </row>
    <row r="29" spans="1:5" ht="15" customHeight="1" thickBot="1" x14ac:dyDescent="0.3">
      <c r="A29" s="25" t="s">
        <v>330</v>
      </c>
      <c r="B29" s="14">
        <f>IFERROR(VLOOKUP(A29,Tabla3[],2,FALSE),0)</f>
        <v>20</v>
      </c>
      <c r="C29" s="26"/>
      <c r="D29" s="26" t="s">
        <v>7</v>
      </c>
      <c r="E29" s="26">
        <f>B29</f>
        <v>20</v>
      </c>
    </row>
    <row r="30" spans="1:5" ht="15" customHeight="1" thickBot="1" x14ac:dyDescent="0.3">
      <c r="A30" s="34"/>
      <c r="B30" s="14">
        <f>IFERROR(VLOOKUP(A30,Tabla3[],2,FALSE),0)</f>
        <v>0</v>
      </c>
      <c r="C30" s="35"/>
      <c r="D30" s="35" t="s">
        <v>35</v>
      </c>
      <c r="E30" s="35">
        <f>B29*50</f>
        <v>1000</v>
      </c>
    </row>
    <row r="31" spans="1:5" ht="15" customHeight="1" thickBot="1" x14ac:dyDescent="0.3">
      <c r="A31" s="34"/>
      <c r="B31" s="14">
        <f>IFERROR(VLOOKUP(A31,Tabla3[],2,FALSE),0)</f>
        <v>0</v>
      </c>
      <c r="C31" s="35"/>
      <c r="D31" s="35" t="s">
        <v>10</v>
      </c>
      <c r="E31" s="35">
        <f>B29</f>
        <v>20</v>
      </c>
    </row>
    <row r="32" spans="1:5" ht="15.75" customHeight="1" thickBot="1" x14ac:dyDescent="0.3">
      <c r="A32" s="34"/>
      <c r="B32" s="14">
        <f>IFERROR(VLOOKUP(A32,Tabla3[],2,FALSE),0)</f>
        <v>0</v>
      </c>
      <c r="C32" s="35"/>
      <c r="D32" s="35" t="s">
        <v>9</v>
      </c>
      <c r="E32" s="35">
        <f>B29*90</f>
        <v>1800</v>
      </c>
    </row>
    <row r="33" spans="1:5" ht="15.75" customHeight="1" thickBot="1" x14ac:dyDescent="0.3">
      <c r="A33" s="32"/>
      <c r="B33" s="14">
        <f>IFERROR(VLOOKUP(A33,Tabla3[],2,FALSE),0)</f>
        <v>0</v>
      </c>
      <c r="C33" s="33"/>
      <c r="D33" s="33" t="s">
        <v>16</v>
      </c>
      <c r="E33" s="33">
        <f>B29*50</f>
        <v>1000</v>
      </c>
    </row>
    <row r="34" spans="1:5" ht="15" customHeight="1" thickBot="1" x14ac:dyDescent="0.3">
      <c r="A34" s="25" t="s">
        <v>331</v>
      </c>
      <c r="B34" s="14">
        <f>IFERROR(VLOOKUP(A34,Tabla3[],2,FALSE),0)</f>
        <v>19</v>
      </c>
      <c r="C34" s="26"/>
      <c r="D34" s="26" t="s">
        <v>7</v>
      </c>
      <c r="E34" s="26">
        <f>B34</f>
        <v>19</v>
      </c>
    </row>
    <row r="35" spans="1:5" ht="15" customHeight="1" thickBot="1" x14ac:dyDescent="0.3">
      <c r="A35" s="34"/>
      <c r="B35" s="14">
        <f>IFERROR(VLOOKUP(A35,Tabla3[],2,FALSE),0)</f>
        <v>0</v>
      </c>
      <c r="C35" s="35"/>
      <c r="D35" s="35" t="s">
        <v>35</v>
      </c>
      <c r="E35" s="35">
        <f>B34*50</f>
        <v>950</v>
      </c>
    </row>
    <row r="36" spans="1:5" ht="15" customHeight="1" thickBot="1" x14ac:dyDescent="0.3">
      <c r="A36" s="34"/>
      <c r="B36" s="14">
        <f>IFERROR(VLOOKUP(A36,Tabla3[],2,FALSE),0)</f>
        <v>0</v>
      </c>
      <c r="C36" s="35"/>
      <c r="D36" s="35" t="s">
        <v>6</v>
      </c>
      <c r="E36" s="35">
        <f>B34</f>
        <v>19</v>
      </c>
    </row>
    <row r="37" spans="1:5" ht="15" customHeight="1" thickBot="1" x14ac:dyDescent="0.3">
      <c r="A37" s="34"/>
      <c r="B37" s="14">
        <f>IFERROR(VLOOKUP(A37,Tabla3[],2,FALSE),0)</f>
        <v>0</v>
      </c>
      <c r="C37" s="35"/>
      <c r="D37" s="35" t="s">
        <v>9</v>
      </c>
      <c r="E37" s="35">
        <f>B34*90</f>
        <v>1710</v>
      </c>
    </row>
    <row r="38" spans="1:5" ht="15.75" customHeight="1" thickBot="1" x14ac:dyDescent="0.3">
      <c r="A38" s="32"/>
      <c r="B38" s="14">
        <f>IFERROR(VLOOKUP(A38,Tabla3[],2,FALSE),0)</f>
        <v>0</v>
      </c>
      <c r="C38" s="33"/>
      <c r="D38" s="33" t="s">
        <v>16</v>
      </c>
      <c r="E38" s="33">
        <f>B34*50</f>
        <v>950</v>
      </c>
    </row>
    <row r="39" spans="1:5" thickBot="1" x14ac:dyDescent="0.3">
      <c r="A39" s="25" t="s">
        <v>332</v>
      </c>
      <c r="B39" s="14">
        <f>IFERROR(VLOOKUP(A39,Tabla3[],2,FALSE),0)</f>
        <v>5</v>
      </c>
      <c r="C39" s="37"/>
      <c r="D39" s="37" t="s">
        <v>11</v>
      </c>
      <c r="E39" s="37">
        <f>B39</f>
        <v>5</v>
      </c>
    </row>
    <row r="40" spans="1:5" thickBot="1" x14ac:dyDescent="0.3">
      <c r="A40" s="34"/>
      <c r="B40" s="14">
        <f>IFERROR(VLOOKUP(A40,Tabla3[],2,FALSE),0)</f>
        <v>0</v>
      </c>
      <c r="C40" s="38"/>
      <c r="D40" s="38" t="s">
        <v>13</v>
      </c>
      <c r="E40" s="38">
        <f>B39*300</f>
        <v>1500</v>
      </c>
    </row>
    <row r="41" spans="1:5" thickBot="1" x14ac:dyDescent="0.3">
      <c r="A41" s="32"/>
      <c r="B41" s="14">
        <f>IFERROR(VLOOKUP(A41,Tabla3[],2,FALSE),0)</f>
        <v>0</v>
      </c>
      <c r="C41" s="39"/>
      <c r="D41" s="39" t="s">
        <v>209</v>
      </c>
      <c r="E41" s="39">
        <f>2*B39</f>
        <v>10</v>
      </c>
    </row>
    <row r="42" spans="1:5" thickBot="1" x14ac:dyDescent="0.3">
      <c r="A42" s="25" t="s">
        <v>333</v>
      </c>
      <c r="B42" s="14">
        <f>IFERROR(VLOOKUP(A42,Tabla3[],2,FALSE),0)</f>
        <v>21</v>
      </c>
      <c r="C42" s="26"/>
      <c r="D42" s="26" t="s">
        <v>14</v>
      </c>
      <c r="E42" s="26">
        <f>B42</f>
        <v>21</v>
      </c>
    </row>
    <row r="43" spans="1:5" thickBot="1" x14ac:dyDescent="0.3">
      <c r="A43" s="32"/>
      <c r="B43" s="14">
        <f>IFERROR(VLOOKUP(A43,Tabla3[],2,FALSE),0)</f>
        <v>0</v>
      </c>
      <c r="C43" s="33"/>
      <c r="D43" s="33" t="s">
        <v>311</v>
      </c>
      <c r="E43" s="33">
        <f>B42*2</f>
        <v>42</v>
      </c>
    </row>
    <row r="44" spans="1:5" ht="15" customHeight="1" thickBot="1" x14ac:dyDescent="0.3">
      <c r="A44" s="25" t="s">
        <v>20</v>
      </c>
      <c r="B44" s="14">
        <f>IFERROR(VLOOKUP(A44,Tabla3[],2,FALSE),0)</f>
        <v>10</v>
      </c>
      <c r="C44" s="26"/>
      <c r="D44" s="26" t="s">
        <v>7</v>
      </c>
      <c r="E44" s="26">
        <f>B44</f>
        <v>10</v>
      </c>
    </row>
    <row r="45" spans="1:5" ht="15" customHeight="1" thickBot="1" x14ac:dyDescent="0.3">
      <c r="A45" s="34"/>
      <c r="B45" s="14">
        <f>IFERROR(VLOOKUP(A45,Tabla3[],2,FALSE),0)</f>
        <v>0</v>
      </c>
      <c r="C45" s="35"/>
      <c r="D45" s="35" t="s">
        <v>522</v>
      </c>
      <c r="E45" s="35">
        <f>B44</f>
        <v>10</v>
      </c>
    </row>
    <row r="46" spans="1:5" ht="15" customHeight="1" thickBot="1" x14ac:dyDescent="0.3">
      <c r="A46" s="34"/>
      <c r="B46" s="14">
        <f>IFERROR(VLOOKUP(A46,Tabla3[],2,FALSE),0)</f>
        <v>0</v>
      </c>
      <c r="C46" s="35"/>
      <c r="D46" s="35" t="s">
        <v>2</v>
      </c>
      <c r="E46" s="35">
        <f>B44</f>
        <v>10</v>
      </c>
    </row>
    <row r="47" spans="1:5" ht="15" customHeight="1" thickBot="1" x14ac:dyDescent="0.3">
      <c r="A47" s="34"/>
      <c r="B47" s="14">
        <f>IFERROR(VLOOKUP(A47,Tabla3[],2,FALSE),0)</f>
        <v>0</v>
      </c>
      <c r="C47" s="35"/>
      <c r="D47" s="35" t="s">
        <v>18</v>
      </c>
      <c r="E47" s="35">
        <f>B44*4</f>
        <v>40</v>
      </c>
    </row>
    <row r="48" spans="1:5" ht="15" customHeight="1" thickBot="1" x14ac:dyDescent="0.3">
      <c r="A48" s="34"/>
      <c r="B48" s="14">
        <f>IFERROR(VLOOKUP(A48,Tabla3[],2,FALSE),0)</f>
        <v>0</v>
      </c>
      <c r="C48" s="35"/>
      <c r="D48" s="35" t="s">
        <v>0</v>
      </c>
      <c r="E48" s="35">
        <f>B44</f>
        <v>10</v>
      </c>
    </row>
    <row r="49" spans="1:5" ht="15" customHeight="1" thickBot="1" x14ac:dyDescent="0.3">
      <c r="A49" s="34"/>
      <c r="B49" s="14">
        <f>IFERROR(VLOOKUP(A49,Tabla3[],2,FALSE),0)</f>
        <v>0</v>
      </c>
      <c r="C49" s="35" t="s">
        <v>133</v>
      </c>
      <c r="D49" s="35" t="s">
        <v>35</v>
      </c>
      <c r="E49" s="35">
        <f>B44*40</f>
        <v>400</v>
      </c>
    </row>
    <row r="50" spans="1:5" ht="15" customHeight="1" thickBot="1" x14ac:dyDescent="0.3">
      <c r="A50" s="34"/>
      <c r="B50" s="14">
        <f>IFERROR(VLOOKUP(A50,Tabla3[],2,FALSE),0)</f>
        <v>0</v>
      </c>
      <c r="C50" s="35"/>
      <c r="D50" s="35" t="s">
        <v>9</v>
      </c>
      <c r="E50" s="38">
        <f>B44*90</f>
        <v>900</v>
      </c>
    </row>
    <row r="51" spans="1:5" ht="15" customHeight="1" thickBot="1" x14ac:dyDescent="0.3">
      <c r="A51" s="34"/>
      <c r="B51" s="14">
        <f>IFERROR(VLOOKUP(A51,Tabla3[],2,FALSE),0)</f>
        <v>0</v>
      </c>
      <c r="C51" s="35"/>
      <c r="D51" s="35" t="s">
        <v>35</v>
      </c>
      <c r="E51" s="38">
        <f>B44*50</f>
        <v>500</v>
      </c>
    </row>
    <row r="52" spans="1:5" ht="15.75" customHeight="1" thickBot="1" x14ac:dyDescent="0.3">
      <c r="A52" s="32"/>
      <c r="B52" s="14">
        <f>IFERROR(VLOOKUP(A52,Tabla3[],2,FALSE),0)</f>
        <v>0</v>
      </c>
      <c r="C52" s="33"/>
      <c r="D52" s="33" t="s">
        <v>16</v>
      </c>
      <c r="E52" s="33">
        <f>B44*50</f>
        <v>500</v>
      </c>
    </row>
    <row r="53" spans="1:5" ht="15" customHeight="1" thickBot="1" x14ac:dyDescent="0.3">
      <c r="A53" s="25" t="s">
        <v>21</v>
      </c>
      <c r="B53" s="14">
        <f>IFERROR(VLOOKUP(A53,Tabla3[],2,FALSE),0)</f>
        <v>38</v>
      </c>
      <c r="C53" s="26"/>
      <c r="D53" s="26" t="s">
        <v>522</v>
      </c>
      <c r="E53" s="26">
        <f>B53</f>
        <v>38</v>
      </c>
    </row>
    <row r="54" spans="1:5" ht="15" customHeight="1" thickBot="1" x14ac:dyDescent="0.3">
      <c r="A54" s="34"/>
      <c r="B54" s="14">
        <f>IFERROR(VLOOKUP(A54,Tabla3[],2,FALSE),0)</f>
        <v>0</v>
      </c>
      <c r="C54" s="35"/>
      <c r="D54" s="35" t="s">
        <v>1</v>
      </c>
      <c r="E54" s="35">
        <f>B53</f>
        <v>38</v>
      </c>
    </row>
    <row r="55" spans="1:5" ht="15" customHeight="1" thickBot="1" x14ac:dyDescent="0.3">
      <c r="A55" s="34"/>
      <c r="B55" s="14">
        <f>IFERROR(VLOOKUP(A55,Tabla3[],2,FALSE),0)</f>
        <v>0</v>
      </c>
      <c r="C55" s="35"/>
      <c r="D55" s="35" t="s">
        <v>2</v>
      </c>
      <c r="E55" s="35">
        <f>B53</f>
        <v>38</v>
      </c>
    </row>
    <row r="56" spans="1:5" ht="15" customHeight="1" thickBot="1" x14ac:dyDescent="0.3">
      <c r="A56" s="34"/>
      <c r="B56" s="14">
        <f>IFERROR(VLOOKUP(A56,Tabla3[],2,FALSE),0)</f>
        <v>0</v>
      </c>
      <c r="C56" s="35"/>
      <c r="D56" s="35" t="s">
        <v>13</v>
      </c>
      <c r="E56" s="35">
        <f>B53*250</f>
        <v>9500</v>
      </c>
    </row>
    <row r="57" spans="1:5" ht="15" customHeight="1" thickBot="1" x14ac:dyDescent="0.3">
      <c r="A57" s="34"/>
      <c r="B57" s="14">
        <f>IFERROR(VLOOKUP(A57,Tabla3[],2,FALSE),0)</f>
        <v>0</v>
      </c>
      <c r="C57" s="35"/>
      <c r="D57" s="35" t="s">
        <v>17</v>
      </c>
      <c r="E57" s="35">
        <f>B53*2</f>
        <v>76</v>
      </c>
    </row>
    <row r="58" spans="1:5" ht="15" customHeight="1" thickBot="1" x14ac:dyDescent="0.3">
      <c r="A58" s="34"/>
      <c r="B58" s="14">
        <f>IFERROR(VLOOKUP(A58,Tabla3[],2,FALSE),0)</f>
        <v>0</v>
      </c>
      <c r="C58" s="35"/>
      <c r="D58" s="35" t="s">
        <v>0</v>
      </c>
      <c r="E58" s="35">
        <f>B53</f>
        <v>38</v>
      </c>
    </row>
    <row r="59" spans="1:5" ht="15" customHeight="1" thickBot="1" x14ac:dyDescent="0.3">
      <c r="A59" s="34"/>
      <c r="B59" s="14">
        <f>IFERROR(VLOOKUP(A59,Tabla3[],2,FALSE),0)</f>
        <v>0</v>
      </c>
      <c r="C59" s="35"/>
      <c r="D59" s="35" t="s">
        <v>35</v>
      </c>
      <c r="E59" s="35">
        <f>B53*50</f>
        <v>1900</v>
      </c>
    </row>
    <row r="60" spans="1:5" ht="15.75" customHeight="1" thickBot="1" x14ac:dyDescent="0.3">
      <c r="A60" s="34"/>
      <c r="B60" s="14">
        <f>IFERROR(VLOOKUP(A60,Tabla3[],2,FALSE),0)</f>
        <v>0</v>
      </c>
      <c r="C60" s="35"/>
      <c r="D60" s="35" t="s">
        <v>16</v>
      </c>
      <c r="E60" s="35">
        <f>B53*50</f>
        <v>1900</v>
      </c>
    </row>
    <row r="61" spans="1:5" thickBot="1" x14ac:dyDescent="0.3">
      <c r="A61" s="32"/>
      <c r="B61" s="14">
        <f>IFERROR(VLOOKUP(A61,Tabla3[],2,FALSE),0)</f>
        <v>0</v>
      </c>
      <c r="C61" s="33"/>
      <c r="D61" s="33" t="s">
        <v>570</v>
      </c>
      <c r="E61" s="33">
        <f>B53*20</f>
        <v>760</v>
      </c>
    </row>
    <row r="62" spans="1:5" thickBot="1" x14ac:dyDescent="0.3">
      <c r="A62" s="25" t="s">
        <v>22</v>
      </c>
      <c r="B62" s="14">
        <f>IFERROR(VLOOKUP(A62,Tabla3[],2,FALSE),0)</f>
        <v>14</v>
      </c>
      <c r="C62" s="26"/>
      <c r="D62" s="26" t="s">
        <v>11</v>
      </c>
      <c r="E62" s="26">
        <f>B62</f>
        <v>14</v>
      </c>
    </row>
    <row r="63" spans="1:5" thickBot="1" x14ac:dyDescent="0.3">
      <c r="A63" s="34"/>
      <c r="B63" s="14">
        <f>IFERROR(VLOOKUP(A63,Tabla3[],2,FALSE),0)</f>
        <v>0</v>
      </c>
      <c r="C63" s="35"/>
      <c r="D63" s="35" t="s">
        <v>5</v>
      </c>
      <c r="E63" s="35">
        <f>B62*2</f>
        <v>28</v>
      </c>
    </row>
    <row r="64" spans="1:5" ht="15" customHeight="1" thickBot="1" x14ac:dyDescent="0.3">
      <c r="A64" s="34"/>
      <c r="B64" s="14">
        <f>IFERROR(VLOOKUP(A64,Tabla3[],2,FALSE),0)</f>
        <v>0</v>
      </c>
      <c r="C64" s="35"/>
      <c r="D64" s="35" t="s">
        <v>6</v>
      </c>
      <c r="E64" s="35">
        <f>B62*2</f>
        <v>28</v>
      </c>
    </row>
    <row r="65" spans="1:5" ht="15.75" customHeight="1" thickBot="1" x14ac:dyDescent="0.3">
      <c r="A65" s="32"/>
      <c r="B65" s="14">
        <f>IFERROR(VLOOKUP(A65,Tabla3[],2,FALSE),0)</f>
        <v>0</v>
      </c>
      <c r="C65" s="33"/>
      <c r="D65" s="33" t="s">
        <v>311</v>
      </c>
      <c r="E65" s="33">
        <f>B62*6</f>
        <v>84</v>
      </c>
    </row>
    <row r="66" spans="1:5" ht="15.75" customHeight="1" thickBot="1" x14ac:dyDescent="0.3">
      <c r="A66" s="25" t="s">
        <v>334</v>
      </c>
      <c r="B66" s="14">
        <f>IFERROR(VLOOKUP(A66,Tabla3[],2,FALSE),0)</f>
        <v>138</v>
      </c>
      <c r="C66" s="26"/>
      <c r="D66" s="26" t="s">
        <v>13</v>
      </c>
      <c r="E66" s="26">
        <f>B66*800</f>
        <v>110400</v>
      </c>
    </row>
    <row r="67" spans="1:5" thickBot="1" x14ac:dyDescent="0.3">
      <c r="A67" s="34"/>
      <c r="B67" s="14">
        <f>IFERROR(VLOOKUP(A67,Tabla3[],2,FALSE),0)</f>
        <v>0</v>
      </c>
      <c r="C67" s="35"/>
      <c r="D67" s="35" t="s">
        <v>9</v>
      </c>
      <c r="E67" s="35">
        <f>B66*150</f>
        <v>20700</v>
      </c>
    </row>
    <row r="68" spans="1:5" thickBot="1" x14ac:dyDescent="0.3">
      <c r="A68" s="34"/>
      <c r="B68" s="14">
        <f>IFERROR(VLOOKUP(A68,Tabla3[],2,FALSE),0)</f>
        <v>0</v>
      </c>
      <c r="C68" s="35"/>
      <c r="D68" s="35" t="s">
        <v>16</v>
      </c>
      <c r="E68" s="35">
        <f>B66*150</f>
        <v>20700</v>
      </c>
    </row>
    <row r="69" spans="1:5" thickBot="1" x14ac:dyDescent="0.3">
      <c r="A69" s="34"/>
      <c r="B69" s="14">
        <f>IFERROR(VLOOKUP(A69,Tabla3[],2,FALSE),0)</f>
        <v>0</v>
      </c>
      <c r="C69" s="35"/>
      <c r="D69" s="35" t="s">
        <v>23</v>
      </c>
      <c r="E69" s="35">
        <f>B66*20</f>
        <v>2760</v>
      </c>
    </row>
    <row r="70" spans="1:5" thickBot="1" x14ac:dyDescent="0.3">
      <c r="A70" s="32"/>
      <c r="B70" s="14">
        <f>IFERROR(VLOOKUP(A70,Tabla3[],2,FALSE),0)</f>
        <v>0</v>
      </c>
      <c r="C70" s="33"/>
      <c r="D70" s="33" t="s">
        <v>24</v>
      </c>
      <c r="E70" s="33">
        <f>B66</f>
        <v>138</v>
      </c>
    </row>
    <row r="71" spans="1:5" thickBot="1" x14ac:dyDescent="0.3">
      <c r="A71" s="25" t="s">
        <v>25</v>
      </c>
      <c r="B71" s="14">
        <f>IFERROR(VLOOKUP(A71,Tabla3[],2,FALSE),0)</f>
        <v>23</v>
      </c>
      <c r="C71" s="26"/>
      <c r="D71" s="26" t="s">
        <v>13</v>
      </c>
      <c r="E71" s="37">
        <f>B71*800</f>
        <v>18400</v>
      </c>
    </row>
    <row r="72" spans="1:5" thickBot="1" x14ac:dyDescent="0.3">
      <c r="A72" s="34"/>
      <c r="B72" s="14">
        <f>IFERROR(VLOOKUP(A72,Tabla3[],2,FALSE),0)</f>
        <v>0</v>
      </c>
      <c r="C72" s="35"/>
      <c r="D72" s="35" t="s">
        <v>9</v>
      </c>
      <c r="E72" s="38">
        <f>B71*150</f>
        <v>3450</v>
      </c>
    </row>
    <row r="73" spans="1:5" thickBot="1" x14ac:dyDescent="0.3">
      <c r="A73" s="34"/>
      <c r="B73" s="14">
        <f>IFERROR(VLOOKUP(A73,Tabla3[],2,FALSE),0)</f>
        <v>0</v>
      </c>
      <c r="C73" s="35"/>
      <c r="D73" s="35" t="s">
        <v>16</v>
      </c>
      <c r="E73" s="38">
        <f>B71*150</f>
        <v>3450</v>
      </c>
    </row>
    <row r="74" spans="1:5" thickBot="1" x14ac:dyDescent="0.3">
      <c r="A74" s="32"/>
      <c r="B74" s="14">
        <f>IFERROR(VLOOKUP(A74,Tabla3[],2,FALSE),0)</f>
        <v>0</v>
      </c>
      <c r="C74" s="33"/>
      <c r="D74" s="33" t="s">
        <v>23</v>
      </c>
      <c r="E74" s="39">
        <f>B71*20</f>
        <v>460</v>
      </c>
    </row>
    <row r="75" spans="1:5" thickBot="1" x14ac:dyDescent="0.3">
      <c r="A75" s="25" t="s">
        <v>207</v>
      </c>
      <c r="B75" s="14">
        <f>IFERROR(VLOOKUP(A75,Tabla3[],2,FALSE),0)</f>
        <v>22</v>
      </c>
      <c r="C75" s="26"/>
      <c r="D75" s="26" t="s">
        <v>13</v>
      </c>
      <c r="E75" s="26">
        <f>B75*800</f>
        <v>17600</v>
      </c>
    </row>
    <row r="76" spans="1:5" thickBot="1" x14ac:dyDescent="0.3">
      <c r="A76" s="34"/>
      <c r="B76" s="14">
        <f>IFERROR(VLOOKUP(A76,Tabla3[],2,FALSE),0)</f>
        <v>0</v>
      </c>
      <c r="C76" s="35"/>
      <c r="D76" s="35" t="s">
        <v>9</v>
      </c>
      <c r="E76" s="35">
        <f>B75*150</f>
        <v>3300</v>
      </c>
    </row>
    <row r="77" spans="1:5" thickBot="1" x14ac:dyDescent="0.3">
      <c r="A77" s="34"/>
      <c r="B77" s="14">
        <f>IFERROR(VLOOKUP(A77,Tabla3[],2,FALSE),0)</f>
        <v>0</v>
      </c>
      <c r="C77" s="35"/>
      <c r="D77" s="35" t="s">
        <v>16</v>
      </c>
      <c r="E77" s="35">
        <f>B75*150</f>
        <v>3300</v>
      </c>
    </row>
    <row r="78" spans="1:5" thickBot="1" x14ac:dyDescent="0.3">
      <c r="A78" s="34"/>
      <c r="B78" s="14">
        <f>IFERROR(VLOOKUP(A78,Tabla3[],2,FALSE),0)</f>
        <v>0</v>
      </c>
      <c r="C78" s="35"/>
      <c r="D78" s="35" t="s">
        <v>23</v>
      </c>
      <c r="E78" s="35">
        <f>B75*20</f>
        <v>440</v>
      </c>
    </row>
    <row r="79" spans="1:5" thickBot="1" x14ac:dyDescent="0.3">
      <c r="A79" s="32"/>
      <c r="B79" s="14">
        <f>IFERROR(VLOOKUP(A79,Tabla3[],2,FALSE),0)</f>
        <v>0</v>
      </c>
      <c r="C79" s="33"/>
      <c r="D79" s="33" t="s">
        <v>6</v>
      </c>
      <c r="E79" s="39">
        <f>B75*3</f>
        <v>66</v>
      </c>
    </row>
    <row r="80" spans="1:5" thickBot="1" x14ac:dyDescent="0.3">
      <c r="A80" s="25" t="s">
        <v>335</v>
      </c>
      <c r="B80" s="14">
        <f>IFERROR(VLOOKUP(A80,Tabla3[],2,FALSE),0)</f>
        <v>33</v>
      </c>
      <c r="C80" s="26"/>
      <c r="D80" s="26" t="s">
        <v>13</v>
      </c>
      <c r="E80" s="26">
        <f>B80*800</f>
        <v>26400</v>
      </c>
    </row>
    <row r="81" spans="1:5" thickBot="1" x14ac:dyDescent="0.3">
      <c r="A81" s="34"/>
      <c r="B81" s="14">
        <f>IFERROR(VLOOKUP(A81,Tabla3[],2,FALSE),0)</f>
        <v>0</v>
      </c>
      <c r="C81" s="35"/>
      <c r="D81" s="35" t="s">
        <v>9</v>
      </c>
      <c r="E81" s="35">
        <f>B80*150</f>
        <v>4950</v>
      </c>
    </row>
    <row r="82" spans="1:5" thickBot="1" x14ac:dyDescent="0.3">
      <c r="A82" s="34"/>
      <c r="B82" s="14">
        <f>IFERROR(VLOOKUP(A82,Tabla3[],2,FALSE),0)</f>
        <v>0</v>
      </c>
      <c r="C82" s="35"/>
      <c r="D82" s="35" t="s">
        <v>16</v>
      </c>
      <c r="E82" s="35">
        <f>B80*150</f>
        <v>4950</v>
      </c>
    </row>
    <row r="83" spans="1:5" thickBot="1" x14ac:dyDescent="0.3">
      <c r="A83" s="34"/>
      <c r="B83" s="14">
        <f>IFERROR(VLOOKUP(A83,Tabla3[],2,FALSE),0)</f>
        <v>0</v>
      </c>
      <c r="C83" s="35"/>
      <c r="D83" s="35" t="s">
        <v>23</v>
      </c>
      <c r="E83" s="35">
        <f>B80*20</f>
        <v>660</v>
      </c>
    </row>
    <row r="84" spans="1:5" thickBot="1" x14ac:dyDescent="0.3">
      <c r="A84" s="32"/>
      <c r="B84" s="14">
        <f>IFERROR(VLOOKUP(A84,Tabla3[],2,FALSE),0)</f>
        <v>0</v>
      </c>
      <c r="C84" s="33"/>
      <c r="D84" s="33" t="s">
        <v>8</v>
      </c>
      <c r="E84" s="33">
        <f>B80*3</f>
        <v>99</v>
      </c>
    </row>
    <row r="85" spans="1:5" thickBot="1" x14ac:dyDescent="0.3">
      <c r="A85" s="25" t="s">
        <v>336</v>
      </c>
      <c r="B85" s="14">
        <f>IFERROR(VLOOKUP(A85,Tabla3[],2,FALSE),0)</f>
        <v>35</v>
      </c>
      <c r="C85" s="26"/>
      <c r="D85" s="26" t="s">
        <v>13</v>
      </c>
      <c r="E85" s="26">
        <f>B85*800</f>
        <v>28000</v>
      </c>
    </row>
    <row r="86" spans="1:5" thickBot="1" x14ac:dyDescent="0.3">
      <c r="A86" s="34"/>
      <c r="B86" s="14">
        <f>IFERROR(VLOOKUP(A86,Tabla3[],2,FALSE),0)</f>
        <v>0</v>
      </c>
      <c r="C86" s="35"/>
      <c r="D86" s="35" t="s">
        <v>9</v>
      </c>
      <c r="E86" s="35">
        <f>B85*150</f>
        <v>5250</v>
      </c>
    </row>
    <row r="87" spans="1:5" thickBot="1" x14ac:dyDescent="0.3">
      <c r="A87" s="34"/>
      <c r="B87" s="14">
        <f>IFERROR(VLOOKUP(A87,Tabla3[],2,FALSE),0)</f>
        <v>0</v>
      </c>
      <c r="C87" s="35"/>
      <c r="D87" s="35" t="s">
        <v>16</v>
      </c>
      <c r="E87" s="35">
        <f>B85*150</f>
        <v>5250</v>
      </c>
    </row>
    <row r="88" spans="1:5" thickBot="1" x14ac:dyDescent="0.3">
      <c r="A88" s="34"/>
      <c r="B88" s="14">
        <f>IFERROR(VLOOKUP(A88,Tabla3[],2,FALSE),0)</f>
        <v>0</v>
      </c>
      <c r="C88" s="35"/>
      <c r="D88" s="35" t="s">
        <v>23</v>
      </c>
      <c r="E88" s="35">
        <f>B85*20</f>
        <v>700</v>
      </c>
    </row>
    <row r="89" spans="1:5" thickBot="1" x14ac:dyDescent="0.3">
      <c r="A89" s="27"/>
      <c r="B89" s="14">
        <f>IFERROR(VLOOKUP(A89,Tabla3[],2,FALSE),0)</f>
        <v>0</v>
      </c>
      <c r="C89" s="28"/>
      <c r="D89" s="28" t="s">
        <v>31</v>
      </c>
      <c r="E89" s="41">
        <f>B85*1</f>
        <v>35</v>
      </c>
    </row>
    <row r="90" spans="1:5" thickBot="1" x14ac:dyDescent="0.3">
      <c r="A90" s="22" t="s">
        <v>337</v>
      </c>
      <c r="B90" s="14">
        <f>IFERROR(VLOOKUP(A90,Tabla3[],2,FALSE),0)</f>
        <v>11</v>
      </c>
      <c r="C90" s="42"/>
      <c r="D90" s="42" t="s">
        <v>13</v>
      </c>
      <c r="E90" s="43">
        <f>B90*800</f>
        <v>8800</v>
      </c>
    </row>
    <row r="91" spans="1:5" thickBot="1" x14ac:dyDescent="0.3">
      <c r="A91" s="25" t="s">
        <v>33</v>
      </c>
      <c r="B91" s="14">
        <f>IFERROR(VLOOKUP(A91,Tabla3[],2,FALSE),0)</f>
        <v>16</v>
      </c>
      <c r="C91" s="26"/>
      <c r="D91" s="26" t="s">
        <v>31</v>
      </c>
      <c r="E91" s="26">
        <f>B91</f>
        <v>16</v>
      </c>
    </row>
    <row r="92" spans="1:5" thickBot="1" x14ac:dyDescent="0.3">
      <c r="A92" s="34"/>
      <c r="B92" s="14">
        <f>IFERROR(VLOOKUP(A92,Tabla3[],2,FALSE),0)</f>
        <v>0</v>
      </c>
      <c r="C92" s="35"/>
      <c r="D92" s="35" t="s">
        <v>34</v>
      </c>
      <c r="E92" s="35"/>
    </row>
    <row r="93" spans="1:5" thickBot="1" x14ac:dyDescent="0.3">
      <c r="A93" s="34"/>
      <c r="B93" s="14">
        <f>IFERROR(VLOOKUP(A93,Tabla3[],2,FALSE),0)</f>
        <v>0</v>
      </c>
      <c r="C93" s="35"/>
      <c r="D93" s="35" t="s">
        <v>571</v>
      </c>
      <c r="E93" s="35">
        <f>B91*30</f>
        <v>480</v>
      </c>
    </row>
    <row r="94" spans="1:5" thickBot="1" x14ac:dyDescent="0.3">
      <c r="A94" s="34"/>
      <c r="B94" s="14">
        <f>IFERROR(VLOOKUP(A94,Tabla3[],2,FALSE),0)</f>
        <v>0</v>
      </c>
      <c r="C94" s="35"/>
      <c r="D94" s="35" t="s">
        <v>9</v>
      </c>
      <c r="E94" s="35">
        <f>B91*30</f>
        <v>480</v>
      </c>
    </row>
    <row r="95" spans="1:5" thickBot="1" x14ac:dyDescent="0.3">
      <c r="A95" s="34"/>
      <c r="B95" s="14">
        <f>IFERROR(VLOOKUP(A95,Tabla3[],2,FALSE),0)</f>
        <v>0</v>
      </c>
      <c r="C95" s="35"/>
      <c r="D95" s="35" t="s">
        <v>28</v>
      </c>
      <c r="E95" s="35">
        <f>B91</f>
        <v>16</v>
      </c>
    </row>
    <row r="96" spans="1:5" thickBot="1" x14ac:dyDescent="0.3">
      <c r="A96" s="32"/>
      <c r="B96" s="14">
        <f>IFERROR(VLOOKUP(A96,Tabla3[],2,FALSE),0)</f>
        <v>0</v>
      </c>
      <c r="C96" s="33"/>
      <c r="D96" s="33" t="s">
        <v>13</v>
      </c>
      <c r="E96" s="33">
        <f>B91*120</f>
        <v>1920</v>
      </c>
    </row>
    <row r="97" spans="1:5" thickBot="1" x14ac:dyDescent="0.3">
      <c r="A97" s="25" t="s">
        <v>572</v>
      </c>
      <c r="B97" s="14">
        <f>IFERROR(VLOOKUP(A97,Tabla3[],2,FALSE),0)</f>
        <v>14</v>
      </c>
      <c r="C97" s="26"/>
      <c r="D97" s="26" t="s">
        <v>26</v>
      </c>
      <c r="E97" s="26">
        <f>B97*2</f>
        <v>28</v>
      </c>
    </row>
    <row r="98" spans="1:5" thickBot="1" x14ac:dyDescent="0.3">
      <c r="A98" s="34"/>
      <c r="B98" s="14">
        <f>IFERROR(VLOOKUP(A98,Tabla3[],2,FALSE),0)</f>
        <v>0</v>
      </c>
      <c r="C98" s="35"/>
      <c r="D98" s="35" t="s">
        <v>27</v>
      </c>
      <c r="E98" s="35">
        <f>B97*2</f>
        <v>28</v>
      </c>
    </row>
    <row r="99" spans="1:5" thickBot="1" x14ac:dyDescent="0.3">
      <c r="A99" s="34"/>
      <c r="B99" s="14">
        <f>IFERROR(VLOOKUP(A99,Tabla3[],2,FALSE),0)</f>
        <v>0</v>
      </c>
      <c r="C99" s="35"/>
      <c r="D99" s="35" t="s">
        <v>32</v>
      </c>
      <c r="E99" s="35">
        <f>B97</f>
        <v>14</v>
      </c>
    </row>
    <row r="100" spans="1:5" thickBot="1" x14ac:dyDescent="0.3">
      <c r="A100" s="34"/>
      <c r="B100" s="14">
        <f>IFERROR(VLOOKUP(A100,Tabla3[],2,FALSE),0)</f>
        <v>0</v>
      </c>
      <c r="C100" s="35"/>
      <c r="D100" s="35" t="s">
        <v>28</v>
      </c>
      <c r="E100" s="35">
        <f>B97</f>
        <v>14</v>
      </c>
    </row>
    <row r="101" spans="1:5" thickBot="1" x14ac:dyDescent="0.3">
      <c r="A101" s="32"/>
      <c r="B101" s="14">
        <f>IFERROR(VLOOKUP(A101,Tabla3[],2,FALSE),0)</f>
        <v>0</v>
      </c>
      <c r="C101" s="33"/>
      <c r="D101" s="33" t="s">
        <v>13</v>
      </c>
      <c r="E101" s="33">
        <f>B97*120</f>
        <v>1680</v>
      </c>
    </row>
    <row r="102" spans="1:5" thickBot="1" x14ac:dyDescent="0.3">
      <c r="A102" s="25" t="s">
        <v>29</v>
      </c>
      <c r="B102" s="14">
        <f>IFERROR(VLOOKUP(A102,Tabla3[],2,FALSE),0)</f>
        <v>20</v>
      </c>
      <c r="C102" s="26"/>
      <c r="D102" s="26" t="s">
        <v>26</v>
      </c>
      <c r="E102" s="26">
        <f>B102</f>
        <v>20</v>
      </c>
    </row>
    <row r="103" spans="1:5" thickBot="1" x14ac:dyDescent="0.3">
      <c r="A103" s="34"/>
      <c r="B103" s="14">
        <f>IFERROR(VLOOKUP(A103,Tabla3[],2,FALSE),0)</f>
        <v>0</v>
      </c>
      <c r="C103" s="35"/>
      <c r="D103" s="35" t="s">
        <v>27</v>
      </c>
      <c r="E103" s="35">
        <f>B102</f>
        <v>20</v>
      </c>
    </row>
    <row r="104" spans="1:5" thickBot="1" x14ac:dyDescent="0.3">
      <c r="A104" s="34"/>
      <c r="B104" s="14">
        <f>IFERROR(VLOOKUP(A104,Tabla3[],2,FALSE),0)</f>
        <v>0</v>
      </c>
      <c r="C104" s="35"/>
      <c r="D104" s="35" t="s">
        <v>28</v>
      </c>
      <c r="E104" s="35">
        <f>B102</f>
        <v>20</v>
      </c>
    </row>
    <row r="105" spans="1:5" thickBot="1" x14ac:dyDescent="0.3">
      <c r="A105" s="34"/>
      <c r="B105" s="14">
        <f>IFERROR(VLOOKUP(A105,Tabla3[],2,FALSE),0)</f>
        <v>0</v>
      </c>
      <c r="C105" s="35"/>
      <c r="D105" s="35" t="s">
        <v>30</v>
      </c>
      <c r="E105" s="35"/>
    </row>
    <row r="106" spans="1:5" thickBot="1" x14ac:dyDescent="0.3">
      <c r="A106" s="34"/>
      <c r="B106" s="14">
        <f>IFERROR(VLOOKUP(A106,Tabla3[],2,FALSE),0)</f>
        <v>0</v>
      </c>
      <c r="C106" s="35" t="s">
        <v>133</v>
      </c>
      <c r="D106" s="35" t="s">
        <v>573</v>
      </c>
      <c r="E106" s="35">
        <f>B102*20</f>
        <v>400</v>
      </c>
    </row>
    <row r="107" spans="1:5" thickBot="1" x14ac:dyDescent="0.3">
      <c r="A107" s="34"/>
      <c r="B107" s="14">
        <f>IFERROR(VLOOKUP(A107,Tabla3[],2,FALSE),0)</f>
        <v>0</v>
      </c>
      <c r="C107" s="35" t="s">
        <v>159</v>
      </c>
      <c r="D107" s="35" t="s">
        <v>34</v>
      </c>
      <c r="E107" s="35">
        <f>B102*0.2</f>
        <v>4</v>
      </c>
    </row>
    <row r="108" spans="1:5" thickBot="1" x14ac:dyDescent="0.3">
      <c r="A108" s="32"/>
      <c r="B108" s="14">
        <f>IFERROR(VLOOKUP(A108,Tabla3[],2,FALSE),0)</f>
        <v>0</v>
      </c>
      <c r="C108" s="33" t="s">
        <v>133</v>
      </c>
      <c r="D108" s="33" t="s">
        <v>13</v>
      </c>
      <c r="E108" s="33">
        <f>B102*120</f>
        <v>2400</v>
      </c>
    </row>
    <row r="109" spans="1:5" ht="21" customHeight="1" thickBot="1" x14ac:dyDescent="0.3">
      <c r="A109" s="25" t="s">
        <v>338</v>
      </c>
      <c r="B109" s="14">
        <f>IFERROR(VLOOKUP(A109,Tabla3[],2,FALSE),0)</f>
        <v>0</v>
      </c>
      <c r="C109" s="26"/>
      <c r="D109" s="26" t="s">
        <v>8</v>
      </c>
      <c r="E109" s="26">
        <f>B109*2</f>
        <v>0</v>
      </c>
    </row>
    <row r="110" spans="1:5" thickBot="1" x14ac:dyDescent="0.3">
      <c r="A110" s="34"/>
      <c r="B110" s="14">
        <f>IFERROR(VLOOKUP(A110,Tabla3[],2,FALSE),0)</f>
        <v>0</v>
      </c>
      <c r="C110" s="35"/>
      <c r="D110" s="35" t="s">
        <v>634</v>
      </c>
      <c r="E110" s="35">
        <f>B109*5</f>
        <v>0</v>
      </c>
    </row>
    <row r="111" spans="1:5" thickBot="1" x14ac:dyDescent="0.3">
      <c r="A111" s="34"/>
      <c r="B111" s="14">
        <f>IFERROR(VLOOKUP(A111,Tabla3[],2,FALSE),0)</f>
        <v>0</v>
      </c>
      <c r="C111" s="35"/>
      <c r="D111" s="35" t="s">
        <v>102</v>
      </c>
      <c r="E111" s="35">
        <f>B109*0.5</f>
        <v>0</v>
      </c>
    </row>
    <row r="112" spans="1:5" thickBot="1" x14ac:dyDescent="0.3">
      <c r="A112" s="32"/>
      <c r="B112" s="14">
        <f>IFERROR(VLOOKUP(A112,Tabla3[],2,FALSE),0)</f>
        <v>0</v>
      </c>
      <c r="C112" s="33"/>
      <c r="D112" s="33" t="s">
        <v>13</v>
      </c>
      <c r="E112" s="33">
        <f>B109*120</f>
        <v>0</v>
      </c>
    </row>
    <row r="113" spans="1:5" thickBot="1" x14ac:dyDescent="0.3">
      <c r="A113" s="25" t="s">
        <v>326</v>
      </c>
      <c r="B113" s="14">
        <f>IFERROR(VLOOKUP(A113,Tabla3[],2,FALSE),0)</f>
        <v>4</v>
      </c>
      <c r="C113" s="26"/>
      <c r="D113" s="26" t="s">
        <v>36</v>
      </c>
      <c r="E113" s="26">
        <f>B113</f>
        <v>4</v>
      </c>
    </row>
    <row r="114" spans="1:5" thickBot="1" x14ac:dyDescent="0.3">
      <c r="A114" s="34"/>
      <c r="B114" s="14">
        <f>IFERROR(VLOOKUP(A114,Tabla3[],2,FALSE),0)</f>
        <v>0</v>
      </c>
      <c r="C114" s="35"/>
      <c r="D114" s="35" t="s">
        <v>102</v>
      </c>
      <c r="E114" s="35">
        <f>B113*0.5</f>
        <v>2</v>
      </c>
    </row>
    <row r="115" spans="1:5" thickBot="1" x14ac:dyDescent="0.3">
      <c r="A115" s="32"/>
      <c r="B115" s="14">
        <f>IFERROR(VLOOKUP(A115,Tabla3[],2,FALSE),0)</f>
        <v>0</v>
      </c>
      <c r="C115" s="33"/>
      <c r="D115" s="33" t="s">
        <v>311</v>
      </c>
      <c r="E115" s="33">
        <f>B113*2</f>
        <v>8</v>
      </c>
    </row>
    <row r="116" spans="1:5" thickBot="1" x14ac:dyDescent="0.3">
      <c r="A116" s="112"/>
      <c r="B116" s="14">
        <f>IFERROR(VLOOKUP(A116,Tabla3[],2,FALSE),0)</f>
        <v>0</v>
      </c>
      <c r="C116" s="23"/>
      <c r="D116" s="102" t="s">
        <v>635</v>
      </c>
      <c r="E116" s="23">
        <f t="shared" ref="E116" si="0">B116</f>
        <v>0</v>
      </c>
    </row>
    <row r="117" spans="1:5" thickBot="1" x14ac:dyDescent="0.3">
      <c r="A117" s="25"/>
      <c r="B117" s="14">
        <f>IFERROR(VLOOKUP(A117,Tabla3[],2,FALSE),0)</f>
        <v>0</v>
      </c>
      <c r="C117" s="26"/>
      <c r="D117" s="26" t="s">
        <v>36</v>
      </c>
      <c r="E117" s="26">
        <f>B117</f>
        <v>0</v>
      </c>
    </row>
    <row r="118" spans="1:5" thickBot="1" x14ac:dyDescent="0.3">
      <c r="A118" s="32"/>
      <c r="B118" s="14">
        <f>IFERROR(VLOOKUP(A118,Tabla3[],2,FALSE),0)</f>
        <v>0</v>
      </c>
      <c r="C118" s="33"/>
      <c r="D118" s="33" t="s">
        <v>4</v>
      </c>
      <c r="E118" s="33">
        <f>B117</f>
        <v>0</v>
      </c>
    </row>
    <row r="119" spans="1:5" thickBot="1" x14ac:dyDescent="0.3">
      <c r="A119" s="25"/>
      <c r="B119" s="14">
        <f>IFERROR(VLOOKUP(A119,Tabla3[],2,FALSE),0)</f>
        <v>0</v>
      </c>
      <c r="C119" s="26"/>
      <c r="D119" s="200" t="s">
        <v>523</v>
      </c>
      <c r="E119" s="26">
        <f>B119</f>
        <v>0</v>
      </c>
    </row>
    <row r="120" spans="1:5" thickBot="1" x14ac:dyDescent="0.3">
      <c r="A120" s="34"/>
      <c r="B120" s="14">
        <f>IFERROR(VLOOKUP(A120,Tabla3[],2,FALSE),0)</f>
        <v>0</v>
      </c>
      <c r="C120" s="35"/>
      <c r="D120" s="35" t="s">
        <v>40</v>
      </c>
      <c r="E120" s="35">
        <f>B119*20</f>
        <v>0</v>
      </c>
    </row>
    <row r="121" spans="1:5" thickBot="1" x14ac:dyDescent="0.3">
      <c r="A121" s="34"/>
      <c r="B121" s="14">
        <f>IFERROR(VLOOKUP(A121,Tabla3[],2,FALSE),0)</f>
        <v>0</v>
      </c>
      <c r="C121" s="35"/>
      <c r="D121" s="35" t="s">
        <v>41</v>
      </c>
      <c r="E121" s="35">
        <f>B119</f>
        <v>0</v>
      </c>
    </row>
    <row r="122" spans="1:5" thickBot="1" x14ac:dyDescent="0.3">
      <c r="A122" s="32"/>
      <c r="B122" s="14">
        <f>IFERROR(VLOOKUP(A122,Tabla3[],2,FALSE),0)</f>
        <v>0</v>
      </c>
      <c r="C122" s="33"/>
      <c r="D122" s="33" t="s">
        <v>311</v>
      </c>
      <c r="E122" s="33">
        <f>B119*4</f>
        <v>0</v>
      </c>
    </row>
    <row r="123" spans="1:5" thickBot="1" x14ac:dyDescent="0.3">
      <c r="A123" s="25" t="s">
        <v>339</v>
      </c>
      <c r="B123" s="14">
        <f>IFERROR(VLOOKUP(A123,Tabla3[],2,FALSE),0)</f>
        <v>0</v>
      </c>
      <c r="C123" s="37"/>
      <c r="D123" s="200" t="s">
        <v>586</v>
      </c>
      <c r="E123" s="37">
        <f>B123</f>
        <v>0</v>
      </c>
    </row>
    <row r="124" spans="1:5" thickBot="1" x14ac:dyDescent="0.3">
      <c r="A124" s="34"/>
      <c r="B124" s="14">
        <f>IFERROR(VLOOKUP(A124,Tabla3[],2,FALSE),0)</f>
        <v>0</v>
      </c>
      <c r="C124" s="38"/>
      <c r="D124" s="38" t="s">
        <v>51</v>
      </c>
      <c r="E124" s="38">
        <f>B123*20</f>
        <v>0</v>
      </c>
    </row>
    <row r="125" spans="1:5" thickBot="1" x14ac:dyDescent="0.3">
      <c r="A125" s="32"/>
      <c r="B125" s="14">
        <f>IFERROR(VLOOKUP(A125,Tabla3[],2,FALSE),0)</f>
        <v>0</v>
      </c>
      <c r="C125" s="39"/>
      <c r="D125" s="39" t="s">
        <v>636</v>
      </c>
      <c r="E125" s="39">
        <f>B123*0.5</f>
        <v>0</v>
      </c>
    </row>
    <row r="126" spans="1:5" thickBot="1" x14ac:dyDescent="0.3">
      <c r="A126" s="25" t="s">
        <v>340</v>
      </c>
      <c r="B126" s="14">
        <f>IFERROR(VLOOKUP(A126,Tabla3[],2,FALSE),0)</f>
        <v>0</v>
      </c>
      <c r="C126" s="26"/>
      <c r="D126" s="26" t="s">
        <v>107</v>
      </c>
      <c r="E126" s="26">
        <f>B126*150</f>
        <v>0</v>
      </c>
    </row>
    <row r="127" spans="1:5" thickBot="1" x14ac:dyDescent="0.3">
      <c r="A127" s="34"/>
      <c r="B127" s="14">
        <f>IFERROR(VLOOKUP(A127,Tabla3[],2,FALSE),0)</f>
        <v>0</v>
      </c>
      <c r="C127" s="35"/>
      <c r="D127" s="35" t="s">
        <v>16</v>
      </c>
      <c r="E127" s="35">
        <f>B126*300</f>
        <v>0</v>
      </c>
    </row>
    <row r="128" spans="1:5" thickBot="1" x14ac:dyDescent="0.3">
      <c r="A128" s="32"/>
      <c r="B128" s="14">
        <f>IFERROR(VLOOKUP(A128,Tabla3[],2,FALSE),0)</f>
        <v>0</v>
      </c>
      <c r="C128" s="33"/>
      <c r="D128" s="33" t="s">
        <v>51</v>
      </c>
      <c r="E128" s="33">
        <f>B126*40</f>
        <v>0</v>
      </c>
    </row>
    <row r="129" spans="1:5" thickBot="1" x14ac:dyDescent="0.3">
      <c r="A129" s="25" t="s">
        <v>341</v>
      </c>
      <c r="B129" s="14">
        <f>IFERROR(VLOOKUP(A129,Tabla3[],2,FALSE),0)</f>
        <v>0</v>
      </c>
      <c r="C129" s="26"/>
      <c r="D129" s="26" t="s">
        <v>105</v>
      </c>
      <c r="E129" s="26">
        <f>B129*150</f>
        <v>0</v>
      </c>
    </row>
    <row r="130" spans="1:5" thickBot="1" x14ac:dyDescent="0.3">
      <c r="A130" s="34"/>
      <c r="B130" s="14">
        <f>IFERROR(VLOOKUP(A130,Tabla3[],2,FALSE),0)</f>
        <v>0</v>
      </c>
      <c r="C130" s="35"/>
      <c r="D130" s="35" t="s">
        <v>16</v>
      </c>
      <c r="E130" s="35">
        <f>B129*300</f>
        <v>0</v>
      </c>
    </row>
    <row r="131" spans="1:5" thickBot="1" x14ac:dyDescent="0.3">
      <c r="A131" s="32"/>
      <c r="B131" s="14">
        <f>IFERROR(VLOOKUP(A131,Tabla3[],2,FALSE),0)</f>
        <v>0</v>
      </c>
      <c r="C131" s="33"/>
      <c r="D131" s="33" t="s">
        <v>51</v>
      </c>
      <c r="E131" s="33">
        <f>B129*40</f>
        <v>0</v>
      </c>
    </row>
    <row r="132" spans="1:5" thickBot="1" x14ac:dyDescent="0.3">
      <c r="A132" s="25" t="s">
        <v>342</v>
      </c>
      <c r="B132" s="14">
        <f>IFERROR(VLOOKUP(A132,Tabla3[],2,FALSE),0)</f>
        <v>0</v>
      </c>
      <c r="C132" s="26"/>
      <c r="D132" s="26" t="s">
        <v>582</v>
      </c>
      <c r="E132" s="26">
        <f>B132*150</f>
        <v>0</v>
      </c>
    </row>
    <row r="133" spans="1:5" thickBot="1" x14ac:dyDescent="0.3">
      <c r="A133" s="34"/>
      <c r="B133" s="14">
        <f>IFERROR(VLOOKUP(A133,Tabla3[],2,FALSE),0)</f>
        <v>0</v>
      </c>
      <c r="C133" s="35"/>
      <c r="D133" s="35" t="s">
        <v>16</v>
      </c>
      <c r="E133" s="35">
        <f>B132*300</f>
        <v>0</v>
      </c>
    </row>
    <row r="134" spans="1:5" thickBot="1" x14ac:dyDescent="0.3">
      <c r="A134" s="32"/>
      <c r="B134" s="14">
        <f>IFERROR(VLOOKUP(A134,Tabla3[],2,FALSE),0)</f>
        <v>0</v>
      </c>
      <c r="C134" s="33"/>
      <c r="D134" s="33" t="s">
        <v>51</v>
      </c>
      <c r="E134" s="33">
        <f>B132*40</f>
        <v>0</v>
      </c>
    </row>
    <row r="135" spans="1:5" thickBot="1" x14ac:dyDescent="0.3">
      <c r="A135" s="25" t="s">
        <v>343</v>
      </c>
      <c r="B135" s="14">
        <f>IFERROR(VLOOKUP(A135,Tabla3[],2,FALSE),0)</f>
        <v>30</v>
      </c>
      <c r="C135" s="26"/>
      <c r="D135" s="26" t="s">
        <v>637</v>
      </c>
      <c r="E135" s="26">
        <f>B135</f>
        <v>30</v>
      </c>
    </row>
    <row r="136" spans="1:5" thickBot="1" x14ac:dyDescent="0.3">
      <c r="A136" s="34"/>
      <c r="B136" s="14">
        <f>IFERROR(VLOOKUP(A136,Tabla3[],2,FALSE),0)</f>
        <v>0</v>
      </c>
      <c r="C136" s="35" t="s">
        <v>133</v>
      </c>
      <c r="D136" s="35" t="s">
        <v>51</v>
      </c>
      <c r="E136" s="35">
        <f>B135*20</f>
        <v>600</v>
      </c>
    </row>
    <row r="137" spans="1:5" thickBot="1" x14ac:dyDescent="0.3">
      <c r="A137" s="34"/>
      <c r="B137" s="14">
        <f>IFERROR(VLOOKUP(A137,Tabla3[],2,FALSE),0)</f>
        <v>0</v>
      </c>
      <c r="C137" s="35" t="s">
        <v>131</v>
      </c>
      <c r="D137" s="35" t="s">
        <v>106</v>
      </c>
      <c r="E137" s="35">
        <f>B135*20</f>
        <v>600</v>
      </c>
    </row>
    <row r="138" spans="1:5" thickBot="1" x14ac:dyDescent="0.3">
      <c r="A138" s="34"/>
      <c r="B138" s="14">
        <f>IFERROR(VLOOKUP(A138,Tabla3[],2,FALSE),0)</f>
        <v>0</v>
      </c>
      <c r="C138" s="35"/>
      <c r="D138" s="35" t="s">
        <v>636</v>
      </c>
      <c r="E138" s="35">
        <f>B135</f>
        <v>30</v>
      </c>
    </row>
    <row r="139" spans="1:5" thickBot="1" x14ac:dyDescent="0.3">
      <c r="A139" s="32"/>
      <c r="B139" s="14">
        <f>IFERROR(VLOOKUP(A139,Tabla3[],2,FALSE),0)</f>
        <v>0</v>
      </c>
      <c r="C139" s="33" t="s">
        <v>131</v>
      </c>
      <c r="D139" s="33" t="s">
        <v>586</v>
      </c>
      <c r="E139" s="33">
        <f>B135</f>
        <v>30</v>
      </c>
    </row>
    <row r="140" spans="1:5" thickBot="1" x14ac:dyDescent="0.3">
      <c r="A140" s="25" t="s">
        <v>344</v>
      </c>
      <c r="B140" s="14">
        <f>IFERROR(VLOOKUP(A140,Tabla3[],2,FALSE),0)</f>
        <v>12</v>
      </c>
      <c r="C140" s="26" t="s">
        <v>133</v>
      </c>
      <c r="D140" s="26" t="s">
        <v>51</v>
      </c>
      <c r="E140" s="26">
        <f>B140*40</f>
        <v>480</v>
      </c>
    </row>
    <row r="141" spans="1:5" thickBot="1" x14ac:dyDescent="0.3">
      <c r="A141" s="34"/>
      <c r="B141" s="14">
        <f>IFERROR(VLOOKUP(A141,Tabla3[],2,FALSE),0)</f>
        <v>0</v>
      </c>
      <c r="C141" s="35" t="s">
        <v>132</v>
      </c>
      <c r="D141" s="35" t="s">
        <v>134</v>
      </c>
      <c r="E141" s="35">
        <f>B140*10</f>
        <v>120</v>
      </c>
    </row>
    <row r="142" spans="1:5" thickBot="1" x14ac:dyDescent="0.3">
      <c r="A142" s="34"/>
      <c r="B142" s="14">
        <f>IFERROR(VLOOKUP(A142,Tabla3[],2,FALSE),0)</f>
        <v>0</v>
      </c>
      <c r="C142" s="35" t="s">
        <v>131</v>
      </c>
      <c r="D142" s="35" t="s">
        <v>90</v>
      </c>
      <c r="E142" s="35">
        <f>B140*150</f>
        <v>1800</v>
      </c>
    </row>
    <row r="143" spans="1:5" thickBot="1" x14ac:dyDescent="0.3">
      <c r="A143" s="34"/>
      <c r="B143" s="14">
        <f>IFERROR(VLOOKUP(A143,Tabla3[],2,FALSE),0)</f>
        <v>0</v>
      </c>
      <c r="C143" s="35" t="s">
        <v>133</v>
      </c>
      <c r="D143" s="35" t="s">
        <v>51</v>
      </c>
      <c r="E143" s="35">
        <f>B140*40</f>
        <v>480</v>
      </c>
    </row>
    <row r="144" spans="1:5" thickBot="1" x14ac:dyDescent="0.3">
      <c r="A144" s="32"/>
      <c r="B144" s="14">
        <f>IFERROR(VLOOKUP(A144,Tabla3[],2,FALSE),0)</f>
        <v>0</v>
      </c>
      <c r="C144" s="33" t="s">
        <v>132</v>
      </c>
      <c r="D144" s="33" t="s">
        <v>16</v>
      </c>
      <c r="E144" s="33">
        <f>B140*100</f>
        <v>1200</v>
      </c>
    </row>
    <row r="145" spans="1:5" thickBot="1" x14ac:dyDescent="0.3">
      <c r="A145" s="18" t="s">
        <v>345</v>
      </c>
      <c r="B145" s="14">
        <f>IFERROR(VLOOKUP(A145,Tabla3[],2,FALSE),0)</f>
        <v>0</v>
      </c>
      <c r="C145" s="47"/>
      <c r="D145" s="20" t="s">
        <v>104</v>
      </c>
      <c r="E145" s="20">
        <f t="shared" ref="E145:E149" si="1">B145*330</f>
        <v>0</v>
      </c>
    </row>
    <row r="146" spans="1:5" thickBot="1" x14ac:dyDescent="0.3">
      <c r="A146" s="18" t="s">
        <v>346</v>
      </c>
      <c r="B146" s="14">
        <f>IFERROR(VLOOKUP(A146,Tabla3[],2,FALSE),0)</f>
        <v>27</v>
      </c>
      <c r="C146" s="47"/>
      <c r="D146" s="20" t="s">
        <v>107</v>
      </c>
      <c r="E146" s="20">
        <f t="shared" si="1"/>
        <v>8910</v>
      </c>
    </row>
    <row r="147" spans="1:5" thickBot="1" x14ac:dyDescent="0.3">
      <c r="A147" s="18" t="s">
        <v>347</v>
      </c>
      <c r="B147" s="14">
        <f>IFERROR(VLOOKUP(A147,Tabla3[],2,FALSE),0)</f>
        <v>26</v>
      </c>
      <c r="C147" s="47"/>
      <c r="D147" s="20" t="s">
        <v>105</v>
      </c>
      <c r="E147" s="20">
        <f t="shared" si="1"/>
        <v>8580</v>
      </c>
    </row>
    <row r="148" spans="1:5" thickBot="1" x14ac:dyDescent="0.3">
      <c r="A148" s="18" t="s">
        <v>348</v>
      </c>
      <c r="B148" s="14">
        <f>IFERROR(VLOOKUP(A148,Tabla3[],2,FALSE),0)</f>
        <v>25</v>
      </c>
      <c r="C148" s="47"/>
      <c r="D148" s="20" t="s">
        <v>582</v>
      </c>
      <c r="E148" s="20">
        <f t="shared" si="1"/>
        <v>8250</v>
      </c>
    </row>
    <row r="149" spans="1:5" thickBot="1" x14ac:dyDescent="0.3">
      <c r="A149" s="18" t="s">
        <v>349</v>
      </c>
      <c r="B149" s="14">
        <f>IFERROR(VLOOKUP(A149,Tabla3[],2,FALSE),0)</f>
        <v>61</v>
      </c>
      <c r="C149" s="47"/>
      <c r="D149" s="20" t="s">
        <v>106</v>
      </c>
      <c r="E149" s="20">
        <f t="shared" si="1"/>
        <v>20130</v>
      </c>
    </row>
    <row r="150" spans="1:5" thickBot="1" x14ac:dyDescent="0.3">
      <c r="A150" s="18" t="s">
        <v>350</v>
      </c>
      <c r="B150" s="14">
        <f>IFERROR(VLOOKUP(A150,Tabla3[],2,FALSE),0)</f>
        <v>39</v>
      </c>
      <c r="C150" s="20"/>
      <c r="D150" s="20" t="s">
        <v>61</v>
      </c>
      <c r="E150" s="20">
        <f t="shared" ref="E150:E159" si="2">B150</f>
        <v>39</v>
      </c>
    </row>
    <row r="151" spans="1:5" thickBot="1" x14ac:dyDescent="0.3">
      <c r="A151" s="18" t="s">
        <v>316</v>
      </c>
      <c r="B151" s="14">
        <f>IFERROR(VLOOKUP(A151,Tabla3[],2,FALSE),0)</f>
        <v>67</v>
      </c>
      <c r="C151" s="20"/>
      <c r="D151" s="20" t="s">
        <v>63</v>
      </c>
      <c r="E151" s="20">
        <f t="shared" si="2"/>
        <v>67</v>
      </c>
    </row>
    <row r="152" spans="1:5" thickBot="1" x14ac:dyDescent="0.3">
      <c r="A152" s="18" t="s">
        <v>351</v>
      </c>
      <c r="B152" s="14">
        <f>IFERROR(VLOOKUP(A152,Tabla3[],2,FALSE),0)</f>
        <v>27</v>
      </c>
      <c r="C152" s="20"/>
      <c r="D152" s="20" t="s">
        <v>62</v>
      </c>
      <c r="E152" s="20">
        <f t="shared" si="2"/>
        <v>27</v>
      </c>
    </row>
    <row r="153" spans="1:5" thickBot="1" x14ac:dyDescent="0.3">
      <c r="A153" s="49" t="s">
        <v>352</v>
      </c>
      <c r="B153" s="14">
        <f>IFERROR(VLOOKUP(A153,Tabla3[],2,FALSE),0)</f>
        <v>8</v>
      </c>
      <c r="C153" s="51"/>
      <c r="D153" s="50" t="s">
        <v>119</v>
      </c>
      <c r="E153" s="50">
        <f t="shared" si="2"/>
        <v>8</v>
      </c>
    </row>
    <row r="154" spans="1:5" thickBot="1" x14ac:dyDescent="0.3">
      <c r="A154" s="18" t="s">
        <v>353</v>
      </c>
      <c r="B154" s="14">
        <f>IFERROR(VLOOKUP(A154,Tabla3[],2,FALSE),0)</f>
        <v>20</v>
      </c>
      <c r="C154" s="47"/>
      <c r="D154" s="20" t="s">
        <v>120</v>
      </c>
      <c r="E154" s="20">
        <f t="shared" si="2"/>
        <v>20</v>
      </c>
    </row>
    <row r="155" spans="1:5" thickBot="1" x14ac:dyDescent="0.3">
      <c r="A155" s="18" t="s">
        <v>354</v>
      </c>
      <c r="B155" s="14">
        <f>IFERROR(VLOOKUP(A155,Tabla3[],2,FALSE),0)</f>
        <v>5</v>
      </c>
      <c r="C155" s="47"/>
      <c r="D155" s="20" t="s">
        <v>71</v>
      </c>
      <c r="E155" s="47">
        <f t="shared" si="2"/>
        <v>5</v>
      </c>
    </row>
    <row r="156" spans="1:5" thickBot="1" x14ac:dyDescent="0.3">
      <c r="A156" s="53" t="s">
        <v>355</v>
      </c>
      <c r="B156" s="14">
        <f>IFERROR(VLOOKUP(A156,Tabla3[],2,FALSE),0)</f>
        <v>19</v>
      </c>
      <c r="C156" s="55"/>
      <c r="D156" s="54" t="s">
        <v>96</v>
      </c>
      <c r="E156" s="54">
        <f t="shared" si="2"/>
        <v>19</v>
      </c>
    </row>
    <row r="157" spans="1:5" thickBot="1" x14ac:dyDescent="0.3">
      <c r="A157" s="18" t="s">
        <v>356</v>
      </c>
      <c r="B157" s="14">
        <f>IFERROR(VLOOKUP(A157,Tabla3[],2,FALSE),0)</f>
        <v>11</v>
      </c>
      <c r="C157" s="47"/>
      <c r="D157" s="20" t="s">
        <v>95</v>
      </c>
      <c r="E157" s="20">
        <f t="shared" si="2"/>
        <v>11</v>
      </c>
    </row>
    <row r="158" spans="1:5" thickBot="1" x14ac:dyDescent="0.3">
      <c r="A158" s="18" t="s">
        <v>357</v>
      </c>
      <c r="B158" s="14">
        <f>IFERROR(VLOOKUP(A158,Tabla3[],2,FALSE),0)</f>
        <v>5</v>
      </c>
      <c r="C158" s="47"/>
      <c r="D158" s="20" t="s">
        <v>110</v>
      </c>
      <c r="E158" s="47">
        <f t="shared" si="2"/>
        <v>5</v>
      </c>
    </row>
    <row r="159" spans="1:5" thickBot="1" x14ac:dyDescent="0.3">
      <c r="A159" s="18" t="s">
        <v>358</v>
      </c>
      <c r="B159" s="14">
        <f>IFERROR(VLOOKUP(A159,Tabla3[],2,FALSE),0)</f>
        <v>5</v>
      </c>
      <c r="C159" s="47"/>
      <c r="D159" s="47" t="s">
        <v>111</v>
      </c>
      <c r="E159" s="47">
        <f t="shared" si="2"/>
        <v>5</v>
      </c>
    </row>
    <row r="160" spans="1:5" thickBot="1" x14ac:dyDescent="0.3">
      <c r="A160" s="18" t="s">
        <v>739</v>
      </c>
      <c r="B160" s="14">
        <f>IFERROR(VLOOKUP(A160,Tabla3[],2,FALSE),0)</f>
        <v>2</v>
      </c>
      <c r="C160" s="47"/>
      <c r="D160" s="47" t="s">
        <v>112</v>
      </c>
      <c r="E160" s="47">
        <f>1*B160</f>
        <v>2</v>
      </c>
    </row>
    <row r="161" spans="1:5" thickBot="1" x14ac:dyDescent="0.3">
      <c r="A161" s="18" t="s">
        <v>359</v>
      </c>
      <c r="B161" s="14">
        <f>IFERROR(VLOOKUP(A161,Tabla3[],2,FALSE),0)</f>
        <v>0</v>
      </c>
      <c r="C161" s="47"/>
      <c r="D161" s="47" t="s">
        <v>125</v>
      </c>
      <c r="E161" s="47">
        <f>B161</f>
        <v>0</v>
      </c>
    </row>
    <row r="162" spans="1:5" thickBot="1" x14ac:dyDescent="0.3">
      <c r="A162" s="18" t="s">
        <v>360</v>
      </c>
      <c r="B162" s="14">
        <f>IFERROR(VLOOKUP(A162,Tabla3[],2,FALSE),0)</f>
        <v>0</v>
      </c>
      <c r="C162" s="47"/>
      <c r="D162" s="47" t="s">
        <v>73</v>
      </c>
      <c r="E162" s="47">
        <f>1*B162</f>
        <v>0</v>
      </c>
    </row>
    <row r="163" spans="1:5" thickBot="1" x14ac:dyDescent="0.3">
      <c r="A163" s="18" t="s">
        <v>361</v>
      </c>
      <c r="B163" s="14">
        <f>IFERROR(VLOOKUP(A163,Tabla3[],2,FALSE),0)</f>
        <v>1</v>
      </c>
      <c r="C163" s="47"/>
      <c r="D163" s="20" t="s">
        <v>78</v>
      </c>
      <c r="E163" s="20">
        <f>B163</f>
        <v>1</v>
      </c>
    </row>
    <row r="164" spans="1:5" thickBot="1" x14ac:dyDescent="0.3">
      <c r="A164" s="18" t="s">
        <v>362</v>
      </c>
      <c r="B164" s="14">
        <f>IFERROR(VLOOKUP(A164,Tabla3[],2,FALSE),0)</f>
        <v>2</v>
      </c>
      <c r="C164" s="47" t="s">
        <v>136</v>
      </c>
      <c r="D164" s="20" t="s">
        <v>59</v>
      </c>
      <c r="E164" s="20">
        <f t="shared" ref="E164:E167" si="3">B164*750</f>
        <v>1500</v>
      </c>
    </row>
    <row r="165" spans="1:5" thickBot="1" x14ac:dyDescent="0.3">
      <c r="A165" s="53" t="s">
        <v>363</v>
      </c>
      <c r="B165" s="14">
        <f>IFERROR(VLOOKUP(A165,Tabla3[],2,FALSE),0)</f>
        <v>0</v>
      </c>
      <c r="C165" s="55" t="s">
        <v>136</v>
      </c>
      <c r="D165" s="54" t="s">
        <v>113</v>
      </c>
      <c r="E165" s="54">
        <f t="shared" si="3"/>
        <v>0</v>
      </c>
    </row>
    <row r="166" spans="1:5" thickBot="1" x14ac:dyDescent="0.3">
      <c r="A166" s="18" t="s">
        <v>364</v>
      </c>
      <c r="B166" s="14">
        <f>IFERROR(VLOOKUP(A166,Tabla3[],2,FALSE),0)</f>
        <v>0</v>
      </c>
      <c r="C166" s="47" t="s">
        <v>136</v>
      </c>
      <c r="D166" s="20" t="s">
        <v>114</v>
      </c>
      <c r="E166" s="20">
        <f t="shared" si="3"/>
        <v>0</v>
      </c>
    </row>
    <row r="167" spans="1:5" thickBot="1" x14ac:dyDescent="0.3">
      <c r="A167" s="18" t="s">
        <v>365</v>
      </c>
      <c r="B167" s="14">
        <f>IFERROR(VLOOKUP(A167,Tabla3[],2,FALSE),0)</f>
        <v>0</v>
      </c>
      <c r="C167" s="47" t="s">
        <v>136</v>
      </c>
      <c r="D167" s="20" t="s">
        <v>115</v>
      </c>
      <c r="E167" s="20">
        <f t="shared" si="3"/>
        <v>0</v>
      </c>
    </row>
    <row r="168" spans="1:5" thickBot="1" x14ac:dyDescent="0.3">
      <c r="A168" s="17" t="s">
        <v>732</v>
      </c>
      <c r="B168" s="14">
        <f>IFERROR(VLOOKUP(A168,Tabla3[],2,FALSE),0)</f>
        <v>0</v>
      </c>
      <c r="C168" s="47" t="s">
        <v>131</v>
      </c>
      <c r="D168" s="102" t="s">
        <v>638</v>
      </c>
      <c r="E168" s="20">
        <f>B168*150</f>
        <v>0</v>
      </c>
    </row>
    <row r="169" spans="1:5" thickBot="1" x14ac:dyDescent="0.3">
      <c r="A169" s="49" t="s">
        <v>639</v>
      </c>
      <c r="B169" s="14">
        <f>IFERROR(VLOOKUP(A169,Tabla3[],2,FALSE),0)</f>
        <v>0</v>
      </c>
      <c r="C169" s="51" t="s">
        <v>131</v>
      </c>
      <c r="D169" s="102" t="s">
        <v>640</v>
      </c>
      <c r="E169" s="50">
        <f>B169*150</f>
        <v>0</v>
      </c>
    </row>
    <row r="170" spans="1:5" thickBot="1" x14ac:dyDescent="0.3">
      <c r="A170" s="18" t="s">
        <v>641</v>
      </c>
      <c r="B170" s="14">
        <f>IFERROR(VLOOKUP(A170,Tabla3[],2,FALSE),0)</f>
        <v>0</v>
      </c>
      <c r="C170" s="47" t="s">
        <v>136</v>
      </c>
      <c r="D170" s="102" t="s">
        <v>642</v>
      </c>
      <c r="E170" s="20">
        <f>B170</f>
        <v>0</v>
      </c>
    </row>
    <row r="171" spans="1:5" thickBot="1" x14ac:dyDescent="0.3">
      <c r="A171" s="18" t="s">
        <v>643</v>
      </c>
      <c r="B171" s="14">
        <f>IFERROR(VLOOKUP(A171,Tabla3[],2,FALSE),0)</f>
        <v>0</v>
      </c>
      <c r="C171" s="47" t="s">
        <v>136</v>
      </c>
      <c r="D171" s="102" t="s">
        <v>644</v>
      </c>
      <c r="E171" s="20">
        <f t="shared" ref="E171:E174" si="4">B171</f>
        <v>0</v>
      </c>
    </row>
    <row r="172" spans="1:5" thickBot="1" x14ac:dyDescent="0.3">
      <c r="A172" s="18" t="s">
        <v>645</v>
      </c>
      <c r="B172" s="14">
        <f>IFERROR(VLOOKUP(A172,Tabla3[],2,FALSE),0)</f>
        <v>0</v>
      </c>
      <c r="C172" s="47" t="s">
        <v>136</v>
      </c>
      <c r="D172" s="102" t="s">
        <v>646</v>
      </c>
      <c r="E172" s="20">
        <f t="shared" si="4"/>
        <v>0</v>
      </c>
    </row>
    <row r="173" spans="1:5" thickBot="1" x14ac:dyDescent="0.3">
      <c r="A173" s="17" t="s">
        <v>734</v>
      </c>
      <c r="B173" s="14">
        <f>IFERROR(VLOOKUP(A173,Tabla3[],2,FALSE),0)</f>
        <v>0</v>
      </c>
      <c r="C173" s="47" t="s">
        <v>136</v>
      </c>
      <c r="D173" s="102" t="s">
        <v>647</v>
      </c>
      <c r="E173" s="20">
        <f t="shared" si="4"/>
        <v>0</v>
      </c>
    </row>
    <row r="174" spans="1:5" thickBot="1" x14ac:dyDescent="0.3">
      <c r="A174" s="18" t="s">
        <v>648</v>
      </c>
      <c r="B174" s="14">
        <f>IFERROR(VLOOKUP(A174,Tabla3[],2,FALSE),0)</f>
        <v>0</v>
      </c>
      <c r="C174" s="47" t="s">
        <v>136</v>
      </c>
      <c r="D174" s="102" t="s">
        <v>649</v>
      </c>
      <c r="E174" s="20">
        <f t="shared" si="4"/>
        <v>0</v>
      </c>
    </row>
    <row r="175" spans="1:5" thickBot="1" x14ac:dyDescent="0.3">
      <c r="A175" s="18" t="s">
        <v>650</v>
      </c>
      <c r="B175" s="14">
        <f>IFERROR(VLOOKUP(A175,Tabla3[],2,FALSE),0)</f>
        <v>0</v>
      </c>
      <c r="C175" s="47" t="s">
        <v>135</v>
      </c>
      <c r="D175" s="102" t="s">
        <v>651</v>
      </c>
      <c r="E175" s="20">
        <f>B175</f>
        <v>0</v>
      </c>
    </row>
    <row r="176" spans="1:5" thickBot="1" x14ac:dyDescent="0.3">
      <c r="A176" s="25" t="s">
        <v>237</v>
      </c>
      <c r="B176" s="14">
        <f>IFERROR(VLOOKUP(A176,Tabla3[],2,FALSE),0)</f>
        <v>3</v>
      </c>
      <c r="C176" s="26" t="s">
        <v>131</v>
      </c>
      <c r="D176" s="26" t="s">
        <v>270</v>
      </c>
      <c r="E176" s="26">
        <f>B176*75</f>
        <v>225</v>
      </c>
    </row>
    <row r="177" spans="1:5" thickBot="1" x14ac:dyDescent="0.3">
      <c r="A177" s="34"/>
      <c r="B177" s="14">
        <f>IFERROR(VLOOKUP(A177,Tabla3[],2,FALSE),0)</f>
        <v>0</v>
      </c>
      <c r="C177" s="35" t="s">
        <v>131</v>
      </c>
      <c r="D177" s="35" t="s">
        <v>106</v>
      </c>
      <c r="E177" s="35">
        <f>B176*20</f>
        <v>60</v>
      </c>
    </row>
    <row r="178" spans="1:5" thickBot="1" x14ac:dyDescent="0.3">
      <c r="A178" s="34"/>
      <c r="B178" s="14">
        <f>IFERROR(VLOOKUP(A178,Tabla3[],2,FALSE),0)</f>
        <v>0</v>
      </c>
      <c r="C178" s="35" t="s">
        <v>133</v>
      </c>
      <c r="D178" s="35" t="s">
        <v>51</v>
      </c>
      <c r="E178" s="35">
        <f>B176*20</f>
        <v>60</v>
      </c>
    </row>
    <row r="179" spans="1:5" thickBot="1" x14ac:dyDescent="0.3">
      <c r="A179" s="32"/>
      <c r="B179" s="14">
        <f>IFERROR(VLOOKUP(A179,Tabla3[],2,FALSE),0)</f>
        <v>0</v>
      </c>
      <c r="C179" s="33" t="s">
        <v>131</v>
      </c>
      <c r="D179" s="33" t="s">
        <v>128</v>
      </c>
      <c r="E179" s="33">
        <f>B176*10</f>
        <v>30</v>
      </c>
    </row>
    <row r="180" spans="1:5" thickBot="1" x14ac:dyDescent="0.3">
      <c r="A180" s="112" t="s">
        <v>629</v>
      </c>
      <c r="B180" s="14">
        <f>IFERROR(VLOOKUP(A180,Tabla3[],2,FALSE),0)</f>
        <v>12</v>
      </c>
      <c r="C180" s="26" t="s">
        <v>131</v>
      </c>
      <c r="D180" s="26" t="s">
        <v>47</v>
      </c>
      <c r="E180" s="26">
        <f>B180*75</f>
        <v>900</v>
      </c>
    </row>
    <row r="181" spans="1:5" thickBot="1" x14ac:dyDescent="0.3">
      <c r="A181" s="34"/>
      <c r="B181" s="14">
        <f>IFERROR(VLOOKUP(A181,Tabla3[],2,FALSE),0)</f>
        <v>0</v>
      </c>
      <c r="C181" s="35" t="s">
        <v>131</v>
      </c>
      <c r="D181" s="35" t="s">
        <v>106</v>
      </c>
      <c r="E181" s="35">
        <f>B180*20</f>
        <v>240</v>
      </c>
    </row>
    <row r="182" spans="1:5" thickBot="1" x14ac:dyDescent="0.3">
      <c r="A182" s="34"/>
      <c r="B182" s="14">
        <f>IFERROR(VLOOKUP(A182,Tabla3[],2,FALSE),0)</f>
        <v>0</v>
      </c>
      <c r="C182" s="35" t="s">
        <v>133</v>
      </c>
      <c r="D182" s="35" t="s">
        <v>51</v>
      </c>
      <c r="E182" s="35">
        <f>B180*20</f>
        <v>240</v>
      </c>
    </row>
    <row r="183" spans="1:5" thickBot="1" x14ac:dyDescent="0.3">
      <c r="A183" s="32"/>
      <c r="B183" s="14">
        <f>IFERROR(VLOOKUP(A183,Tabla3[],2,FALSE),0)</f>
        <v>0</v>
      </c>
      <c r="C183" s="33" t="s">
        <v>131</v>
      </c>
      <c r="D183" s="33" t="s">
        <v>128</v>
      </c>
      <c r="E183" s="33">
        <f>B180*10</f>
        <v>120</v>
      </c>
    </row>
    <row r="184" spans="1:5" thickBot="1" x14ac:dyDescent="0.3">
      <c r="A184" s="112" t="s">
        <v>630</v>
      </c>
      <c r="B184" s="14">
        <f>IFERROR(VLOOKUP(A184,Tabla3[],2,FALSE),0)</f>
        <v>3</v>
      </c>
      <c r="C184" s="26" t="s">
        <v>131</v>
      </c>
      <c r="D184" s="26" t="s">
        <v>98</v>
      </c>
      <c r="E184" s="26">
        <f>B184*75</f>
        <v>225</v>
      </c>
    </row>
    <row r="185" spans="1:5" thickBot="1" x14ac:dyDescent="0.3">
      <c r="A185" s="34"/>
      <c r="B185" s="14">
        <f>IFERROR(VLOOKUP(A185,Tabla3[],2,FALSE),0)</f>
        <v>0</v>
      </c>
      <c r="C185" s="35" t="s">
        <v>131</v>
      </c>
      <c r="D185" s="35" t="s">
        <v>106</v>
      </c>
      <c r="E185" s="35">
        <f>B184*20</f>
        <v>60</v>
      </c>
    </row>
    <row r="186" spans="1:5" thickBot="1" x14ac:dyDescent="0.3">
      <c r="A186" s="34"/>
      <c r="B186" s="14">
        <f>IFERROR(VLOOKUP(A186,Tabla3[],2,FALSE),0)</f>
        <v>0</v>
      </c>
      <c r="C186" s="35" t="s">
        <v>133</v>
      </c>
      <c r="D186" s="35" t="s">
        <v>51</v>
      </c>
      <c r="E186" s="35">
        <f>B184*20</f>
        <v>60</v>
      </c>
    </row>
    <row r="187" spans="1:5" thickBot="1" x14ac:dyDescent="0.3">
      <c r="A187" s="32"/>
      <c r="B187" s="14">
        <f>IFERROR(VLOOKUP(A187,Tabla3[],2,FALSE),0)</f>
        <v>0</v>
      </c>
      <c r="C187" s="33" t="s">
        <v>131</v>
      </c>
      <c r="D187" s="33" t="s">
        <v>128</v>
      </c>
      <c r="E187" s="33">
        <f>B184*10</f>
        <v>30</v>
      </c>
    </row>
    <row r="188" spans="1:5" thickBot="1" x14ac:dyDescent="0.3">
      <c r="A188" s="25" t="s">
        <v>225</v>
      </c>
      <c r="B188" s="14">
        <f>IFERROR(VLOOKUP(A188,Tabla3[],2,FALSE),0)</f>
        <v>0</v>
      </c>
      <c r="C188" s="26" t="s">
        <v>131</v>
      </c>
      <c r="D188" s="26" t="s">
        <v>270</v>
      </c>
      <c r="E188" s="26">
        <f>B188*75</f>
        <v>0</v>
      </c>
    </row>
    <row r="189" spans="1:5" thickBot="1" x14ac:dyDescent="0.3">
      <c r="A189" s="34"/>
      <c r="B189" s="14">
        <f>IFERROR(VLOOKUP(A189,Tabla3[],2,FALSE),0)</f>
        <v>0</v>
      </c>
      <c r="C189" s="35" t="s">
        <v>131</v>
      </c>
      <c r="D189" s="35" t="s">
        <v>106</v>
      </c>
      <c r="E189" s="35">
        <f>B188*20</f>
        <v>0</v>
      </c>
    </row>
    <row r="190" spans="1:5" thickBot="1" x14ac:dyDescent="0.3">
      <c r="A190" s="34"/>
      <c r="B190" s="14">
        <f>IFERROR(VLOOKUP(A190,Tabla3[],2,FALSE),0)</f>
        <v>0</v>
      </c>
      <c r="C190" s="35" t="s">
        <v>133</v>
      </c>
      <c r="D190" s="35" t="s">
        <v>51</v>
      </c>
      <c r="E190" s="35">
        <f>B188*20</f>
        <v>0</v>
      </c>
    </row>
    <row r="191" spans="1:5" thickBot="1" x14ac:dyDescent="0.3">
      <c r="A191" s="34"/>
      <c r="B191" s="14">
        <f>IFERROR(VLOOKUP(A191,Tabla3[],2,FALSE),0)</f>
        <v>0</v>
      </c>
      <c r="C191" s="35" t="s">
        <v>131</v>
      </c>
      <c r="D191" s="35" t="s">
        <v>128</v>
      </c>
      <c r="E191" s="35">
        <f>B188*10</f>
        <v>0</v>
      </c>
    </row>
    <row r="192" spans="1:5" thickBot="1" x14ac:dyDescent="0.3">
      <c r="A192" s="32"/>
      <c r="B192" s="14">
        <f>IFERROR(VLOOKUP(A192,Tabla3[],2,FALSE),0)</f>
        <v>0</v>
      </c>
      <c r="C192" s="33" t="s">
        <v>131</v>
      </c>
      <c r="D192" s="33" t="s">
        <v>105</v>
      </c>
      <c r="E192" s="39">
        <f>B188*10</f>
        <v>0</v>
      </c>
    </row>
    <row r="193" spans="1:5" thickBot="1" x14ac:dyDescent="0.3">
      <c r="A193" s="25" t="s">
        <v>367</v>
      </c>
      <c r="B193" s="14">
        <f>IFERROR(VLOOKUP(A193,Tabla3[],2,FALSE),0)</f>
        <v>0</v>
      </c>
      <c r="C193" s="26" t="s">
        <v>131</v>
      </c>
      <c r="D193" s="26" t="s">
        <v>130</v>
      </c>
      <c r="E193" s="26">
        <f>B193*75</f>
        <v>0</v>
      </c>
    </row>
    <row r="194" spans="1:5" thickBot="1" x14ac:dyDescent="0.3">
      <c r="A194" s="34"/>
      <c r="B194" s="14">
        <f>IFERROR(VLOOKUP(A194,Tabla3[],2,FALSE),0)</f>
        <v>0</v>
      </c>
      <c r="C194" s="35" t="s">
        <v>131</v>
      </c>
      <c r="D194" s="35" t="s">
        <v>106</v>
      </c>
      <c r="E194" s="35">
        <f>B193*20</f>
        <v>0</v>
      </c>
    </row>
    <row r="195" spans="1:5" thickBot="1" x14ac:dyDescent="0.3">
      <c r="A195" s="34"/>
      <c r="B195" s="14">
        <f>IFERROR(VLOOKUP(A195,Tabla3[],2,FALSE),0)</f>
        <v>0</v>
      </c>
      <c r="C195" s="35" t="s">
        <v>133</v>
      </c>
      <c r="D195" s="35" t="s">
        <v>51</v>
      </c>
      <c r="E195" s="35">
        <f>B193*20</f>
        <v>0</v>
      </c>
    </row>
    <row r="196" spans="1:5" thickBot="1" x14ac:dyDescent="0.3">
      <c r="A196" s="32"/>
      <c r="B196" s="14">
        <f>IFERROR(VLOOKUP(A196,Tabla3[],2,FALSE),0)</f>
        <v>0</v>
      </c>
      <c r="C196" s="33" t="s">
        <v>131</v>
      </c>
      <c r="D196" s="33" t="s">
        <v>128</v>
      </c>
      <c r="E196" s="33">
        <f>B193*10</f>
        <v>0</v>
      </c>
    </row>
    <row r="197" spans="1:5" thickBot="1" x14ac:dyDescent="0.3">
      <c r="A197" s="25" t="s">
        <v>368</v>
      </c>
      <c r="B197" s="14">
        <f>IFERROR(VLOOKUP(A197,Tabla3[],2,FALSE),0)</f>
        <v>0</v>
      </c>
      <c r="C197" s="37"/>
      <c r="D197" s="26" t="s">
        <v>59</v>
      </c>
      <c r="E197" s="37">
        <f>B197*150</f>
        <v>0</v>
      </c>
    </row>
    <row r="198" spans="1:5" thickBot="1" x14ac:dyDescent="0.3">
      <c r="A198" s="27"/>
      <c r="B198" s="14">
        <f>IFERROR(VLOOKUP(A198,Tabla3[],2,FALSE),0)</f>
        <v>0</v>
      </c>
      <c r="C198" s="41"/>
      <c r="D198" s="28" t="s">
        <v>66</v>
      </c>
      <c r="E198" s="41">
        <f>B197*10</f>
        <v>0</v>
      </c>
    </row>
    <row r="199" spans="1:5" thickBot="1" x14ac:dyDescent="0.3">
      <c r="A199" s="25" t="s">
        <v>137</v>
      </c>
      <c r="B199" s="14">
        <f>IFERROR(VLOOKUP(A199,Tabla3[],2,FALSE),0)</f>
        <v>1</v>
      </c>
      <c r="C199" s="37"/>
      <c r="D199" s="37" t="s">
        <v>93</v>
      </c>
      <c r="E199" s="37">
        <f>35*B199</f>
        <v>35</v>
      </c>
    </row>
    <row r="200" spans="1:5" thickBot="1" x14ac:dyDescent="0.3">
      <c r="A200" s="34"/>
      <c r="B200" s="14">
        <f>IFERROR(VLOOKUP(A200,Tabla3[],2,FALSE),0)</f>
        <v>0</v>
      </c>
      <c r="C200" s="38"/>
      <c r="D200" s="38" t="s">
        <v>75</v>
      </c>
      <c r="E200" s="38">
        <f>35*B199</f>
        <v>35</v>
      </c>
    </row>
    <row r="201" spans="1:5" thickBot="1" x14ac:dyDescent="0.3">
      <c r="A201" s="32"/>
      <c r="B201" s="14">
        <f>IFERROR(VLOOKUP(A201,Tabla3[],2,FALSE),0)</f>
        <v>0</v>
      </c>
      <c r="C201" s="39"/>
      <c r="D201" s="39" t="s">
        <v>51</v>
      </c>
      <c r="E201" s="39">
        <f>20*B199</f>
        <v>20</v>
      </c>
    </row>
    <row r="202" spans="1:5" thickBot="1" x14ac:dyDescent="0.3">
      <c r="A202" s="25" t="s">
        <v>138</v>
      </c>
      <c r="B202" s="14">
        <f>IFERROR(VLOOKUP(A202,Tabla3[],2,FALSE),0)</f>
        <v>0</v>
      </c>
      <c r="C202" s="26" t="s">
        <v>131</v>
      </c>
      <c r="D202" s="26" t="s">
        <v>130</v>
      </c>
      <c r="E202" s="26">
        <f>B202*35</f>
        <v>0</v>
      </c>
    </row>
    <row r="203" spans="1:5" thickBot="1" x14ac:dyDescent="0.3">
      <c r="A203" s="34"/>
      <c r="B203" s="14">
        <f>IFERROR(VLOOKUP(A203,Tabla3[],2,FALSE),0)</f>
        <v>0</v>
      </c>
      <c r="C203" s="35" t="s">
        <v>131</v>
      </c>
      <c r="D203" s="35" t="s">
        <v>94</v>
      </c>
      <c r="E203" s="35">
        <f>B202*35</f>
        <v>0</v>
      </c>
    </row>
    <row r="204" spans="1:5" thickBot="1" x14ac:dyDescent="0.3">
      <c r="A204" s="32"/>
      <c r="B204" s="14">
        <f>IFERROR(VLOOKUP(A204,Tabla3[],2,FALSE),0)</f>
        <v>0</v>
      </c>
      <c r="C204" s="33" t="s">
        <v>133</v>
      </c>
      <c r="D204" s="33" t="s">
        <v>51</v>
      </c>
      <c r="E204" s="33">
        <f>B202*40</f>
        <v>0</v>
      </c>
    </row>
    <row r="205" spans="1:5" thickBot="1" x14ac:dyDescent="0.3">
      <c r="A205" s="25" t="s">
        <v>369</v>
      </c>
      <c r="B205" s="14">
        <f>IFERROR(VLOOKUP(A205,Tabla3[],2,FALSE),0)</f>
        <v>5</v>
      </c>
      <c r="C205" s="26" t="s">
        <v>131</v>
      </c>
      <c r="D205" s="26" t="s">
        <v>57</v>
      </c>
      <c r="E205" s="26">
        <f>B205*75</f>
        <v>375</v>
      </c>
    </row>
    <row r="206" spans="1:5" thickBot="1" x14ac:dyDescent="0.3">
      <c r="A206" s="34"/>
      <c r="B206" s="14">
        <f>IFERROR(VLOOKUP(A206,Tabla3[],2,FALSE),0)</f>
        <v>0</v>
      </c>
      <c r="C206" s="35" t="s">
        <v>132</v>
      </c>
      <c r="D206" s="35" t="s">
        <v>636</v>
      </c>
      <c r="E206" s="35">
        <f>B205*0.5</f>
        <v>2.5</v>
      </c>
    </row>
    <row r="207" spans="1:5" thickBot="1" x14ac:dyDescent="0.3">
      <c r="A207" s="34"/>
      <c r="B207" s="14">
        <f>IFERROR(VLOOKUP(A207,Tabla3[],2,FALSE),0)</f>
        <v>0</v>
      </c>
      <c r="C207" s="35" t="s">
        <v>133</v>
      </c>
      <c r="D207" s="35" t="s">
        <v>51</v>
      </c>
      <c r="E207" s="35">
        <f>B205*20</f>
        <v>100</v>
      </c>
    </row>
    <row r="208" spans="1:5" thickBot="1" x14ac:dyDescent="0.3">
      <c r="A208" s="32"/>
      <c r="B208" s="14">
        <f>IFERROR(VLOOKUP(A208,Tabla3[],2,FALSE),0)</f>
        <v>0</v>
      </c>
      <c r="C208" s="33" t="s">
        <v>131</v>
      </c>
      <c r="D208" s="33" t="s">
        <v>106</v>
      </c>
      <c r="E208" s="33">
        <f>B205*20</f>
        <v>100</v>
      </c>
    </row>
    <row r="209" spans="1:5" thickBot="1" x14ac:dyDescent="0.3">
      <c r="A209" s="25" t="s">
        <v>141</v>
      </c>
      <c r="B209" s="14">
        <f>IFERROR(VLOOKUP(A209,Tabla3[],2,FALSE),0)</f>
        <v>0</v>
      </c>
      <c r="C209" s="26" t="s">
        <v>131</v>
      </c>
      <c r="D209" s="26" t="s">
        <v>57</v>
      </c>
      <c r="E209" s="26">
        <f>B209*75</f>
        <v>0</v>
      </c>
    </row>
    <row r="210" spans="1:5" thickBot="1" x14ac:dyDescent="0.3">
      <c r="A210" s="34"/>
      <c r="B210" s="14">
        <f>IFERROR(VLOOKUP(A210,Tabla3[],2,FALSE),0)</f>
        <v>0</v>
      </c>
      <c r="C210" s="35" t="s">
        <v>132</v>
      </c>
      <c r="D210" s="35" t="s">
        <v>636</v>
      </c>
      <c r="E210" s="35">
        <f>B209*0.5</f>
        <v>0</v>
      </c>
    </row>
    <row r="211" spans="1:5" thickBot="1" x14ac:dyDescent="0.3">
      <c r="A211" s="34"/>
      <c r="B211" s="14">
        <f>IFERROR(VLOOKUP(A211,Tabla3[],2,FALSE),0)</f>
        <v>0</v>
      </c>
      <c r="C211" s="35" t="s">
        <v>133</v>
      </c>
      <c r="D211" s="35" t="s">
        <v>51</v>
      </c>
      <c r="E211" s="35">
        <f>B209*20</f>
        <v>0</v>
      </c>
    </row>
    <row r="212" spans="1:5" thickBot="1" x14ac:dyDescent="0.3">
      <c r="A212" s="34"/>
      <c r="B212" s="14">
        <f>IFERROR(VLOOKUP(A212,Tabla3[],2,FALSE),0)</f>
        <v>0</v>
      </c>
      <c r="C212" s="35" t="s">
        <v>131</v>
      </c>
      <c r="D212" s="35" t="s">
        <v>106</v>
      </c>
      <c r="E212" s="35">
        <f>B209*20</f>
        <v>0</v>
      </c>
    </row>
    <row r="213" spans="1:5" thickBot="1" x14ac:dyDescent="0.3">
      <c r="A213" s="32"/>
      <c r="B213" s="14">
        <f>IFERROR(VLOOKUP(A213,Tabla3[],2,FALSE),0)</f>
        <v>0</v>
      </c>
      <c r="C213" s="39" t="s">
        <v>131</v>
      </c>
      <c r="D213" s="33" t="s">
        <v>582</v>
      </c>
      <c r="E213" s="39">
        <f>B209*20</f>
        <v>0</v>
      </c>
    </row>
    <row r="214" spans="1:5" thickBot="1" x14ac:dyDescent="0.3">
      <c r="A214" s="25" t="s">
        <v>139</v>
      </c>
      <c r="B214" s="14">
        <f>IFERROR(VLOOKUP(A214,Tabla3[],2,FALSE),0)</f>
        <v>1</v>
      </c>
      <c r="C214" s="26" t="s">
        <v>131</v>
      </c>
      <c r="D214" s="26" t="s">
        <v>57</v>
      </c>
      <c r="E214" s="26">
        <f>B214*75</f>
        <v>75</v>
      </c>
    </row>
    <row r="215" spans="1:5" thickBot="1" x14ac:dyDescent="0.3">
      <c r="A215" s="34"/>
      <c r="B215" s="14">
        <f>IFERROR(VLOOKUP(A215,Tabla3[],2,FALSE),0)</f>
        <v>0</v>
      </c>
      <c r="C215" s="35" t="s">
        <v>132</v>
      </c>
      <c r="D215" s="35" t="s">
        <v>636</v>
      </c>
      <c r="E215" s="35">
        <f>B214*0.5</f>
        <v>0.5</v>
      </c>
    </row>
    <row r="216" spans="1:5" thickBot="1" x14ac:dyDescent="0.3">
      <c r="A216" s="34"/>
      <c r="B216" s="14">
        <f>IFERROR(VLOOKUP(A216,Tabla3[],2,FALSE),0)</f>
        <v>0</v>
      </c>
      <c r="C216" s="35" t="s">
        <v>133</v>
      </c>
      <c r="D216" s="35" t="s">
        <v>51</v>
      </c>
      <c r="E216" s="35">
        <f>B214*20</f>
        <v>20</v>
      </c>
    </row>
    <row r="217" spans="1:5" thickBot="1" x14ac:dyDescent="0.3">
      <c r="A217" s="34"/>
      <c r="B217" s="14">
        <f>IFERROR(VLOOKUP(A217,Tabla3[],2,FALSE),0)</f>
        <v>0</v>
      </c>
      <c r="C217" s="35" t="s">
        <v>131</v>
      </c>
      <c r="D217" s="35" t="s">
        <v>106</v>
      </c>
      <c r="E217" s="35">
        <f>B214*20</f>
        <v>20</v>
      </c>
    </row>
    <row r="218" spans="1:5" thickBot="1" x14ac:dyDescent="0.3">
      <c r="A218" s="32"/>
      <c r="B218" s="14">
        <f>IFERROR(VLOOKUP(A218,Tabla3[],2,FALSE),0)</f>
        <v>0</v>
      </c>
      <c r="C218" s="39" t="s">
        <v>131</v>
      </c>
      <c r="D218" s="33" t="s">
        <v>105</v>
      </c>
      <c r="E218" s="39">
        <f>B214*20</f>
        <v>20</v>
      </c>
    </row>
    <row r="219" spans="1:5" thickBot="1" x14ac:dyDescent="0.3">
      <c r="A219" s="25" t="s">
        <v>140</v>
      </c>
      <c r="B219" s="14">
        <f>IFERROR(VLOOKUP(A219,Tabla3[],2,FALSE),0)</f>
        <v>0</v>
      </c>
      <c r="C219" s="26" t="s">
        <v>131</v>
      </c>
      <c r="D219" s="26" t="s">
        <v>57</v>
      </c>
      <c r="E219" s="26">
        <f>B219*75</f>
        <v>0</v>
      </c>
    </row>
    <row r="220" spans="1:5" thickBot="1" x14ac:dyDescent="0.3">
      <c r="A220" s="34"/>
      <c r="B220" s="14">
        <f>IFERROR(VLOOKUP(A220,Tabla3[],2,FALSE),0)</f>
        <v>0</v>
      </c>
      <c r="C220" s="35" t="s">
        <v>132</v>
      </c>
      <c r="D220" s="35" t="s">
        <v>636</v>
      </c>
      <c r="E220" s="35">
        <f>B219*0.5</f>
        <v>0</v>
      </c>
    </row>
    <row r="221" spans="1:5" thickBot="1" x14ac:dyDescent="0.3">
      <c r="A221" s="34"/>
      <c r="B221" s="14">
        <f>IFERROR(VLOOKUP(A221,Tabla3[],2,FALSE),0)</f>
        <v>0</v>
      </c>
      <c r="C221" s="35" t="s">
        <v>133</v>
      </c>
      <c r="D221" s="35" t="s">
        <v>51</v>
      </c>
      <c r="E221" s="35">
        <f>B219*20</f>
        <v>0</v>
      </c>
    </row>
    <row r="222" spans="1:5" thickBot="1" x14ac:dyDescent="0.3">
      <c r="A222" s="34"/>
      <c r="B222" s="14">
        <f>IFERROR(VLOOKUP(A222,Tabla3[],2,FALSE),0)</f>
        <v>0</v>
      </c>
      <c r="C222" s="35" t="s">
        <v>131</v>
      </c>
      <c r="D222" s="35" t="s">
        <v>106</v>
      </c>
      <c r="E222" s="35">
        <f>B219*20</f>
        <v>0</v>
      </c>
    </row>
    <row r="223" spans="1:5" thickBot="1" x14ac:dyDescent="0.3">
      <c r="A223" s="32"/>
      <c r="B223" s="14">
        <f>IFERROR(VLOOKUP(A223,Tabla3[],2,FALSE),0)</f>
        <v>0</v>
      </c>
      <c r="C223" s="39" t="s">
        <v>131</v>
      </c>
      <c r="D223" s="33" t="s">
        <v>107</v>
      </c>
      <c r="E223" s="39">
        <f>B219*20</f>
        <v>0</v>
      </c>
    </row>
    <row r="224" spans="1:5" thickBot="1" x14ac:dyDescent="0.3">
      <c r="A224" s="25" t="s">
        <v>370</v>
      </c>
      <c r="B224" s="14">
        <f>IFERROR(VLOOKUP(A224,Tabla3[],2,FALSE),0)</f>
        <v>0</v>
      </c>
      <c r="C224" s="26" t="s">
        <v>131</v>
      </c>
      <c r="D224" s="26" t="s">
        <v>129</v>
      </c>
      <c r="E224" s="26">
        <f>B224*75</f>
        <v>0</v>
      </c>
    </row>
    <row r="225" spans="1:5" thickBot="1" x14ac:dyDescent="0.3">
      <c r="A225" s="34"/>
      <c r="B225" s="14">
        <f>IFERROR(VLOOKUP(A225,Tabla3[],2,FALSE),0)</f>
        <v>0</v>
      </c>
      <c r="C225" s="35" t="s">
        <v>132</v>
      </c>
      <c r="D225" s="35" t="s">
        <v>636</v>
      </c>
      <c r="E225" s="35">
        <f>B224*0.5</f>
        <v>0</v>
      </c>
    </row>
    <row r="226" spans="1:5" thickBot="1" x14ac:dyDescent="0.3">
      <c r="A226" s="34"/>
      <c r="B226" s="14">
        <f>IFERROR(VLOOKUP(A226,Tabla3[],2,FALSE),0)</f>
        <v>0</v>
      </c>
      <c r="C226" s="35" t="s">
        <v>133</v>
      </c>
      <c r="D226" s="35" t="s">
        <v>51</v>
      </c>
      <c r="E226" s="35">
        <f>B224*20</f>
        <v>0</v>
      </c>
    </row>
    <row r="227" spans="1:5" thickBot="1" x14ac:dyDescent="0.3">
      <c r="A227" s="32"/>
      <c r="B227" s="14">
        <f>IFERROR(VLOOKUP(A227,Tabla3[],2,FALSE),0)</f>
        <v>0</v>
      </c>
      <c r="C227" s="33" t="s">
        <v>131</v>
      </c>
      <c r="D227" s="33" t="s">
        <v>106</v>
      </c>
      <c r="E227" s="33">
        <f>B224*20</f>
        <v>0</v>
      </c>
    </row>
    <row r="228" spans="1:5" thickBot="1" x14ac:dyDescent="0.3">
      <c r="A228" s="112" t="s">
        <v>652</v>
      </c>
      <c r="B228" s="14">
        <f>IFERROR(VLOOKUP(A228,Tabla3[],2,FALSE),0)</f>
        <v>0</v>
      </c>
      <c r="C228" s="26" t="s">
        <v>131</v>
      </c>
      <c r="D228" s="26" t="s">
        <v>129</v>
      </c>
      <c r="E228" s="26">
        <f>B228*75</f>
        <v>0</v>
      </c>
    </row>
    <row r="229" spans="1:5" thickBot="1" x14ac:dyDescent="0.3">
      <c r="A229" s="34"/>
      <c r="B229" s="14">
        <f>IFERROR(VLOOKUP(A229,Tabla3[],2,FALSE),0)</f>
        <v>0</v>
      </c>
      <c r="C229" s="35" t="s">
        <v>132</v>
      </c>
      <c r="D229" s="35" t="s">
        <v>636</v>
      </c>
      <c r="E229" s="35">
        <f>B228*0.5</f>
        <v>0</v>
      </c>
    </row>
    <row r="230" spans="1:5" thickBot="1" x14ac:dyDescent="0.3">
      <c r="A230" s="34"/>
      <c r="B230" s="14">
        <f>IFERROR(VLOOKUP(A230,Tabla3[],2,FALSE),0)</f>
        <v>0</v>
      </c>
      <c r="C230" s="35" t="s">
        <v>133</v>
      </c>
      <c r="D230" s="35" t="s">
        <v>51</v>
      </c>
      <c r="E230" s="35">
        <f>B228*20</f>
        <v>0</v>
      </c>
    </row>
    <row r="231" spans="1:5" thickBot="1" x14ac:dyDescent="0.3">
      <c r="A231" s="34"/>
      <c r="B231" s="14">
        <f>IFERROR(VLOOKUP(A231,Tabla3[],2,FALSE),0)</f>
        <v>0</v>
      </c>
      <c r="C231" s="35" t="s">
        <v>131</v>
      </c>
      <c r="D231" s="35" t="s">
        <v>106</v>
      </c>
      <c r="E231" s="35">
        <f>B228*20</f>
        <v>0</v>
      </c>
    </row>
    <row r="232" spans="1:5" thickBot="1" x14ac:dyDescent="0.3">
      <c r="A232" s="32"/>
      <c r="B232" s="14">
        <f>IFERROR(VLOOKUP(A232,Tabla3[],2,FALSE),0)</f>
        <v>0</v>
      </c>
      <c r="C232" s="33" t="s">
        <v>131</v>
      </c>
      <c r="D232" s="33" t="s">
        <v>582</v>
      </c>
      <c r="E232" s="39">
        <f>B228*20</f>
        <v>0</v>
      </c>
    </row>
    <row r="233" spans="1:5" thickBot="1" x14ac:dyDescent="0.3">
      <c r="A233" s="112" t="s">
        <v>608</v>
      </c>
      <c r="B233" s="14">
        <f>IFERROR(VLOOKUP(A233,Tabla3[],2,FALSE),0)</f>
        <v>1</v>
      </c>
      <c r="C233" s="26" t="s">
        <v>131</v>
      </c>
      <c r="D233" s="26" t="s">
        <v>129</v>
      </c>
      <c r="E233" s="26">
        <f>B233*75</f>
        <v>75</v>
      </c>
    </row>
    <row r="234" spans="1:5" thickBot="1" x14ac:dyDescent="0.3">
      <c r="A234" s="34"/>
      <c r="B234" s="14">
        <f>IFERROR(VLOOKUP(A234,Tabla3[],2,FALSE),0)</f>
        <v>0</v>
      </c>
      <c r="C234" s="35" t="s">
        <v>132</v>
      </c>
      <c r="D234" s="35" t="s">
        <v>636</v>
      </c>
      <c r="E234" s="35">
        <f>B233*0.5</f>
        <v>0.5</v>
      </c>
    </row>
    <row r="235" spans="1:5" thickBot="1" x14ac:dyDescent="0.3">
      <c r="A235" s="34"/>
      <c r="B235" s="14">
        <f>IFERROR(VLOOKUP(A235,Tabla3[],2,FALSE),0)</f>
        <v>0</v>
      </c>
      <c r="C235" s="35" t="s">
        <v>133</v>
      </c>
      <c r="D235" s="35" t="s">
        <v>51</v>
      </c>
      <c r="E235" s="35">
        <f>B233*20</f>
        <v>20</v>
      </c>
    </row>
    <row r="236" spans="1:5" thickBot="1" x14ac:dyDescent="0.3">
      <c r="A236" s="34"/>
      <c r="B236" s="14">
        <f>IFERROR(VLOOKUP(A236,Tabla3[],2,FALSE),0)</f>
        <v>0</v>
      </c>
      <c r="C236" s="35" t="s">
        <v>131</v>
      </c>
      <c r="D236" s="35" t="s">
        <v>106</v>
      </c>
      <c r="E236" s="35">
        <f>B233*20</f>
        <v>20</v>
      </c>
    </row>
    <row r="237" spans="1:5" thickBot="1" x14ac:dyDescent="0.3">
      <c r="A237" s="32"/>
      <c r="B237" s="14">
        <f>IFERROR(VLOOKUP(A237,Tabla3[],2,FALSE),0)</f>
        <v>0</v>
      </c>
      <c r="C237" s="39" t="s">
        <v>131</v>
      </c>
      <c r="D237" s="33" t="s">
        <v>105</v>
      </c>
      <c r="E237" s="39">
        <f>B233*20</f>
        <v>20</v>
      </c>
    </row>
    <row r="238" spans="1:5" thickBot="1" x14ac:dyDescent="0.3">
      <c r="A238" s="25" t="s">
        <v>143</v>
      </c>
      <c r="B238" s="14">
        <f>IFERROR(VLOOKUP(A238,Tabla3[],2,FALSE),0)</f>
        <v>0</v>
      </c>
      <c r="C238" s="26" t="s">
        <v>131</v>
      </c>
      <c r="D238" s="26" t="s">
        <v>129</v>
      </c>
      <c r="E238" s="26">
        <f>B238*75</f>
        <v>0</v>
      </c>
    </row>
    <row r="239" spans="1:5" thickBot="1" x14ac:dyDescent="0.3">
      <c r="A239" s="34"/>
      <c r="B239" s="14">
        <f>IFERROR(VLOOKUP(A239,Tabla3[],2,FALSE),0)</f>
        <v>0</v>
      </c>
      <c r="C239" s="35" t="s">
        <v>132</v>
      </c>
      <c r="D239" s="35" t="s">
        <v>636</v>
      </c>
      <c r="E239" s="35">
        <f>B238*0.5</f>
        <v>0</v>
      </c>
    </row>
    <row r="240" spans="1:5" thickBot="1" x14ac:dyDescent="0.3">
      <c r="A240" s="34"/>
      <c r="B240" s="14">
        <f>IFERROR(VLOOKUP(A240,Tabla3[],2,FALSE),0)</f>
        <v>0</v>
      </c>
      <c r="C240" s="35" t="s">
        <v>133</v>
      </c>
      <c r="D240" s="35" t="s">
        <v>51</v>
      </c>
      <c r="E240" s="35">
        <f>B238*20</f>
        <v>0</v>
      </c>
    </row>
    <row r="241" spans="1:5" thickBot="1" x14ac:dyDescent="0.3">
      <c r="A241" s="34"/>
      <c r="B241" s="14">
        <f>IFERROR(VLOOKUP(A241,Tabla3[],2,FALSE),0)</f>
        <v>0</v>
      </c>
      <c r="C241" s="35" t="s">
        <v>131</v>
      </c>
      <c r="D241" s="35" t="s">
        <v>106</v>
      </c>
      <c r="E241" s="35">
        <f>B238*20</f>
        <v>0</v>
      </c>
    </row>
    <row r="242" spans="1:5" thickBot="1" x14ac:dyDescent="0.3">
      <c r="A242" s="27"/>
      <c r="B242" s="14">
        <f>IFERROR(VLOOKUP(A242,Tabla3[],2,FALSE),0)</f>
        <v>0</v>
      </c>
      <c r="C242" s="41" t="s">
        <v>131</v>
      </c>
      <c r="D242" s="28" t="s">
        <v>107</v>
      </c>
      <c r="E242" s="41">
        <f>B238*20</f>
        <v>0</v>
      </c>
    </row>
    <row r="243" spans="1:5" thickBot="1" x14ac:dyDescent="0.3">
      <c r="A243" s="25" t="s">
        <v>371</v>
      </c>
      <c r="B243" s="14">
        <f>IFERROR(VLOOKUP(A243,Tabla3[],2,FALSE),0)</f>
        <v>38</v>
      </c>
      <c r="C243" s="26" t="s">
        <v>131</v>
      </c>
      <c r="D243" s="26" t="s">
        <v>109</v>
      </c>
      <c r="E243" s="57">
        <f>B243*75</f>
        <v>2850</v>
      </c>
    </row>
    <row r="244" spans="1:5" thickBot="1" x14ac:dyDescent="0.3">
      <c r="A244" s="32"/>
      <c r="B244" s="14">
        <f>IFERROR(VLOOKUP(A244,Tabla3[],2,FALSE),0)</f>
        <v>0</v>
      </c>
      <c r="C244" s="33" t="s">
        <v>131</v>
      </c>
      <c r="D244" s="33" t="s">
        <v>59</v>
      </c>
      <c r="E244" s="58">
        <f>B243*150</f>
        <v>5700</v>
      </c>
    </row>
    <row r="245" spans="1:5" thickBot="1" x14ac:dyDescent="0.3">
      <c r="A245" s="25" t="s">
        <v>208</v>
      </c>
      <c r="B245" s="14">
        <f>IFERROR(VLOOKUP(A245,Tabla3[],2,FALSE),0)</f>
        <v>18</v>
      </c>
      <c r="C245" s="26" t="s">
        <v>131</v>
      </c>
      <c r="D245" s="26" t="s">
        <v>49</v>
      </c>
      <c r="E245" s="26">
        <f>B245*75</f>
        <v>1350</v>
      </c>
    </row>
    <row r="246" spans="1:5" thickBot="1" x14ac:dyDescent="0.3">
      <c r="A246" s="32"/>
      <c r="B246" s="14">
        <f>IFERROR(VLOOKUP(A246,Tabla3[],2,FALSE),0)</f>
        <v>0</v>
      </c>
      <c r="C246" s="33" t="s">
        <v>131</v>
      </c>
      <c r="D246" s="33" t="s">
        <v>59</v>
      </c>
      <c r="E246" s="33">
        <f>B245*150</f>
        <v>2700</v>
      </c>
    </row>
    <row r="247" spans="1:5" thickBot="1" x14ac:dyDescent="0.3">
      <c r="A247" s="18" t="s">
        <v>372</v>
      </c>
      <c r="B247" s="14">
        <f>IFERROR(VLOOKUP(A247,Tabla3[],2,FALSE),0)</f>
        <v>6</v>
      </c>
      <c r="C247" s="47"/>
      <c r="D247" s="20" t="s">
        <v>83</v>
      </c>
      <c r="E247" s="47">
        <f t="shared" ref="E247:E249" si="5">B247*75</f>
        <v>450</v>
      </c>
    </row>
    <row r="248" spans="1:5" thickBot="1" x14ac:dyDescent="0.3">
      <c r="A248" s="18" t="s">
        <v>373</v>
      </c>
      <c r="B248" s="14">
        <f>IFERROR(VLOOKUP(A248,Tabla3[],2,FALSE),0)</f>
        <v>4</v>
      </c>
      <c r="C248" s="47"/>
      <c r="D248" s="20" t="s">
        <v>85</v>
      </c>
      <c r="E248" s="47">
        <f t="shared" si="5"/>
        <v>300</v>
      </c>
    </row>
    <row r="249" spans="1:5" thickBot="1" x14ac:dyDescent="0.3">
      <c r="A249" s="112" t="s">
        <v>622</v>
      </c>
      <c r="B249" s="14">
        <f>IFERROR(VLOOKUP(A249,Tabla3[],2,FALSE),0)</f>
        <v>0</v>
      </c>
      <c r="C249" s="47"/>
      <c r="D249" s="20" t="s">
        <v>84</v>
      </c>
      <c r="E249" s="47">
        <f t="shared" si="5"/>
        <v>0</v>
      </c>
    </row>
    <row r="250" spans="1:5" thickBot="1" x14ac:dyDescent="0.3">
      <c r="A250" s="18" t="s">
        <v>374</v>
      </c>
      <c r="B250" s="14">
        <f>IFERROR(VLOOKUP(A250,Tabla3[],2,FALSE),0)</f>
        <v>0</v>
      </c>
      <c r="C250" s="47"/>
      <c r="D250" s="47" t="s">
        <v>279</v>
      </c>
      <c r="E250" s="47">
        <f>75*B250</f>
        <v>0</v>
      </c>
    </row>
    <row r="251" spans="1:5" thickBot="1" x14ac:dyDescent="0.3">
      <c r="A251" s="112" t="s">
        <v>625</v>
      </c>
      <c r="B251" s="14">
        <f>IFERROR(VLOOKUP(A251,Tabla3[],2,FALSE),0)</f>
        <v>1</v>
      </c>
      <c r="C251" s="47"/>
      <c r="D251" s="20" t="s">
        <v>88</v>
      </c>
      <c r="E251" s="47">
        <f t="shared" ref="E251:E252" si="6">B251*75</f>
        <v>75</v>
      </c>
    </row>
    <row r="252" spans="1:5" thickBot="1" x14ac:dyDescent="0.3">
      <c r="A252" s="112" t="s">
        <v>624</v>
      </c>
      <c r="B252" s="14">
        <f>IFERROR(VLOOKUP(A252,Tabla3[],2,FALSE),0)</f>
        <v>5</v>
      </c>
      <c r="C252" s="47"/>
      <c r="D252" s="20" t="s">
        <v>87</v>
      </c>
      <c r="E252" s="47">
        <f t="shared" si="6"/>
        <v>375</v>
      </c>
    </row>
    <row r="253" spans="1:5" thickBot="1" x14ac:dyDescent="0.3">
      <c r="A253" s="112" t="s">
        <v>653</v>
      </c>
      <c r="B253" s="14">
        <f>IFERROR(VLOOKUP(A253,Tabla3[],2,FALSE),0)</f>
        <v>1</v>
      </c>
      <c r="C253" s="47"/>
      <c r="D253" s="47" t="s">
        <v>278</v>
      </c>
      <c r="E253" s="47">
        <f t="shared" ref="E253:E254" si="7">75*B253</f>
        <v>75</v>
      </c>
    </row>
    <row r="254" spans="1:5" thickBot="1" x14ac:dyDescent="0.3">
      <c r="A254" s="18" t="s">
        <v>375</v>
      </c>
      <c r="B254" s="14">
        <f>IFERROR(VLOOKUP(A254,Tabla3[],2,FALSE),0)</f>
        <v>0</v>
      </c>
      <c r="C254" s="47"/>
      <c r="D254" s="47" t="s">
        <v>274</v>
      </c>
      <c r="E254" s="47">
        <f t="shared" si="7"/>
        <v>0</v>
      </c>
    </row>
    <row r="255" spans="1:5" thickBot="1" x14ac:dyDescent="0.3">
      <c r="A255" s="18" t="s">
        <v>567</v>
      </c>
      <c r="B255" s="14">
        <f>IFERROR(VLOOKUP(A255,Tabla3[],2,FALSE),0)</f>
        <v>3</v>
      </c>
      <c r="C255" s="47"/>
      <c r="D255" s="20" t="s">
        <v>122</v>
      </c>
      <c r="E255" s="47">
        <f t="shared" ref="E255:E260" si="8">B255*75</f>
        <v>225</v>
      </c>
    </row>
    <row r="256" spans="1:5" thickBot="1" x14ac:dyDescent="0.3">
      <c r="A256" s="18" t="s">
        <v>376</v>
      </c>
      <c r="B256" s="14">
        <f>IFERROR(VLOOKUP(A256,Tabla3[],2,FALSE),0)</f>
        <v>1</v>
      </c>
      <c r="C256" s="47"/>
      <c r="D256" s="20" t="s">
        <v>43</v>
      </c>
      <c r="E256" s="47">
        <f t="shared" si="8"/>
        <v>75</v>
      </c>
    </row>
    <row r="257" spans="1:5" thickBot="1" x14ac:dyDescent="0.3">
      <c r="A257" s="18" t="s">
        <v>377</v>
      </c>
      <c r="B257" s="14">
        <f>IFERROR(VLOOKUP(A257,Tabla3[],2,FALSE),0)</f>
        <v>0</v>
      </c>
      <c r="C257" s="47"/>
      <c r="D257" s="47" t="s">
        <v>45</v>
      </c>
      <c r="E257" s="47">
        <f t="shared" si="8"/>
        <v>0</v>
      </c>
    </row>
    <row r="258" spans="1:5" thickBot="1" x14ac:dyDescent="0.3">
      <c r="A258" s="18" t="s">
        <v>378</v>
      </c>
      <c r="B258" s="14">
        <f>IFERROR(VLOOKUP(A258,Tabla3[],2,FALSE),0)</f>
        <v>0</v>
      </c>
      <c r="C258" s="47"/>
      <c r="D258" s="47" t="s">
        <v>46</v>
      </c>
      <c r="E258" s="47">
        <f t="shared" si="8"/>
        <v>0</v>
      </c>
    </row>
    <row r="259" spans="1:5" thickBot="1" x14ac:dyDescent="0.3">
      <c r="A259" s="18" t="s">
        <v>379</v>
      </c>
      <c r="B259" s="14">
        <f>IFERROR(VLOOKUP(A259,Tabla3[],2,FALSE),0)</f>
        <v>0</v>
      </c>
      <c r="C259" s="47"/>
      <c r="D259" s="47" t="s">
        <v>44</v>
      </c>
      <c r="E259" s="47">
        <f t="shared" si="8"/>
        <v>0</v>
      </c>
    </row>
    <row r="260" spans="1:5" thickBot="1" x14ac:dyDescent="0.3">
      <c r="A260" s="112" t="s">
        <v>623</v>
      </c>
      <c r="B260" s="14">
        <f>IFERROR(VLOOKUP(A260,Tabla3[],2,FALSE),0)</f>
        <v>3</v>
      </c>
      <c r="C260" s="47"/>
      <c r="D260" s="20" t="s">
        <v>86</v>
      </c>
      <c r="E260" s="47">
        <f t="shared" si="8"/>
        <v>225</v>
      </c>
    </row>
    <row r="261" spans="1:5" thickBot="1" x14ac:dyDescent="0.3">
      <c r="A261" s="53" t="s">
        <v>222</v>
      </c>
      <c r="B261" s="14">
        <f>IFERROR(VLOOKUP(A261,Tabla3[],2,FALSE),0)</f>
        <v>1</v>
      </c>
      <c r="C261" s="55"/>
      <c r="D261" s="54" t="s">
        <v>86</v>
      </c>
      <c r="E261" s="55">
        <f>B261*75*4</f>
        <v>300</v>
      </c>
    </row>
    <row r="262" spans="1:5" thickBot="1" x14ac:dyDescent="0.3">
      <c r="A262" s="22" t="s">
        <v>380</v>
      </c>
      <c r="B262" s="14">
        <f>IFERROR(VLOOKUP(A262,Tabla3[],2,FALSE),0)</f>
        <v>0</v>
      </c>
      <c r="C262" s="42"/>
      <c r="D262" s="23" t="s">
        <v>86</v>
      </c>
      <c r="E262" s="42">
        <f>B262*77</f>
        <v>0</v>
      </c>
    </row>
    <row r="263" spans="1:5" thickBot="1" x14ac:dyDescent="0.3">
      <c r="A263" s="15" t="s">
        <v>733</v>
      </c>
      <c r="B263" s="14">
        <f>IFERROR(VLOOKUP(A263,Tabla3[],2,FALSE),0)</f>
        <v>0</v>
      </c>
      <c r="C263" s="26"/>
      <c r="D263" s="26" t="s">
        <v>637</v>
      </c>
      <c r="E263" s="26">
        <f>B263</f>
        <v>0</v>
      </c>
    </row>
    <row r="264" spans="1:5" thickBot="1" x14ac:dyDescent="0.3">
      <c r="A264" s="34"/>
      <c r="B264" s="14">
        <f>IFERROR(VLOOKUP(A264,Tabla3[],2,FALSE),0)</f>
        <v>0</v>
      </c>
      <c r="C264" s="35"/>
      <c r="D264" s="35" t="s">
        <v>636</v>
      </c>
      <c r="E264" s="35">
        <f>B263</f>
        <v>0</v>
      </c>
    </row>
    <row r="265" spans="1:5" thickBot="1" x14ac:dyDescent="0.3">
      <c r="A265" s="34"/>
      <c r="B265" s="14">
        <f>IFERROR(VLOOKUP(A265,Tabla3[],2,FALSE),0)</f>
        <v>0</v>
      </c>
      <c r="C265" s="35"/>
      <c r="D265" s="35" t="s">
        <v>97</v>
      </c>
      <c r="E265" s="35">
        <f>B263*50</f>
        <v>0</v>
      </c>
    </row>
    <row r="266" spans="1:5" thickBot="1" x14ac:dyDescent="0.3">
      <c r="A266" s="34"/>
      <c r="B266" s="14">
        <f>IFERROR(VLOOKUP(A266,Tabla3[],2,FALSE),0)</f>
        <v>0</v>
      </c>
      <c r="C266" s="35" t="s">
        <v>133</v>
      </c>
      <c r="D266" s="35" t="s">
        <v>51</v>
      </c>
      <c r="E266" s="35">
        <f>B263*20</f>
        <v>0</v>
      </c>
    </row>
    <row r="267" spans="1:5" thickBot="1" x14ac:dyDescent="0.3">
      <c r="A267" s="34"/>
      <c r="B267" s="14">
        <f>IFERROR(VLOOKUP(A267,Tabla3[],2,FALSE),0)</f>
        <v>0</v>
      </c>
      <c r="C267" s="35" t="s">
        <v>131</v>
      </c>
      <c r="D267" s="35" t="s">
        <v>106</v>
      </c>
      <c r="E267" s="35">
        <f>B263*20</f>
        <v>0</v>
      </c>
    </row>
    <row r="268" spans="1:5" thickBot="1" x14ac:dyDescent="0.3">
      <c r="A268" s="27"/>
      <c r="B268" s="14">
        <f>IFERROR(VLOOKUP(A268,Tabla3[],2,FALSE),0)</f>
        <v>0</v>
      </c>
      <c r="C268" s="28" t="s">
        <v>131</v>
      </c>
      <c r="D268" s="28" t="s">
        <v>86</v>
      </c>
      <c r="E268" s="28">
        <f>B263*75</f>
        <v>0</v>
      </c>
    </row>
    <row r="269" spans="1:5" thickBot="1" x14ac:dyDescent="0.3">
      <c r="A269" s="18" t="s">
        <v>381</v>
      </c>
      <c r="B269" s="14">
        <f>IFERROR(VLOOKUP(A269,Tabla3[],2,FALSE),0)</f>
        <v>1</v>
      </c>
      <c r="C269" s="47"/>
      <c r="D269" s="47" t="s">
        <v>273</v>
      </c>
      <c r="E269" s="47">
        <f t="shared" ref="E269:E271" si="9">75*B269</f>
        <v>75</v>
      </c>
    </row>
    <row r="270" spans="1:5" thickBot="1" x14ac:dyDescent="0.3">
      <c r="A270" s="18" t="s">
        <v>382</v>
      </c>
      <c r="B270" s="14">
        <f>IFERROR(VLOOKUP(A270,Tabla3[],2,FALSE),0)</f>
        <v>1</v>
      </c>
      <c r="C270" s="47"/>
      <c r="D270" s="47" t="s">
        <v>272</v>
      </c>
      <c r="E270" s="47">
        <f t="shared" si="9"/>
        <v>75</v>
      </c>
    </row>
    <row r="271" spans="1:5" thickBot="1" x14ac:dyDescent="0.3">
      <c r="A271" s="18" t="s">
        <v>288</v>
      </c>
      <c r="B271" s="14">
        <f>IFERROR(VLOOKUP(A271,Tabla3[],2,FALSE),0)</f>
        <v>0</v>
      </c>
      <c r="C271" s="47"/>
      <c r="D271" s="47" t="s">
        <v>280</v>
      </c>
      <c r="E271" s="47">
        <f t="shared" si="9"/>
        <v>0</v>
      </c>
    </row>
    <row r="272" spans="1:5" thickBot="1" x14ac:dyDescent="0.3">
      <c r="A272" s="18" t="s">
        <v>315</v>
      </c>
      <c r="B272" s="14">
        <f>IFERROR(VLOOKUP(A272,Tabla3[],2,FALSE),0)</f>
        <v>24</v>
      </c>
      <c r="C272" s="47"/>
      <c r="D272" s="47" t="s">
        <v>47</v>
      </c>
      <c r="E272" s="47">
        <f t="shared" ref="E272:E273" si="10">B272*75</f>
        <v>1800</v>
      </c>
    </row>
    <row r="273" spans="1:5" thickBot="1" x14ac:dyDescent="0.3">
      <c r="A273" s="18" t="s">
        <v>534</v>
      </c>
      <c r="B273" s="14">
        <f>IFERROR(VLOOKUP(A273,Tabla3[],2,FALSE),0)</f>
        <v>1</v>
      </c>
      <c r="C273" s="47"/>
      <c r="D273" s="47" t="s">
        <v>48</v>
      </c>
      <c r="E273" s="59">
        <f t="shared" si="10"/>
        <v>75</v>
      </c>
    </row>
    <row r="274" spans="1:5" thickBot="1" x14ac:dyDescent="0.3">
      <c r="A274" s="18" t="s">
        <v>314</v>
      </c>
      <c r="B274" s="14">
        <f>IFERROR(VLOOKUP(A274,Tabla3[],2,FALSE),0)</f>
        <v>7</v>
      </c>
      <c r="C274" s="47"/>
      <c r="D274" s="201" t="s">
        <v>287</v>
      </c>
      <c r="E274" s="47">
        <f t="shared" ref="E274:E275" si="11">75*B274</f>
        <v>525</v>
      </c>
    </row>
    <row r="275" spans="1:5" thickBot="1" x14ac:dyDescent="0.3">
      <c r="A275" s="112" t="s">
        <v>605</v>
      </c>
      <c r="B275" s="14">
        <f>IFERROR(VLOOKUP(A275,Tabla3[],2,FALSE),0)</f>
        <v>0</v>
      </c>
      <c r="C275" s="47"/>
      <c r="D275" s="61" t="s">
        <v>48</v>
      </c>
      <c r="E275" s="47">
        <f t="shared" si="11"/>
        <v>0</v>
      </c>
    </row>
    <row r="276" spans="1:5" thickBot="1" x14ac:dyDescent="0.3">
      <c r="A276" s="18" t="s">
        <v>535</v>
      </c>
      <c r="B276" s="14">
        <f>IFERROR(VLOOKUP(A276,Tabla3[],2,FALSE),0)</f>
        <v>0</v>
      </c>
      <c r="C276" s="47"/>
      <c r="D276" s="61" t="s">
        <v>270</v>
      </c>
      <c r="E276" s="47">
        <f>75*B275</f>
        <v>0</v>
      </c>
    </row>
    <row r="277" spans="1:5" thickBot="1" x14ac:dyDescent="0.3">
      <c r="A277" s="18" t="s">
        <v>536</v>
      </c>
      <c r="B277" s="14">
        <f>IFERROR(VLOOKUP(A277,Tabla3[],2,FALSE),0)</f>
        <v>1</v>
      </c>
      <c r="C277" s="47"/>
      <c r="D277" s="47" t="s">
        <v>271</v>
      </c>
      <c r="E277" s="47">
        <f>75*B277</f>
        <v>75</v>
      </c>
    </row>
    <row r="278" spans="1:5" thickBot="1" x14ac:dyDescent="0.3">
      <c r="A278" s="18" t="s">
        <v>558</v>
      </c>
      <c r="B278" s="14">
        <f>IFERROR(VLOOKUP(A278,Tabla3[],2,FALSE),0)</f>
        <v>4</v>
      </c>
      <c r="C278" s="47"/>
      <c r="D278" s="47" t="s">
        <v>98</v>
      </c>
      <c r="E278" s="47">
        <f t="shared" ref="E278:E279" si="12">B278*75</f>
        <v>300</v>
      </c>
    </row>
    <row r="279" spans="1:5" thickBot="1" x14ac:dyDescent="0.3">
      <c r="A279" s="18" t="s">
        <v>559</v>
      </c>
      <c r="B279" s="14">
        <f>IFERROR(VLOOKUP(A279,Tabla3[],2,FALSE),0)</f>
        <v>8</v>
      </c>
      <c r="C279" s="62"/>
      <c r="D279" s="20" t="s">
        <v>99</v>
      </c>
      <c r="E279" s="63">
        <f t="shared" si="12"/>
        <v>600</v>
      </c>
    </row>
    <row r="280" spans="1:5" thickBot="1" x14ac:dyDescent="0.3">
      <c r="A280" s="18" t="s">
        <v>383</v>
      </c>
      <c r="B280" s="14">
        <f>IFERROR(VLOOKUP(A280,Tabla3[],2,FALSE),0)</f>
        <v>10</v>
      </c>
      <c r="C280" s="47"/>
      <c r="D280" s="47" t="s">
        <v>275</v>
      </c>
      <c r="E280" s="47">
        <f t="shared" ref="E280:E282" si="13">75*B280</f>
        <v>750</v>
      </c>
    </row>
    <row r="281" spans="1:5" thickBot="1" x14ac:dyDescent="0.3">
      <c r="A281" s="18" t="s">
        <v>384</v>
      </c>
      <c r="B281" s="14">
        <f>IFERROR(VLOOKUP(A281,Tabla3[],2,FALSE),0)</f>
        <v>1</v>
      </c>
      <c r="C281" s="47"/>
      <c r="D281" s="47" t="s">
        <v>276</v>
      </c>
      <c r="E281" s="47">
        <f t="shared" si="13"/>
        <v>75</v>
      </c>
    </row>
    <row r="282" spans="1:5" thickBot="1" x14ac:dyDescent="0.3">
      <c r="A282" s="18" t="s">
        <v>385</v>
      </c>
      <c r="B282" s="14">
        <f>IFERROR(VLOOKUP(A282,Tabla3[],2,FALSE),0)</f>
        <v>0</v>
      </c>
      <c r="C282" s="47"/>
      <c r="D282" s="47" t="s">
        <v>277</v>
      </c>
      <c r="E282" s="47">
        <f t="shared" si="13"/>
        <v>0</v>
      </c>
    </row>
    <row r="283" spans="1:5" thickBot="1" x14ac:dyDescent="0.3">
      <c r="A283" s="18" t="s">
        <v>386</v>
      </c>
      <c r="B283" s="14">
        <f>IFERROR(VLOOKUP(A283,Tabla3[],2,FALSE),0)</f>
        <v>6</v>
      </c>
      <c r="C283" s="47"/>
      <c r="D283" s="47" t="s">
        <v>76</v>
      </c>
      <c r="E283" s="47">
        <f t="shared" ref="E283:E285" si="14">B283*75</f>
        <v>450</v>
      </c>
    </row>
    <row r="284" spans="1:5" thickBot="1" x14ac:dyDescent="0.3">
      <c r="A284" s="22" t="s">
        <v>387</v>
      </c>
      <c r="B284" s="14">
        <f>IFERROR(VLOOKUP(A284,Tabla3[],2,FALSE),0)</f>
        <v>1</v>
      </c>
      <c r="C284" s="42"/>
      <c r="D284" s="42" t="s">
        <v>54</v>
      </c>
      <c r="E284" s="42">
        <f t="shared" si="14"/>
        <v>75</v>
      </c>
    </row>
    <row r="285" spans="1:5" thickBot="1" x14ac:dyDescent="0.3">
      <c r="A285" s="25" t="s">
        <v>388</v>
      </c>
      <c r="B285" s="14">
        <f>IFERROR(VLOOKUP(A285,Tabla3[],2,FALSE),0)</f>
        <v>50</v>
      </c>
      <c r="C285" s="37"/>
      <c r="D285" s="37" t="s">
        <v>54</v>
      </c>
      <c r="E285" s="37">
        <f t="shared" si="14"/>
        <v>3750</v>
      </c>
    </row>
    <row r="286" spans="1:5" thickBot="1" x14ac:dyDescent="0.3">
      <c r="A286" s="18" t="s">
        <v>389</v>
      </c>
      <c r="B286" s="14">
        <f>IFERROR(VLOOKUP(A286,Tabla3[],2,FALSE),0)</f>
        <v>2</v>
      </c>
      <c r="C286" s="47"/>
      <c r="D286" s="202" t="s">
        <v>72</v>
      </c>
      <c r="E286" s="47">
        <f t="shared" ref="E286:E288" si="15">75*B286</f>
        <v>150</v>
      </c>
    </row>
    <row r="287" spans="1:5" thickBot="1" x14ac:dyDescent="0.3">
      <c r="A287" s="22" t="s">
        <v>390</v>
      </c>
      <c r="B287" s="14">
        <f>IFERROR(VLOOKUP(A287,Tabla3[],2,FALSE),0)</f>
        <v>0</v>
      </c>
      <c r="C287" s="42"/>
      <c r="D287" s="42" t="s">
        <v>269</v>
      </c>
      <c r="E287" s="42">
        <f t="shared" si="15"/>
        <v>0</v>
      </c>
    </row>
    <row r="288" spans="1:5" thickBot="1" x14ac:dyDescent="0.3">
      <c r="A288" s="112" t="s">
        <v>654</v>
      </c>
      <c r="B288" s="14">
        <f>IFERROR(VLOOKUP(A288,Tabla3[],2,FALSE),0)</f>
        <v>1</v>
      </c>
      <c r="C288" s="37"/>
      <c r="D288" s="26" t="s">
        <v>116</v>
      </c>
      <c r="E288" s="37">
        <f t="shared" si="15"/>
        <v>75</v>
      </c>
    </row>
    <row r="289" spans="1:5" thickBot="1" x14ac:dyDescent="0.3">
      <c r="A289" s="34"/>
      <c r="B289" s="14">
        <f>IFERROR(VLOOKUP(A289,Tabla3[],2,FALSE),0)</f>
        <v>0</v>
      </c>
      <c r="C289" s="38"/>
      <c r="D289" s="35" t="s">
        <v>106</v>
      </c>
      <c r="E289" s="38">
        <f>60*B288</f>
        <v>60</v>
      </c>
    </row>
    <row r="290" spans="1:5" thickBot="1" x14ac:dyDescent="0.3">
      <c r="A290" s="32"/>
      <c r="B290" s="14">
        <f>IFERROR(VLOOKUP(A290,Tabla3[],2,FALSE),0)</f>
        <v>0</v>
      </c>
      <c r="C290" s="39"/>
      <c r="D290" s="33" t="s">
        <v>51</v>
      </c>
      <c r="E290" s="39">
        <f>10*B288</f>
        <v>10</v>
      </c>
    </row>
    <row r="291" spans="1:5" thickBot="1" x14ac:dyDescent="0.3">
      <c r="A291" s="25" t="s">
        <v>391</v>
      </c>
      <c r="B291" s="14">
        <f>IFERROR(VLOOKUP(A291,Tabla3[],2,FALSE),0)</f>
        <v>19</v>
      </c>
      <c r="C291" s="26" t="s">
        <v>131</v>
      </c>
      <c r="D291" s="26" t="s">
        <v>116</v>
      </c>
      <c r="E291" s="26">
        <f>B291*75</f>
        <v>1425</v>
      </c>
    </row>
    <row r="292" spans="1:5" thickBot="1" x14ac:dyDescent="0.3">
      <c r="A292" s="34"/>
      <c r="B292" s="14">
        <f>IFERROR(VLOOKUP(A292,Tabla3[],2,FALSE),0)</f>
        <v>0</v>
      </c>
      <c r="C292" s="35" t="s">
        <v>131</v>
      </c>
      <c r="D292" s="35" t="s">
        <v>106</v>
      </c>
      <c r="E292" s="35">
        <f>B291*20</f>
        <v>380</v>
      </c>
    </row>
    <row r="293" spans="1:5" thickBot="1" x14ac:dyDescent="0.3">
      <c r="A293" s="34"/>
      <c r="B293" s="14">
        <f>IFERROR(VLOOKUP(A293,Tabla3[],2,FALSE),0)</f>
        <v>0</v>
      </c>
      <c r="C293" s="35" t="s">
        <v>133</v>
      </c>
      <c r="D293" s="35" t="s">
        <v>51</v>
      </c>
      <c r="E293" s="35">
        <f>B291*40</f>
        <v>760</v>
      </c>
    </row>
    <row r="294" spans="1:5" thickBot="1" x14ac:dyDescent="0.3">
      <c r="A294" s="34"/>
      <c r="B294" s="14">
        <f>IFERROR(VLOOKUP(A294,Tabla3[],2,FALSE),0)</f>
        <v>0</v>
      </c>
      <c r="C294" s="35" t="s">
        <v>131</v>
      </c>
      <c r="D294" s="35" t="s">
        <v>128</v>
      </c>
      <c r="E294" s="35">
        <f>B291*10</f>
        <v>190</v>
      </c>
    </row>
    <row r="295" spans="1:5" thickBot="1" x14ac:dyDescent="0.3">
      <c r="A295" s="32"/>
      <c r="B295" s="14">
        <f>IFERROR(VLOOKUP(A295,Tabla3[],2,FALSE),0)</f>
        <v>0</v>
      </c>
      <c r="C295" s="33" t="s">
        <v>133</v>
      </c>
      <c r="D295" s="33" t="s">
        <v>105</v>
      </c>
      <c r="E295" s="33">
        <f>B291*150</f>
        <v>2850</v>
      </c>
    </row>
    <row r="296" spans="1:5" thickBot="1" x14ac:dyDescent="0.3">
      <c r="A296" s="15" t="s">
        <v>617</v>
      </c>
      <c r="B296" s="14">
        <f>IFERROR(VLOOKUP(A296,Tabla3[],2,FALSE),0)</f>
        <v>12</v>
      </c>
      <c r="C296" s="26" t="s">
        <v>131</v>
      </c>
      <c r="D296" s="26" t="s">
        <v>116</v>
      </c>
      <c r="E296" s="26">
        <f>B296*75</f>
        <v>900</v>
      </c>
    </row>
    <row r="297" spans="1:5" thickBot="1" x14ac:dyDescent="0.3">
      <c r="A297" s="34"/>
      <c r="B297" s="14">
        <f>IFERROR(VLOOKUP(A297,Tabla3[],2,FALSE),0)</f>
        <v>0</v>
      </c>
      <c r="C297" s="35" t="s">
        <v>133</v>
      </c>
      <c r="D297" s="35" t="s">
        <v>106</v>
      </c>
      <c r="E297" s="35">
        <f>B296*20</f>
        <v>240</v>
      </c>
    </row>
    <row r="298" spans="1:5" thickBot="1" x14ac:dyDescent="0.3">
      <c r="A298" s="34"/>
      <c r="B298" s="14">
        <f>IFERROR(VLOOKUP(A298,Tabla3[],2,FALSE),0)</f>
        <v>0</v>
      </c>
      <c r="C298" s="35" t="s">
        <v>131</v>
      </c>
      <c r="D298" s="35" t="s">
        <v>128</v>
      </c>
      <c r="E298" s="35">
        <f>B296*10</f>
        <v>120</v>
      </c>
    </row>
    <row r="299" spans="1:5" thickBot="1" x14ac:dyDescent="0.3">
      <c r="A299" s="34"/>
      <c r="B299" s="14">
        <f>IFERROR(VLOOKUP(A299,Tabla3[],2,FALSE),0)</f>
        <v>0</v>
      </c>
      <c r="C299" s="35" t="s">
        <v>133</v>
      </c>
      <c r="D299" s="35" t="s">
        <v>51</v>
      </c>
      <c r="E299" s="35">
        <f>B296*40</f>
        <v>480</v>
      </c>
    </row>
    <row r="300" spans="1:5" thickBot="1" x14ac:dyDescent="0.3">
      <c r="A300" s="32"/>
      <c r="B300" s="14">
        <f>IFERROR(VLOOKUP(A300,Tabla3[],2,FALSE),0)</f>
        <v>0</v>
      </c>
      <c r="C300" s="33" t="s">
        <v>133</v>
      </c>
      <c r="D300" s="33" t="s">
        <v>582</v>
      </c>
      <c r="E300" s="33">
        <f>B296*150</f>
        <v>1800</v>
      </c>
    </row>
    <row r="301" spans="1:5" thickBot="1" x14ac:dyDescent="0.3">
      <c r="A301" s="25" t="s">
        <v>142</v>
      </c>
      <c r="B301" s="14">
        <f>IFERROR(VLOOKUP(A301,Tabla3[],2,FALSE),0)</f>
        <v>6</v>
      </c>
      <c r="C301" s="26" t="s">
        <v>131</v>
      </c>
      <c r="D301" s="26" t="s">
        <v>116</v>
      </c>
      <c r="E301" s="26">
        <f>B301*75</f>
        <v>450</v>
      </c>
    </row>
    <row r="302" spans="1:5" thickBot="1" x14ac:dyDescent="0.3">
      <c r="A302" s="34"/>
      <c r="B302" s="14">
        <f>IFERROR(VLOOKUP(A302,Tabla3[],2,FALSE),0)</f>
        <v>0</v>
      </c>
      <c r="C302" s="35" t="s">
        <v>133</v>
      </c>
      <c r="D302" s="35" t="s">
        <v>106</v>
      </c>
      <c r="E302" s="35">
        <f>B301*20</f>
        <v>120</v>
      </c>
    </row>
    <row r="303" spans="1:5" thickBot="1" x14ac:dyDescent="0.3">
      <c r="A303" s="34"/>
      <c r="B303" s="14">
        <f>IFERROR(VLOOKUP(A303,Tabla3[],2,FALSE),0)</f>
        <v>0</v>
      </c>
      <c r="C303" s="35" t="s">
        <v>131</v>
      </c>
      <c r="D303" s="35" t="s">
        <v>128</v>
      </c>
      <c r="E303" s="35">
        <f>B301*10</f>
        <v>60</v>
      </c>
    </row>
    <row r="304" spans="1:5" thickBot="1" x14ac:dyDescent="0.3">
      <c r="A304" s="34"/>
      <c r="B304" s="14">
        <f>IFERROR(VLOOKUP(A304,Tabla3[],2,FALSE),0)</f>
        <v>0</v>
      </c>
      <c r="C304" s="35" t="s">
        <v>133</v>
      </c>
      <c r="D304" s="35" t="s">
        <v>51</v>
      </c>
      <c r="E304" s="35">
        <f>B301*40</f>
        <v>240</v>
      </c>
    </row>
    <row r="305" spans="1:5" thickBot="1" x14ac:dyDescent="0.3">
      <c r="A305" s="32"/>
      <c r="B305" s="14">
        <f>IFERROR(VLOOKUP(A305,Tabla3[],2,FALSE),0)</f>
        <v>0</v>
      </c>
      <c r="C305" s="33" t="s">
        <v>133</v>
      </c>
      <c r="D305" s="33" t="s">
        <v>107</v>
      </c>
      <c r="E305" s="33">
        <f>B301*150</f>
        <v>900</v>
      </c>
    </row>
    <row r="306" spans="1:5" thickBot="1" x14ac:dyDescent="0.3">
      <c r="A306" s="25" t="s">
        <v>576</v>
      </c>
      <c r="B306" s="14">
        <f>IFERROR(VLOOKUP(A306,Tabla3[],2,FALSE),0)</f>
        <v>9</v>
      </c>
      <c r="C306" s="26" t="s">
        <v>131</v>
      </c>
      <c r="D306" s="26" t="s">
        <v>123</v>
      </c>
      <c r="E306" s="26">
        <f>B306*75</f>
        <v>675</v>
      </c>
    </row>
    <row r="307" spans="1:5" thickBot="1" x14ac:dyDescent="0.3">
      <c r="A307" s="34"/>
      <c r="B307" s="14">
        <f>IFERROR(VLOOKUP(A307,Tabla3[],2,FALSE),0)</f>
        <v>0</v>
      </c>
      <c r="C307" s="35" t="s">
        <v>131</v>
      </c>
      <c r="D307" s="35" t="s">
        <v>106</v>
      </c>
      <c r="E307" s="35">
        <f>B306*50</f>
        <v>450</v>
      </c>
    </row>
    <row r="308" spans="1:5" thickBot="1" x14ac:dyDescent="0.3">
      <c r="A308" s="34"/>
      <c r="B308" s="14">
        <f>IFERROR(VLOOKUP(A308,Tabla3[],2,FALSE),0)</f>
        <v>0</v>
      </c>
      <c r="C308" s="35" t="s">
        <v>131</v>
      </c>
      <c r="D308" s="35" t="s">
        <v>128</v>
      </c>
      <c r="E308" s="35">
        <f>B306*10</f>
        <v>90</v>
      </c>
    </row>
    <row r="309" spans="1:5" thickBot="1" x14ac:dyDescent="0.3">
      <c r="A309" s="32"/>
      <c r="B309" s="14">
        <f>IFERROR(VLOOKUP(A309,Tabla3[],2,FALSE),0)</f>
        <v>0</v>
      </c>
      <c r="C309" s="33" t="s">
        <v>133</v>
      </c>
      <c r="D309" s="33" t="s">
        <v>51</v>
      </c>
      <c r="E309" s="33">
        <f>B306*40</f>
        <v>360</v>
      </c>
    </row>
    <row r="310" spans="1:5" thickBot="1" x14ac:dyDescent="0.3">
      <c r="A310" s="25" t="s">
        <v>392</v>
      </c>
      <c r="B310" s="14">
        <f>IFERROR(VLOOKUP(A310,Tabla3[],2,FALSE),0)</f>
        <v>3</v>
      </c>
      <c r="C310" s="37"/>
      <c r="D310" s="37" t="s">
        <v>123</v>
      </c>
      <c r="E310" s="37">
        <f>75*B310</f>
        <v>225</v>
      </c>
    </row>
    <row r="311" spans="1:5" thickBot="1" x14ac:dyDescent="0.3">
      <c r="A311" s="34"/>
      <c r="B311" s="14">
        <f>IFERROR(VLOOKUP(A311,Tabla3[],2,FALSE),0)</f>
        <v>0</v>
      </c>
      <c r="C311" s="38"/>
      <c r="D311" s="38" t="s">
        <v>106</v>
      </c>
      <c r="E311" s="38">
        <f>30*B310</f>
        <v>90</v>
      </c>
    </row>
    <row r="312" spans="1:5" thickBot="1" x14ac:dyDescent="0.3">
      <c r="A312" s="34"/>
      <c r="B312" s="14">
        <f>IFERROR(VLOOKUP(A312,Tabla3[],2,FALSE),0)</f>
        <v>0</v>
      </c>
      <c r="C312" s="38"/>
      <c r="D312" s="38" t="s">
        <v>128</v>
      </c>
      <c r="E312" s="38">
        <f>10*B310</f>
        <v>30</v>
      </c>
    </row>
    <row r="313" spans="1:5" thickBot="1" x14ac:dyDescent="0.3">
      <c r="A313" s="34"/>
      <c r="B313" s="14">
        <f>IFERROR(VLOOKUP(A313,Tabla3[],2,FALSE),0)</f>
        <v>0</v>
      </c>
      <c r="C313" s="38"/>
      <c r="D313" s="38" t="s">
        <v>51</v>
      </c>
      <c r="E313" s="38">
        <f>10*B310</f>
        <v>30</v>
      </c>
    </row>
    <row r="314" spans="1:5" thickBot="1" x14ac:dyDescent="0.3">
      <c r="A314" s="32"/>
      <c r="B314" s="14">
        <f>IFERROR(VLOOKUP(A314,Tabla3[],2,FALSE),0)</f>
        <v>0</v>
      </c>
      <c r="C314" s="39"/>
      <c r="D314" s="39" t="s">
        <v>582</v>
      </c>
      <c r="E314" s="39">
        <f>30*B310</f>
        <v>90</v>
      </c>
    </row>
    <row r="315" spans="1:5" thickBot="1" x14ac:dyDescent="0.3">
      <c r="A315" s="25" t="s">
        <v>393</v>
      </c>
      <c r="B315" s="14">
        <f>IFERROR(VLOOKUP(A315,Tabla3[],2,FALSE),0)</f>
        <v>0</v>
      </c>
      <c r="C315" s="26" t="s">
        <v>131</v>
      </c>
      <c r="D315" s="26" t="s">
        <v>123</v>
      </c>
      <c r="E315" s="26">
        <f>B315*75</f>
        <v>0</v>
      </c>
    </row>
    <row r="316" spans="1:5" thickBot="1" x14ac:dyDescent="0.3">
      <c r="A316" s="34"/>
      <c r="B316" s="14">
        <f>IFERROR(VLOOKUP(A316,Tabla3[],2,FALSE),0)</f>
        <v>0</v>
      </c>
      <c r="C316" s="35" t="s">
        <v>131</v>
      </c>
      <c r="D316" s="35" t="s">
        <v>106</v>
      </c>
      <c r="E316" s="35">
        <f>B315*30</f>
        <v>0</v>
      </c>
    </row>
    <row r="317" spans="1:5" thickBot="1" x14ac:dyDescent="0.3">
      <c r="A317" s="34"/>
      <c r="B317" s="14">
        <f>IFERROR(VLOOKUP(A317,Tabla3[],2,FALSE),0)</f>
        <v>0</v>
      </c>
      <c r="C317" s="35" t="s">
        <v>131</v>
      </c>
      <c r="D317" s="35" t="s">
        <v>128</v>
      </c>
      <c r="E317" s="35">
        <f>B315*10</f>
        <v>0</v>
      </c>
    </row>
    <row r="318" spans="1:5" thickBot="1" x14ac:dyDescent="0.3">
      <c r="A318" s="34"/>
      <c r="B318" s="14">
        <f>IFERROR(VLOOKUP(A318,Tabla3[],2,FALSE),0)</f>
        <v>0</v>
      </c>
      <c r="C318" s="35" t="s">
        <v>133</v>
      </c>
      <c r="D318" s="35" t="s">
        <v>51</v>
      </c>
      <c r="E318" s="35">
        <f>B315*40</f>
        <v>0</v>
      </c>
    </row>
    <row r="319" spans="1:5" thickBot="1" x14ac:dyDescent="0.3">
      <c r="A319" s="32"/>
      <c r="B319" s="14">
        <f>IFERROR(VLOOKUP(A319,Tabla3[],2,FALSE),0)</f>
        <v>0</v>
      </c>
      <c r="C319" s="39"/>
      <c r="D319" s="33" t="s">
        <v>105</v>
      </c>
      <c r="E319" s="39">
        <f>B315*30</f>
        <v>0</v>
      </c>
    </row>
    <row r="320" spans="1:5" thickBot="1" x14ac:dyDescent="0.3">
      <c r="A320" s="112" t="s">
        <v>655</v>
      </c>
      <c r="B320" s="14">
        <f>IFERROR(VLOOKUP(A320,Tabla3[],2,FALSE),0)</f>
        <v>4</v>
      </c>
      <c r="C320" s="26" t="s">
        <v>131</v>
      </c>
      <c r="D320" s="26" t="s">
        <v>123</v>
      </c>
      <c r="E320" s="26">
        <f>B320*75</f>
        <v>300</v>
      </c>
    </row>
    <row r="321" spans="1:5" thickBot="1" x14ac:dyDescent="0.3">
      <c r="A321" s="34"/>
      <c r="B321" s="14">
        <f>IFERROR(VLOOKUP(A321,Tabla3[],2,FALSE),0)</f>
        <v>0</v>
      </c>
      <c r="C321" s="35" t="s">
        <v>131</v>
      </c>
      <c r="D321" s="35" t="s">
        <v>106</v>
      </c>
      <c r="E321" s="35">
        <f>B320*30</f>
        <v>120</v>
      </c>
    </row>
    <row r="322" spans="1:5" thickBot="1" x14ac:dyDescent="0.3">
      <c r="A322" s="34"/>
      <c r="B322" s="14">
        <f>IFERROR(VLOOKUP(A322,Tabla3[],2,FALSE),0)</f>
        <v>0</v>
      </c>
      <c r="C322" s="35" t="s">
        <v>131</v>
      </c>
      <c r="D322" s="35" t="s">
        <v>128</v>
      </c>
      <c r="E322" s="35">
        <f>B320*10</f>
        <v>40</v>
      </c>
    </row>
    <row r="323" spans="1:5" thickBot="1" x14ac:dyDescent="0.3">
      <c r="A323" s="34"/>
      <c r="B323" s="14">
        <f>IFERROR(VLOOKUP(A323,Tabla3[],2,FALSE),0)</f>
        <v>0</v>
      </c>
      <c r="C323" s="35" t="s">
        <v>133</v>
      </c>
      <c r="D323" s="35" t="s">
        <v>51</v>
      </c>
      <c r="E323" s="35">
        <f>B320*40</f>
        <v>160</v>
      </c>
    </row>
    <row r="324" spans="1:5" thickBot="1" x14ac:dyDescent="0.3">
      <c r="A324" s="32"/>
      <c r="B324" s="14">
        <f>IFERROR(VLOOKUP(A324,Tabla3[],2,FALSE),0)</f>
        <v>0</v>
      </c>
      <c r="C324" s="39"/>
      <c r="D324" s="33" t="s">
        <v>67</v>
      </c>
      <c r="E324" s="39">
        <f>B320*30</f>
        <v>120</v>
      </c>
    </row>
    <row r="325" spans="1:5" thickBot="1" x14ac:dyDescent="0.3">
      <c r="A325" s="25" t="s">
        <v>322</v>
      </c>
      <c r="B325" s="14">
        <f>IFERROR(VLOOKUP(A325,Tabla3[],2,FALSE),0)</f>
        <v>17</v>
      </c>
      <c r="C325" s="26"/>
      <c r="D325" s="26" t="s">
        <v>116</v>
      </c>
      <c r="E325" s="26">
        <f>B325*75</f>
        <v>1275</v>
      </c>
    </row>
    <row r="326" spans="1:5" thickBot="1" x14ac:dyDescent="0.3">
      <c r="A326" s="34"/>
      <c r="B326" s="14">
        <f>IFERROR(VLOOKUP(A326,Tabla3[],2,FALSE),0)</f>
        <v>0</v>
      </c>
      <c r="C326" s="35"/>
      <c r="D326" s="35" t="s">
        <v>134</v>
      </c>
      <c r="E326" s="35">
        <f>B325*10</f>
        <v>170</v>
      </c>
    </row>
    <row r="327" spans="1:5" thickBot="1" x14ac:dyDescent="0.3">
      <c r="A327" s="34"/>
      <c r="B327" s="14">
        <f>IFERROR(VLOOKUP(A327,Tabla3[],2,FALSE),0)</f>
        <v>0</v>
      </c>
      <c r="C327" s="35"/>
      <c r="D327" s="35" t="s">
        <v>90</v>
      </c>
      <c r="E327" s="35">
        <f>B325*75</f>
        <v>1275</v>
      </c>
    </row>
    <row r="328" spans="1:5" thickBot="1" x14ac:dyDescent="0.3">
      <c r="A328" s="34"/>
      <c r="B328" s="14">
        <f>IFERROR(VLOOKUP(A328,Tabla3[],2,FALSE),0)</f>
        <v>0</v>
      </c>
      <c r="C328" s="35"/>
      <c r="D328" s="35" t="s">
        <v>51</v>
      </c>
      <c r="E328" s="35">
        <f>B325*40</f>
        <v>680</v>
      </c>
    </row>
    <row r="329" spans="1:5" thickBot="1" x14ac:dyDescent="0.3">
      <c r="A329" s="32"/>
      <c r="B329" s="14">
        <f>IFERROR(VLOOKUP(A329,Tabla3[],2,FALSE),0)</f>
        <v>0</v>
      </c>
      <c r="C329" s="33"/>
      <c r="D329" s="33" t="s">
        <v>16</v>
      </c>
      <c r="E329" s="33">
        <f>B325*100</f>
        <v>1700</v>
      </c>
    </row>
    <row r="330" spans="1:5" thickBot="1" x14ac:dyDescent="0.3">
      <c r="A330" s="25" t="s">
        <v>144</v>
      </c>
      <c r="B330" s="14">
        <f>IFERROR(VLOOKUP(A330,Tabla3[],2,FALSE),0)</f>
        <v>3</v>
      </c>
      <c r="C330" s="26" t="s">
        <v>131</v>
      </c>
      <c r="D330" s="26" t="s">
        <v>116</v>
      </c>
      <c r="E330" s="26">
        <f>B330*75</f>
        <v>225</v>
      </c>
    </row>
    <row r="331" spans="1:5" thickBot="1" x14ac:dyDescent="0.3">
      <c r="A331" s="34"/>
      <c r="B331" s="14">
        <f>IFERROR(VLOOKUP(A331,Tabla3[],2,FALSE),0)</f>
        <v>0</v>
      </c>
      <c r="C331" s="35" t="s">
        <v>131</v>
      </c>
      <c r="D331" s="35" t="s">
        <v>134</v>
      </c>
      <c r="E331" s="35">
        <f>B330*10</f>
        <v>30</v>
      </c>
    </row>
    <row r="332" spans="1:5" thickBot="1" x14ac:dyDescent="0.3">
      <c r="A332" s="34"/>
      <c r="B332" s="14">
        <f>IFERROR(VLOOKUP(A332,Tabla3[],2,FALSE),0)</f>
        <v>0</v>
      </c>
      <c r="C332" s="35" t="s">
        <v>133</v>
      </c>
      <c r="D332" s="35" t="s">
        <v>51</v>
      </c>
      <c r="E332" s="35">
        <f>B330*40</f>
        <v>120</v>
      </c>
    </row>
    <row r="333" spans="1:5" thickBot="1" x14ac:dyDescent="0.3">
      <c r="A333" s="34"/>
      <c r="B333" s="14">
        <f>IFERROR(VLOOKUP(A333,Tabla3[],2,FALSE),0)</f>
        <v>0</v>
      </c>
      <c r="C333" s="35" t="s">
        <v>132</v>
      </c>
      <c r="D333" s="35" t="s">
        <v>16</v>
      </c>
      <c r="E333" s="35">
        <f>B330*100</f>
        <v>300</v>
      </c>
    </row>
    <row r="334" spans="1:5" thickBot="1" x14ac:dyDescent="0.3">
      <c r="A334" s="32"/>
      <c r="B334" s="14">
        <f>IFERROR(VLOOKUP(A334,Tabla3[],2,FALSE),0)</f>
        <v>0</v>
      </c>
      <c r="C334" s="39" t="s">
        <v>131</v>
      </c>
      <c r="D334" s="33" t="s">
        <v>107</v>
      </c>
      <c r="E334" s="39">
        <f>B330*50</f>
        <v>150</v>
      </c>
    </row>
    <row r="335" spans="1:5" thickBot="1" x14ac:dyDescent="0.3">
      <c r="A335" s="25" t="s">
        <v>145</v>
      </c>
      <c r="B335" s="14">
        <f>IFERROR(VLOOKUP(A335,Tabla3[],2,FALSE),0)</f>
        <v>2</v>
      </c>
      <c r="C335" s="26" t="s">
        <v>131</v>
      </c>
      <c r="D335" s="26" t="s">
        <v>116</v>
      </c>
      <c r="E335" s="26">
        <f>B335*75</f>
        <v>150</v>
      </c>
    </row>
    <row r="336" spans="1:5" thickBot="1" x14ac:dyDescent="0.3">
      <c r="A336" s="34"/>
      <c r="B336" s="14">
        <f>IFERROR(VLOOKUP(A336,Tabla3[],2,FALSE),0)</f>
        <v>0</v>
      </c>
      <c r="C336" s="35" t="s">
        <v>131</v>
      </c>
      <c r="D336" s="35" t="s">
        <v>89</v>
      </c>
      <c r="E336" s="35">
        <f>B335*50</f>
        <v>100</v>
      </c>
    </row>
    <row r="337" spans="1:5" thickBot="1" x14ac:dyDescent="0.3">
      <c r="A337" s="34"/>
      <c r="B337" s="14">
        <f>IFERROR(VLOOKUP(A337,Tabla3[],2,FALSE),0)</f>
        <v>0</v>
      </c>
      <c r="C337" s="35" t="s">
        <v>131</v>
      </c>
      <c r="D337" s="35" t="s">
        <v>90</v>
      </c>
      <c r="E337" s="35">
        <f>B335*50</f>
        <v>100</v>
      </c>
    </row>
    <row r="338" spans="1:5" thickBot="1" x14ac:dyDescent="0.3">
      <c r="A338" s="34"/>
      <c r="B338" s="14">
        <f>IFERROR(VLOOKUP(A338,Tabla3[],2,FALSE),0)</f>
        <v>0</v>
      </c>
      <c r="C338" s="35" t="s">
        <v>133</v>
      </c>
      <c r="D338" s="35" t="s">
        <v>107</v>
      </c>
      <c r="E338" s="35">
        <f>B335*50</f>
        <v>100</v>
      </c>
    </row>
    <row r="339" spans="1:5" thickBot="1" x14ac:dyDescent="0.3">
      <c r="A339" s="32"/>
      <c r="B339" s="14">
        <f>IFERROR(VLOOKUP(A339,Tabla3[],2,FALSE),0)</f>
        <v>0</v>
      </c>
      <c r="C339" s="33" t="s">
        <v>133</v>
      </c>
      <c r="D339" s="33" t="s">
        <v>51</v>
      </c>
      <c r="E339" s="33">
        <f>B335*20</f>
        <v>40</v>
      </c>
    </row>
    <row r="340" spans="1:5" thickBot="1" x14ac:dyDescent="0.3">
      <c r="A340" s="25" t="s">
        <v>146</v>
      </c>
      <c r="B340" s="14">
        <f>IFERROR(VLOOKUP(A340,Tabla3[],2,FALSE),0)</f>
        <v>11</v>
      </c>
      <c r="C340" s="26" t="s">
        <v>131</v>
      </c>
      <c r="D340" s="26" t="s">
        <v>106</v>
      </c>
      <c r="E340" s="26">
        <f>B340*20</f>
        <v>220</v>
      </c>
    </row>
    <row r="341" spans="1:5" thickBot="1" x14ac:dyDescent="0.3">
      <c r="A341" s="34"/>
      <c r="B341" s="14">
        <f>IFERROR(VLOOKUP(A341,Tabla3[],2,FALSE),0)</f>
        <v>0</v>
      </c>
      <c r="C341" s="35" t="s">
        <v>133</v>
      </c>
      <c r="D341" s="35" t="s">
        <v>51</v>
      </c>
      <c r="E341" s="35">
        <f>B340*20</f>
        <v>220</v>
      </c>
    </row>
    <row r="342" spans="1:5" thickBot="1" x14ac:dyDescent="0.3">
      <c r="A342" s="34"/>
      <c r="B342" s="14">
        <f>IFERROR(VLOOKUP(A342,Tabla3[],2,FALSE),0)</f>
        <v>0</v>
      </c>
      <c r="C342" s="35" t="s">
        <v>131</v>
      </c>
      <c r="D342" s="35" t="s">
        <v>129</v>
      </c>
      <c r="E342" s="35">
        <f>B340*75</f>
        <v>825</v>
      </c>
    </row>
    <row r="343" spans="1:5" thickBot="1" x14ac:dyDescent="0.3">
      <c r="A343" s="34"/>
      <c r="B343" s="14">
        <f>IFERROR(VLOOKUP(A343,Tabla3[],2,FALSE),0)</f>
        <v>0</v>
      </c>
      <c r="C343" s="35" t="s">
        <v>131</v>
      </c>
      <c r="D343" s="35" t="s">
        <v>90</v>
      </c>
      <c r="E343" s="35">
        <f>B340*50</f>
        <v>550</v>
      </c>
    </row>
    <row r="344" spans="1:5" thickBot="1" x14ac:dyDescent="0.3">
      <c r="A344" s="32"/>
      <c r="B344" s="14">
        <f>IFERROR(VLOOKUP(A344,Tabla3[],2,FALSE),0)</f>
        <v>0</v>
      </c>
      <c r="C344" s="33" t="s">
        <v>131</v>
      </c>
      <c r="D344" s="33" t="s">
        <v>67</v>
      </c>
      <c r="E344" s="33">
        <f>B340*35</f>
        <v>385</v>
      </c>
    </row>
    <row r="345" spans="1:5" thickBot="1" x14ac:dyDescent="0.3">
      <c r="A345" s="25" t="s">
        <v>147</v>
      </c>
      <c r="B345" s="14">
        <f>IFERROR(VLOOKUP(A345,Tabla3[],2,FALSE),0)</f>
        <v>4</v>
      </c>
      <c r="C345" s="26" t="s">
        <v>131</v>
      </c>
      <c r="D345" s="26" t="s">
        <v>656</v>
      </c>
      <c r="E345" s="26">
        <f>B345*20</f>
        <v>80</v>
      </c>
    </row>
    <row r="346" spans="1:5" thickBot="1" x14ac:dyDescent="0.3">
      <c r="A346" s="34"/>
      <c r="B346" s="14">
        <f>IFERROR(VLOOKUP(A346,Tabla3[],2,FALSE),0)</f>
        <v>0</v>
      </c>
      <c r="C346" s="35" t="s">
        <v>131</v>
      </c>
      <c r="D346" s="35" t="s">
        <v>90</v>
      </c>
      <c r="E346" s="35">
        <f>B345*50</f>
        <v>200</v>
      </c>
    </row>
    <row r="347" spans="1:5" thickBot="1" x14ac:dyDescent="0.3">
      <c r="A347" s="34"/>
      <c r="B347" s="14">
        <f>IFERROR(VLOOKUP(A347,Tabla3[],2,FALSE),0)</f>
        <v>0</v>
      </c>
      <c r="C347" s="35" t="s">
        <v>131</v>
      </c>
      <c r="D347" s="35" t="s">
        <v>116</v>
      </c>
      <c r="E347" s="35">
        <f>B345*75</f>
        <v>300</v>
      </c>
    </row>
    <row r="348" spans="1:5" thickBot="1" x14ac:dyDescent="0.3">
      <c r="A348" s="32"/>
      <c r="B348" s="14">
        <f>IFERROR(VLOOKUP(A348,Tabla3[],2,FALSE),0)</f>
        <v>0</v>
      </c>
      <c r="C348" s="33" t="s">
        <v>131</v>
      </c>
      <c r="D348" s="33" t="s">
        <v>67</v>
      </c>
      <c r="E348" s="33">
        <f>B345*35</f>
        <v>140</v>
      </c>
    </row>
    <row r="349" spans="1:5" thickBot="1" x14ac:dyDescent="0.3">
      <c r="A349" s="25" t="s">
        <v>148</v>
      </c>
      <c r="B349" s="14">
        <f>IFERROR(VLOOKUP(A349,Tabla3[],2,FALSE),0)</f>
        <v>10</v>
      </c>
      <c r="C349" s="26" t="s">
        <v>131</v>
      </c>
      <c r="D349" s="26" t="s">
        <v>104</v>
      </c>
      <c r="E349" s="26">
        <f>B349*30</f>
        <v>300</v>
      </c>
    </row>
    <row r="350" spans="1:5" thickBot="1" x14ac:dyDescent="0.3">
      <c r="A350" s="34"/>
      <c r="B350" s="14">
        <f>IFERROR(VLOOKUP(A350,Tabla3[],2,FALSE),0)</f>
        <v>0</v>
      </c>
      <c r="C350" s="35" t="s">
        <v>131</v>
      </c>
      <c r="D350" s="35" t="s">
        <v>129</v>
      </c>
      <c r="E350" s="35">
        <f>B349*75</f>
        <v>750</v>
      </c>
    </row>
    <row r="351" spans="1:5" thickBot="1" x14ac:dyDescent="0.3">
      <c r="A351" s="34"/>
      <c r="B351" s="14">
        <f>IFERROR(VLOOKUP(A351,Tabla3[],2,FALSE),0)</f>
        <v>0</v>
      </c>
      <c r="C351" s="35" t="s">
        <v>131</v>
      </c>
      <c r="D351" s="35" t="s">
        <v>128</v>
      </c>
      <c r="E351" s="35">
        <f>B349*20</f>
        <v>200</v>
      </c>
    </row>
    <row r="352" spans="1:5" thickBot="1" x14ac:dyDescent="0.3">
      <c r="A352" s="34"/>
      <c r="B352" s="14">
        <f>IFERROR(VLOOKUP(A352,Tabla3[],2,FALSE),0)</f>
        <v>0</v>
      </c>
      <c r="C352" s="35" t="s">
        <v>131</v>
      </c>
      <c r="D352" s="35" t="s">
        <v>106</v>
      </c>
      <c r="E352" s="35">
        <f>B349*20</f>
        <v>200</v>
      </c>
    </row>
    <row r="353" spans="1:5" thickBot="1" x14ac:dyDescent="0.3">
      <c r="A353" s="32"/>
      <c r="B353" s="14">
        <f>IFERROR(VLOOKUP(A353,Tabla3[],2,FALSE),0)</f>
        <v>0</v>
      </c>
      <c r="C353" s="33" t="s">
        <v>133</v>
      </c>
      <c r="D353" s="33" t="s">
        <v>51</v>
      </c>
      <c r="E353" s="33">
        <f>B349*20</f>
        <v>200</v>
      </c>
    </row>
    <row r="354" spans="1:5" thickBot="1" x14ac:dyDescent="0.3">
      <c r="A354" s="25" t="s">
        <v>224</v>
      </c>
      <c r="B354" s="14">
        <f>IFERROR(VLOOKUP(A354,Tabla3[],2,FALSE),0)</f>
        <v>26</v>
      </c>
      <c r="C354" s="37"/>
      <c r="D354" s="26" t="s">
        <v>637</v>
      </c>
      <c r="E354" s="37">
        <f>B354</f>
        <v>26</v>
      </c>
    </row>
    <row r="355" spans="1:5" thickBot="1" x14ac:dyDescent="0.3">
      <c r="A355" s="34"/>
      <c r="B355" s="14">
        <f>IFERROR(VLOOKUP(A355,Tabla3[],2,FALSE),0)</f>
        <v>0</v>
      </c>
      <c r="C355" s="38"/>
      <c r="D355" s="35" t="s">
        <v>122</v>
      </c>
      <c r="E355" s="38">
        <f>B354*75</f>
        <v>1950</v>
      </c>
    </row>
    <row r="356" spans="1:5" thickBot="1" x14ac:dyDescent="0.3">
      <c r="A356" s="34"/>
      <c r="B356" s="14">
        <f>IFERROR(VLOOKUP(A356,Tabla3[],2,FALSE),0)</f>
        <v>0</v>
      </c>
      <c r="C356" s="38"/>
      <c r="D356" s="35" t="s">
        <v>51</v>
      </c>
      <c r="E356" s="38">
        <f>B354*20</f>
        <v>520</v>
      </c>
    </row>
    <row r="357" spans="1:5" thickBot="1" x14ac:dyDescent="0.3">
      <c r="A357" s="34"/>
      <c r="B357" s="14">
        <f>IFERROR(VLOOKUP(A357,Tabla3[],2,FALSE),0)</f>
        <v>0</v>
      </c>
      <c r="C357" s="38"/>
      <c r="D357" s="35" t="s">
        <v>78</v>
      </c>
      <c r="E357" s="38">
        <f>B354</f>
        <v>26</v>
      </c>
    </row>
    <row r="358" spans="1:5" thickBot="1" x14ac:dyDescent="0.3">
      <c r="A358" s="32"/>
      <c r="B358" s="14">
        <f>IFERROR(VLOOKUP(A358,Tabla3[],2,FALSE),0)</f>
        <v>0</v>
      </c>
      <c r="C358" s="39"/>
      <c r="D358" s="33" t="s">
        <v>106</v>
      </c>
      <c r="E358" s="39">
        <f>B354*20</f>
        <v>520</v>
      </c>
    </row>
    <row r="359" spans="1:5" thickBot="1" x14ac:dyDescent="0.3">
      <c r="A359" s="25" t="s">
        <v>394</v>
      </c>
      <c r="B359" s="14">
        <f>IFERROR(VLOOKUP(A359,Tabla3[],2,FALSE),0)</f>
        <v>1</v>
      </c>
      <c r="C359" s="37"/>
      <c r="D359" s="26" t="s">
        <v>637</v>
      </c>
      <c r="E359" s="37">
        <f>B359</f>
        <v>1</v>
      </c>
    </row>
    <row r="360" spans="1:5" thickBot="1" x14ac:dyDescent="0.3">
      <c r="A360" s="34"/>
      <c r="B360" s="14">
        <f>IFERROR(VLOOKUP(A360,Tabla3[],2,FALSE),0)</f>
        <v>0</v>
      </c>
      <c r="C360" s="38"/>
      <c r="D360" s="35" t="s">
        <v>83</v>
      </c>
      <c r="E360" s="38">
        <f>B359*75</f>
        <v>75</v>
      </c>
    </row>
    <row r="361" spans="1:5" thickBot="1" x14ac:dyDescent="0.3">
      <c r="A361" s="34"/>
      <c r="B361" s="14">
        <f>IFERROR(VLOOKUP(A361,Tabla3[],2,FALSE),0)</f>
        <v>0</v>
      </c>
      <c r="C361" s="38"/>
      <c r="D361" s="35" t="s">
        <v>51</v>
      </c>
      <c r="E361" s="38">
        <f>B359*20</f>
        <v>20</v>
      </c>
    </row>
    <row r="362" spans="1:5" thickBot="1" x14ac:dyDescent="0.3">
      <c r="A362" s="34"/>
      <c r="B362" s="14">
        <f>IFERROR(VLOOKUP(A362,Tabla3[],2,FALSE),0)</f>
        <v>0</v>
      </c>
      <c r="C362" s="38"/>
      <c r="D362" s="35" t="s">
        <v>78</v>
      </c>
      <c r="E362" s="38">
        <f>B359</f>
        <v>1</v>
      </c>
    </row>
    <row r="363" spans="1:5" thickBot="1" x14ac:dyDescent="0.3">
      <c r="A363" s="32"/>
      <c r="B363" s="14">
        <f>IFERROR(VLOOKUP(A363,Tabla3[],2,FALSE),0)</f>
        <v>0</v>
      </c>
      <c r="C363" s="39"/>
      <c r="D363" s="33" t="s">
        <v>106</v>
      </c>
      <c r="E363" s="39">
        <f>B359*20</f>
        <v>20</v>
      </c>
    </row>
    <row r="364" spans="1:5" thickBot="1" x14ac:dyDescent="0.3">
      <c r="A364" s="25" t="s">
        <v>395</v>
      </c>
      <c r="B364" s="14">
        <f>IFERROR(VLOOKUP(A364,Tabla3[],2,FALSE),0)</f>
        <v>3</v>
      </c>
      <c r="C364" s="26"/>
      <c r="D364" s="26" t="s">
        <v>637</v>
      </c>
      <c r="E364" s="26">
        <f>B364</f>
        <v>3</v>
      </c>
    </row>
    <row r="365" spans="1:5" ht="15" customHeight="1" thickBot="1" x14ac:dyDescent="0.3">
      <c r="A365" s="34"/>
      <c r="B365" s="14">
        <f>IFERROR(VLOOKUP(A365,Tabla3[],2,FALSE),0)</f>
        <v>0</v>
      </c>
      <c r="C365" s="35"/>
      <c r="D365" s="35" t="s">
        <v>106</v>
      </c>
      <c r="E365" s="35">
        <f>B364*20</f>
        <v>60</v>
      </c>
    </row>
    <row r="366" spans="1:5" ht="15" customHeight="1" thickBot="1" x14ac:dyDescent="0.3">
      <c r="A366" s="34"/>
      <c r="B366" s="14">
        <f>IFERROR(VLOOKUP(A366,Tabla3[],2,FALSE),0)</f>
        <v>0</v>
      </c>
      <c r="C366" s="35"/>
      <c r="D366" s="35" t="s">
        <v>51</v>
      </c>
      <c r="E366" s="35">
        <f>B364*20</f>
        <v>60</v>
      </c>
    </row>
    <row r="367" spans="1:5" ht="15" customHeight="1" thickBot="1" x14ac:dyDescent="0.3">
      <c r="A367" s="34"/>
      <c r="B367" s="14">
        <f>IFERROR(VLOOKUP(A367,Tabla3[],2,FALSE),0)</f>
        <v>0</v>
      </c>
      <c r="C367" s="35"/>
      <c r="D367" s="35" t="s">
        <v>86</v>
      </c>
      <c r="E367" s="35">
        <f>B364*75</f>
        <v>225</v>
      </c>
    </row>
    <row r="368" spans="1:5" ht="15" customHeight="1" thickBot="1" x14ac:dyDescent="0.3">
      <c r="A368" s="27"/>
      <c r="B368" s="14">
        <f>IFERROR(VLOOKUP(A368,Tabla3[],2,FALSE),0)</f>
        <v>0</v>
      </c>
      <c r="C368" s="28"/>
      <c r="D368" s="28" t="s">
        <v>78</v>
      </c>
      <c r="E368" s="28">
        <f>B364</f>
        <v>3</v>
      </c>
    </row>
    <row r="369" spans="1:5" ht="15" customHeight="1" thickBot="1" x14ac:dyDescent="0.3">
      <c r="A369" s="30" t="s">
        <v>396</v>
      </c>
      <c r="B369" s="14">
        <f>IFERROR(VLOOKUP(A369,Tabla3[],2,FALSE),0)</f>
        <v>13</v>
      </c>
      <c r="C369" s="31"/>
      <c r="D369" s="31" t="s">
        <v>637</v>
      </c>
      <c r="E369" s="31">
        <f>B369</f>
        <v>13</v>
      </c>
    </row>
    <row r="370" spans="1:5" ht="15" customHeight="1" thickBot="1" x14ac:dyDescent="0.3">
      <c r="A370" s="34"/>
      <c r="B370" s="14">
        <f>IFERROR(VLOOKUP(A370,Tabla3[],2,FALSE),0)</f>
        <v>0</v>
      </c>
      <c r="C370" s="35"/>
      <c r="D370" s="35" t="s">
        <v>106</v>
      </c>
      <c r="E370" s="35">
        <f>B369*20</f>
        <v>260</v>
      </c>
    </row>
    <row r="371" spans="1:5" ht="15" customHeight="1" thickBot="1" x14ac:dyDescent="0.3">
      <c r="A371" s="34"/>
      <c r="B371" s="14">
        <f>IFERROR(VLOOKUP(A371,Tabla3[],2,FALSE),0)</f>
        <v>0</v>
      </c>
      <c r="C371" s="35"/>
      <c r="D371" s="35" t="s">
        <v>51</v>
      </c>
      <c r="E371" s="35">
        <f>B369*20</f>
        <v>260</v>
      </c>
    </row>
    <row r="372" spans="1:5" ht="15.75" customHeight="1" thickBot="1" x14ac:dyDescent="0.3">
      <c r="A372" s="34"/>
      <c r="B372" s="14">
        <f>IFERROR(VLOOKUP(A372,Tabla3[],2,FALSE),0)</f>
        <v>0</v>
      </c>
      <c r="C372" s="35"/>
      <c r="D372" s="35" t="s">
        <v>54</v>
      </c>
      <c r="E372" s="35">
        <f>B369*75</f>
        <v>975</v>
      </c>
    </row>
    <row r="373" spans="1:5" ht="15.75" customHeight="1" thickBot="1" x14ac:dyDescent="0.3">
      <c r="A373" s="32"/>
      <c r="B373" s="14">
        <f>IFERROR(VLOOKUP(A373,Tabla3[],2,FALSE),0)</f>
        <v>0</v>
      </c>
      <c r="C373" s="33"/>
      <c r="D373" s="33" t="s">
        <v>78</v>
      </c>
      <c r="E373" s="33">
        <f>B369</f>
        <v>13</v>
      </c>
    </row>
    <row r="374" spans="1:5" thickBot="1" x14ac:dyDescent="0.3">
      <c r="A374" s="25" t="s">
        <v>156</v>
      </c>
      <c r="B374" s="14">
        <f>IFERROR(VLOOKUP(A374,Tabla3[],2,FALSE),0)</f>
        <v>1</v>
      </c>
      <c r="C374" s="26" t="s">
        <v>131</v>
      </c>
      <c r="D374" s="26" t="s">
        <v>82</v>
      </c>
      <c r="E374" s="26">
        <f>B374*30</f>
        <v>30</v>
      </c>
    </row>
    <row r="375" spans="1:5" thickBot="1" x14ac:dyDescent="0.3">
      <c r="A375" s="34"/>
      <c r="B375" s="14">
        <f>IFERROR(VLOOKUP(A375,Tabla3[],2,FALSE),0)</f>
        <v>0</v>
      </c>
      <c r="C375" s="35" t="s">
        <v>131</v>
      </c>
      <c r="D375" s="35" t="s">
        <v>90</v>
      </c>
      <c r="E375" s="35">
        <f>B374*75</f>
        <v>75</v>
      </c>
    </row>
    <row r="376" spans="1:5" ht="15" customHeight="1" thickBot="1" x14ac:dyDescent="0.3">
      <c r="A376" s="34"/>
      <c r="B376" s="14">
        <f>IFERROR(VLOOKUP(A376,Tabla3[],2,FALSE),0)</f>
        <v>0</v>
      </c>
      <c r="C376" s="35" t="s">
        <v>131</v>
      </c>
      <c r="D376" s="35" t="s">
        <v>89</v>
      </c>
      <c r="E376" s="35">
        <f>B374*75</f>
        <v>75</v>
      </c>
    </row>
    <row r="377" spans="1:5" ht="15" customHeight="1" thickBot="1" x14ac:dyDescent="0.3">
      <c r="A377" s="32"/>
      <c r="B377" s="14">
        <f>IFERROR(VLOOKUP(A377,Tabla3[],2,FALSE),0)</f>
        <v>0</v>
      </c>
      <c r="C377" s="33" t="s">
        <v>131</v>
      </c>
      <c r="D377" s="33" t="s">
        <v>117</v>
      </c>
      <c r="E377" s="33">
        <f>B374*75</f>
        <v>75</v>
      </c>
    </row>
    <row r="378" spans="1:5" ht="15" customHeight="1" thickBot="1" x14ac:dyDescent="0.3">
      <c r="A378" s="25" t="s">
        <v>154</v>
      </c>
      <c r="B378" s="14">
        <f>IFERROR(VLOOKUP(A378,Tabla3[],2,FALSE),0)</f>
        <v>1</v>
      </c>
      <c r="C378" s="26" t="s">
        <v>131</v>
      </c>
      <c r="D378" s="200" t="s">
        <v>657</v>
      </c>
      <c r="E378" s="26">
        <f>B378*35</f>
        <v>35</v>
      </c>
    </row>
    <row r="379" spans="1:5" ht="15.75" customHeight="1" thickBot="1" x14ac:dyDescent="0.3">
      <c r="A379" s="34"/>
      <c r="B379" s="14">
        <f>IFERROR(VLOOKUP(A379,Tabla3[],2,FALSE),0)</f>
        <v>0</v>
      </c>
      <c r="C379" s="35" t="s">
        <v>131</v>
      </c>
      <c r="D379" s="35" t="s">
        <v>129</v>
      </c>
      <c r="E379" s="35">
        <f>B378*75</f>
        <v>75</v>
      </c>
    </row>
    <row r="380" spans="1:5" ht="15.75" customHeight="1" thickBot="1" x14ac:dyDescent="0.3">
      <c r="A380" s="32"/>
      <c r="B380" s="14">
        <f>IFERROR(VLOOKUP(A380,Tabla3[],2,FALSE),0)</f>
        <v>0</v>
      </c>
      <c r="C380" s="33" t="s">
        <v>132</v>
      </c>
      <c r="D380" s="33" t="s">
        <v>92</v>
      </c>
      <c r="E380" s="33">
        <f>B378</f>
        <v>1</v>
      </c>
    </row>
    <row r="381" spans="1:5" ht="15" customHeight="1" thickBot="1" x14ac:dyDescent="0.3">
      <c r="A381" s="25" t="s">
        <v>157</v>
      </c>
      <c r="B381" s="14">
        <f>IFERROR(VLOOKUP(A381,Tabla3[],2,FALSE),0)</f>
        <v>3</v>
      </c>
      <c r="C381" s="37" t="s">
        <v>158</v>
      </c>
      <c r="D381" s="26" t="s">
        <v>91</v>
      </c>
      <c r="E381" s="37">
        <f>B381*35</f>
        <v>105</v>
      </c>
    </row>
    <row r="382" spans="1:5" ht="15" customHeight="1" thickBot="1" x14ac:dyDescent="0.3">
      <c r="A382" s="34"/>
      <c r="B382" s="14">
        <f>IFERROR(VLOOKUP(A382,Tabla3[],2,FALSE),0)</f>
        <v>0</v>
      </c>
      <c r="C382" s="38" t="s">
        <v>131</v>
      </c>
      <c r="D382" s="35" t="s">
        <v>129</v>
      </c>
      <c r="E382" s="38">
        <f>B381*75</f>
        <v>225</v>
      </c>
    </row>
    <row r="383" spans="1:5" ht="15" customHeight="1" thickBot="1" x14ac:dyDescent="0.3">
      <c r="A383" s="34"/>
      <c r="B383" s="14">
        <f>IFERROR(VLOOKUP(A383,Tabla3[],2,FALSE),0)</f>
        <v>0</v>
      </c>
      <c r="C383" s="38" t="s">
        <v>132</v>
      </c>
      <c r="D383" s="35" t="s">
        <v>118</v>
      </c>
      <c r="E383" s="38">
        <f>B381*0.1</f>
        <v>0.30000000000000004</v>
      </c>
    </row>
    <row r="384" spans="1:5" ht="15.75" customHeight="1" thickBot="1" x14ac:dyDescent="0.3">
      <c r="A384" s="34"/>
      <c r="B384" s="14">
        <f>IFERROR(VLOOKUP(A384,Tabla3[],2,FALSE),0)</f>
        <v>0</v>
      </c>
      <c r="C384" s="38" t="s">
        <v>132</v>
      </c>
      <c r="D384" s="38" t="s">
        <v>103</v>
      </c>
      <c r="E384" s="38">
        <f>B381</f>
        <v>3</v>
      </c>
    </row>
    <row r="385" spans="1:5" ht="15.75" customHeight="1" thickBot="1" x14ac:dyDescent="0.3">
      <c r="A385" s="34"/>
      <c r="B385" s="14">
        <f>IFERROR(VLOOKUP(A385,Tabla3[],2,FALSE),0)</f>
        <v>0</v>
      </c>
      <c r="C385" s="38" t="s">
        <v>132</v>
      </c>
      <c r="D385" s="35" t="s">
        <v>42</v>
      </c>
      <c r="E385" s="38">
        <f>B381*0.1</f>
        <v>0.30000000000000004</v>
      </c>
    </row>
    <row r="386" spans="1:5" thickBot="1" x14ac:dyDescent="0.3">
      <c r="A386" s="32"/>
      <c r="B386" s="14">
        <f>IFERROR(VLOOKUP(A386,Tabla3[],2,FALSE),0)</f>
        <v>0</v>
      </c>
      <c r="C386" s="39" t="s">
        <v>131</v>
      </c>
      <c r="D386" s="33" t="s">
        <v>106</v>
      </c>
      <c r="E386" s="39">
        <f>B381*10</f>
        <v>30</v>
      </c>
    </row>
    <row r="387" spans="1:5" thickBot="1" x14ac:dyDescent="0.3">
      <c r="A387" s="25" t="s">
        <v>397</v>
      </c>
      <c r="B387" s="14">
        <f>IFERROR(VLOOKUP(A387,Tabla3[],2,FALSE),0)</f>
        <v>2</v>
      </c>
      <c r="C387" s="26"/>
      <c r="D387" s="37" t="s">
        <v>658</v>
      </c>
      <c r="E387" s="26">
        <f>B387*30</f>
        <v>60</v>
      </c>
    </row>
    <row r="388" spans="1:5" thickBot="1" x14ac:dyDescent="0.3">
      <c r="A388" s="34"/>
      <c r="B388" s="14">
        <f>IFERROR(VLOOKUP(A388,Tabla3[],2,FALSE),0)</f>
        <v>0</v>
      </c>
      <c r="C388" s="35"/>
      <c r="D388" s="35" t="s">
        <v>130</v>
      </c>
      <c r="E388" s="35">
        <f>B387*150</f>
        <v>300</v>
      </c>
    </row>
    <row r="389" spans="1:5" thickBot="1" x14ac:dyDescent="0.3">
      <c r="A389" s="34"/>
      <c r="B389" s="14">
        <f>IFERROR(VLOOKUP(A389,Tabla3[],2,FALSE),0)</f>
        <v>0</v>
      </c>
      <c r="C389" s="35"/>
      <c r="D389" s="35" t="s">
        <v>210</v>
      </c>
      <c r="E389" s="35">
        <f>B387*4</f>
        <v>8</v>
      </c>
    </row>
    <row r="390" spans="1:5" thickBot="1" x14ac:dyDescent="0.3">
      <c r="A390" s="32"/>
      <c r="B390" s="14">
        <f>IFERROR(VLOOKUP(A390,Tabla3[],2,FALSE),0)</f>
        <v>0</v>
      </c>
      <c r="C390" s="33"/>
      <c r="D390" s="33" t="s">
        <v>92</v>
      </c>
      <c r="E390" s="33">
        <f>B387*2</f>
        <v>4</v>
      </c>
    </row>
    <row r="391" spans="1:5" ht="22.5" customHeight="1" thickBot="1" x14ac:dyDescent="0.3">
      <c r="A391" s="25" t="s">
        <v>211</v>
      </c>
      <c r="B391" s="14">
        <f>IFERROR(VLOOKUP(A391,Tabla3[],2,FALSE),0)</f>
        <v>9</v>
      </c>
      <c r="C391" s="37"/>
      <c r="D391" s="26" t="s">
        <v>75</v>
      </c>
      <c r="E391" s="37">
        <f>B391*40</f>
        <v>360</v>
      </c>
    </row>
    <row r="392" spans="1:5" thickBot="1" x14ac:dyDescent="0.3">
      <c r="A392" s="34"/>
      <c r="B392" s="14">
        <f>IFERROR(VLOOKUP(A392,Tabla3[],2,FALSE),0)</f>
        <v>0</v>
      </c>
      <c r="C392" s="38"/>
      <c r="D392" s="35" t="s">
        <v>116</v>
      </c>
      <c r="E392" s="38">
        <f>B391*40</f>
        <v>360</v>
      </c>
    </row>
    <row r="393" spans="1:5" thickBot="1" x14ac:dyDescent="0.3">
      <c r="A393" s="34"/>
      <c r="B393" s="14">
        <f>IFERROR(VLOOKUP(A393,Tabla3[],2,FALSE),0)</f>
        <v>0</v>
      </c>
      <c r="C393" s="38"/>
      <c r="D393" s="35" t="s">
        <v>129</v>
      </c>
      <c r="E393" s="38">
        <f>B391*40</f>
        <v>360</v>
      </c>
    </row>
    <row r="394" spans="1:5" thickBot="1" x14ac:dyDescent="0.3">
      <c r="A394" s="34"/>
      <c r="B394" s="14">
        <f>IFERROR(VLOOKUP(A394,Tabla3[],2,FALSE),0)</f>
        <v>0</v>
      </c>
      <c r="C394" s="38"/>
      <c r="D394" s="35" t="s">
        <v>123</v>
      </c>
      <c r="E394" s="38">
        <f>B391*40</f>
        <v>360</v>
      </c>
    </row>
    <row r="395" spans="1:5" ht="15" customHeight="1" thickBot="1" x14ac:dyDescent="0.3">
      <c r="A395" s="32"/>
      <c r="B395" s="14">
        <f>IFERROR(VLOOKUP(A395,Tabla3[],2,FALSE),0)</f>
        <v>0</v>
      </c>
      <c r="C395" s="39"/>
      <c r="D395" s="33" t="s">
        <v>57</v>
      </c>
      <c r="E395" s="39">
        <f>B391*40</f>
        <v>360</v>
      </c>
    </row>
    <row r="396" spans="1:5" ht="15" customHeight="1" thickBot="1" x14ac:dyDescent="0.3">
      <c r="A396" s="25" t="s">
        <v>398</v>
      </c>
      <c r="B396" s="14">
        <f>IFERROR(VLOOKUP(A396,Tabla3[],2,FALSE),0)</f>
        <v>7</v>
      </c>
      <c r="C396" s="26"/>
      <c r="D396" s="26" t="s">
        <v>116</v>
      </c>
      <c r="E396" s="26">
        <f>B396*75</f>
        <v>525</v>
      </c>
    </row>
    <row r="397" spans="1:5" ht="15" customHeight="1" thickBot="1" x14ac:dyDescent="0.3">
      <c r="A397" s="34"/>
      <c r="B397" s="14">
        <f>IFERROR(VLOOKUP(A397,Tabla3[],2,FALSE),0)</f>
        <v>0</v>
      </c>
      <c r="C397" s="35"/>
      <c r="D397" s="35" t="s">
        <v>134</v>
      </c>
      <c r="E397" s="35">
        <f>B396*10</f>
        <v>70</v>
      </c>
    </row>
    <row r="398" spans="1:5" ht="15" customHeight="1" thickBot="1" x14ac:dyDescent="0.3">
      <c r="A398" s="34"/>
      <c r="B398" s="14">
        <f>IFERROR(VLOOKUP(A398,Tabla3[],2,FALSE),0)</f>
        <v>0</v>
      </c>
      <c r="C398" s="35"/>
      <c r="D398" s="35" t="s">
        <v>90</v>
      </c>
      <c r="E398" s="35">
        <f>B396*75</f>
        <v>525</v>
      </c>
    </row>
    <row r="399" spans="1:5" ht="15" customHeight="1" thickBot="1" x14ac:dyDescent="0.3">
      <c r="A399" s="34"/>
      <c r="B399" s="14">
        <f>IFERROR(VLOOKUP(A399,Tabla3[],2,FALSE),0)</f>
        <v>0</v>
      </c>
      <c r="C399" s="35"/>
      <c r="D399" s="35" t="s">
        <v>51</v>
      </c>
      <c r="E399" s="35">
        <f>B396*40</f>
        <v>280</v>
      </c>
    </row>
    <row r="400" spans="1:5" ht="15" customHeight="1" thickBot="1" x14ac:dyDescent="0.3">
      <c r="A400" s="34"/>
      <c r="B400" s="14">
        <f>IFERROR(VLOOKUP(A400,Tabla3[],2,FALSE),0)</f>
        <v>0</v>
      </c>
      <c r="C400" s="35"/>
      <c r="D400" s="35" t="s">
        <v>16</v>
      </c>
      <c r="E400" s="35">
        <f>B396*100</f>
        <v>700</v>
      </c>
    </row>
    <row r="401" spans="1:5" ht="15.75" customHeight="1" thickBot="1" x14ac:dyDescent="0.3">
      <c r="A401" s="27"/>
      <c r="B401" s="14">
        <f>IFERROR(VLOOKUP(A401,Tabla3[],2,FALSE),0)</f>
        <v>0</v>
      </c>
      <c r="C401" s="41"/>
      <c r="D401" s="28" t="s">
        <v>82</v>
      </c>
      <c r="E401" s="41">
        <f>B396*30</f>
        <v>210</v>
      </c>
    </row>
    <row r="402" spans="1:5" ht="15.75" customHeight="1" thickBot="1" x14ac:dyDescent="0.3">
      <c r="A402" s="30" t="s">
        <v>399</v>
      </c>
      <c r="B402" s="14">
        <f>IFERROR(VLOOKUP(A402,Tabla3[],2,FALSE),0)</f>
        <v>2</v>
      </c>
      <c r="C402" s="31"/>
      <c r="D402" s="31" t="s">
        <v>637</v>
      </c>
      <c r="E402" s="31">
        <f>B402</f>
        <v>2</v>
      </c>
    </row>
    <row r="403" spans="1:5" thickBot="1" x14ac:dyDescent="0.3">
      <c r="A403" s="34"/>
      <c r="B403" s="14">
        <f>IFERROR(VLOOKUP(A403,Tabla3[],2,FALSE),0)</f>
        <v>0</v>
      </c>
      <c r="C403" s="35"/>
      <c r="D403" s="35" t="s">
        <v>636</v>
      </c>
      <c r="E403" s="35">
        <f>B402</f>
        <v>2</v>
      </c>
    </row>
    <row r="404" spans="1:5" thickBot="1" x14ac:dyDescent="0.3">
      <c r="A404" s="34"/>
      <c r="B404" s="14">
        <f>IFERROR(VLOOKUP(A404,Tabla3[],2,FALSE),0)</f>
        <v>0</v>
      </c>
      <c r="C404" s="35"/>
      <c r="D404" s="35" t="s">
        <v>97</v>
      </c>
      <c r="E404" s="35">
        <f>B402*50</f>
        <v>100</v>
      </c>
    </row>
    <row r="405" spans="1:5" thickBot="1" x14ac:dyDescent="0.3">
      <c r="A405" s="34"/>
      <c r="B405" s="14">
        <f>IFERROR(VLOOKUP(A405,Tabla3[],2,FALSE),0)</f>
        <v>0</v>
      </c>
      <c r="C405" s="35" t="s">
        <v>133</v>
      </c>
      <c r="D405" s="35" t="s">
        <v>51</v>
      </c>
      <c r="E405" s="35">
        <f>B402*20</f>
        <v>40</v>
      </c>
    </row>
    <row r="406" spans="1:5" thickBot="1" x14ac:dyDescent="0.3">
      <c r="A406" s="34"/>
      <c r="B406" s="14">
        <f>IFERROR(VLOOKUP(A406,Tabla3[],2,FALSE),0)</f>
        <v>0</v>
      </c>
      <c r="C406" s="35" t="s">
        <v>131</v>
      </c>
      <c r="D406" s="35" t="s">
        <v>106</v>
      </c>
      <c r="E406" s="35">
        <f>B402*20</f>
        <v>40</v>
      </c>
    </row>
    <row r="407" spans="1:5" thickBot="1" x14ac:dyDescent="0.3">
      <c r="A407" s="32"/>
      <c r="B407" s="14">
        <f>IFERROR(VLOOKUP(A407,Tabla3[],2,FALSE),0)</f>
        <v>0</v>
      </c>
      <c r="C407" s="33" t="s">
        <v>131</v>
      </c>
      <c r="D407" s="33" t="s">
        <v>83</v>
      </c>
      <c r="E407" s="33">
        <f>B402*75</f>
        <v>150</v>
      </c>
    </row>
    <row r="408" spans="1:5" thickBot="1" x14ac:dyDescent="0.3">
      <c r="A408" s="25" t="s">
        <v>320</v>
      </c>
      <c r="B408" s="14">
        <f>IFERROR(VLOOKUP(A408,Tabla3[],2,FALSE),0)</f>
        <v>36</v>
      </c>
      <c r="C408" s="26"/>
      <c r="D408" s="26" t="s">
        <v>637</v>
      </c>
      <c r="E408" s="26">
        <f>B408</f>
        <v>36</v>
      </c>
    </row>
    <row r="409" spans="1:5" thickBot="1" x14ac:dyDescent="0.3">
      <c r="A409" s="34"/>
      <c r="B409" s="14">
        <f>IFERROR(VLOOKUP(A409,Tabla3[],2,FALSE),0)</f>
        <v>0</v>
      </c>
      <c r="C409" s="35" t="s">
        <v>133</v>
      </c>
      <c r="D409" s="35" t="s">
        <v>51</v>
      </c>
      <c r="E409" s="35">
        <f>B408*20</f>
        <v>720</v>
      </c>
    </row>
    <row r="410" spans="1:5" thickBot="1" x14ac:dyDescent="0.3">
      <c r="A410" s="34"/>
      <c r="B410" s="14">
        <f>IFERROR(VLOOKUP(A410,Tabla3[],2,FALSE),0)</f>
        <v>0</v>
      </c>
      <c r="C410" s="35" t="s">
        <v>131</v>
      </c>
      <c r="D410" s="35" t="s">
        <v>106</v>
      </c>
      <c r="E410" s="35">
        <f>B408*20</f>
        <v>720</v>
      </c>
    </row>
    <row r="411" spans="1:5" thickBot="1" x14ac:dyDescent="0.3">
      <c r="A411" s="34"/>
      <c r="B411" s="14">
        <f>IFERROR(VLOOKUP(A411,Tabla3[],2,FALSE),0)</f>
        <v>0</v>
      </c>
      <c r="C411" s="35"/>
      <c r="D411" s="35" t="s">
        <v>636</v>
      </c>
      <c r="E411" s="35">
        <f>B408</f>
        <v>36</v>
      </c>
    </row>
    <row r="412" spans="1:5" thickBot="1" x14ac:dyDescent="0.3">
      <c r="A412" s="34"/>
      <c r="B412" s="14">
        <f>IFERROR(VLOOKUP(A412,Tabla3[],2,FALSE),0)</f>
        <v>0</v>
      </c>
      <c r="C412" s="35"/>
      <c r="D412" s="38" t="s">
        <v>97</v>
      </c>
      <c r="E412" s="35">
        <f>B408*50</f>
        <v>1800</v>
      </c>
    </row>
    <row r="413" spans="1:5" thickBot="1" x14ac:dyDescent="0.3">
      <c r="A413" s="32"/>
      <c r="B413" s="14">
        <f>IFERROR(VLOOKUP(A413,Tabla3[],2,FALSE),0)</f>
        <v>0</v>
      </c>
      <c r="C413" s="33" t="s">
        <v>131</v>
      </c>
      <c r="D413" s="33" t="s">
        <v>116</v>
      </c>
      <c r="E413" s="33">
        <f>B408*75</f>
        <v>2700</v>
      </c>
    </row>
    <row r="414" spans="1:5" thickBot="1" x14ac:dyDescent="0.3">
      <c r="A414" s="25" t="s">
        <v>560</v>
      </c>
      <c r="B414" s="14">
        <f>IFERROR(VLOOKUP(A414,Tabla3[],2,FALSE),0)</f>
        <v>1</v>
      </c>
      <c r="C414" s="26"/>
      <c r="D414" s="26" t="s">
        <v>637</v>
      </c>
      <c r="E414" s="26">
        <f>B414</f>
        <v>1</v>
      </c>
    </row>
    <row r="415" spans="1:5" thickBot="1" x14ac:dyDescent="0.3">
      <c r="A415" s="34"/>
      <c r="B415" s="14">
        <f>IFERROR(VLOOKUP(A415,Tabla3[],2,FALSE),0)</f>
        <v>0</v>
      </c>
      <c r="C415" s="35"/>
      <c r="D415" s="35" t="s">
        <v>636</v>
      </c>
      <c r="E415" s="35">
        <f>B414</f>
        <v>1</v>
      </c>
    </row>
    <row r="416" spans="1:5" thickBot="1" x14ac:dyDescent="0.3">
      <c r="A416" s="34"/>
      <c r="B416" s="14">
        <f>IFERROR(VLOOKUP(A416,Tabla3[],2,FALSE),0)</f>
        <v>0</v>
      </c>
      <c r="C416" s="35"/>
      <c r="D416" s="35" t="s">
        <v>97</v>
      </c>
      <c r="E416" s="35">
        <f>B414*50</f>
        <v>50</v>
      </c>
    </row>
    <row r="417" spans="1:5" thickBot="1" x14ac:dyDescent="0.3">
      <c r="A417" s="34"/>
      <c r="B417" s="14">
        <f>IFERROR(VLOOKUP(A417,Tabla3[],2,FALSE),0)</f>
        <v>0</v>
      </c>
      <c r="C417" s="35" t="s">
        <v>133</v>
      </c>
      <c r="D417" s="35" t="s">
        <v>51</v>
      </c>
      <c r="E417" s="35">
        <f>B414*20</f>
        <v>20</v>
      </c>
    </row>
    <row r="418" spans="1:5" thickBot="1" x14ac:dyDescent="0.3">
      <c r="A418" s="34"/>
      <c r="B418" s="14">
        <f>IFERROR(VLOOKUP(A418,Tabla3[],2,FALSE),0)</f>
        <v>0</v>
      </c>
      <c r="C418" s="35" t="s">
        <v>131</v>
      </c>
      <c r="D418" s="35" t="s">
        <v>106</v>
      </c>
      <c r="E418" s="35">
        <f>B414*20</f>
        <v>20</v>
      </c>
    </row>
    <row r="419" spans="1:5" thickBot="1" x14ac:dyDescent="0.3">
      <c r="A419" s="32"/>
      <c r="B419" s="14">
        <f>IFERROR(VLOOKUP(A419,Tabla3[],2,FALSE),0)</f>
        <v>0</v>
      </c>
      <c r="C419" s="33" t="s">
        <v>131</v>
      </c>
      <c r="D419" s="33" t="s">
        <v>43</v>
      </c>
      <c r="E419" s="33">
        <f>B414*75</f>
        <v>75</v>
      </c>
    </row>
    <row r="420" spans="1:5" thickBot="1" x14ac:dyDescent="0.3">
      <c r="A420" s="25" t="s">
        <v>400</v>
      </c>
      <c r="B420" s="14">
        <f>IFERROR(VLOOKUP(A420,Tabla3[],2,FALSE),0)</f>
        <v>1</v>
      </c>
      <c r="C420" s="26"/>
      <c r="D420" s="26" t="s">
        <v>637</v>
      </c>
      <c r="E420" s="26">
        <f>B420</f>
        <v>1</v>
      </c>
    </row>
    <row r="421" spans="1:5" thickBot="1" x14ac:dyDescent="0.3">
      <c r="A421" s="34"/>
      <c r="B421" s="14">
        <f>IFERROR(VLOOKUP(A421,Tabla3[],2,FALSE),0)</f>
        <v>0</v>
      </c>
      <c r="C421" s="35"/>
      <c r="D421" s="35" t="s">
        <v>636</v>
      </c>
      <c r="E421" s="35">
        <f>B420</f>
        <v>1</v>
      </c>
    </row>
    <row r="422" spans="1:5" thickBot="1" x14ac:dyDescent="0.3">
      <c r="A422" s="34"/>
      <c r="B422" s="14">
        <f>IFERROR(VLOOKUP(A422,Tabla3[],2,FALSE),0)</f>
        <v>0</v>
      </c>
      <c r="C422" s="35"/>
      <c r="D422" s="35" t="s">
        <v>97</v>
      </c>
      <c r="E422" s="35">
        <f>B420*50</f>
        <v>50</v>
      </c>
    </row>
    <row r="423" spans="1:5" thickBot="1" x14ac:dyDescent="0.3">
      <c r="A423" s="34"/>
      <c r="B423" s="14">
        <f>IFERROR(VLOOKUP(A423,Tabla3[],2,FALSE),0)</f>
        <v>0</v>
      </c>
      <c r="C423" s="35" t="s">
        <v>133</v>
      </c>
      <c r="D423" s="35" t="s">
        <v>51</v>
      </c>
      <c r="E423" s="35">
        <f>B420*20</f>
        <v>20</v>
      </c>
    </row>
    <row r="424" spans="1:5" thickBot="1" x14ac:dyDescent="0.3">
      <c r="A424" s="34"/>
      <c r="B424" s="14">
        <f>IFERROR(VLOOKUP(A424,Tabla3[],2,FALSE),0)</f>
        <v>0</v>
      </c>
      <c r="C424" s="35" t="s">
        <v>131</v>
      </c>
      <c r="D424" s="35" t="s">
        <v>106</v>
      </c>
      <c r="E424" s="35">
        <f>B420*20</f>
        <v>20</v>
      </c>
    </row>
    <row r="425" spans="1:5" thickBot="1" x14ac:dyDescent="0.3">
      <c r="A425" s="32"/>
      <c r="B425" s="14">
        <f>IFERROR(VLOOKUP(A425,Tabla3[],2,FALSE),0)</f>
        <v>0</v>
      </c>
      <c r="C425" s="33" t="s">
        <v>131</v>
      </c>
      <c r="D425" s="33" t="s">
        <v>45</v>
      </c>
      <c r="E425" s="33">
        <f>B420*75</f>
        <v>75</v>
      </c>
    </row>
    <row r="426" spans="1:5" thickBot="1" x14ac:dyDescent="0.3">
      <c r="A426" s="25" t="s">
        <v>401</v>
      </c>
      <c r="B426" s="14">
        <f>IFERROR(VLOOKUP(A426,Tabla3[],2,FALSE),0)</f>
        <v>1</v>
      </c>
      <c r="C426" s="26"/>
      <c r="D426" s="26" t="s">
        <v>637</v>
      </c>
      <c r="E426" s="26">
        <f>B426</f>
        <v>1</v>
      </c>
    </row>
    <row r="427" spans="1:5" thickBot="1" x14ac:dyDescent="0.3">
      <c r="A427" s="34"/>
      <c r="B427" s="14">
        <f>IFERROR(VLOOKUP(A427,Tabla3[],2,FALSE),0)</f>
        <v>0</v>
      </c>
      <c r="C427" s="35"/>
      <c r="D427" s="35" t="s">
        <v>97</v>
      </c>
      <c r="E427" s="35">
        <f>B426*50</f>
        <v>50</v>
      </c>
    </row>
    <row r="428" spans="1:5" thickBot="1" x14ac:dyDescent="0.3">
      <c r="A428" s="34"/>
      <c r="B428" s="14">
        <f>IFERROR(VLOOKUP(A428,Tabla3[],2,FALSE),0)</f>
        <v>0</v>
      </c>
      <c r="C428" s="35"/>
      <c r="D428" s="35" t="s">
        <v>636</v>
      </c>
      <c r="E428" s="35">
        <f>B426</f>
        <v>1</v>
      </c>
    </row>
    <row r="429" spans="1:5" thickBot="1" x14ac:dyDescent="0.3">
      <c r="A429" s="34"/>
      <c r="B429" s="14">
        <f>IFERROR(VLOOKUP(A429,Tabla3[],2,FALSE),0)</f>
        <v>0</v>
      </c>
      <c r="C429" s="35" t="s">
        <v>133</v>
      </c>
      <c r="D429" s="35" t="s">
        <v>51</v>
      </c>
      <c r="E429" s="35">
        <f>B426*20</f>
        <v>20</v>
      </c>
    </row>
    <row r="430" spans="1:5" thickBot="1" x14ac:dyDescent="0.3">
      <c r="A430" s="34"/>
      <c r="B430" s="14">
        <f>IFERROR(VLOOKUP(A430,Tabla3[],2,FALSE),0)</f>
        <v>0</v>
      </c>
      <c r="C430" s="35" t="s">
        <v>131</v>
      </c>
      <c r="D430" s="35" t="s">
        <v>106</v>
      </c>
      <c r="E430" s="35">
        <f>B426*20</f>
        <v>20</v>
      </c>
    </row>
    <row r="431" spans="1:5" thickBot="1" x14ac:dyDescent="0.3">
      <c r="A431" s="32"/>
      <c r="B431" s="14">
        <f>IFERROR(VLOOKUP(A431,Tabla3[],2,FALSE),0)</f>
        <v>0</v>
      </c>
      <c r="C431" s="33" t="s">
        <v>131</v>
      </c>
      <c r="D431" s="33" t="s">
        <v>46</v>
      </c>
      <c r="E431" s="33">
        <f>B426*75</f>
        <v>75</v>
      </c>
    </row>
    <row r="432" spans="1:5" thickBot="1" x14ac:dyDescent="0.3">
      <c r="A432" s="25" t="s">
        <v>402</v>
      </c>
      <c r="B432" s="14">
        <f>IFERROR(VLOOKUP(A432,Tabla3[],2,FALSE),0)</f>
        <v>2</v>
      </c>
      <c r="C432" s="26"/>
      <c r="D432" s="26" t="s">
        <v>637</v>
      </c>
      <c r="E432" s="26">
        <f>B432</f>
        <v>2</v>
      </c>
    </row>
    <row r="433" spans="1:5" thickBot="1" x14ac:dyDescent="0.3">
      <c r="A433" s="34"/>
      <c r="B433" s="14">
        <f>IFERROR(VLOOKUP(A433,Tabla3[],2,FALSE),0)</f>
        <v>0</v>
      </c>
      <c r="C433" s="35"/>
      <c r="D433" s="35" t="s">
        <v>636</v>
      </c>
      <c r="E433" s="35">
        <f>B432</f>
        <v>2</v>
      </c>
    </row>
    <row r="434" spans="1:5" thickBot="1" x14ac:dyDescent="0.3">
      <c r="A434" s="34"/>
      <c r="B434" s="14">
        <f>IFERROR(VLOOKUP(A434,Tabla3[],2,FALSE),0)</f>
        <v>0</v>
      </c>
      <c r="C434" s="35"/>
      <c r="D434" s="35" t="s">
        <v>97</v>
      </c>
      <c r="E434" s="35">
        <f>B432*50</f>
        <v>100</v>
      </c>
    </row>
    <row r="435" spans="1:5" thickBot="1" x14ac:dyDescent="0.3">
      <c r="A435" s="34"/>
      <c r="B435" s="14">
        <f>IFERROR(VLOOKUP(A435,Tabla3[],2,FALSE),0)</f>
        <v>0</v>
      </c>
      <c r="C435" s="35" t="s">
        <v>133</v>
      </c>
      <c r="D435" s="35" t="s">
        <v>51</v>
      </c>
      <c r="E435" s="35">
        <f>B432*20</f>
        <v>40</v>
      </c>
    </row>
    <row r="436" spans="1:5" thickBot="1" x14ac:dyDescent="0.3">
      <c r="A436" s="34"/>
      <c r="B436" s="14">
        <f>IFERROR(VLOOKUP(A436,Tabla3[],2,FALSE),0)</f>
        <v>0</v>
      </c>
      <c r="C436" s="35" t="s">
        <v>131</v>
      </c>
      <c r="D436" s="35" t="s">
        <v>106</v>
      </c>
      <c r="E436" s="35">
        <f>B432*20</f>
        <v>40</v>
      </c>
    </row>
    <row r="437" spans="1:5" thickBot="1" x14ac:dyDescent="0.3">
      <c r="A437" s="32"/>
      <c r="B437" s="14">
        <f>IFERROR(VLOOKUP(A437,Tabla3[],2,FALSE),0)</f>
        <v>0</v>
      </c>
      <c r="C437" s="33" t="s">
        <v>131</v>
      </c>
      <c r="D437" s="33" t="s">
        <v>44</v>
      </c>
      <c r="E437" s="33">
        <f>B432*75</f>
        <v>150</v>
      </c>
    </row>
    <row r="438" spans="1:5" thickBot="1" x14ac:dyDescent="0.3">
      <c r="A438" s="25" t="s">
        <v>403</v>
      </c>
      <c r="B438" s="14">
        <f>IFERROR(VLOOKUP(A438,Tabla3[],2,FALSE),0)</f>
        <v>42</v>
      </c>
      <c r="C438" s="26"/>
      <c r="D438" s="26" t="s">
        <v>637</v>
      </c>
      <c r="E438" s="26">
        <f>B438</f>
        <v>42</v>
      </c>
    </row>
    <row r="439" spans="1:5" thickBot="1" x14ac:dyDescent="0.3">
      <c r="A439" s="34"/>
      <c r="B439" s="14">
        <f>IFERROR(VLOOKUP(A439,Tabla3[],2,FALSE),0)</f>
        <v>0</v>
      </c>
      <c r="C439" s="35"/>
      <c r="D439" s="35" t="s">
        <v>636</v>
      </c>
      <c r="E439" s="35">
        <f>B438</f>
        <v>42</v>
      </c>
    </row>
    <row r="440" spans="1:5" thickBot="1" x14ac:dyDescent="0.3">
      <c r="A440" s="34"/>
      <c r="B440" s="14">
        <f>IFERROR(VLOOKUP(A440,Tabla3[],2,FALSE),0)</f>
        <v>0</v>
      </c>
      <c r="C440" s="35"/>
      <c r="D440" s="35" t="s">
        <v>97</v>
      </c>
      <c r="E440" s="35">
        <f>B438*50</f>
        <v>2100</v>
      </c>
    </row>
    <row r="441" spans="1:5" thickBot="1" x14ac:dyDescent="0.3">
      <c r="A441" s="34"/>
      <c r="B441" s="14">
        <f>IFERROR(VLOOKUP(A441,Tabla3[],2,FALSE),0)</f>
        <v>0</v>
      </c>
      <c r="C441" s="35" t="s">
        <v>133</v>
      </c>
      <c r="D441" s="35" t="s">
        <v>51</v>
      </c>
      <c r="E441" s="35">
        <f>B438*20</f>
        <v>840</v>
      </c>
    </row>
    <row r="442" spans="1:5" thickBot="1" x14ac:dyDescent="0.3">
      <c r="A442" s="34"/>
      <c r="B442" s="14">
        <f>IFERROR(VLOOKUP(A442,Tabla3[],2,FALSE),0)</f>
        <v>0</v>
      </c>
      <c r="C442" s="35" t="s">
        <v>131</v>
      </c>
      <c r="D442" s="35" t="s">
        <v>106</v>
      </c>
      <c r="E442" s="35">
        <f>B438*20</f>
        <v>840</v>
      </c>
    </row>
    <row r="443" spans="1:5" thickBot="1" x14ac:dyDescent="0.3">
      <c r="A443" s="34"/>
      <c r="B443" s="14">
        <f>IFERROR(VLOOKUP(A443,Tabla3[],2,FALSE),0)</f>
        <v>0</v>
      </c>
      <c r="C443" s="35" t="s">
        <v>131</v>
      </c>
      <c r="D443" s="35" t="s">
        <v>116</v>
      </c>
      <c r="E443" s="35">
        <f>B438*75</f>
        <v>3150</v>
      </c>
    </row>
    <row r="444" spans="1:5" thickBot="1" x14ac:dyDescent="0.3">
      <c r="A444" s="32"/>
      <c r="B444" s="14">
        <f>IFERROR(VLOOKUP(A444,Tabla3[],2,FALSE),0)</f>
        <v>0</v>
      </c>
      <c r="C444" s="33" t="s">
        <v>132</v>
      </c>
      <c r="D444" s="33" t="s">
        <v>65</v>
      </c>
      <c r="E444" s="39">
        <f>B438</f>
        <v>42</v>
      </c>
    </row>
    <row r="445" spans="1:5" thickBot="1" x14ac:dyDescent="0.3">
      <c r="A445" s="25"/>
      <c r="B445" s="14">
        <f>IFERROR(VLOOKUP(A445,Tabla3[],2,FALSE),0)</f>
        <v>0</v>
      </c>
      <c r="C445" s="26"/>
      <c r="D445" s="26" t="s">
        <v>637</v>
      </c>
      <c r="E445" s="26">
        <f>B445</f>
        <v>0</v>
      </c>
    </row>
    <row r="446" spans="1:5" thickBot="1" x14ac:dyDescent="0.3">
      <c r="A446" s="34"/>
      <c r="B446" s="14">
        <f>IFERROR(VLOOKUP(A446,Tabla3[],2,FALSE),0)</f>
        <v>0</v>
      </c>
      <c r="C446" s="35"/>
      <c r="D446" s="35" t="s">
        <v>636</v>
      </c>
      <c r="E446" s="35">
        <f>B445</f>
        <v>0</v>
      </c>
    </row>
    <row r="447" spans="1:5" thickBot="1" x14ac:dyDescent="0.3">
      <c r="A447" s="34"/>
      <c r="B447" s="14">
        <f>IFERROR(VLOOKUP(A447,Tabla3[],2,FALSE),0)</f>
        <v>0</v>
      </c>
      <c r="C447" s="35"/>
      <c r="D447" s="35" t="s">
        <v>97</v>
      </c>
      <c r="E447" s="35">
        <f>B445*50</f>
        <v>0</v>
      </c>
    </row>
    <row r="448" spans="1:5" thickBot="1" x14ac:dyDescent="0.3">
      <c r="A448" s="34"/>
      <c r="B448" s="14">
        <f>IFERROR(VLOOKUP(A448,Tabla3[],2,FALSE),0)</f>
        <v>0</v>
      </c>
      <c r="C448" s="35" t="s">
        <v>133</v>
      </c>
      <c r="D448" s="35" t="s">
        <v>51</v>
      </c>
      <c r="E448" s="35">
        <f>B445*20</f>
        <v>0</v>
      </c>
    </row>
    <row r="449" spans="1:5" thickBot="1" x14ac:dyDescent="0.3">
      <c r="A449" s="34"/>
      <c r="B449" s="14">
        <f>IFERROR(VLOOKUP(A449,Tabla3[],2,FALSE),0)</f>
        <v>0</v>
      </c>
      <c r="C449" s="35" t="s">
        <v>131</v>
      </c>
      <c r="D449" s="35" t="s">
        <v>106</v>
      </c>
      <c r="E449" s="35">
        <f>B445*20</f>
        <v>0</v>
      </c>
    </row>
    <row r="450" spans="1:5" thickBot="1" x14ac:dyDescent="0.3">
      <c r="A450" s="32"/>
      <c r="B450" s="14">
        <f>IFERROR(VLOOKUP(A450,Tabla3[],2,FALSE),0)</f>
        <v>0</v>
      </c>
      <c r="C450" s="33" t="s">
        <v>131</v>
      </c>
      <c r="D450" s="33" t="s">
        <v>577</v>
      </c>
      <c r="E450" s="33">
        <f>B445*75</f>
        <v>0</v>
      </c>
    </row>
    <row r="451" spans="1:5" thickBot="1" x14ac:dyDescent="0.3">
      <c r="A451" s="25" t="s">
        <v>217</v>
      </c>
      <c r="B451" s="14">
        <f>IFERROR(VLOOKUP(A451,Tabla3[],2,FALSE),0)</f>
        <v>15</v>
      </c>
      <c r="C451" s="37"/>
      <c r="D451" s="26" t="s">
        <v>82</v>
      </c>
      <c r="E451" s="37">
        <f>B451*30</f>
        <v>450</v>
      </c>
    </row>
    <row r="452" spans="1:5" thickBot="1" x14ac:dyDescent="0.3">
      <c r="A452" s="34"/>
      <c r="B452" s="14">
        <f>IFERROR(VLOOKUP(A452,Tabla3[],2,FALSE),0)</f>
        <v>0</v>
      </c>
      <c r="C452" s="38"/>
      <c r="D452" s="35" t="s">
        <v>90</v>
      </c>
      <c r="E452" s="38">
        <f>B451*75</f>
        <v>1125</v>
      </c>
    </row>
    <row r="453" spans="1:5" thickBot="1" x14ac:dyDescent="0.3">
      <c r="A453" s="34"/>
      <c r="B453" s="14">
        <f>IFERROR(VLOOKUP(A453,Tabla3[],2,FALSE),0)</f>
        <v>0</v>
      </c>
      <c r="C453" s="38"/>
      <c r="D453" s="35" t="s">
        <v>89</v>
      </c>
      <c r="E453" s="38">
        <f>B451*75</f>
        <v>1125</v>
      </c>
    </row>
    <row r="454" spans="1:5" thickBot="1" x14ac:dyDescent="0.3">
      <c r="A454" s="32"/>
      <c r="B454" s="14">
        <f>IFERROR(VLOOKUP(A454,Tabla3[],2,FALSE),0)</f>
        <v>0</v>
      </c>
      <c r="C454" s="39"/>
      <c r="D454" s="33" t="s">
        <v>129</v>
      </c>
      <c r="E454" s="39">
        <f>B451*75</f>
        <v>1125</v>
      </c>
    </row>
    <row r="455" spans="1:5" thickBot="1" x14ac:dyDescent="0.3">
      <c r="A455" s="25" t="s">
        <v>404</v>
      </c>
      <c r="B455" s="14">
        <f>IFERROR(VLOOKUP(A455,Tabla3[],2,FALSE),0)</f>
        <v>0</v>
      </c>
      <c r="C455" s="37"/>
      <c r="D455" s="37" t="s">
        <v>123</v>
      </c>
      <c r="E455" s="67">
        <f>B455*75</f>
        <v>0</v>
      </c>
    </row>
    <row r="456" spans="1:5" thickBot="1" x14ac:dyDescent="0.3">
      <c r="A456" s="34"/>
      <c r="B456" s="14">
        <f>IFERROR(VLOOKUP(A456,Tabla3[],2,FALSE),0)</f>
        <v>0</v>
      </c>
      <c r="C456" s="38"/>
      <c r="D456" s="203" t="s">
        <v>659</v>
      </c>
      <c r="E456" s="68">
        <f>B455*75</f>
        <v>0</v>
      </c>
    </row>
    <row r="457" spans="1:5" thickBot="1" x14ac:dyDescent="0.3">
      <c r="A457" s="34"/>
      <c r="B457" s="14">
        <f>IFERROR(VLOOKUP(A457,Tabla3[],2,FALSE),0)</f>
        <v>0</v>
      </c>
      <c r="C457" s="38"/>
      <c r="D457" s="38" t="s">
        <v>16</v>
      </c>
      <c r="E457" s="68">
        <f>B455*75</f>
        <v>0</v>
      </c>
    </row>
    <row r="458" spans="1:5" thickBot="1" x14ac:dyDescent="0.3">
      <c r="A458" s="27"/>
      <c r="B458" s="14">
        <f>IFERROR(VLOOKUP(A458,Tabla3[],2,FALSE),0)</f>
        <v>0</v>
      </c>
      <c r="C458" s="41"/>
      <c r="D458" s="41" t="s">
        <v>134</v>
      </c>
      <c r="E458" s="69"/>
    </row>
    <row r="459" spans="1:5" thickBot="1" x14ac:dyDescent="0.3">
      <c r="A459" s="25" t="s">
        <v>155</v>
      </c>
      <c r="B459" s="14">
        <f>IFERROR(VLOOKUP(A459,Tabla3[],2,FALSE),0)</f>
        <v>7</v>
      </c>
      <c r="C459" s="26" t="s">
        <v>131</v>
      </c>
      <c r="D459" s="200" t="s">
        <v>659</v>
      </c>
      <c r="E459" s="26">
        <f>B459*35</f>
        <v>245</v>
      </c>
    </row>
    <row r="460" spans="1:5" thickBot="1" x14ac:dyDescent="0.3">
      <c r="A460" s="34"/>
      <c r="B460" s="14">
        <f>IFERROR(VLOOKUP(A460,Tabla3[],2,FALSE),0)</f>
        <v>0</v>
      </c>
      <c r="C460" s="35" t="s">
        <v>131</v>
      </c>
      <c r="D460" s="35" t="s">
        <v>16</v>
      </c>
      <c r="E460" s="35">
        <f>B459*150</f>
        <v>1050</v>
      </c>
    </row>
    <row r="461" spans="1:5" thickBot="1" x14ac:dyDescent="0.3">
      <c r="A461" s="32"/>
      <c r="B461" s="14">
        <f>IFERROR(VLOOKUP(A461,Tabla3[],2,FALSE),0)</f>
        <v>0</v>
      </c>
      <c r="C461" s="33" t="s">
        <v>131</v>
      </c>
      <c r="D461" s="33" t="s">
        <v>129</v>
      </c>
      <c r="E461" s="33">
        <f>B459*75</f>
        <v>525</v>
      </c>
    </row>
    <row r="462" spans="1:5" thickBot="1" x14ac:dyDescent="0.3">
      <c r="A462" s="18" t="s">
        <v>405</v>
      </c>
      <c r="B462" s="14">
        <f>IFERROR(VLOOKUP(A462,Tabla3[],2,FALSE),0)</f>
        <v>39</v>
      </c>
      <c r="C462" s="47"/>
      <c r="D462" s="20" t="s">
        <v>220</v>
      </c>
      <c r="E462" s="47">
        <f t="shared" ref="E462:E465" si="16">B462*500</f>
        <v>19500</v>
      </c>
    </row>
    <row r="463" spans="1:5" thickBot="1" x14ac:dyDescent="0.3">
      <c r="A463" s="49" t="s">
        <v>406</v>
      </c>
      <c r="B463" s="14">
        <f>IFERROR(VLOOKUP(A463,Tabla3[],2,FALSE),0)</f>
        <v>0</v>
      </c>
      <c r="C463" s="51"/>
      <c r="D463" s="50" t="s">
        <v>218</v>
      </c>
      <c r="E463" s="51">
        <f t="shared" si="16"/>
        <v>0</v>
      </c>
    </row>
    <row r="464" spans="1:5" thickBot="1" x14ac:dyDescent="0.3">
      <c r="A464" s="18" t="s">
        <v>407</v>
      </c>
      <c r="B464" s="14">
        <f>IFERROR(VLOOKUP(A464,Tabla3[],2,FALSE),0)</f>
        <v>0</v>
      </c>
      <c r="C464" s="47"/>
      <c r="D464" s="20" t="s">
        <v>221</v>
      </c>
      <c r="E464" s="47">
        <f t="shared" si="16"/>
        <v>0</v>
      </c>
    </row>
    <row r="465" spans="1:5" thickBot="1" x14ac:dyDescent="0.3">
      <c r="A465" s="49" t="s">
        <v>408</v>
      </c>
      <c r="B465" s="14">
        <f>IFERROR(VLOOKUP(A465,Tabla3[],2,FALSE),0)</f>
        <v>127</v>
      </c>
      <c r="C465" s="51"/>
      <c r="D465" s="50" t="s">
        <v>219</v>
      </c>
      <c r="E465" s="51">
        <f t="shared" si="16"/>
        <v>63500</v>
      </c>
    </row>
    <row r="466" spans="1:5" thickBot="1" x14ac:dyDescent="0.3">
      <c r="A466" s="18" t="s">
        <v>309</v>
      </c>
      <c r="B466" s="14">
        <f>IFERROR(VLOOKUP(A466,Tabla3[],2,FALSE),0)</f>
        <v>0</v>
      </c>
      <c r="C466" s="47"/>
      <c r="D466" s="47" t="s">
        <v>310</v>
      </c>
      <c r="E466" s="47">
        <f>500*B466</f>
        <v>0</v>
      </c>
    </row>
    <row r="467" spans="1:5" thickBot="1" x14ac:dyDescent="0.3">
      <c r="A467" s="18" t="s">
        <v>409</v>
      </c>
      <c r="B467" s="14">
        <f>IFERROR(VLOOKUP(A467,Tabla3[],2,FALSE),0)</f>
        <v>11</v>
      </c>
      <c r="C467" s="20" t="s">
        <v>132</v>
      </c>
      <c r="D467" s="20" t="s">
        <v>65</v>
      </c>
      <c r="E467" s="47">
        <f t="shared" ref="E467:E479" si="17">B467</f>
        <v>11</v>
      </c>
    </row>
    <row r="468" spans="1:5" thickBot="1" x14ac:dyDescent="0.3">
      <c r="A468" s="18" t="s">
        <v>410</v>
      </c>
      <c r="B468" s="14">
        <f>IFERROR(VLOOKUP(A468,Tabla3[],2,FALSE),0)</f>
        <v>4</v>
      </c>
      <c r="C468" s="20" t="s">
        <v>132</v>
      </c>
      <c r="D468" s="20" t="s">
        <v>121</v>
      </c>
      <c r="E468" s="47">
        <f t="shared" si="17"/>
        <v>4</v>
      </c>
    </row>
    <row r="469" spans="1:5" thickBot="1" x14ac:dyDescent="0.3">
      <c r="A469" s="18" t="s">
        <v>411</v>
      </c>
      <c r="B469" s="14">
        <f>IFERROR(VLOOKUP(A469,Tabla3[],2,FALSE),0)</f>
        <v>2</v>
      </c>
      <c r="C469" s="20" t="s">
        <v>132</v>
      </c>
      <c r="D469" s="20" t="s">
        <v>56</v>
      </c>
      <c r="E469" s="47">
        <f t="shared" si="17"/>
        <v>2</v>
      </c>
    </row>
    <row r="470" spans="1:5" thickBot="1" x14ac:dyDescent="0.3">
      <c r="A470" s="18" t="s">
        <v>578</v>
      </c>
      <c r="B470" s="14">
        <f>IFERROR(VLOOKUP(A470,Tabla3[],2,FALSE),0)</f>
        <v>1</v>
      </c>
      <c r="C470" s="20" t="s">
        <v>132</v>
      </c>
      <c r="D470" s="204" t="s">
        <v>660</v>
      </c>
      <c r="E470" s="47">
        <f t="shared" si="17"/>
        <v>1</v>
      </c>
    </row>
    <row r="471" spans="1:5" thickBot="1" x14ac:dyDescent="0.3">
      <c r="A471" s="72" t="s">
        <v>579</v>
      </c>
      <c r="B471" s="14">
        <f>IFERROR(VLOOKUP(A471,Tabla3[],2,FALSE),0)</f>
        <v>0</v>
      </c>
      <c r="C471" s="54" t="s">
        <v>132</v>
      </c>
      <c r="D471" s="205" t="s">
        <v>661</v>
      </c>
      <c r="E471" s="55">
        <f t="shared" si="17"/>
        <v>0</v>
      </c>
    </row>
    <row r="472" spans="1:5" thickBot="1" x14ac:dyDescent="0.3">
      <c r="A472" s="18" t="s">
        <v>580</v>
      </c>
      <c r="B472" s="14">
        <f>IFERROR(VLOOKUP(A472,Tabla3[],2,FALSE),0)</f>
        <v>0</v>
      </c>
      <c r="C472" s="20" t="s">
        <v>132</v>
      </c>
      <c r="D472" s="204" t="s">
        <v>662</v>
      </c>
      <c r="E472" s="47">
        <f t="shared" si="17"/>
        <v>0</v>
      </c>
    </row>
    <row r="473" spans="1:5" thickBot="1" x14ac:dyDescent="0.3">
      <c r="A473" s="18" t="s">
        <v>581</v>
      </c>
      <c r="B473" s="14">
        <f>IFERROR(VLOOKUP(A473,Tabla3[],2,FALSE),0)</f>
        <v>0</v>
      </c>
      <c r="C473" s="20" t="s">
        <v>132</v>
      </c>
      <c r="D473" s="204" t="s">
        <v>68</v>
      </c>
      <c r="E473" s="47">
        <f t="shared" si="17"/>
        <v>0</v>
      </c>
    </row>
    <row r="474" spans="1:5" thickBot="1" x14ac:dyDescent="0.3">
      <c r="A474" s="18" t="s">
        <v>412</v>
      </c>
      <c r="B474" s="14">
        <f>IFERROR(VLOOKUP(A474,Tabla3[],2,FALSE),0)</f>
        <v>0</v>
      </c>
      <c r="C474" s="20" t="s">
        <v>132</v>
      </c>
      <c r="D474" s="20" t="s">
        <v>52</v>
      </c>
      <c r="E474" s="47">
        <f t="shared" si="17"/>
        <v>0</v>
      </c>
    </row>
    <row r="475" spans="1:5" thickBot="1" x14ac:dyDescent="0.3">
      <c r="A475" s="18" t="s">
        <v>413</v>
      </c>
      <c r="B475" s="14">
        <f>IFERROR(VLOOKUP(A475,Tabla3[],2,FALSE),0)</f>
        <v>0</v>
      </c>
      <c r="C475" s="20" t="s">
        <v>132</v>
      </c>
      <c r="D475" s="20" t="s">
        <v>101</v>
      </c>
      <c r="E475" s="47">
        <f t="shared" si="17"/>
        <v>0</v>
      </c>
    </row>
    <row r="476" spans="1:5" thickBot="1" x14ac:dyDescent="0.3">
      <c r="A476" s="18" t="s">
        <v>414</v>
      </c>
      <c r="B476" s="14">
        <f>IFERROR(VLOOKUP(A476,Tabla3[],2,FALSE),0)</f>
        <v>0</v>
      </c>
      <c r="C476" s="47"/>
      <c r="D476" s="20" t="s">
        <v>80</v>
      </c>
      <c r="E476" s="47">
        <f t="shared" si="17"/>
        <v>0</v>
      </c>
    </row>
    <row r="477" spans="1:5" thickBot="1" x14ac:dyDescent="0.3">
      <c r="A477" s="18" t="s">
        <v>415</v>
      </c>
      <c r="B477" s="14">
        <f>IFERROR(VLOOKUP(A477,Tabla3[],2,FALSE),0)</f>
        <v>0</v>
      </c>
      <c r="C477" s="47"/>
      <c r="D477" s="20" t="s">
        <v>79</v>
      </c>
      <c r="E477" s="47">
        <f t="shared" si="17"/>
        <v>0</v>
      </c>
    </row>
    <row r="478" spans="1:5" thickBot="1" x14ac:dyDescent="0.3">
      <c r="A478" s="18" t="s">
        <v>416</v>
      </c>
      <c r="B478" s="14">
        <f>IFERROR(VLOOKUP(A478,Tabla3[],2,FALSE),0)</f>
        <v>0</v>
      </c>
      <c r="C478" s="47"/>
      <c r="D478" s="20" t="s">
        <v>81</v>
      </c>
      <c r="E478" s="47">
        <f t="shared" si="17"/>
        <v>0</v>
      </c>
    </row>
    <row r="479" spans="1:5" thickBot="1" x14ac:dyDescent="0.3">
      <c r="A479" s="22" t="s">
        <v>417</v>
      </c>
      <c r="B479" s="14">
        <f>IFERROR(VLOOKUP(A479,Tabla3[],2,FALSE),0)</f>
        <v>25</v>
      </c>
      <c r="C479" s="42"/>
      <c r="D479" s="23" t="s">
        <v>53</v>
      </c>
      <c r="E479" s="42">
        <f t="shared" si="17"/>
        <v>25</v>
      </c>
    </row>
    <row r="480" spans="1:5" thickBot="1" x14ac:dyDescent="0.3">
      <c r="A480" s="25" t="s">
        <v>418</v>
      </c>
      <c r="B480" s="14">
        <f>IFERROR(VLOOKUP(A480,Tabla3[],2,FALSE),0)</f>
        <v>0</v>
      </c>
      <c r="C480" s="37"/>
      <c r="D480" s="26" t="s">
        <v>58</v>
      </c>
      <c r="E480" s="37">
        <f>B480*75</f>
        <v>0</v>
      </c>
    </row>
    <row r="481" spans="1:5" thickBot="1" x14ac:dyDescent="0.3">
      <c r="A481" s="32"/>
      <c r="B481" s="14">
        <f>IFERROR(VLOOKUP(A481,Tabla3[],2,FALSE),0)</f>
        <v>0</v>
      </c>
      <c r="C481" s="39"/>
      <c r="D481" s="33" t="s">
        <v>89</v>
      </c>
      <c r="E481" s="39">
        <f>B480*150</f>
        <v>0</v>
      </c>
    </row>
    <row r="482" spans="1:5" thickBot="1" x14ac:dyDescent="0.3">
      <c r="A482" s="25" t="s">
        <v>149</v>
      </c>
      <c r="B482" s="14">
        <f>IFERROR(VLOOKUP(A482,Tabla3[],2,FALSE),0)</f>
        <v>2</v>
      </c>
      <c r="C482" s="26" t="s">
        <v>131</v>
      </c>
      <c r="D482" s="26" t="s">
        <v>656</v>
      </c>
      <c r="E482" s="26">
        <f>B482*75</f>
        <v>150</v>
      </c>
    </row>
    <row r="483" spans="1:5" thickBot="1" x14ac:dyDescent="0.3">
      <c r="A483" s="32"/>
      <c r="B483" s="14">
        <f>IFERROR(VLOOKUP(A483,Tabla3[],2,FALSE),0)</f>
        <v>0</v>
      </c>
      <c r="C483" s="33" t="s">
        <v>131</v>
      </c>
      <c r="D483" s="33" t="s">
        <v>130</v>
      </c>
      <c r="E483" s="33">
        <f>B482*75</f>
        <v>150</v>
      </c>
    </row>
    <row r="484" spans="1:5" thickBot="1" x14ac:dyDescent="0.3">
      <c r="A484" s="25" t="s">
        <v>150</v>
      </c>
      <c r="B484" s="14">
        <f>IFERROR(VLOOKUP(A484,Tabla3[],2,FALSE),0)</f>
        <v>0</v>
      </c>
      <c r="C484" s="37" t="s">
        <v>131</v>
      </c>
      <c r="D484" s="26" t="s">
        <v>656</v>
      </c>
      <c r="E484" s="37">
        <f>B484*75</f>
        <v>0</v>
      </c>
    </row>
    <row r="485" spans="1:5" thickBot="1" x14ac:dyDescent="0.3">
      <c r="A485" s="32"/>
      <c r="B485" s="14">
        <f>IFERROR(VLOOKUP(A485,Tabla3[],2,FALSE),0)</f>
        <v>0</v>
      </c>
      <c r="C485" s="39" t="s">
        <v>131</v>
      </c>
      <c r="D485" s="33" t="s">
        <v>129</v>
      </c>
      <c r="E485" s="39">
        <f>B484*75</f>
        <v>0</v>
      </c>
    </row>
    <row r="486" spans="1:5" thickBot="1" x14ac:dyDescent="0.3">
      <c r="A486" s="25" t="s">
        <v>151</v>
      </c>
      <c r="B486" s="14">
        <f>IFERROR(VLOOKUP(A486,Tabla3[],2,FALSE),0)</f>
        <v>0</v>
      </c>
      <c r="C486" s="26" t="s">
        <v>131</v>
      </c>
      <c r="D486" s="26" t="s">
        <v>106</v>
      </c>
      <c r="E486" s="26">
        <f>B486*20</f>
        <v>0</v>
      </c>
    </row>
    <row r="487" spans="1:5" thickBot="1" x14ac:dyDescent="0.3">
      <c r="A487" s="34"/>
      <c r="B487" s="14">
        <f>IFERROR(VLOOKUP(A487,Tabla3[],2,FALSE),0)</f>
        <v>0</v>
      </c>
      <c r="C487" s="35" t="s">
        <v>133</v>
      </c>
      <c r="D487" s="35" t="s">
        <v>51</v>
      </c>
      <c r="E487" s="35">
        <f>B486*20</f>
        <v>0</v>
      </c>
    </row>
    <row r="488" spans="1:5" thickBot="1" x14ac:dyDescent="0.3">
      <c r="A488" s="34"/>
      <c r="B488" s="14">
        <f>IFERROR(VLOOKUP(A488,Tabla3[],2,FALSE),0)</f>
        <v>0</v>
      </c>
      <c r="C488" s="35"/>
      <c r="D488" s="38" t="s">
        <v>97</v>
      </c>
      <c r="E488" s="35">
        <f>B486*50</f>
        <v>0</v>
      </c>
    </row>
    <row r="489" spans="1:5" thickBot="1" x14ac:dyDescent="0.3">
      <c r="A489" s="32"/>
      <c r="B489" s="14">
        <f>IFERROR(VLOOKUP(A489,Tabla3[],2,FALSE),0)</f>
        <v>0</v>
      </c>
      <c r="C489" s="33" t="s">
        <v>131</v>
      </c>
      <c r="D489" s="33" t="s">
        <v>75</v>
      </c>
      <c r="E489" s="33">
        <f>B486*75</f>
        <v>0</v>
      </c>
    </row>
    <row r="490" spans="1:5" thickBot="1" x14ac:dyDescent="0.3">
      <c r="A490" s="25" t="s">
        <v>152</v>
      </c>
      <c r="B490" s="14">
        <f>IFERROR(VLOOKUP(A490,Tabla3[],2,FALSE),0)</f>
        <v>1</v>
      </c>
      <c r="C490" s="26" t="s">
        <v>131</v>
      </c>
      <c r="D490" s="26" t="s">
        <v>129</v>
      </c>
      <c r="E490" s="26">
        <f>B490*75</f>
        <v>75</v>
      </c>
    </row>
    <row r="491" spans="1:5" thickBot="1" x14ac:dyDescent="0.3">
      <c r="A491" s="34"/>
      <c r="B491" s="14">
        <f>IFERROR(VLOOKUP(A491,Tabla3[],2,FALSE),0)</f>
        <v>0</v>
      </c>
      <c r="C491" s="35" t="s">
        <v>131</v>
      </c>
      <c r="D491" s="35" t="s">
        <v>106</v>
      </c>
      <c r="E491" s="35">
        <f>B490*20</f>
        <v>20</v>
      </c>
    </row>
    <row r="492" spans="1:5" thickBot="1" x14ac:dyDescent="0.3">
      <c r="A492" s="34"/>
      <c r="B492" s="14">
        <f>IFERROR(VLOOKUP(A492,Tabla3[],2,FALSE),0)</f>
        <v>0</v>
      </c>
      <c r="C492" s="35"/>
      <c r="D492" s="38" t="s">
        <v>97</v>
      </c>
      <c r="E492" s="35">
        <f>B490*50</f>
        <v>50</v>
      </c>
    </row>
    <row r="493" spans="1:5" thickBot="1" x14ac:dyDescent="0.3">
      <c r="A493" s="34"/>
      <c r="B493" s="14">
        <f>IFERROR(VLOOKUP(A493,Tabla3[],2,FALSE),0)</f>
        <v>0</v>
      </c>
      <c r="C493" s="35" t="s">
        <v>131</v>
      </c>
      <c r="D493" s="35" t="s">
        <v>128</v>
      </c>
      <c r="E493" s="35">
        <f>B490*20</f>
        <v>20</v>
      </c>
    </row>
    <row r="494" spans="1:5" thickBot="1" x14ac:dyDescent="0.3">
      <c r="A494" s="32"/>
      <c r="B494" s="14">
        <f>IFERROR(VLOOKUP(A494,Tabla3[],2,FALSE),0)</f>
        <v>0</v>
      </c>
      <c r="C494" s="33" t="s">
        <v>133</v>
      </c>
      <c r="D494" s="33" t="s">
        <v>51</v>
      </c>
      <c r="E494" s="33">
        <f>B490*40</f>
        <v>40</v>
      </c>
    </row>
    <row r="495" spans="1:5" thickBot="1" x14ac:dyDescent="0.3">
      <c r="A495" s="25" t="s">
        <v>153</v>
      </c>
      <c r="B495" s="14">
        <f>IFERROR(VLOOKUP(A495,Tabla3[],2,FALSE),0)</f>
        <v>1</v>
      </c>
      <c r="C495" s="26" t="s">
        <v>131</v>
      </c>
      <c r="D495" s="26" t="s">
        <v>82</v>
      </c>
      <c r="E495" s="26">
        <f>B495*30</f>
        <v>30</v>
      </c>
    </row>
    <row r="496" spans="1:5" thickBot="1" x14ac:dyDescent="0.3">
      <c r="A496" s="34"/>
      <c r="B496" s="14">
        <f>IFERROR(VLOOKUP(A496,Tabla3[],2,FALSE),0)</f>
        <v>0</v>
      </c>
      <c r="C496" s="35" t="s">
        <v>131</v>
      </c>
      <c r="D496" s="35" t="s">
        <v>89</v>
      </c>
      <c r="E496" s="35">
        <f>B495*75</f>
        <v>75</v>
      </c>
    </row>
    <row r="497" spans="1:5" thickBot="1" x14ac:dyDescent="0.3">
      <c r="A497" s="34"/>
      <c r="B497" s="14">
        <f>IFERROR(VLOOKUP(A497,Tabla3[],2,FALSE),0)</f>
        <v>0</v>
      </c>
      <c r="C497" s="35" t="s">
        <v>131</v>
      </c>
      <c r="D497" s="35" t="s">
        <v>90</v>
      </c>
      <c r="E497" s="35">
        <f>B495*75</f>
        <v>75</v>
      </c>
    </row>
    <row r="498" spans="1:5" thickBot="1" x14ac:dyDescent="0.3">
      <c r="A498" s="32"/>
      <c r="B498" s="14">
        <f>IFERROR(VLOOKUP(A498,Tabla3[],2,FALSE),0)</f>
        <v>0</v>
      </c>
      <c r="C498" s="33" t="s">
        <v>131</v>
      </c>
      <c r="D498" s="33" t="s">
        <v>123</v>
      </c>
      <c r="E498" s="33">
        <f>B495*75</f>
        <v>75</v>
      </c>
    </row>
    <row r="499" spans="1:5" thickBot="1" x14ac:dyDescent="0.3">
      <c r="A499" s="18" t="s">
        <v>419</v>
      </c>
      <c r="B499" s="14">
        <f>IFERROR(VLOOKUP(A499,Tabla3[],2,FALSE),0)</f>
        <v>1</v>
      </c>
      <c r="C499" s="47"/>
      <c r="D499" s="47" t="s">
        <v>84</v>
      </c>
      <c r="E499" s="47">
        <f>B499*75</f>
        <v>75</v>
      </c>
    </row>
    <row r="500" spans="1:5" thickBot="1" x14ac:dyDescent="0.3">
      <c r="A500" s="18" t="s">
        <v>420</v>
      </c>
      <c r="B500" s="14">
        <f>IFERROR(VLOOKUP(A500,Tabla3[],2,FALSE),0)</f>
        <v>0</v>
      </c>
      <c r="C500" s="47"/>
      <c r="D500" s="20" t="s">
        <v>84</v>
      </c>
      <c r="E500" s="47">
        <f>B500*150</f>
        <v>0</v>
      </c>
    </row>
    <row r="501" spans="1:5" thickBot="1" x14ac:dyDescent="0.3">
      <c r="A501" s="18" t="s">
        <v>421</v>
      </c>
      <c r="B501" s="14">
        <f>IFERROR(VLOOKUP(A501,Tabla3[],2,FALSE),0)</f>
        <v>9</v>
      </c>
      <c r="C501" s="47"/>
      <c r="D501" s="20" t="s">
        <v>124</v>
      </c>
      <c r="E501" s="47">
        <f>B501*75</f>
        <v>675</v>
      </c>
    </row>
    <row r="502" spans="1:5" thickBot="1" x14ac:dyDescent="0.3">
      <c r="A502" s="22" t="s">
        <v>422</v>
      </c>
      <c r="B502" s="14">
        <f>IFERROR(VLOOKUP(A502,Tabla3[],2,FALSE),0)</f>
        <v>11</v>
      </c>
      <c r="C502" s="42"/>
      <c r="D502" s="23" t="s">
        <v>124</v>
      </c>
      <c r="E502" s="42">
        <f t="shared" ref="E502:E503" si="18">B502*150</f>
        <v>1650</v>
      </c>
    </row>
    <row r="503" spans="1:5" thickBot="1" x14ac:dyDescent="0.3">
      <c r="A503" s="25" t="s">
        <v>564</v>
      </c>
      <c r="B503" s="14">
        <f>IFERROR(VLOOKUP(A503,Tabla3[],2,FALSE),0)</f>
        <v>20</v>
      </c>
      <c r="C503" s="26"/>
      <c r="D503" s="26" t="s">
        <v>47</v>
      </c>
      <c r="E503" s="75">
        <f t="shared" si="18"/>
        <v>3000</v>
      </c>
    </row>
    <row r="504" spans="1:5" thickBot="1" x14ac:dyDescent="0.3">
      <c r="A504" s="34"/>
      <c r="B504" s="14">
        <f>IFERROR(VLOOKUP(A504,Tabla3[],2,FALSE),0)</f>
        <v>0</v>
      </c>
      <c r="C504" s="35"/>
      <c r="D504" s="35" t="s">
        <v>110</v>
      </c>
      <c r="E504" s="76">
        <f>B503</f>
        <v>20</v>
      </c>
    </row>
    <row r="505" spans="1:5" thickBot="1" x14ac:dyDescent="0.3">
      <c r="A505" s="30" t="s">
        <v>563</v>
      </c>
      <c r="B505" s="14">
        <f>IFERROR(VLOOKUP(A505,Tabla3[],2,FALSE),0)</f>
        <v>0</v>
      </c>
      <c r="C505" s="31"/>
      <c r="D505" s="31" t="s">
        <v>47</v>
      </c>
      <c r="E505" s="78">
        <f>B505*150</f>
        <v>0</v>
      </c>
    </row>
    <row r="506" spans="1:5" thickBot="1" x14ac:dyDescent="0.3">
      <c r="A506" s="34"/>
      <c r="B506" s="14">
        <f>IFERROR(VLOOKUP(A506,Tabla3[],2,FALSE),0)</f>
        <v>0</v>
      </c>
      <c r="C506" s="35"/>
      <c r="D506" s="35" t="s">
        <v>100</v>
      </c>
      <c r="E506" s="76">
        <f>B505</f>
        <v>0</v>
      </c>
    </row>
    <row r="507" spans="1:5" thickBot="1" x14ac:dyDescent="0.3">
      <c r="A507" s="25" t="s">
        <v>566</v>
      </c>
      <c r="B507" s="14">
        <f>IFERROR(VLOOKUP(A507,Tabla3[],2,FALSE),0)</f>
        <v>2</v>
      </c>
      <c r="C507" s="26"/>
      <c r="D507" s="26" t="s">
        <v>98</v>
      </c>
      <c r="E507" s="75">
        <f>B507*150</f>
        <v>300</v>
      </c>
    </row>
    <row r="508" spans="1:5" thickBot="1" x14ac:dyDescent="0.3">
      <c r="A508" s="34"/>
      <c r="B508" s="14">
        <f>IFERROR(VLOOKUP(A508,Tabla3[],2,FALSE),0)</f>
        <v>0</v>
      </c>
      <c r="C508" s="35"/>
      <c r="D508" s="35" t="s">
        <v>110</v>
      </c>
      <c r="E508" s="76">
        <f>B507</f>
        <v>2</v>
      </c>
    </row>
    <row r="509" spans="1:5" thickBot="1" x14ac:dyDescent="0.3">
      <c r="A509" s="112" t="s">
        <v>663</v>
      </c>
      <c r="B509" s="14">
        <f>IFERROR(VLOOKUP(A509,Tabla3[],2,FALSE),0)</f>
        <v>5</v>
      </c>
      <c r="C509" s="51"/>
      <c r="D509" s="51" t="s">
        <v>270</v>
      </c>
      <c r="E509" s="51">
        <f t="shared" ref="E509:E510" si="19">B509*150</f>
        <v>750</v>
      </c>
    </row>
    <row r="510" spans="1:5" thickBot="1" x14ac:dyDescent="0.3">
      <c r="A510" s="25" t="s">
        <v>323</v>
      </c>
      <c r="B510" s="14">
        <f>IFERROR(VLOOKUP(A510,Tabla3[],2,FALSE),0)</f>
        <v>52</v>
      </c>
      <c r="C510" s="37"/>
      <c r="D510" s="26" t="s">
        <v>47</v>
      </c>
      <c r="E510" s="67">
        <f t="shared" si="19"/>
        <v>7800</v>
      </c>
    </row>
    <row r="511" spans="1:5" thickBot="1" x14ac:dyDescent="0.3">
      <c r="A511" s="49" t="s">
        <v>565</v>
      </c>
      <c r="B511" s="14">
        <f>IFERROR(VLOOKUP(A511,Tabla3[],2,FALSE),0)</f>
        <v>0</v>
      </c>
      <c r="C511" s="51"/>
      <c r="D511" s="51" t="s">
        <v>48</v>
      </c>
      <c r="E511" s="51">
        <f>150*B511</f>
        <v>0</v>
      </c>
    </row>
    <row r="512" spans="1:5" thickBot="1" x14ac:dyDescent="0.3">
      <c r="A512" s="22" t="s">
        <v>423</v>
      </c>
      <c r="B512" s="14">
        <f>IFERROR(VLOOKUP(A512,Tabla3[],2,FALSE),0)</f>
        <v>0</v>
      </c>
      <c r="C512" s="23"/>
      <c r="D512" s="23" t="s">
        <v>122</v>
      </c>
      <c r="E512" s="23">
        <f>B512*150</f>
        <v>0</v>
      </c>
    </row>
    <row r="513" spans="1:5" thickBot="1" x14ac:dyDescent="0.3">
      <c r="A513" s="25" t="s">
        <v>424</v>
      </c>
      <c r="B513" s="14">
        <f>IFERROR(VLOOKUP(A513,Tabla3[],2,FALSE),0)</f>
        <v>1</v>
      </c>
      <c r="C513" s="26" t="s">
        <v>131</v>
      </c>
      <c r="D513" s="26" t="s">
        <v>270</v>
      </c>
      <c r="E513" s="26">
        <f>B513*75*2</f>
        <v>150</v>
      </c>
    </row>
    <row r="514" spans="1:5" thickBot="1" x14ac:dyDescent="0.3">
      <c r="A514" s="34"/>
      <c r="B514" s="14">
        <f>IFERROR(VLOOKUP(A514,Tabla3[],2,FALSE),0)</f>
        <v>0</v>
      </c>
      <c r="C514" s="35" t="s">
        <v>131</v>
      </c>
      <c r="D514" s="35" t="s">
        <v>106</v>
      </c>
      <c r="E514" s="35">
        <f>B513*20*2</f>
        <v>40</v>
      </c>
    </row>
    <row r="515" spans="1:5" thickBot="1" x14ac:dyDescent="0.3">
      <c r="A515" s="34"/>
      <c r="B515" s="14">
        <f>IFERROR(VLOOKUP(A515,Tabla3[],2,FALSE),0)</f>
        <v>0</v>
      </c>
      <c r="C515" s="35" t="s">
        <v>133</v>
      </c>
      <c r="D515" s="35" t="s">
        <v>51</v>
      </c>
      <c r="E515" s="35">
        <f>B513*20*2</f>
        <v>40</v>
      </c>
    </row>
    <row r="516" spans="1:5" thickBot="1" x14ac:dyDescent="0.3">
      <c r="A516" s="32"/>
      <c r="B516" s="14">
        <f>IFERROR(VLOOKUP(A516,Tabla3[],2,FALSE),0)</f>
        <v>0</v>
      </c>
      <c r="C516" s="33" t="s">
        <v>131</v>
      </c>
      <c r="D516" s="33" t="s">
        <v>128</v>
      </c>
      <c r="E516" s="33">
        <f>B513*10*2</f>
        <v>20</v>
      </c>
    </row>
    <row r="517" spans="1:5" thickBot="1" x14ac:dyDescent="0.3">
      <c r="A517" s="25" t="s">
        <v>425</v>
      </c>
      <c r="B517" s="14">
        <f>IFERROR(VLOOKUP(A517,Tabla3[],2,FALSE),0)</f>
        <v>7</v>
      </c>
      <c r="C517" s="26"/>
      <c r="D517" s="26" t="s">
        <v>637</v>
      </c>
      <c r="E517" s="26">
        <f>B517*3</f>
        <v>21</v>
      </c>
    </row>
    <row r="518" spans="1:5" thickBot="1" x14ac:dyDescent="0.3">
      <c r="A518" s="34"/>
      <c r="B518" s="14">
        <f>IFERROR(VLOOKUP(A518,Tabla3[],2,FALSE),0)</f>
        <v>0</v>
      </c>
      <c r="C518" s="35"/>
      <c r="D518" s="35" t="s">
        <v>636</v>
      </c>
      <c r="E518" s="35">
        <f>B517*3</f>
        <v>21</v>
      </c>
    </row>
    <row r="519" spans="1:5" thickBot="1" x14ac:dyDescent="0.3">
      <c r="A519" s="34"/>
      <c r="B519" s="14">
        <f>IFERROR(VLOOKUP(A519,Tabla3[],2,FALSE),0)</f>
        <v>0</v>
      </c>
      <c r="C519" s="35"/>
      <c r="D519" s="35" t="s">
        <v>97</v>
      </c>
      <c r="E519" s="35">
        <f>B517*150</f>
        <v>1050</v>
      </c>
    </row>
    <row r="520" spans="1:5" thickBot="1" x14ac:dyDescent="0.3">
      <c r="A520" s="34"/>
      <c r="B520" s="14">
        <f>IFERROR(VLOOKUP(A520,Tabla3[],2,FALSE),0)</f>
        <v>0</v>
      </c>
      <c r="C520" s="35" t="s">
        <v>133</v>
      </c>
      <c r="D520" s="35" t="s">
        <v>51</v>
      </c>
      <c r="E520" s="35">
        <f>B517*20*3</f>
        <v>420</v>
      </c>
    </row>
    <row r="521" spans="1:5" thickBot="1" x14ac:dyDescent="0.3">
      <c r="A521" s="34"/>
      <c r="B521" s="14">
        <f>IFERROR(VLOOKUP(A521,Tabla3[],2,FALSE),0)</f>
        <v>0</v>
      </c>
      <c r="C521" s="35" t="s">
        <v>131</v>
      </c>
      <c r="D521" s="35" t="s">
        <v>106</v>
      </c>
      <c r="E521" s="35">
        <f>B517*30*3</f>
        <v>630</v>
      </c>
    </row>
    <row r="522" spans="1:5" thickBot="1" x14ac:dyDescent="0.3">
      <c r="A522" s="32"/>
      <c r="B522" s="14">
        <f>IFERROR(VLOOKUP(A522,Tabla3[],2,FALSE),0)</f>
        <v>0</v>
      </c>
      <c r="C522" s="33" t="s">
        <v>131</v>
      </c>
      <c r="D522" s="33" t="s">
        <v>116</v>
      </c>
      <c r="E522" s="33">
        <f>B517*75*3</f>
        <v>1575</v>
      </c>
    </row>
    <row r="523" spans="1:5" ht="15.75" customHeight="1" thickBot="1" x14ac:dyDescent="0.3">
      <c r="A523" s="25" t="s">
        <v>426</v>
      </c>
      <c r="B523" s="14">
        <f>IFERROR(VLOOKUP(A523,Tabla3[],2,FALSE),0)</f>
        <v>0</v>
      </c>
      <c r="C523" s="26" t="s">
        <v>131</v>
      </c>
      <c r="D523" s="26" t="s">
        <v>123</v>
      </c>
      <c r="E523" s="26">
        <f>B523*75*3</f>
        <v>0</v>
      </c>
    </row>
    <row r="524" spans="1:5" ht="15.75" customHeight="1" thickBot="1" x14ac:dyDescent="0.3">
      <c r="A524" s="34"/>
      <c r="B524" s="14">
        <f>IFERROR(VLOOKUP(A524,Tabla3[],2,FALSE),0)</f>
        <v>0</v>
      </c>
      <c r="C524" s="35" t="s">
        <v>131</v>
      </c>
      <c r="D524" s="35" t="s">
        <v>106</v>
      </c>
      <c r="E524" s="35">
        <f>B523*30*3</f>
        <v>0</v>
      </c>
    </row>
    <row r="525" spans="1:5" thickBot="1" x14ac:dyDescent="0.3">
      <c r="A525" s="34"/>
      <c r="B525" s="14">
        <f>IFERROR(VLOOKUP(A525,Tabla3[],2,FALSE),0)</f>
        <v>0</v>
      </c>
      <c r="C525" s="35" t="s">
        <v>131</v>
      </c>
      <c r="D525" s="35" t="s">
        <v>128</v>
      </c>
      <c r="E525" s="35">
        <f>B523*10*3</f>
        <v>0</v>
      </c>
    </row>
    <row r="526" spans="1:5" thickBot="1" x14ac:dyDescent="0.3">
      <c r="A526" s="32"/>
      <c r="B526" s="14">
        <f>IFERROR(VLOOKUP(A526,Tabla3[],2,FALSE),0)</f>
        <v>0</v>
      </c>
      <c r="C526" s="33" t="s">
        <v>133</v>
      </c>
      <c r="D526" s="33" t="s">
        <v>51</v>
      </c>
      <c r="E526" s="33">
        <f>B523*40*3</f>
        <v>0</v>
      </c>
    </row>
    <row r="527" spans="1:5" thickBot="1" x14ac:dyDescent="0.3">
      <c r="A527" s="25" t="s">
        <v>427</v>
      </c>
      <c r="B527" s="14">
        <f>IFERROR(VLOOKUP(A527,Tabla3[],2,FALSE),0)</f>
        <v>0</v>
      </c>
      <c r="C527" s="26" t="s">
        <v>131</v>
      </c>
      <c r="D527" s="26" t="s">
        <v>123</v>
      </c>
      <c r="E527" s="26">
        <f>B527*75*3</f>
        <v>0</v>
      </c>
    </row>
    <row r="528" spans="1:5" thickBot="1" x14ac:dyDescent="0.3">
      <c r="A528" s="34"/>
      <c r="B528" s="14">
        <f>IFERROR(VLOOKUP(A528,Tabla3[],2,FALSE),0)</f>
        <v>0</v>
      </c>
      <c r="C528" s="35" t="s">
        <v>131</v>
      </c>
      <c r="D528" s="35" t="s">
        <v>106</v>
      </c>
      <c r="E528" s="35">
        <f>B527*30*3</f>
        <v>0</v>
      </c>
    </row>
    <row r="529" spans="1:5" thickBot="1" x14ac:dyDescent="0.3">
      <c r="A529" s="34"/>
      <c r="B529" s="14">
        <f>IFERROR(VLOOKUP(A529,Tabla3[],2,FALSE),0)</f>
        <v>0</v>
      </c>
      <c r="C529" s="35" t="s">
        <v>131</v>
      </c>
      <c r="D529" s="35" t="s">
        <v>128</v>
      </c>
      <c r="E529" s="35">
        <f>B527*10*3</f>
        <v>0</v>
      </c>
    </row>
    <row r="530" spans="1:5" thickBot="1" x14ac:dyDescent="0.3">
      <c r="A530" s="34"/>
      <c r="B530" s="14">
        <f>IFERROR(VLOOKUP(A530,Tabla3[],2,FALSE),0)</f>
        <v>0</v>
      </c>
      <c r="C530" s="35" t="s">
        <v>133</v>
      </c>
      <c r="D530" s="35" t="s">
        <v>51</v>
      </c>
      <c r="E530" s="35">
        <f>B527*40*3</f>
        <v>0</v>
      </c>
    </row>
    <row r="531" spans="1:5" thickBot="1" x14ac:dyDescent="0.3">
      <c r="A531" s="32"/>
      <c r="B531" s="14">
        <f>IFERROR(VLOOKUP(A531,Tabla3[],2,FALSE),0)</f>
        <v>0</v>
      </c>
      <c r="C531" s="39"/>
      <c r="D531" s="33" t="s">
        <v>582</v>
      </c>
      <c r="E531" s="33">
        <f>B527*30*3</f>
        <v>0</v>
      </c>
    </row>
    <row r="532" spans="1:5" thickBot="1" x14ac:dyDescent="0.3">
      <c r="A532" s="25" t="s">
        <v>554</v>
      </c>
      <c r="B532" s="14">
        <f>IFERROR(VLOOKUP(A532,Tabla3[],2,FALSE),0)</f>
        <v>0</v>
      </c>
      <c r="C532" s="26" t="s">
        <v>131</v>
      </c>
      <c r="D532" s="26" t="s">
        <v>123</v>
      </c>
      <c r="E532" s="26">
        <f>B532*75*3</f>
        <v>0</v>
      </c>
    </row>
    <row r="533" spans="1:5" thickBot="1" x14ac:dyDescent="0.3">
      <c r="A533" s="34"/>
      <c r="B533" s="14">
        <f>IFERROR(VLOOKUP(A533,Tabla3[],2,FALSE),0)</f>
        <v>0</v>
      </c>
      <c r="C533" s="35" t="s">
        <v>131</v>
      </c>
      <c r="D533" s="35" t="s">
        <v>106</v>
      </c>
      <c r="E533" s="35">
        <f>B532*30*3</f>
        <v>0</v>
      </c>
    </row>
    <row r="534" spans="1:5" thickBot="1" x14ac:dyDescent="0.3">
      <c r="A534" s="34"/>
      <c r="B534" s="14">
        <f>IFERROR(VLOOKUP(A534,Tabla3[],2,FALSE),0)</f>
        <v>0</v>
      </c>
      <c r="C534" s="35" t="s">
        <v>131</v>
      </c>
      <c r="D534" s="35" t="s">
        <v>128</v>
      </c>
      <c r="E534" s="35">
        <f>B532*10*3</f>
        <v>0</v>
      </c>
    </row>
    <row r="535" spans="1:5" thickBot="1" x14ac:dyDescent="0.3">
      <c r="A535" s="34"/>
      <c r="B535" s="14">
        <f>IFERROR(VLOOKUP(A535,Tabla3[],2,FALSE),0)</f>
        <v>0</v>
      </c>
      <c r="C535" s="35" t="s">
        <v>133</v>
      </c>
      <c r="D535" s="35" t="s">
        <v>51</v>
      </c>
      <c r="E535" s="35">
        <f>B532*40*3</f>
        <v>0</v>
      </c>
    </row>
    <row r="536" spans="1:5" thickBot="1" x14ac:dyDescent="0.3">
      <c r="A536" s="32"/>
      <c r="B536" s="14">
        <f>IFERROR(VLOOKUP(A536,Tabla3[],2,FALSE),0)</f>
        <v>0</v>
      </c>
      <c r="C536" s="39"/>
      <c r="D536" s="33" t="s">
        <v>105</v>
      </c>
      <c r="E536" s="33">
        <f>B532*30*3</f>
        <v>0</v>
      </c>
    </row>
    <row r="537" spans="1:5" thickBot="1" x14ac:dyDescent="0.3">
      <c r="A537" s="25" t="s">
        <v>553</v>
      </c>
      <c r="B537" s="14">
        <f>IFERROR(VLOOKUP(A537,Tabla3[],2,FALSE),0)</f>
        <v>0</v>
      </c>
      <c r="C537" s="26" t="s">
        <v>131</v>
      </c>
      <c r="D537" s="26" t="s">
        <v>123</v>
      </c>
      <c r="E537" s="26">
        <f>B537*75*3</f>
        <v>0</v>
      </c>
    </row>
    <row r="538" spans="1:5" thickBot="1" x14ac:dyDescent="0.3">
      <c r="A538" s="34"/>
      <c r="B538" s="14">
        <f>IFERROR(VLOOKUP(A538,Tabla3[],2,FALSE),0)</f>
        <v>0</v>
      </c>
      <c r="C538" s="35" t="s">
        <v>131</v>
      </c>
      <c r="D538" s="35" t="s">
        <v>106</v>
      </c>
      <c r="E538" s="35">
        <f>B537*30*3</f>
        <v>0</v>
      </c>
    </row>
    <row r="539" spans="1:5" thickBot="1" x14ac:dyDescent="0.3">
      <c r="A539" s="34"/>
      <c r="B539" s="14">
        <f>IFERROR(VLOOKUP(A539,Tabla3[],2,FALSE),0)</f>
        <v>0</v>
      </c>
      <c r="C539" s="35" t="s">
        <v>131</v>
      </c>
      <c r="D539" s="35" t="s">
        <v>128</v>
      </c>
      <c r="E539" s="35">
        <f>B537*10*3</f>
        <v>0</v>
      </c>
    </row>
    <row r="540" spans="1:5" thickBot="1" x14ac:dyDescent="0.3">
      <c r="A540" s="34"/>
      <c r="B540" s="14">
        <f>IFERROR(VLOOKUP(A540,Tabla3[],2,FALSE),0)</f>
        <v>0</v>
      </c>
      <c r="C540" s="35" t="s">
        <v>133</v>
      </c>
      <c r="D540" s="35" t="s">
        <v>51</v>
      </c>
      <c r="E540" s="35">
        <f>B537*40*3</f>
        <v>0</v>
      </c>
    </row>
    <row r="541" spans="1:5" thickBot="1" x14ac:dyDescent="0.3">
      <c r="A541" s="32"/>
      <c r="B541" s="14">
        <f>IFERROR(VLOOKUP(A541,Tabla3[],2,FALSE),0)</f>
        <v>0</v>
      </c>
      <c r="C541" s="39"/>
      <c r="D541" s="33" t="s">
        <v>67</v>
      </c>
      <c r="E541" s="33">
        <f>B537*30*3</f>
        <v>0</v>
      </c>
    </row>
    <row r="542" spans="1:5" thickBot="1" x14ac:dyDescent="0.3">
      <c r="A542" s="25" t="s">
        <v>548</v>
      </c>
      <c r="B542" s="14">
        <f>IFERROR(VLOOKUP(A542,Tabla3[],2,FALSE),0)</f>
        <v>0</v>
      </c>
      <c r="C542" s="26" t="s">
        <v>131</v>
      </c>
      <c r="D542" s="26" t="s">
        <v>116</v>
      </c>
      <c r="E542" s="26">
        <f>B542*75*3</f>
        <v>0</v>
      </c>
    </row>
    <row r="543" spans="1:5" thickBot="1" x14ac:dyDescent="0.3">
      <c r="A543" s="34"/>
      <c r="B543" s="14">
        <f>IFERROR(VLOOKUP(A543,Tabla3[],2,FALSE),0)</f>
        <v>0</v>
      </c>
      <c r="C543" s="35"/>
      <c r="D543" s="35" t="s">
        <v>128</v>
      </c>
      <c r="E543" s="35">
        <f>B542*30*3</f>
        <v>0</v>
      </c>
    </row>
    <row r="544" spans="1:5" thickBot="1" x14ac:dyDescent="0.3">
      <c r="A544" s="34"/>
      <c r="B544" s="14">
        <f>IFERROR(VLOOKUP(A544,Tabla3[],2,FALSE),0)</f>
        <v>0</v>
      </c>
      <c r="C544" s="35" t="s">
        <v>133</v>
      </c>
      <c r="D544" s="35" t="s">
        <v>106</v>
      </c>
      <c r="E544" s="35">
        <f>B542*30*3</f>
        <v>0</v>
      </c>
    </row>
    <row r="545" spans="1:5" thickBot="1" x14ac:dyDescent="0.3">
      <c r="A545" s="34"/>
      <c r="B545" s="14">
        <f>IFERROR(VLOOKUP(A545,Tabla3[],2,FALSE),0)</f>
        <v>0</v>
      </c>
      <c r="C545" s="35" t="s">
        <v>133</v>
      </c>
      <c r="D545" s="35" t="s">
        <v>51</v>
      </c>
      <c r="E545" s="35">
        <f>B542*40*3</f>
        <v>0</v>
      </c>
    </row>
    <row r="546" spans="1:5" thickBot="1" x14ac:dyDescent="0.3">
      <c r="A546" s="27"/>
      <c r="B546" s="14">
        <f>IFERROR(VLOOKUP(A546,Tabla3[],2,FALSE),0)</f>
        <v>0</v>
      </c>
      <c r="C546" s="28" t="s">
        <v>133</v>
      </c>
      <c r="D546" s="28" t="s">
        <v>105</v>
      </c>
      <c r="E546" s="28">
        <f>B542*150*3</f>
        <v>0</v>
      </c>
    </row>
    <row r="547" spans="1:5" thickBot="1" x14ac:dyDescent="0.3">
      <c r="A547" s="80" t="s">
        <v>549</v>
      </c>
      <c r="B547" s="14">
        <f>IFERROR(VLOOKUP(A547,Tabla3[],2,FALSE),0)</f>
        <v>0</v>
      </c>
      <c r="C547" s="31" t="s">
        <v>131</v>
      </c>
      <c r="D547" s="31" t="s">
        <v>116</v>
      </c>
      <c r="E547" s="31">
        <f>B547*75*3</f>
        <v>0</v>
      </c>
    </row>
    <row r="548" spans="1:5" thickBot="1" x14ac:dyDescent="0.3">
      <c r="A548" s="81"/>
      <c r="B548" s="14">
        <f>IFERROR(VLOOKUP(A548,Tabla3[],2,FALSE),0)</f>
        <v>0</v>
      </c>
      <c r="C548" s="35"/>
      <c r="D548" s="35" t="s">
        <v>128</v>
      </c>
      <c r="E548" s="35">
        <f>B547*30*3</f>
        <v>0</v>
      </c>
    </row>
    <row r="549" spans="1:5" thickBot="1" x14ac:dyDescent="0.3">
      <c r="A549" s="81"/>
      <c r="B549" s="14">
        <f>IFERROR(VLOOKUP(A549,Tabla3[],2,FALSE),0)</f>
        <v>0</v>
      </c>
      <c r="C549" s="35" t="s">
        <v>133</v>
      </c>
      <c r="D549" s="35" t="s">
        <v>106</v>
      </c>
      <c r="E549" s="35">
        <f>B547*30*3</f>
        <v>0</v>
      </c>
    </row>
    <row r="550" spans="1:5" thickBot="1" x14ac:dyDescent="0.3">
      <c r="A550" s="81"/>
      <c r="B550" s="14">
        <f>IFERROR(VLOOKUP(A550,Tabla3[],2,FALSE),0)</f>
        <v>0</v>
      </c>
      <c r="C550" s="35" t="s">
        <v>133</v>
      </c>
      <c r="D550" s="35" t="s">
        <v>51</v>
      </c>
      <c r="E550" s="35">
        <f>B547*40*3</f>
        <v>0</v>
      </c>
    </row>
    <row r="551" spans="1:5" thickBot="1" x14ac:dyDescent="0.3">
      <c r="A551" s="82"/>
      <c r="B551" s="14">
        <f>IFERROR(VLOOKUP(A551,Tabla3[],2,FALSE),0)</f>
        <v>0</v>
      </c>
      <c r="C551" s="33" t="s">
        <v>133</v>
      </c>
      <c r="D551" s="33" t="s">
        <v>582</v>
      </c>
      <c r="E551" s="33">
        <f>B547*150*3</f>
        <v>0</v>
      </c>
    </row>
    <row r="552" spans="1:5" thickBot="1" x14ac:dyDescent="0.3">
      <c r="A552" s="25" t="s">
        <v>428</v>
      </c>
      <c r="B552" s="14">
        <f>IFERROR(VLOOKUP(A552,Tabla3[],2,FALSE),0)</f>
        <v>7</v>
      </c>
      <c r="C552" s="37"/>
      <c r="D552" s="26" t="s">
        <v>55</v>
      </c>
      <c r="E552" s="37">
        <f>B552*250</f>
        <v>1750</v>
      </c>
    </row>
    <row r="553" spans="1:5" thickBot="1" x14ac:dyDescent="0.3">
      <c r="A553" s="34"/>
      <c r="B553" s="14">
        <f>IFERROR(VLOOKUP(A553,Tabla3[],2,FALSE),0)</f>
        <v>0</v>
      </c>
      <c r="C553" s="38"/>
      <c r="D553" s="35" t="s">
        <v>89</v>
      </c>
      <c r="E553" s="38">
        <f>B552*75</f>
        <v>525</v>
      </c>
    </row>
    <row r="554" spans="1:5" thickBot="1" x14ac:dyDescent="0.3">
      <c r="A554" s="34"/>
      <c r="B554" s="14">
        <f>IFERROR(VLOOKUP(A554,Tabla3[],2,FALSE),0)</f>
        <v>0</v>
      </c>
      <c r="C554" s="38"/>
      <c r="D554" s="35" t="s">
        <v>82</v>
      </c>
      <c r="E554" s="38">
        <f>B552*30</f>
        <v>210</v>
      </c>
    </row>
    <row r="555" spans="1:5" thickBot="1" x14ac:dyDescent="0.3">
      <c r="A555" s="27"/>
      <c r="B555" s="14">
        <f>IFERROR(VLOOKUP(A555,Tabla3[],2,FALSE),0)</f>
        <v>0</v>
      </c>
      <c r="C555" s="41"/>
      <c r="D555" s="28" t="s">
        <v>64</v>
      </c>
      <c r="E555" s="41">
        <f>B552*10</f>
        <v>70</v>
      </c>
    </row>
    <row r="556" spans="1:5" thickBot="1" x14ac:dyDescent="0.3">
      <c r="A556" s="80" t="s">
        <v>429</v>
      </c>
      <c r="B556" s="14">
        <f>IFERROR(VLOOKUP(A556,Tabla3[],2,FALSE),0)</f>
        <v>14</v>
      </c>
      <c r="C556" s="31"/>
      <c r="D556" s="31" t="s">
        <v>55</v>
      </c>
      <c r="E556" s="31">
        <f>B556*700</f>
        <v>9800</v>
      </c>
    </row>
    <row r="557" spans="1:5" thickBot="1" x14ac:dyDescent="0.3">
      <c r="A557" s="81"/>
      <c r="B557" s="14">
        <f>IFERROR(VLOOKUP(A557,Tabla3[],2,FALSE),0)</f>
        <v>0</v>
      </c>
      <c r="C557" s="35"/>
      <c r="D557" s="35" t="s">
        <v>89</v>
      </c>
      <c r="E557" s="35">
        <f>B556*60</f>
        <v>840</v>
      </c>
    </row>
    <row r="558" spans="1:5" thickBot="1" x14ac:dyDescent="0.3">
      <c r="A558" s="81"/>
      <c r="B558" s="14">
        <f>IFERROR(VLOOKUP(A558,Tabla3[],2,FALSE),0)</f>
        <v>0</v>
      </c>
      <c r="C558" s="35"/>
      <c r="D558" s="35" t="s">
        <v>82</v>
      </c>
      <c r="E558" s="35">
        <f>B556*30</f>
        <v>420</v>
      </c>
    </row>
    <row r="559" spans="1:5" thickBot="1" x14ac:dyDescent="0.3">
      <c r="A559" s="82"/>
      <c r="B559" s="14">
        <f>IFERROR(VLOOKUP(A559,Tabla3[],2,FALSE),0)</f>
        <v>0</v>
      </c>
      <c r="C559" s="33"/>
      <c r="D559" s="33" t="s">
        <v>64</v>
      </c>
      <c r="E559" s="33">
        <f>B556*10</f>
        <v>140</v>
      </c>
    </row>
    <row r="560" spans="1:5" ht="16.5" thickBot="1" x14ac:dyDescent="0.3">
      <c r="A560" s="83" t="s">
        <v>626</v>
      </c>
      <c r="B560" s="14">
        <f>IFERROR(VLOOKUP(A560,Tabla3[],2,FALSE),0)</f>
        <v>75</v>
      </c>
      <c r="C560" s="47"/>
      <c r="D560" s="20" t="s">
        <v>106</v>
      </c>
      <c r="E560" s="47">
        <f t="shared" ref="E560:E561" si="20">B560*75</f>
        <v>5625</v>
      </c>
    </row>
    <row r="561" spans="1:5" ht="16.5" thickBot="1" x14ac:dyDescent="0.3">
      <c r="A561" s="83" t="s">
        <v>205</v>
      </c>
      <c r="B561" s="14">
        <f>IFERROR(VLOOKUP(A561,Tabla3[],2,FALSE),0)</f>
        <v>58</v>
      </c>
      <c r="C561" s="47"/>
      <c r="D561" s="20" t="s">
        <v>106</v>
      </c>
      <c r="E561" s="47">
        <f t="shared" si="20"/>
        <v>4350</v>
      </c>
    </row>
    <row r="562" spans="1:5" thickBot="1" x14ac:dyDescent="0.3">
      <c r="A562" s="18" t="s">
        <v>430</v>
      </c>
      <c r="B562" s="14">
        <f>IFERROR(VLOOKUP(A562,Tabla3[],2,FALSE),0)</f>
        <v>9</v>
      </c>
      <c r="C562" s="47"/>
      <c r="D562" s="20" t="s">
        <v>19</v>
      </c>
      <c r="E562" s="47">
        <f t="shared" ref="E562:E564" si="21">1*B562</f>
        <v>9</v>
      </c>
    </row>
    <row r="563" spans="1:5" thickBot="1" x14ac:dyDescent="0.3">
      <c r="A563" s="18" t="s">
        <v>431</v>
      </c>
      <c r="B563" s="14">
        <f>IFERROR(VLOOKUP(A563,Tabla3[],2,FALSE),0)</f>
        <v>0</v>
      </c>
      <c r="C563" s="47"/>
      <c r="D563" s="47" t="s">
        <v>583</v>
      </c>
      <c r="E563" s="47">
        <f t="shared" si="21"/>
        <v>0</v>
      </c>
    </row>
    <row r="564" spans="1:5" thickBot="1" x14ac:dyDescent="0.3">
      <c r="A564" s="18" t="s">
        <v>431</v>
      </c>
      <c r="B564" s="14">
        <f>IFERROR(VLOOKUP(A564,Tabla3[],2,FALSE),0)</f>
        <v>0</v>
      </c>
      <c r="C564" s="47"/>
      <c r="D564" s="47" t="s">
        <v>583</v>
      </c>
      <c r="E564" s="47">
        <f t="shared" si="21"/>
        <v>0</v>
      </c>
    </row>
    <row r="565" spans="1:5" thickBot="1" x14ac:dyDescent="0.3">
      <c r="A565" s="18" t="s">
        <v>432</v>
      </c>
      <c r="B565" s="14">
        <f>IFERROR(VLOOKUP(A565,Tabla3[],2,FALSE),0)</f>
        <v>3</v>
      </c>
      <c r="C565" s="47"/>
      <c r="D565" s="47" t="s">
        <v>76</v>
      </c>
      <c r="E565" s="3">
        <f>75*B565</f>
        <v>225</v>
      </c>
    </row>
    <row r="566" spans="1:5" thickBot="1" x14ac:dyDescent="0.3">
      <c r="A566" s="18"/>
      <c r="B566" s="14">
        <f>IFERROR(VLOOKUP(A566,Tabla3[],2,FALSE),0)</f>
        <v>0</v>
      </c>
      <c r="C566" s="47"/>
      <c r="D566" s="47" t="s">
        <v>106</v>
      </c>
      <c r="E566" s="3">
        <f>20*B565</f>
        <v>60</v>
      </c>
    </row>
    <row r="567" spans="1:5" thickBot="1" x14ac:dyDescent="0.3">
      <c r="A567" s="18" t="s">
        <v>433</v>
      </c>
      <c r="B567" s="14">
        <f>IFERROR(VLOOKUP(A567,Tabla3[],2,FALSE),0)</f>
        <v>0</v>
      </c>
      <c r="C567" s="47"/>
      <c r="D567" s="47" t="s">
        <v>275</v>
      </c>
      <c r="E567" s="3">
        <f>35*B567</f>
        <v>0</v>
      </c>
    </row>
    <row r="568" spans="1:5" thickBot="1" x14ac:dyDescent="0.3">
      <c r="A568" s="18"/>
      <c r="B568" s="14">
        <f>IFERROR(VLOOKUP(A568,Tabla3[],2,FALSE),0)</f>
        <v>0</v>
      </c>
      <c r="C568" s="47"/>
      <c r="D568" s="47" t="s">
        <v>94</v>
      </c>
      <c r="E568" s="3">
        <f>35*B567</f>
        <v>0</v>
      </c>
    </row>
    <row r="569" spans="1:5" thickBot="1" x14ac:dyDescent="0.3">
      <c r="A569" s="18"/>
      <c r="B569" s="14">
        <f>IFERROR(VLOOKUP(A569,Tabla3[],2,FALSE),0)</f>
        <v>0</v>
      </c>
      <c r="C569" s="47"/>
      <c r="D569" s="102" t="s">
        <v>69</v>
      </c>
      <c r="E569" s="3">
        <f>35*B567</f>
        <v>0</v>
      </c>
    </row>
    <row r="570" spans="1:5" thickBot="1" x14ac:dyDescent="0.3">
      <c r="A570" s="18" t="s">
        <v>434</v>
      </c>
      <c r="B570" s="14">
        <f>IFERROR(VLOOKUP(A570,Tabla3[],2,FALSE),0)</f>
        <v>7</v>
      </c>
      <c r="C570" s="47"/>
      <c r="D570" s="47" t="s">
        <v>109</v>
      </c>
      <c r="E570" s="3">
        <f>75*B570</f>
        <v>525</v>
      </c>
    </row>
    <row r="571" spans="1:5" thickBot="1" x14ac:dyDescent="0.3">
      <c r="A571" s="18"/>
      <c r="B571" s="14">
        <f>IFERROR(VLOOKUP(A571,Tabla3[],2,FALSE),0)</f>
        <v>0</v>
      </c>
      <c r="C571" s="47"/>
      <c r="D571" s="47" t="s">
        <v>59</v>
      </c>
      <c r="E571" s="3">
        <f>150*B570</f>
        <v>1050</v>
      </c>
    </row>
    <row r="572" spans="1:5" thickBot="1" x14ac:dyDescent="0.3">
      <c r="A572" s="18"/>
      <c r="B572" s="14">
        <f>IFERROR(VLOOKUP(A572,Tabla3[],2,FALSE),0)</f>
        <v>0</v>
      </c>
      <c r="C572" s="47"/>
      <c r="D572" s="47" t="s">
        <v>66</v>
      </c>
      <c r="E572" s="3">
        <f>35*B570</f>
        <v>245</v>
      </c>
    </row>
    <row r="573" spans="1:5" thickBot="1" x14ac:dyDescent="0.3">
      <c r="A573" s="18" t="s">
        <v>435</v>
      </c>
      <c r="B573" s="14">
        <f>IFERROR(VLOOKUP(A573,Tabla3[],2,FALSE),0)</f>
        <v>0</v>
      </c>
      <c r="C573" s="47"/>
      <c r="D573" s="47" t="s">
        <v>83</v>
      </c>
      <c r="E573" s="3">
        <f>75*B573</f>
        <v>0</v>
      </c>
    </row>
    <row r="574" spans="1:5" thickBot="1" x14ac:dyDescent="0.3">
      <c r="A574" s="18"/>
      <c r="B574" s="14">
        <f>IFERROR(VLOOKUP(A574,Tabla3[],2,FALSE),0)</f>
        <v>0</v>
      </c>
      <c r="C574" s="47"/>
      <c r="D574" s="47" t="s">
        <v>106</v>
      </c>
      <c r="E574" s="3">
        <f>20*B573</f>
        <v>0</v>
      </c>
    </row>
    <row r="575" spans="1:5" thickBot="1" x14ac:dyDescent="0.3">
      <c r="A575" s="18"/>
      <c r="B575" s="14">
        <f>IFERROR(VLOOKUP(A575,Tabla3[],2,FALSE),0)</f>
        <v>0</v>
      </c>
      <c r="C575" s="47"/>
      <c r="D575" s="47" t="s">
        <v>108</v>
      </c>
      <c r="E575" s="3">
        <f>30*B573</f>
        <v>0</v>
      </c>
    </row>
    <row r="576" spans="1:5" thickBot="1" x14ac:dyDescent="0.3">
      <c r="A576" s="18" t="s">
        <v>436</v>
      </c>
      <c r="B576" s="14">
        <f>IFERROR(VLOOKUP(A576,Tabla3[],2,FALSE),0)</f>
        <v>3</v>
      </c>
      <c r="C576" s="47"/>
      <c r="D576" s="47" t="s">
        <v>58</v>
      </c>
      <c r="E576" s="3">
        <f>75*B576</f>
        <v>225</v>
      </c>
    </row>
    <row r="577" spans="1:5" thickBot="1" x14ac:dyDescent="0.3">
      <c r="A577" s="18"/>
      <c r="B577" s="14">
        <f>IFERROR(VLOOKUP(A577,Tabla3[],2,FALSE),0)</f>
        <v>0</v>
      </c>
      <c r="C577" s="47"/>
      <c r="D577" s="47" t="s">
        <v>94</v>
      </c>
      <c r="E577" s="3">
        <f>75*B576</f>
        <v>225</v>
      </c>
    </row>
    <row r="578" spans="1:5" thickBot="1" x14ac:dyDescent="0.3">
      <c r="A578" s="18"/>
      <c r="B578" s="14">
        <f>IFERROR(VLOOKUP(A578,Tabla3[],2,FALSE),0)</f>
        <v>0</v>
      </c>
      <c r="C578" s="47"/>
      <c r="D578" s="47" t="s">
        <v>54</v>
      </c>
      <c r="E578" s="3">
        <f>75*B576</f>
        <v>225</v>
      </c>
    </row>
    <row r="579" spans="1:5" thickBot="1" x14ac:dyDescent="0.3">
      <c r="A579" s="18" t="s">
        <v>437</v>
      </c>
      <c r="B579" s="14">
        <f>IFERROR(VLOOKUP(A579,Tabla3[],2,FALSE),0)</f>
        <v>0</v>
      </c>
      <c r="C579" s="47"/>
      <c r="D579" s="47" t="s">
        <v>54</v>
      </c>
      <c r="E579" s="3">
        <f>75*B579</f>
        <v>0</v>
      </c>
    </row>
    <row r="580" spans="1:5" thickBot="1" x14ac:dyDescent="0.3">
      <c r="A580" s="53" t="s">
        <v>438</v>
      </c>
      <c r="B580" s="14">
        <f>IFERROR(VLOOKUP(A580,Tabla3[],2,FALSE),0)</f>
        <v>0</v>
      </c>
      <c r="C580" s="55"/>
      <c r="D580" s="55"/>
      <c r="E580" s="55"/>
    </row>
    <row r="581" spans="1:5" thickBot="1" x14ac:dyDescent="0.3">
      <c r="A581" s="25" t="s">
        <v>439</v>
      </c>
      <c r="B581" s="14">
        <f>IFERROR(VLOOKUP(A581,Tabla3[],2,FALSE),0)</f>
        <v>0</v>
      </c>
      <c r="C581" s="37"/>
      <c r="D581" s="26" t="s">
        <v>39</v>
      </c>
      <c r="E581" s="37">
        <f>B581*1</f>
        <v>0</v>
      </c>
    </row>
    <row r="582" spans="1:5" thickBot="1" x14ac:dyDescent="0.3">
      <c r="A582" s="32"/>
      <c r="B582" s="14">
        <f>IFERROR(VLOOKUP(A582,Tabla3[],2,FALSE),0)</f>
        <v>0</v>
      </c>
      <c r="C582" s="39"/>
      <c r="D582" s="33" t="s">
        <v>38</v>
      </c>
      <c r="E582" s="39">
        <f>B581*1</f>
        <v>0</v>
      </c>
    </row>
    <row r="583" spans="1:5" thickBot="1" x14ac:dyDescent="0.3">
      <c r="A583" s="25" t="s">
        <v>555</v>
      </c>
      <c r="B583" s="14">
        <f>IFERROR(VLOOKUP(A583,Tabla3[],2,FALSE),0)</f>
        <v>0</v>
      </c>
      <c r="C583" s="26"/>
      <c r="D583" s="26" t="s">
        <v>36</v>
      </c>
      <c r="E583" s="26">
        <f>B583</f>
        <v>0</v>
      </c>
    </row>
    <row r="584" spans="1:5" thickBot="1" x14ac:dyDescent="0.3">
      <c r="A584" s="32"/>
      <c r="B584" s="14">
        <f>IFERROR(VLOOKUP(A584,Tabla3[],2,FALSE),0)</f>
        <v>0</v>
      </c>
      <c r="C584" s="33"/>
      <c r="D584" s="33" t="s">
        <v>4</v>
      </c>
      <c r="E584" s="33">
        <f>B583</f>
        <v>0</v>
      </c>
    </row>
    <row r="585" spans="1:5" thickBot="1" x14ac:dyDescent="0.3">
      <c r="A585" s="53"/>
      <c r="B585" s="14">
        <f>IFERROR(VLOOKUP(A585,Tabla3[],2,FALSE),0)</f>
        <v>0</v>
      </c>
      <c r="C585" s="54"/>
      <c r="D585" s="54"/>
      <c r="E585" s="54"/>
    </row>
    <row r="586" spans="1:5" thickBot="1" x14ac:dyDescent="0.3">
      <c r="A586" s="25" t="s">
        <v>440</v>
      </c>
      <c r="B586" s="14">
        <f>IFERROR(VLOOKUP(A586,Tabla3[],2,FALSE),0)</f>
        <v>5</v>
      </c>
      <c r="C586" s="37"/>
      <c r="D586" s="37" t="s">
        <v>36</v>
      </c>
      <c r="E586" s="37">
        <f>1*B586</f>
        <v>5</v>
      </c>
    </row>
    <row r="587" spans="1:5" thickBot="1" x14ac:dyDescent="0.3">
      <c r="A587" s="34"/>
      <c r="B587" s="14">
        <f>IFERROR(VLOOKUP(A587,Tabla3[],2,FALSE),0)</f>
        <v>0</v>
      </c>
      <c r="C587" s="38"/>
      <c r="D587" s="38" t="s">
        <v>13</v>
      </c>
      <c r="E587" s="38">
        <f>300*B586</f>
        <v>1500</v>
      </c>
    </row>
    <row r="588" spans="1:5" thickBot="1" x14ac:dyDescent="0.3">
      <c r="A588" s="27"/>
      <c r="B588" s="14">
        <f>IFERROR(VLOOKUP(A588,Tabla3[],2,FALSE),0)</f>
        <v>0</v>
      </c>
      <c r="C588" s="41"/>
      <c r="D588" s="41" t="s">
        <v>209</v>
      </c>
      <c r="E588" s="41">
        <f>2*B586</f>
        <v>10</v>
      </c>
    </row>
    <row r="589" spans="1:5" thickBot="1" x14ac:dyDescent="0.3">
      <c r="A589" s="25" t="s">
        <v>441</v>
      </c>
      <c r="B589" s="14">
        <f>IFERROR(VLOOKUP(A589,Tabla3[],2,FALSE),0)</f>
        <v>7</v>
      </c>
      <c r="C589" s="37"/>
      <c r="D589" s="37" t="s">
        <v>11</v>
      </c>
      <c r="E589" s="37">
        <f>1*B589</f>
        <v>7</v>
      </c>
    </row>
    <row r="590" spans="1:5" thickBot="1" x14ac:dyDescent="0.3">
      <c r="A590" s="34"/>
      <c r="B590" s="14">
        <f>IFERROR(VLOOKUP(A590,Tabla3[],2,FALSE),0)</f>
        <v>0</v>
      </c>
      <c r="C590" s="38"/>
      <c r="D590" s="38" t="s">
        <v>13</v>
      </c>
      <c r="E590" s="38">
        <f>300*B589</f>
        <v>2100</v>
      </c>
    </row>
    <row r="591" spans="1:5" thickBot="1" x14ac:dyDescent="0.3">
      <c r="A591" s="27"/>
      <c r="B591" s="14">
        <f>IFERROR(VLOOKUP(A591,Tabla3[],2,FALSE),0)</f>
        <v>0</v>
      </c>
      <c r="C591" s="41"/>
      <c r="D591" s="41" t="s">
        <v>209</v>
      </c>
      <c r="E591" s="41">
        <f>2*B589</f>
        <v>14</v>
      </c>
    </row>
    <row r="592" spans="1:5" ht="15.75" customHeight="1" thickBot="1" x14ac:dyDescent="0.3">
      <c r="A592" s="25" t="s">
        <v>442</v>
      </c>
      <c r="B592" s="14">
        <f>IFERROR(VLOOKUP(A592,Tabla3[],2,FALSE),0)</f>
        <v>3</v>
      </c>
      <c r="C592" s="37"/>
      <c r="D592" s="37" t="s">
        <v>5</v>
      </c>
      <c r="E592" s="37">
        <f>1*B592</f>
        <v>3</v>
      </c>
    </row>
    <row r="593" spans="1:5" thickBot="1" x14ac:dyDescent="0.3">
      <c r="A593" s="34"/>
      <c r="B593" s="14">
        <f>IFERROR(VLOOKUP(A593,Tabla3[],2,FALSE),0)</f>
        <v>0</v>
      </c>
      <c r="C593" s="38"/>
      <c r="D593" s="38" t="s">
        <v>13</v>
      </c>
      <c r="E593" s="38">
        <f>300*B592</f>
        <v>900</v>
      </c>
    </row>
    <row r="594" spans="1:5" thickBot="1" x14ac:dyDescent="0.3">
      <c r="A594" s="27"/>
      <c r="B594" s="14">
        <f>IFERROR(VLOOKUP(A594,Tabla3[],2,FALSE),0)</f>
        <v>0</v>
      </c>
      <c r="C594" s="41"/>
      <c r="D594" s="41" t="s">
        <v>209</v>
      </c>
      <c r="E594" s="41">
        <f>2*B592</f>
        <v>6</v>
      </c>
    </row>
    <row r="595" spans="1:5" thickBot="1" x14ac:dyDescent="0.3">
      <c r="A595" s="25" t="s">
        <v>443</v>
      </c>
      <c r="B595" s="14">
        <f>IFERROR(VLOOKUP(A595,Tabla3[],2,FALSE),0)</f>
        <v>11</v>
      </c>
      <c r="C595" s="37"/>
      <c r="D595" s="37" t="s">
        <v>36</v>
      </c>
      <c r="E595" s="37">
        <f>1*B595</f>
        <v>11</v>
      </c>
    </row>
    <row r="596" spans="1:5" thickBot="1" x14ac:dyDescent="0.3">
      <c r="A596" s="27"/>
      <c r="B596" s="14">
        <f>IFERROR(VLOOKUP(A596,Tabla3[],2,FALSE),0)</f>
        <v>0</v>
      </c>
      <c r="C596" s="41"/>
      <c r="D596" s="41" t="s">
        <v>37</v>
      </c>
      <c r="E596" s="41">
        <f>1*B595</f>
        <v>11</v>
      </c>
    </row>
    <row r="597" spans="1:5" thickBot="1" x14ac:dyDescent="0.3">
      <c r="A597" s="25" t="s">
        <v>444</v>
      </c>
      <c r="B597" s="14">
        <f>IFERROR(VLOOKUP(A597,Tabla3[],2,FALSE),0)</f>
        <v>4</v>
      </c>
      <c r="C597" s="37"/>
      <c r="D597" s="26" t="s">
        <v>5</v>
      </c>
      <c r="E597" s="37">
        <f>B597*2</f>
        <v>8</v>
      </c>
    </row>
    <row r="598" spans="1:5" thickBot="1" x14ac:dyDescent="0.3">
      <c r="A598" s="34"/>
      <c r="B598" s="14">
        <f>IFERROR(VLOOKUP(A598,Tabla3[],2,FALSE),0)</f>
        <v>0</v>
      </c>
      <c r="C598" s="38"/>
      <c r="D598" s="35" t="s">
        <v>12</v>
      </c>
      <c r="E598" s="38">
        <f>B597*1</f>
        <v>4</v>
      </c>
    </row>
    <row r="599" spans="1:5" thickBot="1" x14ac:dyDescent="0.3">
      <c r="A599" s="34"/>
      <c r="B599" s="14">
        <f>IFERROR(VLOOKUP(A599,Tabla3[],2,FALSE),0)</f>
        <v>0</v>
      </c>
      <c r="C599" s="38"/>
      <c r="D599" s="35" t="s">
        <v>13</v>
      </c>
      <c r="E599" s="38">
        <f>B597*100</f>
        <v>400</v>
      </c>
    </row>
    <row r="600" spans="1:5" thickBot="1" x14ac:dyDescent="0.3">
      <c r="A600" s="27"/>
      <c r="B600" s="14">
        <f>IFERROR(VLOOKUP(A600,Tabla3[],2,FALSE),0)</f>
        <v>0</v>
      </c>
      <c r="C600" s="41"/>
      <c r="D600" s="28" t="s">
        <v>16</v>
      </c>
      <c r="E600" s="41">
        <f>B597*30</f>
        <v>120</v>
      </c>
    </row>
    <row r="601" spans="1:5" thickBot="1" x14ac:dyDescent="0.3">
      <c r="A601" s="25" t="s">
        <v>445</v>
      </c>
      <c r="B601" s="14">
        <f>IFERROR(VLOOKUP(A601,Tabla3[],2,FALSE),0)</f>
        <v>3</v>
      </c>
      <c r="C601" s="37"/>
      <c r="D601" s="26" t="s">
        <v>5</v>
      </c>
      <c r="E601" s="37">
        <f>B601*2</f>
        <v>6</v>
      </c>
    </row>
    <row r="602" spans="1:5" thickBot="1" x14ac:dyDescent="0.3">
      <c r="A602" s="34"/>
      <c r="B602" s="14">
        <f>IFERROR(VLOOKUP(A602,Tabla3[],2,FALSE),0)</f>
        <v>0</v>
      </c>
      <c r="C602" s="38"/>
      <c r="D602" s="35" t="s">
        <v>12</v>
      </c>
      <c r="E602" s="38">
        <f>B601</f>
        <v>3</v>
      </c>
    </row>
    <row r="603" spans="1:5" thickBot="1" x14ac:dyDescent="0.3">
      <c r="A603" s="32"/>
      <c r="B603" s="14">
        <f>IFERROR(VLOOKUP(A603,Tabla3[],2,FALSE),0)</f>
        <v>0</v>
      </c>
      <c r="C603" s="39"/>
      <c r="D603" s="33" t="s">
        <v>7</v>
      </c>
      <c r="E603" s="39">
        <f>B601</f>
        <v>3</v>
      </c>
    </row>
    <row r="604" spans="1:5" thickBot="1" x14ac:dyDescent="0.3">
      <c r="A604" s="25" t="s">
        <v>446</v>
      </c>
      <c r="B604" s="14">
        <f>IFERROR(VLOOKUP(A604,Tabla3[],2,FALSE),0)</f>
        <v>12</v>
      </c>
      <c r="C604" s="26" t="s">
        <v>268</v>
      </c>
      <c r="D604" s="37" t="s">
        <v>11</v>
      </c>
      <c r="E604" s="26">
        <f>B604*1</f>
        <v>12</v>
      </c>
    </row>
    <row r="605" spans="1:5" thickBot="1" x14ac:dyDescent="0.3">
      <c r="A605" s="34"/>
      <c r="B605" s="14">
        <f>IFERROR(VLOOKUP(A605,Tabla3[],2,FALSE),0)</f>
        <v>0</v>
      </c>
      <c r="C605" s="35"/>
      <c r="D605" s="35" t="s">
        <v>12</v>
      </c>
      <c r="E605" s="35">
        <f>B604</f>
        <v>12</v>
      </c>
    </row>
    <row r="606" spans="1:5" thickBot="1" x14ac:dyDescent="0.3">
      <c r="A606" s="34"/>
      <c r="B606" s="14">
        <f>IFERROR(VLOOKUP(A606,Tabla3[],2,FALSE),0)</f>
        <v>0</v>
      </c>
      <c r="C606" s="35" t="s">
        <v>133</v>
      </c>
      <c r="D606" s="35" t="s">
        <v>16</v>
      </c>
      <c r="E606" s="35">
        <f>B604*50</f>
        <v>600</v>
      </c>
    </row>
    <row r="607" spans="1:5" thickBot="1" x14ac:dyDescent="0.3">
      <c r="A607" s="27"/>
      <c r="B607" s="14">
        <f>IFERROR(VLOOKUP(A607,Tabla3[],2,FALSE),0)</f>
        <v>0</v>
      </c>
      <c r="C607" s="28" t="s">
        <v>133</v>
      </c>
      <c r="D607" s="28" t="s">
        <v>13</v>
      </c>
      <c r="E607" s="28">
        <f>B604*100</f>
        <v>1200</v>
      </c>
    </row>
    <row r="608" spans="1:5" thickBot="1" x14ac:dyDescent="0.3">
      <c r="A608" s="25" t="s">
        <v>447</v>
      </c>
      <c r="B608" s="14">
        <f>IFERROR(VLOOKUP(A608,Tabla3[],2,FALSE),0)</f>
        <v>3</v>
      </c>
      <c r="C608" s="26"/>
      <c r="D608" s="26" t="s">
        <v>15</v>
      </c>
      <c r="E608" s="37">
        <f>B608</f>
        <v>3</v>
      </c>
    </row>
    <row r="609" spans="1:5" thickBot="1" x14ac:dyDescent="0.3">
      <c r="A609" s="34"/>
      <c r="B609" s="14">
        <f>IFERROR(VLOOKUP(A609,Tabla3[],2,FALSE),0)</f>
        <v>0</v>
      </c>
      <c r="C609" s="35" t="s">
        <v>131</v>
      </c>
      <c r="D609" s="35" t="s">
        <v>16</v>
      </c>
      <c r="E609" s="38">
        <f>B608*50</f>
        <v>150</v>
      </c>
    </row>
    <row r="610" spans="1:5" thickBot="1" x14ac:dyDescent="0.3">
      <c r="A610" s="34"/>
      <c r="B610" s="14">
        <f>IFERROR(VLOOKUP(A610,Tabla3[],2,FALSE),0)</f>
        <v>0</v>
      </c>
      <c r="C610" s="35"/>
      <c r="D610" s="35" t="s">
        <v>9</v>
      </c>
      <c r="E610" s="38">
        <f>B608*30</f>
        <v>90</v>
      </c>
    </row>
    <row r="611" spans="1:5" thickBot="1" x14ac:dyDescent="0.3">
      <c r="A611" s="27"/>
      <c r="B611" s="14">
        <f>IFERROR(VLOOKUP(A611,Tabla3[],2,FALSE),0)</f>
        <v>0</v>
      </c>
      <c r="C611" s="28"/>
      <c r="D611" s="28" t="s">
        <v>6</v>
      </c>
      <c r="E611" s="41">
        <f>B608*3</f>
        <v>9</v>
      </c>
    </row>
    <row r="612" spans="1:5" thickBot="1" x14ac:dyDescent="0.3">
      <c r="A612" s="53"/>
      <c r="B612" s="14">
        <f>IFERROR(VLOOKUP(A612,Tabla3[],2,FALSE),0)</f>
        <v>0</v>
      </c>
      <c r="C612" s="54"/>
      <c r="D612" s="54"/>
      <c r="E612" s="55"/>
    </row>
    <row r="613" spans="1:5" thickBot="1" x14ac:dyDescent="0.3">
      <c r="A613" s="25" t="s">
        <v>236</v>
      </c>
      <c r="B613" s="14">
        <f>IFERROR(VLOOKUP(A613,Tabla3[],2,FALSE),0)</f>
        <v>0</v>
      </c>
      <c r="C613" s="26"/>
      <c r="D613" s="26" t="s">
        <v>11</v>
      </c>
      <c r="E613" s="26">
        <f>B613</f>
        <v>0</v>
      </c>
    </row>
    <row r="614" spans="1:5" thickBot="1" x14ac:dyDescent="0.3">
      <c r="A614" s="34"/>
      <c r="B614" s="14">
        <f>IFERROR(VLOOKUP(A614,Tabla3[],2,FALSE),0)</f>
        <v>0</v>
      </c>
      <c r="C614" s="35"/>
      <c r="D614" s="35" t="s">
        <v>50</v>
      </c>
      <c r="E614" s="35">
        <f>B613</f>
        <v>0</v>
      </c>
    </row>
    <row r="615" spans="1:5" thickBot="1" x14ac:dyDescent="0.3">
      <c r="A615" s="34"/>
      <c r="B615" s="14">
        <f>IFERROR(VLOOKUP(A615,Tabla3[],2,FALSE),0)</f>
        <v>0</v>
      </c>
      <c r="C615" s="35"/>
      <c r="D615" s="35" t="s">
        <v>8</v>
      </c>
      <c r="E615" s="35">
        <f>B613</f>
        <v>0</v>
      </c>
    </row>
    <row r="616" spans="1:5" thickBot="1" x14ac:dyDescent="0.3">
      <c r="A616" s="27"/>
      <c r="B616" s="14">
        <f>IFERROR(VLOOKUP(A616,Tabla3[],2,FALSE),0)</f>
        <v>0</v>
      </c>
      <c r="C616" s="28"/>
      <c r="D616" s="28" t="s">
        <v>38</v>
      </c>
      <c r="E616" s="28">
        <f>B613</f>
        <v>0</v>
      </c>
    </row>
    <row r="617" spans="1:5" thickBot="1" x14ac:dyDescent="0.3">
      <c r="A617" s="53"/>
      <c r="B617" s="14">
        <f>IFERROR(VLOOKUP(A617,Tabla3[],2,FALSE),0)</f>
        <v>0</v>
      </c>
      <c r="C617" s="54"/>
      <c r="D617" s="54"/>
      <c r="E617" s="54"/>
    </row>
    <row r="618" spans="1:5" thickBot="1" x14ac:dyDescent="0.3">
      <c r="A618" s="25" t="s">
        <v>319</v>
      </c>
      <c r="B618" s="14">
        <f>IFERROR(VLOOKUP(A618,Tabla3[],2,FALSE),0)</f>
        <v>0</v>
      </c>
      <c r="C618" s="26"/>
      <c r="D618" s="26" t="s">
        <v>26</v>
      </c>
      <c r="E618" s="26">
        <f>B618*2</f>
        <v>0</v>
      </c>
    </row>
    <row r="619" spans="1:5" thickBot="1" x14ac:dyDescent="0.3">
      <c r="A619" s="34"/>
      <c r="B619" s="14">
        <f>IFERROR(VLOOKUP(A619,Tabla3[],2,FALSE),0)</f>
        <v>0</v>
      </c>
      <c r="C619" s="35"/>
      <c r="D619" s="35" t="s">
        <v>27</v>
      </c>
      <c r="E619" s="35">
        <f>B618*2</f>
        <v>0</v>
      </c>
    </row>
    <row r="620" spans="1:5" thickBot="1" x14ac:dyDescent="0.3">
      <c r="A620" s="34"/>
      <c r="B620" s="14">
        <f>IFERROR(VLOOKUP(A620,Tabla3[],2,FALSE),0)</f>
        <v>0</v>
      </c>
      <c r="C620" s="35"/>
      <c r="D620" s="35" t="s">
        <v>32</v>
      </c>
      <c r="E620" s="35">
        <f>B618</f>
        <v>0</v>
      </c>
    </row>
    <row r="621" spans="1:5" thickBot="1" x14ac:dyDescent="0.3">
      <c r="A621" s="34"/>
      <c r="B621" s="14">
        <f>IFERROR(VLOOKUP(A621,Tabla3[],2,FALSE),0)</f>
        <v>0</v>
      </c>
      <c r="C621" s="35"/>
      <c r="D621" s="35" t="s">
        <v>28</v>
      </c>
      <c r="E621" s="35">
        <f>B618</f>
        <v>0</v>
      </c>
    </row>
    <row r="622" spans="1:5" thickBot="1" x14ac:dyDescent="0.3">
      <c r="A622" s="27"/>
      <c r="B622" s="14">
        <f>IFERROR(VLOOKUP(A622,Tabla3[],2,FALSE),0)</f>
        <v>0</v>
      </c>
      <c r="C622" s="28"/>
      <c r="D622" s="28" t="s">
        <v>13</v>
      </c>
      <c r="E622" s="28">
        <f>B618*100</f>
        <v>0</v>
      </c>
    </row>
    <row r="623" spans="1:5" thickBot="1" x14ac:dyDescent="0.3">
      <c r="A623" s="18" t="s">
        <v>448</v>
      </c>
      <c r="B623" s="14">
        <f>IFERROR(VLOOKUP(A623,Tabla3[],2,FALSE),0)</f>
        <v>9</v>
      </c>
      <c r="C623" s="47"/>
      <c r="D623" s="47" t="s">
        <v>61</v>
      </c>
      <c r="E623" s="47">
        <f t="shared" ref="E623:E629" si="22">B623</f>
        <v>9</v>
      </c>
    </row>
    <row r="624" spans="1:5" thickBot="1" x14ac:dyDescent="0.3">
      <c r="A624" s="18" t="s">
        <v>449</v>
      </c>
      <c r="B624" s="14">
        <f>IFERROR(VLOOKUP(A624,Tabla3[],2,FALSE),0)</f>
        <v>16</v>
      </c>
      <c r="C624" s="47"/>
      <c r="D624" s="20" t="s">
        <v>63</v>
      </c>
      <c r="E624" s="47">
        <f t="shared" si="22"/>
        <v>16</v>
      </c>
    </row>
    <row r="625" spans="1:5" thickBot="1" x14ac:dyDescent="0.3">
      <c r="A625" s="18" t="s">
        <v>450</v>
      </c>
      <c r="B625" s="14">
        <f>IFERROR(VLOOKUP(A625,Tabla3[],2,FALSE),0)</f>
        <v>6</v>
      </c>
      <c r="C625" s="47"/>
      <c r="D625" s="20" t="s">
        <v>62</v>
      </c>
      <c r="E625" s="47">
        <f t="shared" si="22"/>
        <v>6</v>
      </c>
    </row>
    <row r="626" spans="1:5" thickBot="1" x14ac:dyDescent="0.3">
      <c r="A626" s="18" t="s">
        <v>451</v>
      </c>
      <c r="B626" s="14">
        <f>IFERROR(VLOOKUP(A626,Tabla3[],2,FALSE),0)</f>
        <v>3</v>
      </c>
      <c r="C626" s="47"/>
      <c r="D626" s="204" t="s">
        <v>77</v>
      </c>
      <c r="E626" s="47">
        <f t="shared" si="22"/>
        <v>3</v>
      </c>
    </row>
    <row r="627" spans="1:5" thickBot="1" x14ac:dyDescent="0.3">
      <c r="A627" s="18" t="s">
        <v>452</v>
      </c>
      <c r="B627" s="14">
        <f>IFERROR(VLOOKUP(A627,Tabla3[],2,FALSE),0)</f>
        <v>1</v>
      </c>
      <c r="C627" s="47"/>
      <c r="D627" s="47" t="s">
        <v>71</v>
      </c>
      <c r="E627" s="47">
        <f t="shared" si="22"/>
        <v>1</v>
      </c>
    </row>
    <row r="628" spans="1:5" thickBot="1" x14ac:dyDescent="0.3">
      <c r="A628" s="18" t="s">
        <v>453</v>
      </c>
      <c r="B628" s="14">
        <f>IFERROR(VLOOKUP(A628,Tabla3[],2,FALSE),0)</f>
        <v>1</v>
      </c>
      <c r="C628" s="47"/>
      <c r="D628" s="20" t="s">
        <v>119</v>
      </c>
      <c r="E628" s="47">
        <f t="shared" si="22"/>
        <v>1</v>
      </c>
    </row>
    <row r="629" spans="1:5" thickBot="1" x14ac:dyDescent="0.3">
      <c r="A629" s="72" t="s">
        <v>454</v>
      </c>
      <c r="B629" s="14">
        <f>IFERROR(VLOOKUP(A629,Tabla3[],2,FALSE),0)</f>
        <v>4</v>
      </c>
      <c r="C629" s="55"/>
      <c r="D629" s="54" t="s">
        <v>120</v>
      </c>
      <c r="E629" s="55">
        <f t="shared" si="22"/>
        <v>4</v>
      </c>
    </row>
    <row r="630" spans="1:5" thickBot="1" x14ac:dyDescent="0.3">
      <c r="A630" s="18" t="s">
        <v>455</v>
      </c>
      <c r="B630" s="14">
        <f>IFERROR(VLOOKUP(A630,Tabla3[],2,FALSE),0)</f>
        <v>1</v>
      </c>
      <c r="C630" s="47"/>
      <c r="D630" s="20" t="s">
        <v>219</v>
      </c>
      <c r="E630" s="47">
        <f>B630*500</f>
        <v>500</v>
      </c>
    </row>
    <row r="631" spans="1:5" thickBot="1" x14ac:dyDescent="0.3">
      <c r="A631" s="72" t="s">
        <v>456</v>
      </c>
      <c r="B631" s="14">
        <f>IFERROR(VLOOKUP(A631,Tabla3[],2,FALSE),0)</f>
        <v>4</v>
      </c>
      <c r="C631" s="55"/>
      <c r="D631" s="54" t="s">
        <v>95</v>
      </c>
      <c r="E631" s="55">
        <f t="shared" ref="E631:E632" si="23">B631</f>
        <v>4</v>
      </c>
    </row>
    <row r="632" spans="1:5" thickBot="1" x14ac:dyDescent="0.3">
      <c r="A632" s="18" t="s">
        <v>457</v>
      </c>
      <c r="B632" s="14">
        <f>IFERROR(VLOOKUP(A632,Tabla3[],2,FALSE),0)</f>
        <v>11</v>
      </c>
      <c r="C632" s="47"/>
      <c r="D632" s="20" t="s">
        <v>96</v>
      </c>
      <c r="E632" s="47">
        <f t="shared" si="23"/>
        <v>11</v>
      </c>
    </row>
    <row r="633" spans="1:5" thickBot="1" x14ac:dyDescent="0.3">
      <c r="A633" s="72" t="s">
        <v>556</v>
      </c>
      <c r="B633" s="14">
        <f>IFERROR(VLOOKUP(A633,Tabla3[],2,FALSE),0)</f>
        <v>0</v>
      </c>
      <c r="C633" s="55"/>
      <c r="D633" s="55" t="s">
        <v>69</v>
      </c>
      <c r="E633" s="55">
        <f t="shared" ref="E633:E634" si="24">B633*150</f>
        <v>0</v>
      </c>
    </row>
    <row r="634" spans="1:5" thickBot="1" x14ac:dyDescent="0.3">
      <c r="A634" s="18" t="s">
        <v>557</v>
      </c>
      <c r="B634" s="14">
        <f>IFERROR(VLOOKUP(A634,Tabla3[],2,FALSE),0)</f>
        <v>1</v>
      </c>
      <c r="C634" s="47"/>
      <c r="D634" s="47" t="s">
        <v>70</v>
      </c>
      <c r="E634" s="47">
        <f t="shared" si="24"/>
        <v>150</v>
      </c>
    </row>
    <row r="635" spans="1:5" thickBot="1" x14ac:dyDescent="0.3">
      <c r="A635" s="72" t="s">
        <v>458</v>
      </c>
      <c r="B635" s="14">
        <f>IFERROR(VLOOKUP(A635,Tabla3[],2,FALSE),0)</f>
        <v>10</v>
      </c>
      <c r="C635" s="55"/>
      <c r="D635" s="55" t="s">
        <v>61</v>
      </c>
      <c r="E635" s="55">
        <f t="shared" ref="E635:E647" si="25">B635</f>
        <v>10</v>
      </c>
    </row>
    <row r="636" spans="1:5" thickBot="1" x14ac:dyDescent="0.3">
      <c r="A636" s="18" t="s">
        <v>459</v>
      </c>
      <c r="B636" s="14">
        <f>IFERROR(VLOOKUP(A636,Tabla3[],2,FALSE),0)</f>
        <v>24</v>
      </c>
      <c r="C636" s="47"/>
      <c r="D636" s="20" t="s">
        <v>63</v>
      </c>
      <c r="E636" s="47">
        <f t="shared" si="25"/>
        <v>24</v>
      </c>
    </row>
    <row r="637" spans="1:5" thickBot="1" x14ac:dyDescent="0.3">
      <c r="A637" s="72" t="s">
        <v>460</v>
      </c>
      <c r="B637" s="14">
        <f>IFERROR(VLOOKUP(A637,Tabla3[],2,FALSE),0)</f>
        <v>1</v>
      </c>
      <c r="C637" s="55"/>
      <c r="D637" s="54" t="s">
        <v>62</v>
      </c>
      <c r="E637" s="55">
        <f t="shared" si="25"/>
        <v>1</v>
      </c>
    </row>
    <row r="638" spans="1:5" thickBot="1" x14ac:dyDescent="0.3">
      <c r="A638" s="18" t="s">
        <v>461</v>
      </c>
      <c r="B638" s="14">
        <f>IFERROR(VLOOKUP(A638,Tabla3[],2,FALSE),0)</f>
        <v>7</v>
      </c>
      <c r="C638" s="47"/>
      <c r="D638" s="204" t="s">
        <v>77</v>
      </c>
      <c r="E638" s="47">
        <f t="shared" si="25"/>
        <v>7</v>
      </c>
    </row>
    <row r="639" spans="1:5" thickBot="1" x14ac:dyDescent="0.3">
      <c r="A639" s="72" t="s">
        <v>462</v>
      </c>
      <c r="B639" s="14">
        <f>IFERROR(VLOOKUP(A639,Tabla3[],2,FALSE),0)</f>
        <v>0</v>
      </c>
      <c r="C639" s="55"/>
      <c r="D639" s="55" t="s">
        <v>71</v>
      </c>
      <c r="E639" s="55">
        <f t="shared" si="25"/>
        <v>0</v>
      </c>
    </row>
    <row r="640" spans="1:5" thickBot="1" x14ac:dyDescent="0.3">
      <c r="A640" s="18" t="s">
        <v>463</v>
      </c>
      <c r="B640" s="14">
        <f>IFERROR(VLOOKUP(A640,Tabla3[],2,FALSE),0)</f>
        <v>0</v>
      </c>
      <c r="C640" s="47"/>
      <c r="D640" s="20" t="s">
        <v>119</v>
      </c>
      <c r="E640" s="47">
        <f t="shared" si="25"/>
        <v>0</v>
      </c>
    </row>
    <row r="641" spans="1:5" thickBot="1" x14ac:dyDescent="0.3">
      <c r="A641" s="72" t="s">
        <v>464</v>
      </c>
      <c r="B641" s="14">
        <f>IFERROR(VLOOKUP(A641,Tabla3[],2,FALSE),0)</f>
        <v>0</v>
      </c>
      <c r="C641" s="55"/>
      <c r="D641" s="54" t="s">
        <v>120</v>
      </c>
      <c r="E641" s="55">
        <f t="shared" si="25"/>
        <v>0</v>
      </c>
    </row>
    <row r="642" spans="1:5" thickBot="1" x14ac:dyDescent="0.3">
      <c r="A642" s="18" t="s">
        <v>465</v>
      </c>
      <c r="B642" s="14">
        <f>IFERROR(VLOOKUP(A642,Tabla3[],2,FALSE),0)</f>
        <v>23</v>
      </c>
      <c r="C642" s="47"/>
      <c r="D642" s="20" t="s">
        <v>127</v>
      </c>
      <c r="E642" s="47">
        <f t="shared" si="25"/>
        <v>23</v>
      </c>
    </row>
    <row r="643" spans="1:5" thickBot="1" x14ac:dyDescent="0.3">
      <c r="A643" s="72" t="s">
        <v>466</v>
      </c>
      <c r="B643" s="14">
        <f>IFERROR(VLOOKUP(A643,Tabla3[],2,FALSE),0)</f>
        <v>0</v>
      </c>
      <c r="C643" s="55"/>
      <c r="D643" s="55" t="s">
        <v>125</v>
      </c>
      <c r="E643" s="55">
        <f t="shared" si="25"/>
        <v>0</v>
      </c>
    </row>
    <row r="644" spans="1:5" thickBot="1" x14ac:dyDescent="0.3">
      <c r="A644" s="18" t="s">
        <v>467</v>
      </c>
      <c r="B644" s="14">
        <f>IFERROR(VLOOKUP(A644,Tabla3[],2,FALSE),0)</f>
        <v>0</v>
      </c>
      <c r="C644" s="47"/>
      <c r="D644" s="47" t="s">
        <v>73</v>
      </c>
      <c r="E644" s="47">
        <f t="shared" si="25"/>
        <v>0</v>
      </c>
    </row>
    <row r="645" spans="1:5" thickBot="1" x14ac:dyDescent="0.3">
      <c r="A645" s="72" t="s">
        <v>468</v>
      </c>
      <c r="B645" s="14">
        <f>IFERROR(VLOOKUP(A645,Tabla3[],2,FALSE),0)</f>
        <v>12</v>
      </c>
      <c r="C645" s="55"/>
      <c r="D645" s="55" t="s">
        <v>584</v>
      </c>
      <c r="E645" s="55">
        <f t="shared" si="25"/>
        <v>12</v>
      </c>
    </row>
    <row r="646" spans="1:5" thickBot="1" x14ac:dyDescent="0.3">
      <c r="A646" s="18" t="s">
        <v>469</v>
      </c>
      <c r="B646" s="14">
        <f>IFERROR(VLOOKUP(A646,Tabla3[],2,FALSE),0)</f>
        <v>37</v>
      </c>
      <c r="C646" s="47"/>
      <c r="D646" s="47" t="s">
        <v>585</v>
      </c>
      <c r="E646" s="47">
        <f t="shared" si="25"/>
        <v>37</v>
      </c>
    </row>
    <row r="647" spans="1:5" thickBot="1" x14ac:dyDescent="0.3">
      <c r="A647" s="72" t="s">
        <v>470</v>
      </c>
      <c r="B647" s="14">
        <f>IFERROR(VLOOKUP(A647,Tabla3[],2,FALSE),0)</f>
        <v>3</v>
      </c>
      <c r="C647" s="55"/>
      <c r="D647" s="55" t="s">
        <v>586</v>
      </c>
      <c r="E647" s="55">
        <f t="shared" si="25"/>
        <v>3</v>
      </c>
    </row>
    <row r="648" spans="1:5" thickBot="1" x14ac:dyDescent="0.3">
      <c r="A648" s="18" t="s">
        <v>471</v>
      </c>
      <c r="B648" s="14">
        <f>IFERROR(VLOOKUP(A648,Tabla3[],2,FALSE),0)</f>
        <v>0</v>
      </c>
      <c r="C648" s="47"/>
      <c r="D648" s="47" t="s">
        <v>45</v>
      </c>
      <c r="E648" s="47">
        <f t="shared" ref="E648:E649" si="26">B648*750</f>
        <v>0</v>
      </c>
    </row>
    <row r="649" spans="1:5" thickBot="1" x14ac:dyDescent="0.3">
      <c r="A649" s="72" t="s">
        <v>472</v>
      </c>
      <c r="B649" s="14">
        <f>IFERROR(VLOOKUP(A649,Tabla3[],2,FALSE),0)</f>
        <v>0</v>
      </c>
      <c r="C649" s="55"/>
      <c r="D649" s="55" t="s">
        <v>43</v>
      </c>
      <c r="E649" s="55">
        <f t="shared" si="26"/>
        <v>0</v>
      </c>
    </row>
    <row r="650" spans="1:5" thickBot="1" x14ac:dyDescent="0.3">
      <c r="A650" s="114" t="s">
        <v>723</v>
      </c>
      <c r="B650" s="14">
        <f>IFERROR(VLOOKUP(A650,Tabla3[],2,FALSE),0)</f>
        <v>0</v>
      </c>
      <c r="C650" s="47"/>
      <c r="D650" s="47" t="s">
        <v>47</v>
      </c>
      <c r="E650" s="47">
        <f>B650*1000</f>
        <v>0</v>
      </c>
    </row>
    <row r="651" spans="1:5" thickBot="1" x14ac:dyDescent="0.3">
      <c r="A651" s="72" t="s">
        <v>473</v>
      </c>
      <c r="B651" s="14">
        <f>IFERROR(VLOOKUP(A651,Tabla3[],2,FALSE),0)</f>
        <v>0</v>
      </c>
      <c r="C651" s="55"/>
      <c r="D651" s="54" t="s">
        <v>88</v>
      </c>
      <c r="E651" s="55">
        <f t="shared" ref="E651:E652" si="27">B651*750</f>
        <v>0</v>
      </c>
    </row>
    <row r="652" spans="1:5" thickBot="1" x14ac:dyDescent="0.3">
      <c r="A652" s="18" t="s">
        <v>474</v>
      </c>
      <c r="B652" s="14">
        <f>IFERROR(VLOOKUP(A652,Tabla3[],2,FALSE),0)</f>
        <v>0</v>
      </c>
      <c r="C652" s="47"/>
      <c r="D652" s="47" t="s">
        <v>83</v>
      </c>
      <c r="E652" s="47">
        <f t="shared" si="27"/>
        <v>0</v>
      </c>
    </row>
    <row r="653" spans="1:5" thickBot="1" x14ac:dyDescent="0.3">
      <c r="A653" s="72" t="s">
        <v>587</v>
      </c>
      <c r="B653" s="14">
        <f>IFERROR(VLOOKUP(A653,Tabla3[],2,FALSE),0)</f>
        <v>0</v>
      </c>
      <c r="C653" s="55"/>
      <c r="D653" s="55" t="s">
        <v>13</v>
      </c>
      <c r="E653" s="55">
        <f t="shared" ref="E653:E654" si="28">B653*800</f>
        <v>0</v>
      </c>
    </row>
    <row r="654" spans="1:5" thickBot="1" x14ac:dyDescent="0.3">
      <c r="A654" s="25" t="s">
        <v>532</v>
      </c>
      <c r="B654" s="14">
        <f>IFERROR(VLOOKUP(A654,Tabla3[],2,FALSE),0)</f>
        <v>5</v>
      </c>
      <c r="C654" s="26"/>
      <c r="D654" s="26" t="s">
        <v>13</v>
      </c>
      <c r="E654" s="37">
        <f t="shared" si="28"/>
        <v>4000</v>
      </c>
    </row>
    <row r="655" spans="1:5" thickBot="1" x14ac:dyDescent="0.3">
      <c r="A655" s="34"/>
      <c r="B655" s="14">
        <f>IFERROR(VLOOKUP(A655,Tabla3[],2,FALSE),0)</f>
        <v>0</v>
      </c>
      <c r="C655" s="35"/>
      <c r="D655" s="35" t="s">
        <v>9</v>
      </c>
      <c r="E655" s="38">
        <f>B654*150</f>
        <v>750</v>
      </c>
    </row>
    <row r="656" spans="1:5" thickBot="1" x14ac:dyDescent="0.3">
      <c r="A656" s="34"/>
      <c r="B656" s="14">
        <f>IFERROR(VLOOKUP(A656,Tabla3[],2,FALSE),0)</f>
        <v>0</v>
      </c>
      <c r="C656" s="35"/>
      <c r="D656" s="35" t="s">
        <v>16</v>
      </c>
      <c r="E656" s="38">
        <f>B654*150</f>
        <v>750</v>
      </c>
    </row>
    <row r="657" spans="1:5" thickBot="1" x14ac:dyDescent="0.3">
      <c r="A657" s="27"/>
      <c r="B657" s="14">
        <f>IFERROR(VLOOKUP(A657,Tabla3[],2,FALSE),0)</f>
        <v>0</v>
      </c>
      <c r="C657" s="28"/>
      <c r="D657" s="28" t="s">
        <v>23</v>
      </c>
      <c r="E657" s="41">
        <f>B654*20</f>
        <v>100</v>
      </c>
    </row>
    <row r="658" spans="1:5" thickBot="1" x14ac:dyDescent="0.3">
      <c r="A658" s="25" t="s">
        <v>524</v>
      </c>
      <c r="B658" s="14">
        <f>IFERROR(VLOOKUP(A658,Tabla3[],2,FALSE),0)</f>
        <v>15</v>
      </c>
      <c r="C658" s="26"/>
      <c r="D658" s="26" t="s">
        <v>13</v>
      </c>
      <c r="E658" s="26">
        <f>B658*800</f>
        <v>12000</v>
      </c>
    </row>
    <row r="659" spans="1:5" thickBot="1" x14ac:dyDescent="0.3">
      <c r="A659" s="34"/>
      <c r="B659" s="14">
        <f>IFERROR(VLOOKUP(A659,Tabla3[],2,FALSE),0)</f>
        <v>0</v>
      </c>
      <c r="C659" s="35"/>
      <c r="D659" s="35" t="s">
        <v>9</v>
      </c>
      <c r="E659" s="35">
        <f>B658*130</f>
        <v>1950</v>
      </c>
    </row>
    <row r="660" spans="1:5" thickBot="1" x14ac:dyDescent="0.3">
      <c r="A660" s="34"/>
      <c r="B660" s="14">
        <f>IFERROR(VLOOKUP(A660,Tabla3[],2,FALSE),0)</f>
        <v>0</v>
      </c>
      <c r="C660" s="35"/>
      <c r="D660" s="35" t="s">
        <v>16</v>
      </c>
      <c r="E660" s="35">
        <f>B658*130</f>
        <v>1950</v>
      </c>
    </row>
    <row r="661" spans="1:5" thickBot="1" x14ac:dyDescent="0.3">
      <c r="A661" s="34"/>
      <c r="B661" s="14">
        <f>IFERROR(VLOOKUP(A661,Tabla3[],2,FALSE),0)</f>
        <v>0</v>
      </c>
      <c r="C661" s="35"/>
      <c r="D661" s="35" t="s">
        <v>23</v>
      </c>
      <c r="E661" s="35">
        <f>B658*20</f>
        <v>300</v>
      </c>
    </row>
    <row r="662" spans="1:5" thickBot="1" x14ac:dyDescent="0.3">
      <c r="A662" s="27"/>
      <c r="B662" s="14">
        <f>IFERROR(VLOOKUP(A662,Tabla3[],2,FALSE),0)</f>
        <v>0</v>
      </c>
      <c r="C662" s="28"/>
      <c r="D662" s="28" t="s">
        <v>24</v>
      </c>
      <c r="E662" s="28">
        <f>B658</f>
        <v>15</v>
      </c>
    </row>
    <row r="663" spans="1:5" thickBot="1" x14ac:dyDescent="0.3">
      <c r="A663" s="25" t="s">
        <v>531</v>
      </c>
      <c r="B663" s="14">
        <f>IFERROR(VLOOKUP(A663,Tabla3[],2,FALSE),0)</f>
        <v>4</v>
      </c>
      <c r="C663" s="26"/>
      <c r="D663" s="26" t="s">
        <v>13</v>
      </c>
      <c r="E663" s="26">
        <f>B663*800</f>
        <v>3200</v>
      </c>
    </row>
    <row r="664" spans="1:5" thickBot="1" x14ac:dyDescent="0.3">
      <c r="A664" s="34"/>
      <c r="B664" s="14">
        <f>IFERROR(VLOOKUP(A664,Tabla3[],2,FALSE),0)</f>
        <v>0</v>
      </c>
      <c r="C664" s="35"/>
      <c r="D664" s="35" t="s">
        <v>9</v>
      </c>
      <c r="E664" s="35">
        <f>B663*150</f>
        <v>600</v>
      </c>
    </row>
    <row r="665" spans="1:5" thickBot="1" x14ac:dyDescent="0.3">
      <c r="A665" s="34"/>
      <c r="B665" s="14">
        <f>IFERROR(VLOOKUP(A665,Tabla3[],2,FALSE),0)</f>
        <v>0</v>
      </c>
      <c r="C665" s="35"/>
      <c r="D665" s="35" t="s">
        <v>16</v>
      </c>
      <c r="E665" s="35">
        <f>B663*150</f>
        <v>600</v>
      </c>
    </row>
    <row r="666" spans="1:5" thickBot="1" x14ac:dyDescent="0.3">
      <c r="A666" s="34"/>
      <c r="B666" s="14">
        <f>IFERROR(VLOOKUP(A666,Tabla3[],2,FALSE),0)</f>
        <v>0</v>
      </c>
      <c r="C666" s="35"/>
      <c r="D666" s="35" t="s">
        <v>23</v>
      </c>
      <c r="E666" s="35">
        <f>B663*20</f>
        <v>80</v>
      </c>
    </row>
    <row r="667" spans="1:5" thickBot="1" x14ac:dyDescent="0.3">
      <c r="A667" s="27"/>
      <c r="B667" s="14">
        <f>IFERROR(VLOOKUP(A667,Tabla3[],2,FALSE),0)</f>
        <v>0</v>
      </c>
      <c r="C667" s="28"/>
      <c r="D667" s="28" t="s">
        <v>8</v>
      </c>
      <c r="E667" s="28">
        <f>B663*3</f>
        <v>12</v>
      </c>
    </row>
    <row r="668" spans="1:5" thickBot="1" x14ac:dyDescent="0.3">
      <c r="A668" s="25" t="s">
        <v>540</v>
      </c>
      <c r="B668" s="14">
        <f>IFERROR(VLOOKUP(A668,Tabla3[],2,FALSE),0)</f>
        <v>1</v>
      </c>
      <c r="C668" s="26"/>
      <c r="D668" s="26" t="s">
        <v>13</v>
      </c>
      <c r="E668" s="26">
        <f>B668*800</f>
        <v>800</v>
      </c>
    </row>
    <row r="669" spans="1:5" thickBot="1" x14ac:dyDescent="0.3">
      <c r="A669" s="34"/>
      <c r="B669" s="14">
        <f>IFERROR(VLOOKUP(A669,Tabla3[],2,FALSE),0)</f>
        <v>0</v>
      </c>
      <c r="C669" s="35"/>
      <c r="D669" s="35" t="s">
        <v>9</v>
      </c>
      <c r="E669" s="35">
        <f>B668*150</f>
        <v>150</v>
      </c>
    </row>
    <row r="670" spans="1:5" thickBot="1" x14ac:dyDescent="0.3">
      <c r="A670" s="34"/>
      <c r="B670" s="14">
        <f>IFERROR(VLOOKUP(A670,Tabla3[],2,FALSE),0)</f>
        <v>0</v>
      </c>
      <c r="C670" s="35"/>
      <c r="D670" s="35" t="s">
        <v>16</v>
      </c>
      <c r="E670" s="35">
        <f>B668*150</f>
        <v>150</v>
      </c>
    </row>
    <row r="671" spans="1:5" thickBot="1" x14ac:dyDescent="0.3">
      <c r="A671" s="34"/>
      <c r="B671" s="14">
        <f>IFERROR(VLOOKUP(A671,Tabla3[],2,FALSE),0)</f>
        <v>0</v>
      </c>
      <c r="C671" s="35"/>
      <c r="D671" s="35" t="s">
        <v>23</v>
      </c>
      <c r="E671" s="35">
        <f>B668*20</f>
        <v>20</v>
      </c>
    </row>
    <row r="672" spans="1:5" thickBot="1" x14ac:dyDescent="0.3">
      <c r="A672" s="27"/>
      <c r="B672" s="14">
        <f>IFERROR(VLOOKUP(A672,Tabla3[],2,FALSE),0)</f>
        <v>0</v>
      </c>
      <c r="C672" s="28"/>
      <c r="D672" s="28" t="s">
        <v>6</v>
      </c>
      <c r="E672" s="28">
        <f>B668*3</f>
        <v>3</v>
      </c>
    </row>
    <row r="673" spans="1:5" thickBot="1" x14ac:dyDescent="0.3">
      <c r="A673" s="25" t="s">
        <v>533</v>
      </c>
      <c r="B673" s="14">
        <f>IFERROR(VLOOKUP(A673,Tabla3[],2,FALSE),0)</f>
        <v>1</v>
      </c>
      <c r="C673" s="26"/>
      <c r="D673" s="26" t="s">
        <v>7</v>
      </c>
      <c r="E673" s="26">
        <f>B673</f>
        <v>1</v>
      </c>
    </row>
    <row r="674" spans="1:5" thickBot="1" x14ac:dyDescent="0.3">
      <c r="A674" s="34"/>
      <c r="B674" s="14">
        <f>IFERROR(VLOOKUP(A674,Tabla3[],2,FALSE),0)</f>
        <v>0</v>
      </c>
      <c r="C674" s="35"/>
      <c r="D674" s="35" t="s">
        <v>522</v>
      </c>
      <c r="E674" s="35">
        <f>B673</f>
        <v>1</v>
      </c>
    </row>
    <row r="675" spans="1:5" thickBot="1" x14ac:dyDescent="0.3">
      <c r="A675" s="34"/>
      <c r="B675" s="14">
        <f>IFERROR(VLOOKUP(A675,Tabla3[],2,FALSE),0)</f>
        <v>0</v>
      </c>
      <c r="C675" s="35"/>
      <c r="D675" s="35" t="s">
        <v>2</v>
      </c>
      <c r="E675" s="35">
        <f>B673</f>
        <v>1</v>
      </c>
    </row>
    <row r="676" spans="1:5" thickBot="1" x14ac:dyDescent="0.3">
      <c r="A676" s="34"/>
      <c r="B676" s="14">
        <f>IFERROR(VLOOKUP(A676,Tabla3[],2,FALSE),0)</f>
        <v>0</v>
      </c>
      <c r="C676" s="35"/>
      <c r="D676" s="35" t="s">
        <v>18</v>
      </c>
      <c r="E676" s="35">
        <f>B673*4</f>
        <v>4</v>
      </c>
    </row>
    <row r="677" spans="1:5" thickBot="1" x14ac:dyDescent="0.3">
      <c r="A677" s="34"/>
      <c r="B677" s="14">
        <f>IFERROR(VLOOKUP(A677,Tabla3[],2,FALSE),0)</f>
        <v>0</v>
      </c>
      <c r="C677" s="35"/>
      <c r="D677" s="35" t="s">
        <v>0</v>
      </c>
      <c r="E677" s="35">
        <f>B673</f>
        <v>1</v>
      </c>
    </row>
    <row r="678" spans="1:5" thickBot="1" x14ac:dyDescent="0.3">
      <c r="A678" s="34"/>
      <c r="B678" s="14">
        <f>IFERROR(VLOOKUP(A678,Tabla3[],2,FALSE),0)</f>
        <v>0</v>
      </c>
      <c r="C678" s="35" t="s">
        <v>133</v>
      </c>
      <c r="D678" s="35" t="s">
        <v>35</v>
      </c>
      <c r="E678" s="35">
        <f>B673*40</f>
        <v>40</v>
      </c>
    </row>
    <row r="679" spans="1:5" thickBot="1" x14ac:dyDescent="0.3">
      <c r="A679" s="34"/>
      <c r="B679" s="14">
        <f>IFERROR(VLOOKUP(A679,Tabla3[],2,FALSE),0)</f>
        <v>0</v>
      </c>
      <c r="C679" s="35"/>
      <c r="D679" s="35" t="s">
        <v>9</v>
      </c>
      <c r="E679" s="38">
        <f>B673*90</f>
        <v>90</v>
      </c>
    </row>
    <row r="680" spans="1:5" thickBot="1" x14ac:dyDescent="0.3">
      <c r="A680" s="34"/>
      <c r="B680" s="14">
        <f>IFERROR(VLOOKUP(A680,Tabla3[],2,FALSE),0)</f>
        <v>0</v>
      </c>
      <c r="C680" s="35"/>
      <c r="D680" s="35" t="s">
        <v>35</v>
      </c>
      <c r="E680" s="38">
        <f>B673*50</f>
        <v>50</v>
      </c>
    </row>
    <row r="681" spans="1:5" thickBot="1" x14ac:dyDescent="0.3">
      <c r="A681" s="27"/>
      <c r="B681" s="14">
        <f>IFERROR(VLOOKUP(A681,Tabla3[],2,FALSE),0)</f>
        <v>0</v>
      </c>
      <c r="C681" s="28"/>
      <c r="D681" s="28" t="s">
        <v>16</v>
      </c>
      <c r="E681" s="28">
        <f>B673*50</f>
        <v>50</v>
      </c>
    </row>
    <row r="682" spans="1:5" thickBot="1" x14ac:dyDescent="0.3">
      <c r="A682" s="25" t="s">
        <v>545</v>
      </c>
      <c r="B682" s="14">
        <f>IFERROR(VLOOKUP(A682,Tabla3[],2,FALSE),0)</f>
        <v>2</v>
      </c>
      <c r="C682" s="26"/>
      <c r="D682" s="26" t="s">
        <v>522</v>
      </c>
      <c r="E682" s="26">
        <f>B682</f>
        <v>2</v>
      </c>
    </row>
    <row r="683" spans="1:5" thickBot="1" x14ac:dyDescent="0.3">
      <c r="A683" s="34"/>
      <c r="B683" s="14">
        <f>IFERROR(VLOOKUP(A683,Tabla3[],2,FALSE),0)</f>
        <v>0</v>
      </c>
      <c r="C683" s="35"/>
      <c r="D683" s="35" t="s">
        <v>1</v>
      </c>
      <c r="E683" s="35">
        <f>B682</f>
        <v>2</v>
      </c>
    </row>
    <row r="684" spans="1:5" thickBot="1" x14ac:dyDescent="0.3">
      <c r="A684" s="34"/>
      <c r="B684" s="14">
        <f>IFERROR(VLOOKUP(A684,Tabla3[],2,FALSE),0)</f>
        <v>0</v>
      </c>
      <c r="C684" s="35"/>
      <c r="D684" s="35" t="s">
        <v>2</v>
      </c>
      <c r="E684" s="35">
        <f>B682</f>
        <v>2</v>
      </c>
    </row>
    <row r="685" spans="1:5" thickBot="1" x14ac:dyDescent="0.3">
      <c r="A685" s="34"/>
      <c r="B685" s="14">
        <f>IFERROR(VLOOKUP(A685,Tabla3[],2,FALSE),0)</f>
        <v>0</v>
      </c>
      <c r="C685" s="35"/>
      <c r="D685" s="35" t="s">
        <v>13</v>
      </c>
      <c r="E685" s="35">
        <f>B682*250</f>
        <v>500</v>
      </c>
    </row>
    <row r="686" spans="1:5" thickBot="1" x14ac:dyDescent="0.3">
      <c r="A686" s="34"/>
      <c r="B686" s="14">
        <f>IFERROR(VLOOKUP(A686,Tabla3[],2,FALSE),0)</f>
        <v>0</v>
      </c>
      <c r="C686" s="35"/>
      <c r="D686" s="35" t="s">
        <v>17</v>
      </c>
      <c r="E686" s="35">
        <f>B682*2</f>
        <v>4</v>
      </c>
    </row>
    <row r="687" spans="1:5" thickBot="1" x14ac:dyDescent="0.3">
      <c r="A687" s="34"/>
      <c r="B687" s="14">
        <f>IFERROR(VLOOKUP(A687,Tabla3[],2,FALSE),0)</f>
        <v>0</v>
      </c>
      <c r="C687" s="35"/>
      <c r="D687" s="35" t="s">
        <v>0</v>
      </c>
      <c r="E687" s="35">
        <f>B682</f>
        <v>2</v>
      </c>
    </row>
    <row r="688" spans="1:5" thickBot="1" x14ac:dyDescent="0.3">
      <c r="A688" s="34"/>
      <c r="B688" s="14">
        <f>IFERROR(VLOOKUP(A688,Tabla3[],2,FALSE),0)</f>
        <v>0</v>
      </c>
      <c r="C688" s="35"/>
      <c r="D688" s="35" t="s">
        <v>35</v>
      </c>
      <c r="E688" s="35">
        <f>B682*50</f>
        <v>100</v>
      </c>
    </row>
    <row r="689" spans="1:5" thickBot="1" x14ac:dyDescent="0.3">
      <c r="A689" s="34"/>
      <c r="B689" s="14">
        <f>IFERROR(VLOOKUP(A689,Tabla3[],2,FALSE),0)</f>
        <v>0</v>
      </c>
      <c r="C689" s="35"/>
      <c r="D689" s="35" t="s">
        <v>16</v>
      </c>
      <c r="E689" s="35">
        <f>B682*50</f>
        <v>100</v>
      </c>
    </row>
    <row r="690" spans="1:5" thickBot="1" x14ac:dyDescent="0.3">
      <c r="A690" s="27"/>
      <c r="B690" s="14">
        <f>IFERROR(VLOOKUP(A690,Tabla3[],2,FALSE),0)</f>
        <v>0</v>
      </c>
      <c r="C690" s="28"/>
      <c r="D690" s="28" t="s">
        <v>570</v>
      </c>
      <c r="E690" s="28">
        <f>B682*20</f>
        <v>40</v>
      </c>
    </row>
    <row r="691" spans="1:5" thickBot="1" x14ac:dyDescent="0.3">
      <c r="A691" s="25" t="s">
        <v>542</v>
      </c>
      <c r="B691" s="14">
        <f>IFERROR(VLOOKUP(A691,Tabla3[],2,FALSE),0)</f>
        <v>0</v>
      </c>
      <c r="C691" s="26"/>
      <c r="D691" s="26" t="s">
        <v>11</v>
      </c>
      <c r="E691" s="26">
        <f>B691</f>
        <v>0</v>
      </c>
    </row>
    <row r="692" spans="1:5" thickBot="1" x14ac:dyDescent="0.3">
      <c r="A692" s="34"/>
      <c r="B692" s="14">
        <f>IFERROR(VLOOKUP(A692,Tabla3[],2,FALSE),0)</f>
        <v>0</v>
      </c>
      <c r="C692" s="35"/>
      <c r="D692" s="35" t="s">
        <v>5</v>
      </c>
      <c r="E692" s="35">
        <f>B691*2</f>
        <v>0</v>
      </c>
    </row>
    <row r="693" spans="1:5" thickBot="1" x14ac:dyDescent="0.3">
      <c r="A693" s="34"/>
      <c r="B693" s="14">
        <f>IFERROR(VLOOKUP(A693,Tabla3[],2,FALSE),0)</f>
        <v>0</v>
      </c>
      <c r="C693" s="35"/>
      <c r="D693" s="35" t="s">
        <v>6</v>
      </c>
      <c r="E693" s="35">
        <f>B691*2</f>
        <v>0</v>
      </c>
    </row>
    <row r="694" spans="1:5" thickBot="1" x14ac:dyDescent="0.3">
      <c r="A694" s="27"/>
      <c r="B694" s="14">
        <f>IFERROR(VLOOKUP(A694,Tabla3[],2,FALSE),0)</f>
        <v>0</v>
      </c>
      <c r="C694" s="28"/>
      <c r="D694" s="28" t="s">
        <v>311</v>
      </c>
      <c r="E694" s="28">
        <f>B691*6</f>
        <v>0</v>
      </c>
    </row>
    <row r="695" spans="1:5" thickBot="1" x14ac:dyDescent="0.3">
      <c r="A695" s="25" t="s">
        <v>525</v>
      </c>
      <c r="B695" s="14">
        <f>IFERROR(VLOOKUP(A695,Tabla3[],2,FALSE),0)</f>
        <v>0</v>
      </c>
      <c r="C695" s="26"/>
      <c r="D695" s="26" t="s">
        <v>4</v>
      </c>
      <c r="E695" s="26">
        <f>B695*6</f>
        <v>0</v>
      </c>
    </row>
    <row r="696" spans="1:5" thickBot="1" x14ac:dyDescent="0.3">
      <c r="A696" s="34"/>
      <c r="B696" s="14">
        <f>IFERROR(VLOOKUP(A696,Tabla3[],2,FALSE),0)</f>
        <v>0</v>
      </c>
      <c r="C696" s="35"/>
      <c r="D696" s="35" t="s">
        <v>11</v>
      </c>
      <c r="E696" s="35">
        <f>B695</f>
        <v>0</v>
      </c>
    </row>
    <row r="697" spans="1:5" thickBot="1" x14ac:dyDescent="0.3">
      <c r="A697" s="34"/>
      <c r="B697" s="14">
        <f>IFERROR(VLOOKUP(A697,Tabla3[],2,FALSE),0)</f>
        <v>0</v>
      </c>
      <c r="C697" s="35"/>
      <c r="D697" s="35" t="s">
        <v>5</v>
      </c>
      <c r="E697" s="35">
        <f>B695</f>
        <v>0</v>
      </c>
    </row>
    <row r="698" spans="1:5" thickBot="1" x14ac:dyDescent="0.3">
      <c r="A698" s="34"/>
      <c r="B698" s="14">
        <f>IFERROR(VLOOKUP(A698,Tabla3[],2,FALSE),0)</f>
        <v>0</v>
      </c>
      <c r="C698" s="35"/>
      <c r="D698" s="35" t="s">
        <v>8</v>
      </c>
      <c r="E698" s="35">
        <f>B695</f>
        <v>0</v>
      </c>
    </row>
    <row r="699" spans="1:5" thickBot="1" x14ac:dyDescent="0.3">
      <c r="A699" s="34"/>
      <c r="B699" s="14">
        <f>IFERROR(VLOOKUP(A699,Tabla3[],2,FALSE),0)</f>
        <v>0</v>
      </c>
      <c r="C699" s="35"/>
      <c r="D699" s="35" t="s">
        <v>35</v>
      </c>
      <c r="E699" s="35">
        <f>B695*50</f>
        <v>0</v>
      </c>
    </row>
    <row r="700" spans="1:5" thickBot="1" x14ac:dyDescent="0.3">
      <c r="A700" s="34"/>
      <c r="B700" s="14">
        <f>IFERROR(VLOOKUP(A700,Tabla3[],2,FALSE),0)</f>
        <v>0</v>
      </c>
      <c r="C700" s="35"/>
      <c r="D700" s="35" t="s">
        <v>9</v>
      </c>
      <c r="E700" s="35">
        <f>B695*80</f>
        <v>0</v>
      </c>
    </row>
    <row r="701" spans="1:5" thickBot="1" x14ac:dyDescent="0.3">
      <c r="A701" s="34"/>
      <c r="B701" s="14">
        <f>IFERROR(VLOOKUP(A701,Tabla3[],2,FALSE),0)</f>
        <v>0</v>
      </c>
      <c r="C701" s="35"/>
      <c r="D701" s="35" t="s">
        <v>34</v>
      </c>
      <c r="E701" s="35">
        <f>B695*0.5</f>
        <v>0</v>
      </c>
    </row>
    <row r="702" spans="1:5" thickBot="1" x14ac:dyDescent="0.3">
      <c r="A702" s="34"/>
      <c r="B702" s="14">
        <f>IFERROR(VLOOKUP(A702,Tabla3[],2,FALSE),0)</f>
        <v>0</v>
      </c>
      <c r="C702" s="35"/>
      <c r="D702" s="35" t="s">
        <v>6</v>
      </c>
      <c r="E702" s="35">
        <f>B695</f>
        <v>0</v>
      </c>
    </row>
    <row r="703" spans="1:5" thickBot="1" x14ac:dyDescent="0.3">
      <c r="A703" s="27"/>
      <c r="B703" s="14">
        <f>IFERROR(VLOOKUP(A703,Tabla3[],2,FALSE),0)</f>
        <v>0</v>
      </c>
      <c r="C703" s="28"/>
      <c r="D703" s="28" t="s">
        <v>16</v>
      </c>
      <c r="E703" s="28">
        <f>B695*100</f>
        <v>0</v>
      </c>
    </row>
    <row r="704" spans="1:5" thickBot="1" x14ac:dyDescent="0.3">
      <c r="A704" s="115" t="s">
        <v>616</v>
      </c>
      <c r="B704" s="14">
        <f>IFERROR(VLOOKUP(A704,Tabla3[],2,FALSE),0)</f>
        <v>4</v>
      </c>
      <c r="C704" s="26"/>
      <c r="D704" s="26" t="s">
        <v>7</v>
      </c>
      <c r="E704" s="26">
        <f>B704</f>
        <v>4</v>
      </c>
    </row>
    <row r="705" spans="1:5" thickBot="1" x14ac:dyDescent="0.3">
      <c r="A705" s="34"/>
      <c r="B705" s="14">
        <f>IFERROR(VLOOKUP(A705,Tabla3[],2,FALSE),0)</f>
        <v>0</v>
      </c>
      <c r="C705" s="35"/>
      <c r="D705" s="35" t="s">
        <v>74</v>
      </c>
      <c r="E705" s="35">
        <f>B704</f>
        <v>4</v>
      </c>
    </row>
    <row r="706" spans="1:5" thickBot="1" x14ac:dyDescent="0.3">
      <c r="A706" s="34"/>
      <c r="B706" s="14">
        <f>IFERROR(VLOOKUP(A706,Tabla3[],2,FALSE),0)</f>
        <v>0</v>
      </c>
      <c r="C706" s="35"/>
      <c r="D706" s="35" t="s">
        <v>35</v>
      </c>
      <c r="E706" s="35">
        <f>B704*50</f>
        <v>200</v>
      </c>
    </row>
    <row r="707" spans="1:5" ht="15" customHeight="1" thickBot="1" x14ac:dyDescent="0.3">
      <c r="A707" s="34"/>
      <c r="B707" s="14">
        <f>IFERROR(VLOOKUP(A707,Tabla3[],2,FALSE),0)</f>
        <v>0</v>
      </c>
      <c r="C707" s="35"/>
      <c r="D707" s="35" t="s">
        <v>8</v>
      </c>
      <c r="E707" s="35">
        <f>B704</f>
        <v>4</v>
      </c>
    </row>
    <row r="708" spans="1:5" ht="15" customHeight="1" thickBot="1" x14ac:dyDescent="0.3">
      <c r="A708" s="34"/>
      <c r="B708" s="14">
        <f>IFERROR(VLOOKUP(A708,Tabla3[],2,FALSE),0)</f>
        <v>0</v>
      </c>
      <c r="C708" s="35"/>
      <c r="D708" s="35" t="s">
        <v>9</v>
      </c>
      <c r="E708" s="35">
        <f>B704*90</f>
        <v>360</v>
      </c>
    </row>
    <row r="709" spans="1:5" ht="15" customHeight="1" thickBot="1" x14ac:dyDescent="0.3">
      <c r="A709" s="27"/>
      <c r="B709" s="14">
        <f>IFERROR(VLOOKUP(A709,Tabla3[],2,FALSE),0)</f>
        <v>0</v>
      </c>
      <c r="C709" s="28"/>
      <c r="D709" s="28" t="s">
        <v>16</v>
      </c>
      <c r="E709" s="28">
        <f>B704*50</f>
        <v>200</v>
      </c>
    </row>
    <row r="710" spans="1:5" ht="15" customHeight="1" thickBot="1" x14ac:dyDescent="0.3">
      <c r="A710" s="25" t="s">
        <v>530</v>
      </c>
      <c r="B710" s="14">
        <f>IFERROR(VLOOKUP(A710,Tabla3[],2,FALSE),0)</f>
        <v>2</v>
      </c>
      <c r="C710" s="26"/>
      <c r="D710" s="26" t="s">
        <v>7</v>
      </c>
      <c r="E710" s="26">
        <f>B710</f>
        <v>2</v>
      </c>
    </row>
    <row r="711" spans="1:5" ht="15" customHeight="1" thickBot="1" x14ac:dyDescent="0.3">
      <c r="A711" s="34"/>
      <c r="B711" s="14">
        <f>IFERROR(VLOOKUP(A711,Tabla3[],2,FALSE),0)</f>
        <v>0</v>
      </c>
      <c r="C711" s="35"/>
      <c r="D711" s="35" t="s">
        <v>35</v>
      </c>
      <c r="E711" s="35">
        <f>B710*50</f>
        <v>100</v>
      </c>
    </row>
    <row r="712" spans="1:5" ht="15.75" customHeight="1" thickBot="1" x14ac:dyDescent="0.3">
      <c r="A712" s="34"/>
      <c r="B712" s="14">
        <f>IFERROR(VLOOKUP(A712,Tabla3[],2,FALSE),0)</f>
        <v>0</v>
      </c>
      <c r="C712" s="35"/>
      <c r="D712" s="35" t="s">
        <v>10</v>
      </c>
      <c r="E712" s="35">
        <f>B710</f>
        <v>2</v>
      </c>
    </row>
    <row r="713" spans="1:5" ht="15.75" customHeight="1" thickBot="1" x14ac:dyDescent="0.3">
      <c r="A713" s="34"/>
      <c r="B713" s="14">
        <f>IFERROR(VLOOKUP(A713,Tabla3[],2,FALSE),0)</f>
        <v>0</v>
      </c>
      <c r="C713" s="35"/>
      <c r="D713" s="35" t="s">
        <v>9</v>
      </c>
      <c r="E713" s="35">
        <f>B710*90</f>
        <v>180</v>
      </c>
    </row>
    <row r="714" spans="1:5" ht="15" customHeight="1" thickBot="1" x14ac:dyDescent="0.3">
      <c r="A714" s="27"/>
      <c r="B714" s="14">
        <f>IFERROR(VLOOKUP(A714,Tabla3[],2,FALSE),0)</f>
        <v>0</v>
      </c>
      <c r="C714" s="28"/>
      <c r="D714" s="28" t="s">
        <v>16</v>
      </c>
      <c r="E714" s="28">
        <f>B710*50</f>
        <v>100</v>
      </c>
    </row>
    <row r="715" spans="1:5" ht="15" customHeight="1" thickBot="1" x14ac:dyDescent="0.3">
      <c r="A715" s="25" t="s">
        <v>529</v>
      </c>
      <c r="B715" s="14">
        <f>IFERROR(VLOOKUP(A715,Tabla3[],2,FALSE),0)</f>
        <v>2</v>
      </c>
      <c r="C715" s="26"/>
      <c r="D715" s="26" t="s">
        <v>7</v>
      </c>
      <c r="E715" s="26">
        <f>B715</f>
        <v>2</v>
      </c>
    </row>
    <row r="716" spans="1:5" ht="15" customHeight="1" thickBot="1" x14ac:dyDescent="0.3">
      <c r="A716" s="34"/>
      <c r="B716" s="14">
        <f>IFERROR(VLOOKUP(A716,Tabla3[],2,FALSE),0)</f>
        <v>0</v>
      </c>
      <c r="C716" s="35"/>
      <c r="D716" s="35" t="s">
        <v>35</v>
      </c>
      <c r="E716" s="35">
        <f>B715*50</f>
        <v>100</v>
      </c>
    </row>
    <row r="717" spans="1:5" ht="15" customHeight="1" thickBot="1" x14ac:dyDescent="0.3">
      <c r="A717" s="34"/>
      <c r="B717" s="14">
        <f>IFERROR(VLOOKUP(A717,Tabla3[],2,FALSE),0)</f>
        <v>0</v>
      </c>
      <c r="C717" s="35"/>
      <c r="D717" s="35" t="s">
        <v>6</v>
      </c>
      <c r="E717" s="35">
        <f>B715</f>
        <v>2</v>
      </c>
    </row>
    <row r="718" spans="1:5" ht="15" customHeight="1" thickBot="1" x14ac:dyDescent="0.3">
      <c r="A718" s="34"/>
      <c r="B718" s="14">
        <f>IFERROR(VLOOKUP(A718,Tabla3[],2,FALSE),0)</f>
        <v>0</v>
      </c>
      <c r="C718" s="35"/>
      <c r="D718" s="35" t="s">
        <v>9</v>
      </c>
      <c r="E718" s="35">
        <f>B715*90</f>
        <v>180</v>
      </c>
    </row>
    <row r="719" spans="1:5" ht="15" customHeight="1" thickBot="1" x14ac:dyDescent="0.3">
      <c r="A719" s="27"/>
      <c r="B719" s="14">
        <f>IFERROR(VLOOKUP(A719,Tabla3[],2,FALSE),0)</f>
        <v>0</v>
      </c>
      <c r="C719" s="28"/>
      <c r="D719" s="28" t="s">
        <v>16</v>
      </c>
      <c r="E719" s="28">
        <f>B715*50</f>
        <v>100</v>
      </c>
    </row>
    <row r="720" spans="1:5" ht="15" customHeight="1" thickBot="1" x14ac:dyDescent="0.3">
      <c r="A720" s="25" t="s">
        <v>526</v>
      </c>
      <c r="B720" s="14">
        <f>IFERROR(VLOOKUP(A720,Tabla3[],2,FALSE),0)</f>
        <v>1</v>
      </c>
      <c r="C720" s="26"/>
      <c r="D720" s="26" t="s">
        <v>3</v>
      </c>
      <c r="E720" s="26">
        <f>B720</f>
        <v>1</v>
      </c>
    </row>
    <row r="721" spans="1:5" ht="15" customHeight="1" thickBot="1" x14ac:dyDescent="0.3">
      <c r="A721" s="34"/>
      <c r="B721" s="14">
        <f>IFERROR(VLOOKUP(A721,Tabla3[],2,FALSE),0)</f>
        <v>0</v>
      </c>
      <c r="C721" s="35"/>
      <c r="D721" s="35" t="s">
        <v>521</v>
      </c>
      <c r="E721" s="35">
        <f>B720*150</f>
        <v>150</v>
      </c>
    </row>
    <row r="722" spans="1:5" ht="15" customHeight="1" thickBot="1" x14ac:dyDescent="0.3">
      <c r="A722" s="27"/>
      <c r="B722" s="14">
        <f>IFERROR(VLOOKUP(A722,Tabla3[],2,FALSE),0)</f>
        <v>0</v>
      </c>
      <c r="C722" s="28"/>
      <c r="D722" s="28" t="s">
        <v>35</v>
      </c>
      <c r="E722" s="28">
        <f>B720*150</f>
        <v>150</v>
      </c>
    </row>
    <row r="723" spans="1:5" ht="15.75" customHeight="1" thickBot="1" x14ac:dyDescent="0.3">
      <c r="A723" s="116" t="s">
        <v>664</v>
      </c>
      <c r="B723" s="14">
        <f>IFERROR(VLOOKUP(A723,Tabla3[],2,FALSE),0)</f>
        <v>0</v>
      </c>
      <c r="C723" s="26"/>
      <c r="D723" s="26" t="s">
        <v>26</v>
      </c>
      <c r="E723" s="26">
        <f>B723</f>
        <v>0</v>
      </c>
    </row>
    <row r="724" spans="1:5" ht="15.75" customHeight="1" thickBot="1" x14ac:dyDescent="0.3">
      <c r="A724" s="34"/>
      <c r="B724" s="14">
        <f>IFERROR(VLOOKUP(A724,Tabla3[],2,FALSE),0)</f>
        <v>0</v>
      </c>
      <c r="C724" s="35"/>
      <c r="D724" s="35" t="s">
        <v>27</v>
      </c>
      <c r="E724" s="35">
        <f>B723</f>
        <v>0</v>
      </c>
    </row>
    <row r="725" spans="1:5" thickBot="1" x14ac:dyDescent="0.3">
      <c r="A725" s="34"/>
      <c r="B725" s="14">
        <f>IFERROR(VLOOKUP(A725,Tabla3[],2,FALSE),0)</f>
        <v>0</v>
      </c>
      <c r="C725" s="35"/>
      <c r="D725" s="35" t="s">
        <v>28</v>
      </c>
      <c r="E725" s="35">
        <f>B723</f>
        <v>0</v>
      </c>
    </row>
    <row r="726" spans="1:5" thickBot="1" x14ac:dyDescent="0.3">
      <c r="A726" s="34"/>
      <c r="B726" s="14">
        <f>IFERROR(VLOOKUP(A726,Tabla3[],2,FALSE),0)</f>
        <v>0</v>
      </c>
      <c r="C726" s="35"/>
      <c r="D726" s="35" t="s">
        <v>30</v>
      </c>
      <c r="E726" s="35">
        <f>B723</f>
        <v>0</v>
      </c>
    </row>
    <row r="727" spans="1:5" thickBot="1" x14ac:dyDescent="0.3">
      <c r="A727" s="34"/>
      <c r="B727" s="14">
        <f>IFERROR(VLOOKUP(A727,Tabla3[],2,FALSE),0)</f>
        <v>0</v>
      </c>
      <c r="C727" s="35" t="s">
        <v>133</v>
      </c>
      <c r="D727" s="35" t="s">
        <v>573</v>
      </c>
      <c r="E727" s="35">
        <f>B723*20</f>
        <v>0</v>
      </c>
    </row>
    <row r="728" spans="1:5" thickBot="1" x14ac:dyDescent="0.3">
      <c r="A728" s="34"/>
      <c r="B728" s="14">
        <f>IFERROR(VLOOKUP(A728,Tabla3[],2,FALSE),0)</f>
        <v>0</v>
      </c>
      <c r="C728" s="35" t="s">
        <v>159</v>
      </c>
      <c r="D728" s="35" t="s">
        <v>34</v>
      </c>
      <c r="E728" s="35">
        <f>B723*0.2</f>
        <v>0</v>
      </c>
    </row>
    <row r="729" spans="1:5" thickBot="1" x14ac:dyDescent="0.3">
      <c r="A729" s="27"/>
      <c r="B729" s="14">
        <f>IFERROR(VLOOKUP(A729,Tabla3[],2,FALSE),0)</f>
        <v>0</v>
      </c>
      <c r="C729" s="28" t="s">
        <v>133</v>
      </c>
      <c r="D729" s="28" t="s">
        <v>13</v>
      </c>
      <c r="E729" s="28">
        <f>B723*100</f>
        <v>0</v>
      </c>
    </row>
    <row r="730" spans="1:5" thickBot="1" x14ac:dyDescent="0.3">
      <c r="A730" s="25" t="s">
        <v>665</v>
      </c>
      <c r="B730" s="14">
        <f>IFERROR(VLOOKUP(A730,Tabla3[],2,FALSE),0)</f>
        <v>1</v>
      </c>
      <c r="C730" s="26"/>
      <c r="D730" s="26" t="s">
        <v>26</v>
      </c>
      <c r="E730" s="26">
        <f>B730*2</f>
        <v>2</v>
      </c>
    </row>
    <row r="731" spans="1:5" thickBot="1" x14ac:dyDescent="0.3">
      <c r="A731" s="34"/>
      <c r="B731" s="14">
        <f>IFERROR(VLOOKUP(A731,Tabla3[],2,FALSE),0)</f>
        <v>0</v>
      </c>
      <c r="C731" s="35"/>
      <c r="D731" s="35" t="s">
        <v>27</v>
      </c>
      <c r="E731" s="35">
        <f>B730*2</f>
        <v>2</v>
      </c>
    </row>
    <row r="732" spans="1:5" thickBot="1" x14ac:dyDescent="0.3">
      <c r="A732" s="34"/>
      <c r="B732" s="14">
        <f>IFERROR(VLOOKUP(A732,Tabla3[],2,FALSE),0)</f>
        <v>0</v>
      </c>
      <c r="C732" s="35"/>
      <c r="D732" s="35" t="s">
        <v>32</v>
      </c>
      <c r="E732" s="35">
        <f>B730</f>
        <v>1</v>
      </c>
    </row>
    <row r="733" spans="1:5" thickBot="1" x14ac:dyDescent="0.3">
      <c r="A733" s="34"/>
      <c r="B733" s="14">
        <f>IFERROR(VLOOKUP(A733,Tabla3[],2,FALSE),0)</f>
        <v>0</v>
      </c>
      <c r="C733" s="35"/>
      <c r="D733" s="35" t="s">
        <v>28</v>
      </c>
      <c r="E733" s="35">
        <f>B730</f>
        <v>1</v>
      </c>
    </row>
    <row r="734" spans="1:5" thickBot="1" x14ac:dyDescent="0.3">
      <c r="A734" s="27"/>
      <c r="B734" s="14">
        <f>IFERROR(VLOOKUP(A734,Tabla3[],2,FALSE),0)</f>
        <v>0</v>
      </c>
      <c r="C734" s="28"/>
      <c r="D734" s="28" t="s">
        <v>13</v>
      </c>
      <c r="E734" s="28">
        <f>B730*100</f>
        <v>100</v>
      </c>
    </row>
    <row r="735" spans="1:5" thickBot="1" x14ac:dyDescent="0.3">
      <c r="A735" s="25" t="s">
        <v>569</v>
      </c>
      <c r="B735" s="14">
        <f>IFERROR(VLOOKUP(A735,Tabla3[],2,FALSE),0)</f>
        <v>0</v>
      </c>
      <c r="C735" s="26"/>
      <c r="D735" s="26" t="s">
        <v>31</v>
      </c>
      <c r="E735" s="26">
        <f>B735</f>
        <v>0</v>
      </c>
    </row>
    <row r="736" spans="1:5" thickBot="1" x14ac:dyDescent="0.3">
      <c r="A736" s="34"/>
      <c r="B736" s="14">
        <f>IFERROR(VLOOKUP(A736,Tabla3[],2,FALSE),0)</f>
        <v>0</v>
      </c>
      <c r="C736" s="35"/>
      <c r="D736" s="35" t="s">
        <v>34</v>
      </c>
      <c r="E736" s="35"/>
    </row>
    <row r="737" spans="1:5" thickBot="1" x14ac:dyDescent="0.3">
      <c r="A737" s="34"/>
      <c r="B737" s="14">
        <f>IFERROR(VLOOKUP(A737,Tabla3[],2,FALSE),0)</f>
        <v>0</v>
      </c>
      <c r="C737" s="35"/>
      <c r="D737" s="35" t="s">
        <v>571</v>
      </c>
      <c r="E737" s="35">
        <f>B735*30</f>
        <v>0</v>
      </c>
    </row>
    <row r="738" spans="1:5" thickBot="1" x14ac:dyDescent="0.3">
      <c r="A738" s="34"/>
      <c r="B738" s="14">
        <f>IFERROR(VLOOKUP(A738,Tabla3[],2,FALSE),0)</f>
        <v>0</v>
      </c>
      <c r="C738" s="35"/>
      <c r="D738" s="35" t="s">
        <v>9</v>
      </c>
      <c r="E738" s="35">
        <f>B735*30</f>
        <v>0</v>
      </c>
    </row>
    <row r="739" spans="1:5" thickBot="1" x14ac:dyDescent="0.3">
      <c r="A739" s="34"/>
      <c r="B739" s="14">
        <f>IFERROR(VLOOKUP(A739,Tabla3[],2,FALSE),0)</f>
        <v>0</v>
      </c>
      <c r="C739" s="35"/>
      <c r="D739" s="35" t="s">
        <v>28</v>
      </c>
      <c r="E739" s="35">
        <f>B735</f>
        <v>0</v>
      </c>
    </row>
    <row r="740" spans="1:5" thickBot="1" x14ac:dyDescent="0.3">
      <c r="A740" s="27"/>
      <c r="B740" s="14">
        <f>IFERROR(VLOOKUP(A740,Tabla3[],2,FALSE),0)</f>
        <v>0</v>
      </c>
      <c r="C740" s="28"/>
      <c r="D740" s="28" t="s">
        <v>13</v>
      </c>
      <c r="E740" s="28">
        <f>B735*100</f>
        <v>0</v>
      </c>
    </row>
    <row r="741" spans="1:5" thickBot="1" x14ac:dyDescent="0.3">
      <c r="A741" s="18" t="s">
        <v>527</v>
      </c>
      <c r="B741" s="14">
        <f>IFERROR(VLOOKUP(A741,Tabla3[],2,FALSE),0)</f>
        <v>1</v>
      </c>
      <c r="C741" s="20"/>
      <c r="D741" s="20" t="s">
        <v>0</v>
      </c>
      <c r="E741" s="20">
        <f t="shared" ref="E741:E742" si="29">B741*2</f>
        <v>2</v>
      </c>
    </row>
    <row r="742" spans="1:5" thickBot="1" x14ac:dyDescent="0.3">
      <c r="A742" s="25" t="s">
        <v>547</v>
      </c>
      <c r="B742" s="14">
        <f>IFERROR(VLOOKUP(A742,Tabla3[],2,FALSE),0)</f>
        <v>1</v>
      </c>
      <c r="C742" s="26"/>
      <c r="D742" s="26" t="s">
        <v>2</v>
      </c>
      <c r="E742" s="26">
        <f t="shared" si="29"/>
        <v>2</v>
      </c>
    </row>
    <row r="743" spans="1:5" thickBot="1" x14ac:dyDescent="0.3">
      <c r="A743" s="27"/>
      <c r="B743" s="14">
        <f>IFERROR(VLOOKUP(A743,Tabla3[],2,FALSE),0)</f>
        <v>0</v>
      </c>
      <c r="C743" s="28"/>
      <c r="D743" s="28" t="s">
        <v>16</v>
      </c>
      <c r="E743" s="28">
        <f>B742*50</f>
        <v>50</v>
      </c>
    </row>
    <row r="744" spans="1:5" thickBot="1" x14ac:dyDescent="0.3">
      <c r="A744" s="22" t="s">
        <v>613</v>
      </c>
      <c r="B744" s="14">
        <f>IFERROR(VLOOKUP(A744,Tabla3[],2,FALSE),0)</f>
        <v>0</v>
      </c>
      <c r="C744" s="23"/>
      <c r="D744" s="23" t="s">
        <v>522</v>
      </c>
      <c r="E744" s="23">
        <f>B744</f>
        <v>0</v>
      </c>
    </row>
    <row r="745" spans="1:5" thickBot="1" x14ac:dyDescent="0.3">
      <c r="A745" s="25" t="s">
        <v>544</v>
      </c>
      <c r="B745" s="14">
        <f>IFERROR(VLOOKUP(A745,Tabla3[],2,FALSE),0)</f>
        <v>1</v>
      </c>
      <c r="C745" s="26"/>
      <c r="D745" s="26" t="s">
        <v>16</v>
      </c>
      <c r="E745" s="26">
        <f>B745*50</f>
        <v>50</v>
      </c>
    </row>
    <row r="746" spans="1:5" thickBot="1" x14ac:dyDescent="0.3">
      <c r="A746" s="27"/>
      <c r="B746" s="14">
        <f>IFERROR(VLOOKUP(A746,Tabla3[],2,FALSE),0)</f>
        <v>0</v>
      </c>
      <c r="C746" s="28"/>
      <c r="D746" s="28" t="s">
        <v>1</v>
      </c>
      <c r="E746" s="28">
        <f>B745*2</f>
        <v>2</v>
      </c>
    </row>
    <row r="747" spans="1:5" thickBot="1" x14ac:dyDescent="0.3">
      <c r="A747" s="25" t="s">
        <v>539</v>
      </c>
      <c r="B747" s="14">
        <f>IFERROR(VLOOKUP(A747,Tabla3[],2,FALSE),0)</f>
        <v>0</v>
      </c>
      <c r="C747" s="26"/>
      <c r="D747" s="26" t="s">
        <v>520</v>
      </c>
      <c r="E747" s="26">
        <f>B747</f>
        <v>0</v>
      </c>
    </row>
    <row r="748" spans="1:5" thickBot="1" x14ac:dyDescent="0.3">
      <c r="A748" s="34"/>
      <c r="B748" s="14">
        <f>IFERROR(VLOOKUP(A748,Tabla3[],2,FALSE),0)</f>
        <v>0</v>
      </c>
      <c r="C748" s="35"/>
      <c r="D748" s="35" t="s">
        <v>311</v>
      </c>
      <c r="E748" s="35">
        <f>B747*2</f>
        <v>0</v>
      </c>
    </row>
    <row r="749" spans="1:5" thickBot="1" x14ac:dyDescent="0.3">
      <c r="A749" s="27"/>
      <c r="B749" s="14">
        <f>IFERROR(VLOOKUP(A749,Tabla3[],2,FALSE),0)</f>
        <v>0</v>
      </c>
      <c r="C749" s="28"/>
      <c r="D749" s="28" t="s">
        <v>16</v>
      </c>
      <c r="E749" s="28">
        <f>B747*50</f>
        <v>0</v>
      </c>
    </row>
    <row r="750" spans="1:5" thickBot="1" x14ac:dyDescent="0.3">
      <c r="A750" s="80" t="s">
        <v>588</v>
      </c>
      <c r="B750" s="14">
        <f>IFERROR(VLOOKUP(A750,Tabla3[],2,FALSE),0)</f>
        <v>0</v>
      </c>
      <c r="C750" s="31"/>
      <c r="D750" s="31" t="s">
        <v>36</v>
      </c>
      <c r="E750" s="31">
        <f>B750</f>
        <v>0</v>
      </c>
    </row>
    <row r="751" spans="1:5" ht="15" customHeight="1" thickBot="1" x14ac:dyDescent="0.3">
      <c r="A751" s="81"/>
      <c r="B751" s="14">
        <f>IFERROR(VLOOKUP(A751,Tabla3[],2,FALSE),0)</f>
        <v>0</v>
      </c>
      <c r="C751" s="35"/>
      <c r="D751" s="35" t="s">
        <v>102</v>
      </c>
      <c r="E751" s="35">
        <f>B750*0.5</f>
        <v>0</v>
      </c>
    </row>
    <row r="752" spans="1:5" ht="15" customHeight="1" thickBot="1" x14ac:dyDescent="0.3">
      <c r="A752" s="82"/>
      <c r="B752" s="14">
        <f>IFERROR(VLOOKUP(A752,Tabla3[],2,FALSE),0)</f>
        <v>0</v>
      </c>
      <c r="C752" s="33"/>
      <c r="D752" s="33" t="s">
        <v>311</v>
      </c>
      <c r="E752" s="33">
        <f>B750*2</f>
        <v>0</v>
      </c>
    </row>
    <row r="753" spans="1:5" ht="15" customHeight="1" thickBot="1" x14ac:dyDescent="0.3">
      <c r="A753" s="25" t="s">
        <v>528</v>
      </c>
      <c r="B753" s="14">
        <f>IFERROR(VLOOKUP(A753,Tabla3[],2,FALSE),0)</f>
        <v>2</v>
      </c>
      <c r="C753" s="26"/>
      <c r="D753" s="26" t="s">
        <v>14</v>
      </c>
      <c r="E753" s="26">
        <f>B753</f>
        <v>2</v>
      </c>
    </row>
    <row r="754" spans="1:5" ht="15" customHeight="1" thickBot="1" x14ac:dyDescent="0.3">
      <c r="A754" s="27"/>
      <c r="B754" s="14">
        <f>IFERROR(VLOOKUP(A754,Tabla3[],2,FALSE),0)</f>
        <v>0</v>
      </c>
      <c r="C754" s="28"/>
      <c r="D754" s="28" t="s">
        <v>311</v>
      </c>
      <c r="E754" s="28">
        <f>B753*2</f>
        <v>4</v>
      </c>
    </row>
    <row r="755" spans="1:5" ht="15" customHeight="1" thickBot="1" x14ac:dyDescent="0.3">
      <c r="A755" s="25" t="s">
        <v>543</v>
      </c>
      <c r="B755" s="14">
        <f>IFERROR(VLOOKUP(A755,Tabla3[],2,FALSE),0)</f>
        <v>0</v>
      </c>
      <c r="C755" s="26" t="s">
        <v>268</v>
      </c>
      <c r="D755" s="26" t="s">
        <v>5</v>
      </c>
      <c r="E755" s="26">
        <f>B755*2</f>
        <v>0</v>
      </c>
    </row>
    <row r="756" spans="1:5" ht="15" customHeight="1" thickBot="1" x14ac:dyDescent="0.3">
      <c r="A756" s="34"/>
      <c r="B756" s="14">
        <f>IFERROR(VLOOKUP(A756,Tabla3[],2,FALSE),0)</f>
        <v>0</v>
      </c>
      <c r="C756" s="35"/>
      <c r="D756" s="35" t="s">
        <v>12</v>
      </c>
      <c r="E756" s="35">
        <f>B755</f>
        <v>0</v>
      </c>
    </row>
    <row r="757" spans="1:5" ht="15" customHeight="1" thickBot="1" x14ac:dyDescent="0.3">
      <c r="A757" s="34"/>
      <c r="B757" s="14">
        <f>IFERROR(VLOOKUP(A757,Tabla3[],2,FALSE),0)</f>
        <v>0</v>
      </c>
      <c r="C757" s="35" t="s">
        <v>133</v>
      </c>
      <c r="D757" s="35" t="s">
        <v>16</v>
      </c>
      <c r="E757" s="35">
        <f>B755*50</f>
        <v>0</v>
      </c>
    </row>
    <row r="758" spans="1:5" ht="15" customHeight="1" thickBot="1" x14ac:dyDescent="0.3">
      <c r="A758" s="27"/>
      <c r="B758" s="14">
        <f>IFERROR(VLOOKUP(A758,Tabla3[],2,FALSE),0)</f>
        <v>0</v>
      </c>
      <c r="C758" s="28" t="s">
        <v>133</v>
      </c>
      <c r="D758" s="28" t="s">
        <v>13</v>
      </c>
      <c r="E758" s="28">
        <f>B755*100</f>
        <v>0</v>
      </c>
    </row>
    <row r="759" spans="1:5" ht="15" customHeight="1" thickBot="1" x14ac:dyDescent="0.3">
      <c r="A759" s="25" t="s">
        <v>568</v>
      </c>
      <c r="B759" s="14">
        <f>IFERROR(VLOOKUP(A759,Tabla3[],2,FALSE),0)</f>
        <v>0</v>
      </c>
      <c r="C759" s="37"/>
      <c r="D759" s="26" t="s">
        <v>5</v>
      </c>
      <c r="E759" s="37">
        <f>B759*2</f>
        <v>0</v>
      </c>
    </row>
    <row r="760" spans="1:5" ht="15" customHeight="1" thickBot="1" x14ac:dyDescent="0.3">
      <c r="A760" s="34"/>
      <c r="B760" s="14">
        <f>IFERROR(VLOOKUP(A760,Tabla3[],2,FALSE),0)</f>
        <v>0</v>
      </c>
      <c r="C760" s="38"/>
      <c r="D760" s="35" t="s">
        <v>12</v>
      </c>
      <c r="E760" s="38">
        <f>B759*1</f>
        <v>0</v>
      </c>
    </row>
    <row r="761" spans="1:5" ht="15" customHeight="1" thickBot="1" x14ac:dyDescent="0.3">
      <c r="A761" s="34"/>
      <c r="B761" s="14">
        <f>IFERROR(VLOOKUP(A761,Tabla3[],2,FALSE),0)</f>
        <v>0</v>
      </c>
      <c r="C761" s="38"/>
      <c r="D761" s="35" t="s">
        <v>13</v>
      </c>
      <c r="E761" s="38">
        <f>B759*100</f>
        <v>0</v>
      </c>
    </row>
    <row r="762" spans="1:5" ht="15" customHeight="1" thickBot="1" x14ac:dyDescent="0.3">
      <c r="A762" s="27"/>
      <c r="B762" s="14">
        <f>IFERROR(VLOOKUP(A762,Tabla3[],2,FALSE),0)</f>
        <v>0</v>
      </c>
      <c r="C762" s="41"/>
      <c r="D762" s="28" t="s">
        <v>16</v>
      </c>
      <c r="E762" s="41">
        <f>B759*30</f>
        <v>0</v>
      </c>
    </row>
    <row r="763" spans="1:5" ht="15" customHeight="1" thickBot="1" x14ac:dyDescent="0.3">
      <c r="A763" s="25" t="s">
        <v>475</v>
      </c>
      <c r="B763" s="14">
        <f>IFERROR(VLOOKUP(A763,Tabla3[],2,FALSE),0)</f>
        <v>0</v>
      </c>
      <c r="C763" s="37"/>
      <c r="D763" s="26" t="s">
        <v>47</v>
      </c>
      <c r="E763" s="37">
        <f>B763*1000</f>
        <v>0</v>
      </c>
    </row>
    <row r="764" spans="1:5" ht="15" customHeight="1" thickBot="1" x14ac:dyDescent="0.3">
      <c r="A764" s="34"/>
      <c r="B764" s="14">
        <f>IFERROR(VLOOKUP(A764,Tabla3[],2,FALSE),0)</f>
        <v>0</v>
      </c>
      <c r="C764" s="38"/>
      <c r="D764" s="35" t="s">
        <v>13</v>
      </c>
      <c r="E764" s="35">
        <f>B763*800</f>
        <v>0</v>
      </c>
    </row>
    <row r="765" spans="1:5" ht="15" customHeight="1" thickBot="1" x14ac:dyDescent="0.3">
      <c r="A765" s="34"/>
      <c r="B765" s="14">
        <f>IFERROR(VLOOKUP(A765,Tabla3[],2,FALSE),0)</f>
        <v>0</v>
      </c>
      <c r="C765" s="38"/>
      <c r="D765" s="35" t="s">
        <v>9</v>
      </c>
      <c r="E765" s="35">
        <f>B763*150</f>
        <v>0</v>
      </c>
    </row>
    <row r="766" spans="1:5" ht="15" customHeight="1" thickBot="1" x14ac:dyDescent="0.3">
      <c r="A766" s="34"/>
      <c r="B766" s="14">
        <f>IFERROR(VLOOKUP(A766,Tabla3[],2,FALSE),0)</f>
        <v>0</v>
      </c>
      <c r="C766" s="38"/>
      <c r="D766" s="35" t="s">
        <v>16</v>
      </c>
      <c r="E766" s="35">
        <f>B763*150</f>
        <v>0</v>
      </c>
    </row>
    <row r="767" spans="1:5" ht="15" customHeight="1" thickBot="1" x14ac:dyDescent="0.3">
      <c r="A767" s="34"/>
      <c r="B767" s="14">
        <f>IFERROR(VLOOKUP(A767,Tabla3[],2,FALSE),0)</f>
        <v>0</v>
      </c>
      <c r="C767" s="38"/>
      <c r="D767" s="35" t="s">
        <v>23</v>
      </c>
      <c r="E767" s="35">
        <f>B763*20</f>
        <v>0</v>
      </c>
    </row>
    <row r="768" spans="1:5" ht="15" customHeight="1" thickBot="1" x14ac:dyDescent="0.3">
      <c r="A768" s="34"/>
      <c r="B768" s="14">
        <f>IFERROR(VLOOKUP(A768,Tabla3[],2,FALSE),0)</f>
        <v>0</v>
      </c>
      <c r="C768" s="38"/>
      <c r="D768" s="35" t="s">
        <v>24</v>
      </c>
      <c r="E768" s="35">
        <f>B763</f>
        <v>0</v>
      </c>
    </row>
    <row r="769" spans="1:5" ht="15" customHeight="1" thickBot="1" x14ac:dyDescent="0.3">
      <c r="A769" s="27"/>
      <c r="B769" s="14">
        <f>IFERROR(VLOOKUP(A769,Tabla3[],2,FALSE),0)</f>
        <v>0</v>
      </c>
      <c r="C769" s="41"/>
      <c r="D769" s="28" t="s">
        <v>60</v>
      </c>
      <c r="E769" s="41">
        <f>B763</f>
        <v>0</v>
      </c>
    </row>
    <row r="770" spans="1:5" ht="15.75" customHeight="1" thickBot="1" x14ac:dyDescent="0.3">
      <c r="A770" s="18" t="s">
        <v>476</v>
      </c>
      <c r="B770" s="14">
        <f>IFERROR(VLOOKUP(A770,Tabla3[],2,FALSE),0)</f>
        <v>0</v>
      </c>
      <c r="C770" s="47"/>
      <c r="D770" s="20" t="s">
        <v>47</v>
      </c>
      <c r="E770" s="47">
        <f>B770*1000</f>
        <v>0</v>
      </c>
    </row>
    <row r="771" spans="1:5" ht="15.75" customHeight="1" thickBot="1" x14ac:dyDescent="0.3">
      <c r="A771" s="18" t="s">
        <v>477</v>
      </c>
      <c r="B771" s="14">
        <f>IFERROR(VLOOKUP(A771,Tabla3[],2,FALSE),0)</f>
        <v>0</v>
      </c>
      <c r="C771" s="47"/>
      <c r="D771" s="20" t="s">
        <v>65</v>
      </c>
      <c r="E771" s="47">
        <f t="shared" ref="E771:E772" si="30">B771*6</f>
        <v>0</v>
      </c>
    </row>
    <row r="772" spans="1:5" ht="15" customHeight="1" thickBot="1" x14ac:dyDescent="0.3">
      <c r="A772" s="115" t="s">
        <v>666</v>
      </c>
      <c r="B772" s="14">
        <f>IFERROR(VLOOKUP(A772,Tabla3[],2,FALSE),0)</f>
        <v>0</v>
      </c>
      <c r="C772" s="37"/>
      <c r="D772" s="37" t="s">
        <v>65</v>
      </c>
      <c r="E772" s="37">
        <f t="shared" si="30"/>
        <v>0</v>
      </c>
    </row>
    <row r="773" spans="1:5" ht="15" customHeight="1" thickBot="1" x14ac:dyDescent="0.3">
      <c r="A773" s="34"/>
      <c r="B773" s="14">
        <f>IFERROR(VLOOKUP(A773,Tabla3[],2,FALSE),0)</f>
        <v>0</v>
      </c>
      <c r="C773" s="38"/>
      <c r="D773" s="38" t="s">
        <v>13</v>
      </c>
      <c r="E773" s="38">
        <f>800*B772</f>
        <v>0</v>
      </c>
    </row>
    <row r="774" spans="1:5" ht="15" customHeight="1" thickBot="1" x14ac:dyDescent="0.3">
      <c r="A774" s="34"/>
      <c r="B774" s="14">
        <f>IFERROR(VLOOKUP(A774,Tabla3[],2,FALSE),0)</f>
        <v>0</v>
      </c>
      <c r="C774" s="38"/>
      <c r="D774" s="38" t="s">
        <v>9</v>
      </c>
      <c r="E774" s="38">
        <f>150*B772</f>
        <v>0</v>
      </c>
    </row>
    <row r="775" spans="1:5" ht="15" customHeight="1" thickBot="1" x14ac:dyDescent="0.3">
      <c r="A775" s="34"/>
      <c r="B775" s="14">
        <f>IFERROR(VLOOKUP(A775,Tabla3[],2,FALSE),0)</f>
        <v>0</v>
      </c>
      <c r="C775" s="38"/>
      <c r="D775" s="38" t="s">
        <v>16</v>
      </c>
      <c r="E775" s="38">
        <f>150*B772</f>
        <v>0</v>
      </c>
    </row>
    <row r="776" spans="1:5" ht="15" customHeight="1" thickBot="1" x14ac:dyDescent="0.3">
      <c r="A776" s="34"/>
      <c r="B776" s="14">
        <f>IFERROR(VLOOKUP(A776,Tabla3[],2,FALSE),0)</f>
        <v>0</v>
      </c>
      <c r="C776" s="38"/>
      <c r="D776" s="38" t="s">
        <v>23</v>
      </c>
      <c r="E776" s="38">
        <f>20*B772</f>
        <v>0</v>
      </c>
    </row>
    <row r="777" spans="1:5" ht="15" customHeight="1" thickBot="1" x14ac:dyDescent="0.3">
      <c r="A777" s="27"/>
      <c r="B777" s="14">
        <f>IFERROR(VLOOKUP(A777,Tabla3[],2,FALSE),0)</f>
        <v>0</v>
      </c>
      <c r="C777" s="41"/>
      <c r="D777" s="41" t="s">
        <v>24</v>
      </c>
      <c r="E777" s="41">
        <f>1*B772</f>
        <v>0</v>
      </c>
    </row>
    <row r="778" spans="1:5" ht="15" customHeight="1" thickBot="1" x14ac:dyDescent="0.3">
      <c r="A778" s="25" t="s">
        <v>478</v>
      </c>
      <c r="B778" s="14">
        <f>IFERROR(VLOOKUP(A778,Tabla3[],2,FALSE),0)</f>
        <v>0</v>
      </c>
      <c r="C778" s="37"/>
      <c r="D778" s="37" t="s">
        <v>65</v>
      </c>
      <c r="E778" s="37">
        <f>B778*6</f>
        <v>0</v>
      </c>
    </row>
    <row r="779" spans="1:5" ht="15" customHeight="1" thickBot="1" x14ac:dyDescent="0.3">
      <c r="A779" s="34"/>
      <c r="B779" s="14">
        <f>IFERROR(VLOOKUP(A779,Tabla3[],2,FALSE),0)</f>
        <v>0</v>
      </c>
      <c r="C779" s="38"/>
      <c r="D779" s="35" t="s">
        <v>4</v>
      </c>
      <c r="E779" s="35">
        <f>B778*6</f>
        <v>0</v>
      </c>
    </row>
    <row r="780" spans="1:5" ht="15" customHeight="1" thickBot="1" x14ac:dyDescent="0.3">
      <c r="A780" s="34"/>
      <c r="B780" s="14">
        <f>IFERROR(VLOOKUP(A780,Tabla3[],2,FALSE),0)</f>
        <v>0</v>
      </c>
      <c r="C780" s="38"/>
      <c r="D780" s="35" t="s">
        <v>11</v>
      </c>
      <c r="E780" s="35">
        <f>B778</f>
        <v>0</v>
      </c>
    </row>
    <row r="781" spans="1:5" ht="15" customHeight="1" thickBot="1" x14ac:dyDescent="0.3">
      <c r="A781" s="34"/>
      <c r="B781" s="14">
        <f>IFERROR(VLOOKUP(A781,Tabla3[],2,FALSE),0)</f>
        <v>0</v>
      </c>
      <c r="C781" s="38"/>
      <c r="D781" s="35" t="s">
        <v>5</v>
      </c>
      <c r="E781" s="35">
        <f>B778</f>
        <v>0</v>
      </c>
    </row>
    <row r="782" spans="1:5" ht="15" customHeight="1" thickBot="1" x14ac:dyDescent="0.3">
      <c r="A782" s="34"/>
      <c r="B782" s="14">
        <f>IFERROR(VLOOKUP(A782,Tabla3[],2,FALSE),0)</f>
        <v>0</v>
      </c>
      <c r="C782" s="38"/>
      <c r="D782" s="35" t="s">
        <v>8</v>
      </c>
      <c r="E782" s="35">
        <f>B778</f>
        <v>0</v>
      </c>
    </row>
    <row r="783" spans="1:5" ht="15" customHeight="1" thickBot="1" x14ac:dyDescent="0.3">
      <c r="A783" s="34"/>
      <c r="B783" s="14">
        <f>IFERROR(VLOOKUP(A783,Tabla3[],2,FALSE),0)</f>
        <v>0</v>
      </c>
      <c r="C783" s="38"/>
      <c r="D783" s="35" t="s">
        <v>35</v>
      </c>
      <c r="E783" s="35">
        <f>B778*50</f>
        <v>0</v>
      </c>
    </row>
    <row r="784" spans="1:5" ht="15" customHeight="1" thickBot="1" x14ac:dyDescent="0.3">
      <c r="A784" s="34"/>
      <c r="B784" s="14">
        <f>IFERROR(VLOOKUP(A784,Tabla3[],2,FALSE),0)</f>
        <v>0</v>
      </c>
      <c r="C784" s="38"/>
      <c r="D784" s="35" t="s">
        <v>9</v>
      </c>
      <c r="E784" s="35">
        <f>B778*80</f>
        <v>0</v>
      </c>
    </row>
    <row r="785" spans="1:5" ht="15" customHeight="1" thickBot="1" x14ac:dyDescent="0.3">
      <c r="A785" s="34"/>
      <c r="B785" s="14">
        <f>IFERROR(VLOOKUP(A785,Tabla3[],2,FALSE),0)</f>
        <v>0</v>
      </c>
      <c r="C785" s="38"/>
      <c r="D785" s="35" t="s">
        <v>34</v>
      </c>
      <c r="E785" s="35">
        <f>B778*0.5</f>
        <v>0</v>
      </c>
    </row>
    <row r="786" spans="1:5" ht="15" customHeight="1" thickBot="1" x14ac:dyDescent="0.3">
      <c r="A786" s="34"/>
      <c r="B786" s="14">
        <f>IFERROR(VLOOKUP(A786,Tabla3[],2,FALSE),0)</f>
        <v>0</v>
      </c>
      <c r="C786" s="38"/>
      <c r="D786" s="35" t="s">
        <v>6</v>
      </c>
      <c r="E786" s="35">
        <f>B778</f>
        <v>0</v>
      </c>
    </row>
    <row r="787" spans="1:5" ht="15" customHeight="1" thickBot="1" x14ac:dyDescent="0.3">
      <c r="A787" s="27"/>
      <c r="B787" s="14">
        <f>IFERROR(VLOOKUP(A787,Tabla3[],2,FALSE),0)</f>
        <v>0</v>
      </c>
      <c r="C787" s="41"/>
      <c r="D787" s="28" t="s">
        <v>16</v>
      </c>
      <c r="E787" s="28">
        <f>B778*100</f>
        <v>0</v>
      </c>
    </row>
    <row r="788" spans="1:5" ht="15" customHeight="1" thickBot="1" x14ac:dyDescent="0.3">
      <c r="A788" s="116" t="s">
        <v>667</v>
      </c>
      <c r="B788" s="14">
        <f>IFERROR(VLOOKUP(A788,Tabla3[],2,FALSE),0)</f>
        <v>0</v>
      </c>
      <c r="C788" s="26"/>
      <c r="D788" s="26" t="s">
        <v>637</v>
      </c>
      <c r="E788" s="26">
        <f>B788*3</f>
        <v>0</v>
      </c>
    </row>
    <row r="789" spans="1:5" ht="15.75" customHeight="1" thickBot="1" x14ac:dyDescent="0.3">
      <c r="A789" s="34"/>
      <c r="B789" s="14">
        <f>IFERROR(VLOOKUP(A789,Tabla3[],2,FALSE),0)</f>
        <v>0</v>
      </c>
      <c r="C789" s="35"/>
      <c r="D789" s="35" t="s">
        <v>636</v>
      </c>
      <c r="E789" s="35">
        <f>B788*3</f>
        <v>0</v>
      </c>
    </row>
    <row r="790" spans="1:5" ht="15.75" customHeight="1" thickBot="1" x14ac:dyDescent="0.3">
      <c r="A790" s="34"/>
      <c r="B790" s="14">
        <f>IFERROR(VLOOKUP(A790,Tabla3[],2,FALSE),0)</f>
        <v>0</v>
      </c>
      <c r="C790" s="35"/>
      <c r="D790" s="35" t="s">
        <v>97</v>
      </c>
      <c r="E790" s="35">
        <f>B788*50*3</f>
        <v>0</v>
      </c>
    </row>
    <row r="791" spans="1:5" ht="15" customHeight="1" thickBot="1" x14ac:dyDescent="0.3">
      <c r="A791" s="34"/>
      <c r="B791" s="14">
        <f>IFERROR(VLOOKUP(A791,Tabla3[],2,FALSE),0)</f>
        <v>0</v>
      </c>
      <c r="C791" s="35" t="s">
        <v>133</v>
      </c>
      <c r="D791" s="35" t="s">
        <v>51</v>
      </c>
      <c r="E791" s="35">
        <f>B788*20*3</f>
        <v>0</v>
      </c>
    </row>
    <row r="792" spans="1:5" ht="15.75" customHeight="1" thickBot="1" x14ac:dyDescent="0.3">
      <c r="A792" s="34"/>
      <c r="B792" s="14">
        <f>IFERROR(VLOOKUP(A792,Tabla3[],2,FALSE),0)</f>
        <v>0</v>
      </c>
      <c r="C792" s="35" t="s">
        <v>131</v>
      </c>
      <c r="D792" s="35" t="s">
        <v>106</v>
      </c>
      <c r="E792" s="35">
        <f>B788*30*3</f>
        <v>0</v>
      </c>
    </row>
    <row r="793" spans="1:5" ht="15.75" customHeight="1" thickBot="1" x14ac:dyDescent="0.3">
      <c r="A793" s="34"/>
      <c r="B793" s="14">
        <f>IFERROR(VLOOKUP(A793,Tabla3[],2,FALSE),0)</f>
        <v>0</v>
      </c>
      <c r="C793" s="35" t="s">
        <v>131</v>
      </c>
      <c r="D793" s="35" t="s">
        <v>116</v>
      </c>
      <c r="E793" s="35">
        <f>B788*75*3</f>
        <v>0</v>
      </c>
    </row>
    <row r="794" spans="1:5" thickBot="1" x14ac:dyDescent="0.3">
      <c r="A794" s="27"/>
      <c r="B794" s="14">
        <f>IFERROR(VLOOKUP(A794,Tabla3[],2,FALSE),0)</f>
        <v>0</v>
      </c>
      <c r="C794" s="41"/>
      <c r="D794" s="28" t="s">
        <v>97</v>
      </c>
      <c r="E794" s="41">
        <f>B788*1600</f>
        <v>0</v>
      </c>
    </row>
    <row r="795" spans="1:5" thickBot="1" x14ac:dyDescent="0.3">
      <c r="A795" s="25" t="s">
        <v>479</v>
      </c>
      <c r="B795" s="14">
        <f>IFERROR(VLOOKUP(A795,Tabla3[],2,FALSE),0)</f>
        <v>1</v>
      </c>
      <c r="C795" s="26"/>
      <c r="D795" s="26" t="s">
        <v>637</v>
      </c>
      <c r="E795" s="26">
        <f>B795*3</f>
        <v>3</v>
      </c>
    </row>
    <row r="796" spans="1:5" thickBot="1" x14ac:dyDescent="0.3">
      <c r="A796" s="34"/>
      <c r="B796" s="14">
        <f>IFERROR(VLOOKUP(A796,Tabla3[],2,FALSE),0)</f>
        <v>0</v>
      </c>
      <c r="C796" s="35"/>
      <c r="D796" s="35" t="s">
        <v>51</v>
      </c>
      <c r="E796" s="35">
        <f>B795*20*3</f>
        <v>60</v>
      </c>
    </row>
    <row r="797" spans="1:5" thickBot="1" x14ac:dyDescent="0.3">
      <c r="A797" s="34"/>
      <c r="B797" s="14">
        <f>IFERROR(VLOOKUP(A797,Tabla3[],2,FALSE),0)</f>
        <v>0</v>
      </c>
      <c r="C797" s="35"/>
      <c r="D797" s="35" t="s">
        <v>636</v>
      </c>
      <c r="E797" s="35">
        <f>B795*3</f>
        <v>3</v>
      </c>
    </row>
    <row r="798" spans="1:5" thickBot="1" x14ac:dyDescent="0.3">
      <c r="A798" s="34"/>
      <c r="B798" s="14">
        <f>IFERROR(VLOOKUP(A798,Tabla3[],2,FALSE),0)</f>
        <v>0</v>
      </c>
      <c r="C798" s="35"/>
      <c r="D798" s="35" t="s">
        <v>97</v>
      </c>
      <c r="E798" s="35">
        <f>B795*50*3</f>
        <v>150</v>
      </c>
    </row>
    <row r="799" spans="1:5" thickBot="1" x14ac:dyDescent="0.3">
      <c r="A799" s="34"/>
      <c r="B799" s="14">
        <f>IFERROR(VLOOKUP(A799,Tabla3[],2,FALSE),0)</f>
        <v>0</v>
      </c>
      <c r="C799" s="35"/>
      <c r="D799" s="35" t="s">
        <v>106</v>
      </c>
      <c r="E799" s="35">
        <f>B795*20*3</f>
        <v>60</v>
      </c>
    </row>
    <row r="800" spans="1:5" thickBot="1" x14ac:dyDescent="0.3">
      <c r="A800" s="34"/>
      <c r="B800" s="14">
        <f>IFERROR(VLOOKUP(A800,Tabla3[],2,FALSE),0)</f>
        <v>0</v>
      </c>
      <c r="C800" s="35"/>
      <c r="D800" s="35" t="s">
        <v>116</v>
      </c>
      <c r="E800" s="35">
        <f>B795*75*3</f>
        <v>225</v>
      </c>
    </row>
    <row r="801" spans="1:5" thickBot="1" x14ac:dyDescent="0.3">
      <c r="A801" s="34"/>
      <c r="B801" s="14">
        <f>IFERROR(VLOOKUP(A801,Tabla3[],2,FALSE),0)</f>
        <v>0</v>
      </c>
      <c r="C801" s="35"/>
      <c r="D801" s="35" t="s">
        <v>97</v>
      </c>
      <c r="E801" s="35">
        <f>B795</f>
        <v>1</v>
      </c>
    </row>
    <row r="802" spans="1:5" thickBot="1" x14ac:dyDescent="0.3">
      <c r="A802" s="34"/>
      <c r="B802" s="14">
        <f>IFERROR(VLOOKUP(A802,Tabla3[],2,FALSE),0)</f>
        <v>0</v>
      </c>
      <c r="C802" s="35"/>
      <c r="D802" s="35" t="s">
        <v>13</v>
      </c>
      <c r="E802" s="35">
        <f>B795*800</f>
        <v>800</v>
      </c>
    </row>
    <row r="803" spans="1:5" thickBot="1" x14ac:dyDescent="0.3">
      <c r="A803" s="34"/>
      <c r="B803" s="14">
        <f>IFERROR(VLOOKUP(A803,Tabla3[],2,FALSE),0)</f>
        <v>0</v>
      </c>
      <c r="C803" s="35"/>
      <c r="D803" s="35" t="s">
        <v>9</v>
      </c>
      <c r="E803" s="35">
        <f>B795*150</f>
        <v>150</v>
      </c>
    </row>
    <row r="804" spans="1:5" thickBot="1" x14ac:dyDescent="0.3">
      <c r="A804" s="34"/>
      <c r="B804" s="14">
        <f>IFERROR(VLOOKUP(A804,Tabla3[],2,FALSE),0)</f>
        <v>0</v>
      </c>
      <c r="C804" s="35"/>
      <c r="D804" s="35" t="s">
        <v>16</v>
      </c>
      <c r="E804" s="35">
        <f>B795*150</f>
        <v>150</v>
      </c>
    </row>
    <row r="805" spans="1:5" thickBot="1" x14ac:dyDescent="0.3">
      <c r="A805" s="34"/>
      <c r="B805" s="14">
        <f>IFERROR(VLOOKUP(A805,Tabla3[],2,FALSE),0)</f>
        <v>0</v>
      </c>
      <c r="C805" s="35"/>
      <c r="D805" s="35" t="s">
        <v>23</v>
      </c>
      <c r="E805" s="35">
        <f>B795*20</f>
        <v>20</v>
      </c>
    </row>
    <row r="806" spans="1:5" thickBot="1" x14ac:dyDescent="0.3">
      <c r="A806" s="27"/>
      <c r="B806" s="14">
        <f>IFERROR(VLOOKUP(A806,Tabla3[],2,FALSE),0)</f>
        <v>0</v>
      </c>
      <c r="C806" s="28"/>
      <c r="D806" s="28" t="s">
        <v>24</v>
      </c>
      <c r="E806" s="28">
        <f>B795</f>
        <v>1</v>
      </c>
    </row>
    <row r="807" spans="1:5" thickBot="1" x14ac:dyDescent="0.3">
      <c r="A807" s="25" t="s">
        <v>480</v>
      </c>
      <c r="B807" s="14">
        <f>IFERROR(VLOOKUP(A807,Tabla3[],2,FALSE),0)</f>
        <v>0</v>
      </c>
      <c r="C807" s="26"/>
      <c r="D807" s="26" t="s">
        <v>7</v>
      </c>
      <c r="E807" s="26">
        <f>B807</f>
        <v>0</v>
      </c>
    </row>
    <row r="808" spans="1:5" thickBot="1" x14ac:dyDescent="0.3">
      <c r="A808" s="34"/>
      <c r="B808" s="14">
        <f>IFERROR(VLOOKUP(A808,Tabla3[],2,FALSE),0)</f>
        <v>0</v>
      </c>
      <c r="C808" s="35"/>
      <c r="D808" s="35" t="s">
        <v>74</v>
      </c>
      <c r="E808" s="35">
        <f>B807</f>
        <v>0</v>
      </c>
    </row>
    <row r="809" spans="1:5" thickBot="1" x14ac:dyDescent="0.3">
      <c r="A809" s="34"/>
      <c r="B809" s="14">
        <f>IFERROR(VLOOKUP(A809,Tabla3[],2,FALSE),0)</f>
        <v>0</v>
      </c>
      <c r="C809" s="35"/>
      <c r="D809" s="35" t="s">
        <v>35</v>
      </c>
      <c r="E809" s="35">
        <f>B807*40</f>
        <v>0</v>
      </c>
    </row>
    <row r="810" spans="1:5" thickBot="1" x14ac:dyDescent="0.3">
      <c r="A810" s="34"/>
      <c r="B810" s="14">
        <f>IFERROR(VLOOKUP(A810,Tabla3[],2,FALSE),0)</f>
        <v>0</v>
      </c>
      <c r="C810" s="35"/>
      <c r="D810" s="35" t="s">
        <v>8</v>
      </c>
      <c r="E810" s="35">
        <f>B807</f>
        <v>0</v>
      </c>
    </row>
    <row r="811" spans="1:5" thickBot="1" x14ac:dyDescent="0.3">
      <c r="A811" s="34"/>
      <c r="B811" s="14">
        <f>IFERROR(VLOOKUP(A811,Tabla3[],2,FALSE),0)</f>
        <v>0</v>
      </c>
      <c r="C811" s="35"/>
      <c r="D811" s="35" t="s">
        <v>9</v>
      </c>
      <c r="E811" s="35">
        <f>B807*80</f>
        <v>0</v>
      </c>
    </row>
    <row r="812" spans="1:5" thickBot="1" x14ac:dyDescent="0.3">
      <c r="A812" s="34"/>
      <c r="B812" s="14">
        <f>IFERROR(VLOOKUP(A812,Tabla3[],2,FALSE),0)</f>
        <v>0</v>
      </c>
      <c r="C812" s="35"/>
      <c r="D812" s="35" t="s">
        <v>7</v>
      </c>
      <c r="E812" s="35">
        <f>B807</f>
        <v>0</v>
      </c>
    </row>
    <row r="813" spans="1:5" thickBot="1" x14ac:dyDescent="0.3">
      <c r="A813" s="34"/>
      <c r="B813" s="14">
        <f>IFERROR(VLOOKUP(A813,Tabla3[],2,FALSE),0)</f>
        <v>0</v>
      </c>
      <c r="C813" s="35"/>
      <c r="D813" s="35" t="s">
        <v>35</v>
      </c>
      <c r="E813" s="35">
        <f>B807*40</f>
        <v>0</v>
      </c>
    </row>
    <row r="814" spans="1:5" thickBot="1" x14ac:dyDescent="0.3">
      <c r="A814" s="34"/>
      <c r="B814" s="14">
        <f>IFERROR(VLOOKUP(A814,Tabla3[],2,FALSE),0)</f>
        <v>0</v>
      </c>
      <c r="C814" s="35"/>
      <c r="D814" s="35" t="s">
        <v>10</v>
      </c>
      <c r="E814" s="35">
        <f>B807</f>
        <v>0</v>
      </c>
    </row>
    <row r="815" spans="1:5" thickBot="1" x14ac:dyDescent="0.3">
      <c r="A815" s="34"/>
      <c r="B815" s="14">
        <f>IFERROR(VLOOKUP(A815,Tabla3[],2,FALSE),0)</f>
        <v>0</v>
      </c>
      <c r="C815" s="35"/>
      <c r="D815" s="35" t="s">
        <v>9</v>
      </c>
      <c r="E815" s="35">
        <f>B807*80</f>
        <v>0</v>
      </c>
    </row>
    <row r="816" spans="1:5" thickBot="1" x14ac:dyDescent="0.3">
      <c r="A816" s="34"/>
      <c r="B816" s="14">
        <f>IFERROR(VLOOKUP(A816,Tabla3[],2,FALSE),0)</f>
        <v>0</v>
      </c>
      <c r="C816" s="35"/>
      <c r="D816" s="35" t="s">
        <v>7</v>
      </c>
      <c r="E816" s="35">
        <f>B807</f>
        <v>0</v>
      </c>
    </row>
    <row r="817" spans="1:5" thickBot="1" x14ac:dyDescent="0.3">
      <c r="A817" s="34"/>
      <c r="B817" s="14">
        <f>IFERROR(VLOOKUP(A817,Tabla3[],2,FALSE),0)</f>
        <v>0</v>
      </c>
      <c r="C817" s="35"/>
      <c r="D817" s="35" t="s">
        <v>35</v>
      </c>
      <c r="E817" s="35">
        <f>B807*40</f>
        <v>0</v>
      </c>
    </row>
    <row r="818" spans="1:5" thickBot="1" x14ac:dyDescent="0.3">
      <c r="A818" s="34"/>
      <c r="B818" s="14">
        <f>IFERROR(VLOOKUP(A818,Tabla3[],2,FALSE),0)</f>
        <v>0</v>
      </c>
      <c r="C818" s="35"/>
      <c r="D818" s="35" t="s">
        <v>6</v>
      </c>
      <c r="E818" s="35">
        <f>B807</f>
        <v>0</v>
      </c>
    </row>
    <row r="819" spans="1:5" thickBot="1" x14ac:dyDescent="0.3">
      <c r="A819" s="34"/>
      <c r="B819" s="14">
        <f>IFERROR(VLOOKUP(A819,Tabla3[],2,FALSE),0)</f>
        <v>0</v>
      </c>
      <c r="C819" s="35"/>
      <c r="D819" s="35" t="s">
        <v>9</v>
      </c>
      <c r="E819" s="35">
        <f>B807*80</f>
        <v>0</v>
      </c>
    </row>
    <row r="820" spans="1:5" thickBot="1" x14ac:dyDescent="0.3">
      <c r="A820" s="34"/>
      <c r="B820" s="14">
        <f>IFERROR(VLOOKUP(A820,Tabla3[],2,FALSE),0)</f>
        <v>0</v>
      </c>
      <c r="C820" s="35"/>
      <c r="D820" s="35" t="s">
        <v>636</v>
      </c>
      <c r="E820" s="35">
        <f>B807*3</f>
        <v>0</v>
      </c>
    </row>
    <row r="821" spans="1:5" thickBot="1" x14ac:dyDescent="0.3">
      <c r="A821" s="34"/>
      <c r="B821" s="14">
        <f>IFERROR(VLOOKUP(A821,Tabla3[],2,FALSE),0)</f>
        <v>0</v>
      </c>
      <c r="C821" s="35"/>
      <c r="D821" s="35" t="s">
        <v>97</v>
      </c>
      <c r="E821" s="35">
        <f>B807*5*3</f>
        <v>0</v>
      </c>
    </row>
    <row r="822" spans="1:5" thickBot="1" x14ac:dyDescent="0.3">
      <c r="A822" s="34"/>
      <c r="B822" s="14">
        <f>IFERROR(VLOOKUP(A822,Tabla3[],2,FALSE),0)</f>
        <v>0</v>
      </c>
      <c r="C822" s="35"/>
      <c r="D822" s="35" t="s">
        <v>637</v>
      </c>
      <c r="E822" s="35">
        <f>B807*3</f>
        <v>0</v>
      </c>
    </row>
    <row r="823" spans="1:5" thickBot="1" x14ac:dyDescent="0.3">
      <c r="A823" s="34"/>
      <c r="B823" s="14">
        <f>IFERROR(VLOOKUP(A823,Tabla3[],2,FALSE),0)</f>
        <v>0</v>
      </c>
      <c r="C823" s="35" t="s">
        <v>133</v>
      </c>
      <c r="D823" s="35" t="s">
        <v>51</v>
      </c>
      <c r="E823" s="35">
        <f>B807*20*3</f>
        <v>0</v>
      </c>
    </row>
    <row r="824" spans="1:5" thickBot="1" x14ac:dyDescent="0.3">
      <c r="A824" s="34"/>
      <c r="B824" s="14">
        <f>IFERROR(VLOOKUP(A824,Tabla3[],2,FALSE),0)</f>
        <v>0</v>
      </c>
      <c r="C824" s="35" t="s">
        <v>131</v>
      </c>
      <c r="D824" s="35" t="s">
        <v>106</v>
      </c>
      <c r="E824" s="35">
        <f>B807*20*3</f>
        <v>0</v>
      </c>
    </row>
    <row r="825" spans="1:5" thickBot="1" x14ac:dyDescent="0.3">
      <c r="A825" s="27"/>
      <c r="B825" s="14">
        <f>IFERROR(VLOOKUP(A825,Tabla3[],2,FALSE),0)</f>
        <v>0</v>
      </c>
      <c r="C825" s="28" t="s">
        <v>131</v>
      </c>
      <c r="D825" s="28" t="s">
        <v>116</v>
      </c>
      <c r="E825" s="28">
        <f>B807*75*3</f>
        <v>0</v>
      </c>
    </row>
    <row r="826" spans="1:5" thickBot="1" x14ac:dyDescent="0.3">
      <c r="A826" s="25" t="s">
        <v>481</v>
      </c>
      <c r="B826" s="14">
        <f>IFERROR(VLOOKUP(A826,Tabla3[],2,FALSE),0)</f>
        <v>0</v>
      </c>
      <c r="C826" s="37"/>
      <c r="D826" s="37" t="s">
        <v>49</v>
      </c>
      <c r="E826" s="37">
        <f>750*B826</f>
        <v>0</v>
      </c>
    </row>
    <row r="827" spans="1:5" thickBot="1" x14ac:dyDescent="0.3">
      <c r="A827" s="34"/>
      <c r="B827" s="14">
        <f>IFERROR(VLOOKUP(A827,Tabla3[],2,FALSE),0)</f>
        <v>0</v>
      </c>
      <c r="C827" s="38"/>
      <c r="D827" s="38" t="s">
        <v>97</v>
      </c>
      <c r="E827" s="38">
        <f>B826</f>
        <v>0</v>
      </c>
    </row>
    <row r="828" spans="1:5" thickBot="1" x14ac:dyDescent="0.3">
      <c r="A828" s="27"/>
      <c r="B828" s="14">
        <f>IFERROR(VLOOKUP(A828,Tabla3[],2,FALSE),0)</f>
        <v>0</v>
      </c>
      <c r="C828" s="41"/>
      <c r="D828" s="41" t="s">
        <v>59</v>
      </c>
      <c r="E828" s="41">
        <f>1500*B826</f>
        <v>0</v>
      </c>
    </row>
    <row r="829" spans="1:5" thickBot="1" x14ac:dyDescent="0.3">
      <c r="A829" s="25" t="s">
        <v>482</v>
      </c>
      <c r="B829" s="14">
        <f>IFERROR(VLOOKUP(A829,Tabla3[],2,FALSE),0)</f>
        <v>0</v>
      </c>
      <c r="C829" s="37"/>
      <c r="D829" s="26" t="s">
        <v>49</v>
      </c>
      <c r="E829" s="26">
        <f>B829*75</f>
        <v>0</v>
      </c>
    </row>
    <row r="830" spans="1:5" thickBot="1" x14ac:dyDescent="0.3">
      <c r="A830" s="34"/>
      <c r="B830" s="14">
        <f>IFERROR(VLOOKUP(A830,Tabla3[],2,FALSE),0)</f>
        <v>0</v>
      </c>
      <c r="C830" s="38"/>
      <c r="D830" s="35" t="s">
        <v>59</v>
      </c>
      <c r="E830" s="35">
        <f>B829*1650</f>
        <v>0</v>
      </c>
    </row>
    <row r="831" spans="1:5" thickBot="1" x14ac:dyDescent="0.3">
      <c r="A831" s="34"/>
      <c r="B831" s="14">
        <f>IFERROR(VLOOKUP(A831,Tabla3[],2,FALSE),0)</f>
        <v>0</v>
      </c>
      <c r="C831" s="38"/>
      <c r="D831" s="35" t="s">
        <v>97</v>
      </c>
      <c r="E831" s="35">
        <f>B829</f>
        <v>0</v>
      </c>
    </row>
    <row r="832" spans="1:5" thickBot="1" x14ac:dyDescent="0.3">
      <c r="A832" s="34"/>
      <c r="B832" s="14">
        <f>IFERROR(VLOOKUP(A832,Tabla3[],2,FALSE),0)</f>
        <v>0</v>
      </c>
      <c r="C832" s="35"/>
      <c r="D832" s="35" t="s">
        <v>7</v>
      </c>
      <c r="E832" s="35">
        <f>B829</f>
        <v>0</v>
      </c>
    </row>
    <row r="833" spans="1:5" thickBot="1" x14ac:dyDescent="0.3">
      <c r="A833" s="34"/>
      <c r="B833" s="14">
        <f>IFERROR(VLOOKUP(A833,Tabla3[],2,FALSE),0)</f>
        <v>0</v>
      </c>
      <c r="C833" s="35"/>
      <c r="D833" s="35" t="s">
        <v>522</v>
      </c>
      <c r="E833" s="35">
        <f>B829</f>
        <v>0</v>
      </c>
    </row>
    <row r="834" spans="1:5" thickBot="1" x14ac:dyDescent="0.3">
      <c r="A834" s="34"/>
      <c r="B834" s="14">
        <f>IFERROR(VLOOKUP(A834,Tabla3[],2,FALSE),0)</f>
        <v>0</v>
      </c>
      <c r="C834" s="35"/>
      <c r="D834" s="35" t="s">
        <v>2</v>
      </c>
      <c r="E834" s="35">
        <f>B829</f>
        <v>0</v>
      </c>
    </row>
    <row r="835" spans="1:5" thickBot="1" x14ac:dyDescent="0.3">
      <c r="A835" s="34"/>
      <c r="B835" s="14">
        <f>IFERROR(VLOOKUP(A835,Tabla3[],2,FALSE),0)</f>
        <v>0</v>
      </c>
      <c r="C835" s="35"/>
      <c r="D835" s="35" t="s">
        <v>18</v>
      </c>
      <c r="E835" s="35">
        <f>B829*4</f>
        <v>0</v>
      </c>
    </row>
    <row r="836" spans="1:5" thickBot="1" x14ac:dyDescent="0.3">
      <c r="A836" s="34"/>
      <c r="B836" s="14">
        <f>IFERROR(VLOOKUP(A836,Tabla3[],2,FALSE),0)</f>
        <v>0</v>
      </c>
      <c r="C836" s="35"/>
      <c r="D836" s="35" t="s">
        <v>0</v>
      </c>
      <c r="E836" s="35">
        <f>B829</f>
        <v>0</v>
      </c>
    </row>
    <row r="837" spans="1:5" thickBot="1" x14ac:dyDescent="0.3">
      <c r="A837" s="34"/>
      <c r="B837" s="14">
        <f>IFERROR(VLOOKUP(A837,Tabla3[],2,FALSE),0)</f>
        <v>0</v>
      </c>
      <c r="C837" s="35" t="s">
        <v>133</v>
      </c>
      <c r="D837" s="35" t="s">
        <v>35</v>
      </c>
      <c r="E837" s="35">
        <f>B829*40</f>
        <v>0</v>
      </c>
    </row>
    <row r="838" spans="1:5" thickBot="1" x14ac:dyDescent="0.3">
      <c r="A838" s="34"/>
      <c r="B838" s="14">
        <f>IFERROR(VLOOKUP(A838,Tabla3[],2,FALSE),0)</f>
        <v>0</v>
      </c>
      <c r="C838" s="35"/>
      <c r="D838" s="35" t="s">
        <v>9</v>
      </c>
      <c r="E838" s="38">
        <f>B829*90</f>
        <v>0</v>
      </c>
    </row>
    <row r="839" spans="1:5" thickBot="1" x14ac:dyDescent="0.3">
      <c r="A839" s="34"/>
      <c r="B839" s="14">
        <f>IFERROR(VLOOKUP(A839,Tabla3[],2,FALSE),0)</f>
        <v>0</v>
      </c>
      <c r="C839" s="35"/>
      <c r="D839" s="35" t="s">
        <v>35</v>
      </c>
      <c r="E839" s="38">
        <f>B829*50</f>
        <v>0</v>
      </c>
    </row>
    <row r="840" spans="1:5" thickBot="1" x14ac:dyDescent="0.3">
      <c r="A840" s="27"/>
      <c r="B840" s="14">
        <f>IFERROR(VLOOKUP(A840,Tabla3[],2,FALSE),0)</f>
        <v>0</v>
      </c>
      <c r="C840" s="28"/>
      <c r="D840" s="28" t="s">
        <v>16</v>
      </c>
      <c r="E840" s="28">
        <f>B829*50</f>
        <v>0</v>
      </c>
    </row>
    <row r="841" spans="1:5" thickBot="1" x14ac:dyDescent="0.3">
      <c r="A841" s="25" t="s">
        <v>483</v>
      </c>
      <c r="B841" s="14">
        <f>IFERROR(VLOOKUP(A841,Tabla3[],2,FALSE),0)</f>
        <v>0</v>
      </c>
      <c r="C841" s="37"/>
      <c r="D841" s="37" t="s">
        <v>97</v>
      </c>
      <c r="E841" s="37">
        <f>B841*1</f>
        <v>0</v>
      </c>
    </row>
    <row r="842" spans="1:5" thickBot="1" x14ac:dyDescent="0.3">
      <c r="A842" s="34"/>
      <c r="B842" s="14">
        <f>IFERROR(VLOOKUP(A842,Tabla3[],2,FALSE),0)</f>
        <v>0</v>
      </c>
      <c r="C842" s="38"/>
      <c r="D842" s="38" t="s">
        <v>59</v>
      </c>
      <c r="E842" s="38">
        <f>1500*B841</f>
        <v>0</v>
      </c>
    </row>
    <row r="843" spans="1:5" thickBot="1" x14ac:dyDescent="0.3">
      <c r="A843" s="27"/>
      <c r="B843" s="14">
        <f>IFERROR(VLOOKUP(A843,Tabla3[],2,FALSE),0)</f>
        <v>0</v>
      </c>
      <c r="C843" s="41"/>
      <c r="D843" s="41" t="s">
        <v>109</v>
      </c>
      <c r="E843" s="41">
        <f>750*B841</f>
        <v>0</v>
      </c>
    </row>
    <row r="844" spans="1:5" thickBot="1" x14ac:dyDescent="0.3">
      <c r="A844" s="25" t="s">
        <v>484</v>
      </c>
      <c r="B844" s="14">
        <f>IFERROR(VLOOKUP(A844,Tabla3[],2,FALSE),0)</f>
        <v>0</v>
      </c>
      <c r="C844" s="37"/>
      <c r="D844" s="37" t="s">
        <v>97</v>
      </c>
      <c r="E844" s="37">
        <f>B844*1</f>
        <v>0</v>
      </c>
    </row>
    <row r="845" spans="1:5" thickBot="1" x14ac:dyDescent="0.3">
      <c r="A845" s="34"/>
      <c r="B845" s="14">
        <f>IFERROR(VLOOKUP(A845,Tabla3[],2,FALSE),0)</f>
        <v>0</v>
      </c>
      <c r="C845" s="38"/>
      <c r="D845" s="38" t="s">
        <v>59</v>
      </c>
      <c r="E845" s="38">
        <f>1500*B844</f>
        <v>0</v>
      </c>
    </row>
    <row r="846" spans="1:5" thickBot="1" x14ac:dyDescent="0.3">
      <c r="A846" s="34"/>
      <c r="B846" s="14">
        <f>IFERROR(VLOOKUP(A846,Tabla3[],2,FALSE),0)</f>
        <v>0</v>
      </c>
      <c r="C846" s="38"/>
      <c r="D846" s="38" t="s">
        <v>109</v>
      </c>
      <c r="E846" s="38">
        <f>750*B844</f>
        <v>0</v>
      </c>
    </row>
    <row r="847" spans="1:5" thickBot="1" x14ac:dyDescent="0.3">
      <c r="A847" s="34"/>
      <c r="B847" s="14">
        <f>IFERROR(VLOOKUP(A847,Tabla3[],2,FALSE),0)</f>
        <v>0</v>
      </c>
      <c r="C847" s="35"/>
      <c r="D847" s="35" t="s">
        <v>7</v>
      </c>
      <c r="E847" s="35">
        <f>B844</f>
        <v>0</v>
      </c>
    </row>
    <row r="848" spans="1:5" thickBot="1" x14ac:dyDescent="0.3">
      <c r="A848" s="34"/>
      <c r="B848" s="14">
        <f>IFERROR(VLOOKUP(A848,Tabla3[],2,FALSE),0)</f>
        <v>0</v>
      </c>
      <c r="C848" s="35"/>
      <c r="D848" s="35" t="s">
        <v>522</v>
      </c>
      <c r="E848" s="35">
        <f>B844</f>
        <v>0</v>
      </c>
    </row>
    <row r="849" spans="1:5" thickBot="1" x14ac:dyDescent="0.3">
      <c r="A849" s="34"/>
      <c r="B849" s="14">
        <f>IFERROR(VLOOKUP(A849,Tabla3[],2,FALSE),0)</f>
        <v>0</v>
      </c>
      <c r="C849" s="35"/>
      <c r="D849" s="35" t="s">
        <v>2</v>
      </c>
      <c r="E849" s="35">
        <f>B844</f>
        <v>0</v>
      </c>
    </row>
    <row r="850" spans="1:5" thickBot="1" x14ac:dyDescent="0.3">
      <c r="A850" s="34"/>
      <c r="B850" s="14">
        <f>IFERROR(VLOOKUP(A850,Tabla3[],2,FALSE),0)</f>
        <v>0</v>
      </c>
      <c r="C850" s="35"/>
      <c r="D850" s="35" t="s">
        <v>18</v>
      </c>
      <c r="E850" s="35">
        <f>B844*4</f>
        <v>0</v>
      </c>
    </row>
    <row r="851" spans="1:5" thickBot="1" x14ac:dyDescent="0.3">
      <c r="A851" s="34"/>
      <c r="B851" s="14">
        <f>IFERROR(VLOOKUP(A851,Tabla3[],2,FALSE),0)</f>
        <v>0</v>
      </c>
      <c r="C851" s="35"/>
      <c r="D851" s="35" t="s">
        <v>0</v>
      </c>
      <c r="E851" s="35">
        <f>B844</f>
        <v>0</v>
      </c>
    </row>
    <row r="852" spans="1:5" thickBot="1" x14ac:dyDescent="0.3">
      <c r="A852" s="34"/>
      <c r="B852" s="14">
        <f>IFERROR(VLOOKUP(A852,Tabla3[],2,FALSE),0)</f>
        <v>0</v>
      </c>
      <c r="C852" s="35" t="s">
        <v>133</v>
      </c>
      <c r="D852" s="35" t="s">
        <v>35</v>
      </c>
      <c r="E852" s="35">
        <f>B844*40</f>
        <v>0</v>
      </c>
    </row>
    <row r="853" spans="1:5" thickBot="1" x14ac:dyDescent="0.3">
      <c r="A853" s="34"/>
      <c r="B853" s="14">
        <f>IFERROR(VLOOKUP(A853,Tabla3[],2,FALSE),0)</f>
        <v>0</v>
      </c>
      <c r="C853" s="35"/>
      <c r="D853" s="35" t="s">
        <v>9</v>
      </c>
      <c r="E853" s="38">
        <f>B844*90</f>
        <v>0</v>
      </c>
    </row>
    <row r="854" spans="1:5" thickBot="1" x14ac:dyDescent="0.3">
      <c r="A854" s="34"/>
      <c r="B854" s="14">
        <f>IFERROR(VLOOKUP(A854,Tabla3[],2,FALSE),0)</f>
        <v>0</v>
      </c>
      <c r="C854" s="35"/>
      <c r="D854" s="35" t="s">
        <v>35</v>
      </c>
      <c r="E854" s="38">
        <f>B844*50</f>
        <v>0</v>
      </c>
    </row>
    <row r="855" spans="1:5" thickBot="1" x14ac:dyDescent="0.3">
      <c r="A855" s="27"/>
      <c r="B855" s="14">
        <f>IFERROR(VLOOKUP(A855,Tabla3[],2,FALSE),0)</f>
        <v>0</v>
      </c>
      <c r="C855" s="28"/>
      <c r="D855" s="28" t="s">
        <v>16</v>
      </c>
      <c r="E855" s="28">
        <f>B844*50</f>
        <v>0</v>
      </c>
    </row>
    <row r="856" spans="1:5" thickBot="1" x14ac:dyDescent="0.3">
      <c r="A856" s="25" t="s">
        <v>736</v>
      </c>
      <c r="B856" s="14">
        <f>IFERROR(VLOOKUP(A856,Tabla3[],2,FALSE),0)</f>
        <v>0</v>
      </c>
      <c r="C856" s="26" t="s">
        <v>131</v>
      </c>
      <c r="D856" s="26" t="s">
        <v>116</v>
      </c>
      <c r="E856" s="26">
        <f>B856*75*3</f>
        <v>0</v>
      </c>
    </row>
    <row r="857" spans="1:5" thickBot="1" x14ac:dyDescent="0.3">
      <c r="A857" s="34"/>
      <c r="B857" s="14">
        <f>IFERROR(VLOOKUP(A857,Tabla3[],2,FALSE),0)</f>
        <v>0</v>
      </c>
      <c r="C857" s="35" t="s">
        <v>133</v>
      </c>
      <c r="D857" s="35" t="s">
        <v>106</v>
      </c>
      <c r="E857" s="35">
        <f>B856*20*3</f>
        <v>0</v>
      </c>
    </row>
    <row r="858" spans="1:5" thickBot="1" x14ac:dyDescent="0.3">
      <c r="A858" s="34"/>
      <c r="B858" s="14">
        <f>IFERROR(VLOOKUP(A858,Tabla3[],2,FALSE),0)</f>
        <v>0</v>
      </c>
      <c r="C858" s="35" t="s">
        <v>133</v>
      </c>
      <c r="D858" s="35" t="s">
        <v>51</v>
      </c>
      <c r="E858" s="35">
        <f>B856*40*3</f>
        <v>0</v>
      </c>
    </row>
    <row r="859" spans="1:5" thickBot="1" x14ac:dyDescent="0.3">
      <c r="A859" s="27"/>
      <c r="B859" s="14">
        <f>IFERROR(VLOOKUP(A859,Tabla3[],2,FALSE),0)</f>
        <v>0</v>
      </c>
      <c r="C859" s="28" t="s">
        <v>133</v>
      </c>
      <c r="D859" s="28" t="s">
        <v>105</v>
      </c>
      <c r="E859" s="28">
        <f>B856*150*3</f>
        <v>0</v>
      </c>
    </row>
    <row r="860" spans="1:5" thickBot="1" x14ac:dyDescent="0.3">
      <c r="A860" s="25" t="s">
        <v>485</v>
      </c>
      <c r="B860" s="14">
        <f>IFERROR(VLOOKUP(A860,Tabla3[],2,FALSE),0)</f>
        <v>0</v>
      </c>
      <c r="C860" s="26"/>
      <c r="D860" s="26" t="s">
        <v>13</v>
      </c>
      <c r="E860" s="26">
        <f>B860*800</f>
        <v>0</v>
      </c>
    </row>
    <row r="861" spans="1:5" thickBot="1" x14ac:dyDescent="0.3">
      <c r="A861" s="34"/>
      <c r="B861" s="14">
        <f>IFERROR(VLOOKUP(A861,Tabla3[],2,FALSE),0)</f>
        <v>0</v>
      </c>
      <c r="C861" s="35"/>
      <c r="D861" s="35" t="s">
        <v>9</v>
      </c>
      <c r="E861" s="35">
        <f>B860*130</f>
        <v>0</v>
      </c>
    </row>
    <row r="862" spans="1:5" thickBot="1" x14ac:dyDescent="0.3">
      <c r="A862" s="34"/>
      <c r="B862" s="14">
        <f>IFERROR(VLOOKUP(A862,Tabla3[],2,FALSE),0)</f>
        <v>0</v>
      </c>
      <c r="C862" s="35"/>
      <c r="D862" s="35" t="s">
        <v>16</v>
      </c>
      <c r="E862" s="35">
        <f>B860*130</f>
        <v>0</v>
      </c>
    </row>
    <row r="863" spans="1:5" thickBot="1" x14ac:dyDescent="0.3">
      <c r="A863" s="34"/>
      <c r="B863" s="14">
        <f>IFERROR(VLOOKUP(A863,Tabla3[],2,FALSE),0)</f>
        <v>0</v>
      </c>
      <c r="C863" s="35"/>
      <c r="D863" s="35" t="s">
        <v>23</v>
      </c>
      <c r="E863" s="35">
        <f>B860*20</f>
        <v>0</v>
      </c>
    </row>
    <row r="864" spans="1:5" thickBot="1" x14ac:dyDescent="0.3">
      <c r="A864" s="34"/>
      <c r="B864" s="14">
        <f>IFERROR(VLOOKUP(A864,Tabla3[],2,FALSE),0)</f>
        <v>0</v>
      </c>
      <c r="C864" s="35"/>
      <c r="D864" s="35" t="s">
        <v>24</v>
      </c>
      <c r="E864" s="35">
        <f>B860</f>
        <v>0</v>
      </c>
    </row>
    <row r="865" spans="1:5" thickBot="1" x14ac:dyDescent="0.3">
      <c r="A865" s="34"/>
      <c r="B865" s="14">
        <f>IFERROR(VLOOKUP(A865,Tabla3[],2,FALSE),0)</f>
        <v>0</v>
      </c>
      <c r="C865" s="35" t="s">
        <v>131</v>
      </c>
      <c r="D865" s="35" t="s">
        <v>116</v>
      </c>
      <c r="E865" s="35">
        <f>B860*75*3</f>
        <v>0</v>
      </c>
    </row>
    <row r="866" spans="1:5" thickBot="1" x14ac:dyDescent="0.3">
      <c r="A866" s="34"/>
      <c r="B866" s="14">
        <f>IFERROR(VLOOKUP(A866,Tabla3[],2,FALSE),0)</f>
        <v>0</v>
      </c>
      <c r="C866" s="35" t="s">
        <v>133</v>
      </c>
      <c r="D866" s="35" t="s">
        <v>106</v>
      </c>
      <c r="E866" s="35">
        <f>B860*20*3</f>
        <v>0</v>
      </c>
    </row>
    <row r="867" spans="1:5" thickBot="1" x14ac:dyDescent="0.3">
      <c r="A867" s="34"/>
      <c r="B867" s="14">
        <f>IFERROR(VLOOKUP(A867,Tabla3[],2,FALSE),0)</f>
        <v>0</v>
      </c>
      <c r="C867" s="35" t="s">
        <v>133</v>
      </c>
      <c r="D867" s="35" t="s">
        <v>51</v>
      </c>
      <c r="E867" s="35">
        <f>B860*40*3</f>
        <v>0</v>
      </c>
    </row>
    <row r="868" spans="1:5" thickBot="1" x14ac:dyDescent="0.3">
      <c r="A868" s="27"/>
      <c r="B868" s="14">
        <f>IFERROR(VLOOKUP(A868,Tabla3[],2,FALSE),0)</f>
        <v>0</v>
      </c>
      <c r="C868" s="28" t="s">
        <v>133</v>
      </c>
      <c r="D868" s="28" t="s">
        <v>106</v>
      </c>
      <c r="E868" s="28">
        <f>B860*150*3</f>
        <v>0</v>
      </c>
    </row>
    <row r="869" spans="1:5" thickBot="1" x14ac:dyDescent="0.3">
      <c r="A869" s="25" t="s">
        <v>486</v>
      </c>
      <c r="B869" s="14">
        <f>IFERROR(VLOOKUP(A869,Tabla3[],2,FALSE),0)</f>
        <v>0</v>
      </c>
      <c r="C869" s="37"/>
      <c r="D869" s="37" t="s">
        <v>83</v>
      </c>
      <c r="E869" s="37">
        <f>B869*750</f>
        <v>0</v>
      </c>
    </row>
    <row r="870" spans="1:5" thickBot="1" x14ac:dyDescent="0.3">
      <c r="A870" s="34"/>
      <c r="B870" s="14">
        <f>IFERROR(VLOOKUP(A870,Tabla3[],2,FALSE),0)</f>
        <v>0</v>
      </c>
      <c r="C870" s="38"/>
      <c r="D870" s="35" t="s">
        <v>60</v>
      </c>
      <c r="E870" s="38">
        <f>B869</f>
        <v>0</v>
      </c>
    </row>
    <row r="871" spans="1:5" thickBot="1" x14ac:dyDescent="0.3">
      <c r="A871" s="27"/>
      <c r="B871" s="14">
        <f>IFERROR(VLOOKUP(A871,Tabla3[],2,FALSE),0)</f>
        <v>0</v>
      </c>
      <c r="C871" s="41"/>
      <c r="D871" s="28" t="s">
        <v>110</v>
      </c>
      <c r="E871" s="41">
        <f>B869*4</f>
        <v>0</v>
      </c>
    </row>
    <row r="872" spans="1:5" thickBot="1" x14ac:dyDescent="0.3">
      <c r="A872" s="25" t="s">
        <v>487</v>
      </c>
      <c r="B872" s="14">
        <f>IFERROR(VLOOKUP(A872,Tabla3[],2,FALSE),0)</f>
        <v>0</v>
      </c>
      <c r="C872" s="37"/>
      <c r="D872" s="37" t="s">
        <v>83</v>
      </c>
      <c r="E872" s="37">
        <f>B872*750</f>
        <v>0</v>
      </c>
    </row>
    <row r="873" spans="1:5" thickBot="1" x14ac:dyDescent="0.3">
      <c r="A873" s="34"/>
      <c r="B873" s="14">
        <f>IFERROR(VLOOKUP(A873,Tabla3[],2,FALSE),0)</f>
        <v>0</v>
      </c>
      <c r="C873" s="38"/>
      <c r="D873" s="35" t="s">
        <v>60</v>
      </c>
      <c r="E873" s="38">
        <f>B872</f>
        <v>0</v>
      </c>
    </row>
    <row r="874" spans="1:5" thickBot="1" x14ac:dyDescent="0.3">
      <c r="A874" s="34"/>
      <c r="B874" s="14">
        <f>IFERROR(VLOOKUP(A874,Tabla3[],2,FALSE),0)</f>
        <v>0</v>
      </c>
      <c r="C874" s="38"/>
      <c r="D874" s="35" t="s">
        <v>110</v>
      </c>
      <c r="E874" s="38">
        <f>B872*4</f>
        <v>0</v>
      </c>
    </row>
    <row r="875" spans="1:5" thickBot="1" x14ac:dyDescent="0.3">
      <c r="A875" s="34"/>
      <c r="B875" s="14">
        <f>IFERROR(VLOOKUP(A875,Tabla3[],2,FALSE),0)</f>
        <v>0</v>
      </c>
      <c r="C875" s="35"/>
      <c r="D875" s="35" t="s">
        <v>13</v>
      </c>
      <c r="E875" s="35">
        <f>B872*800</f>
        <v>0</v>
      </c>
    </row>
    <row r="876" spans="1:5" thickBot="1" x14ac:dyDescent="0.3">
      <c r="A876" s="34"/>
      <c r="B876" s="14">
        <f>IFERROR(VLOOKUP(A876,Tabla3[],2,FALSE),0)</f>
        <v>0</v>
      </c>
      <c r="C876" s="35"/>
      <c r="D876" s="35" t="s">
        <v>9</v>
      </c>
      <c r="E876" s="35">
        <f>B872*130</f>
        <v>0</v>
      </c>
    </row>
    <row r="877" spans="1:5" thickBot="1" x14ac:dyDescent="0.3">
      <c r="A877" s="34"/>
      <c r="B877" s="14">
        <f>IFERROR(VLOOKUP(A877,Tabla3[],2,FALSE),0)</f>
        <v>0</v>
      </c>
      <c r="C877" s="35"/>
      <c r="D877" s="35" t="s">
        <v>16</v>
      </c>
      <c r="E877" s="35">
        <f>B872*130</f>
        <v>0</v>
      </c>
    </row>
    <row r="878" spans="1:5" thickBot="1" x14ac:dyDescent="0.3">
      <c r="A878" s="34"/>
      <c r="B878" s="14">
        <f>IFERROR(VLOOKUP(A878,Tabla3[],2,FALSE),0)</f>
        <v>0</v>
      </c>
      <c r="C878" s="35"/>
      <c r="D878" s="35" t="s">
        <v>23</v>
      </c>
      <c r="E878" s="35">
        <f>B872*20</f>
        <v>0</v>
      </c>
    </row>
    <row r="879" spans="1:5" thickBot="1" x14ac:dyDescent="0.3">
      <c r="A879" s="27"/>
      <c r="B879" s="14">
        <f>IFERROR(VLOOKUP(A879,Tabla3[],2,FALSE),0)</f>
        <v>0</v>
      </c>
      <c r="C879" s="28"/>
      <c r="D879" s="28" t="s">
        <v>24</v>
      </c>
      <c r="E879" s="28">
        <f>B872</f>
        <v>0</v>
      </c>
    </row>
    <row r="880" spans="1:5" thickBot="1" x14ac:dyDescent="0.3">
      <c r="A880" s="25" t="s">
        <v>488</v>
      </c>
      <c r="B880" s="14">
        <f>IFERROR(VLOOKUP(A880,Tabla3[],2,FALSE),0)</f>
        <v>0</v>
      </c>
      <c r="C880" s="37"/>
      <c r="D880" s="37" t="s">
        <v>86</v>
      </c>
      <c r="E880" s="37">
        <f>750*B880</f>
        <v>0</v>
      </c>
    </row>
    <row r="881" spans="1:5" thickBot="1" x14ac:dyDescent="0.3">
      <c r="A881" s="34"/>
      <c r="B881" s="14">
        <f>IFERROR(VLOOKUP(A881,Tabla3[],2,FALSE),0)</f>
        <v>0</v>
      </c>
      <c r="C881" s="38"/>
      <c r="D881" s="38" t="s">
        <v>286</v>
      </c>
      <c r="E881" s="38">
        <f>1*B880</f>
        <v>0</v>
      </c>
    </row>
    <row r="882" spans="1:5" thickBot="1" x14ac:dyDescent="0.3">
      <c r="A882" s="27"/>
      <c r="B882" s="14">
        <f>IFERROR(VLOOKUP(A882,Tabla3[],2,FALSE),0)</f>
        <v>0</v>
      </c>
      <c r="C882" s="41"/>
      <c r="D882" s="41" t="s">
        <v>110</v>
      </c>
      <c r="E882" s="41">
        <f>4*B880</f>
        <v>0</v>
      </c>
    </row>
    <row r="883" spans="1:5" thickBot="1" x14ac:dyDescent="0.3">
      <c r="A883" s="25" t="s">
        <v>489</v>
      </c>
      <c r="B883" s="14">
        <f>IFERROR(VLOOKUP(A883,Tabla3[],2,FALSE),0)</f>
        <v>0</v>
      </c>
      <c r="C883" s="37"/>
      <c r="D883" s="37" t="s">
        <v>86</v>
      </c>
      <c r="E883" s="37">
        <f>750*B883</f>
        <v>0</v>
      </c>
    </row>
    <row r="884" spans="1:5" thickBot="1" x14ac:dyDescent="0.3">
      <c r="A884" s="34"/>
      <c r="B884" s="14">
        <f>IFERROR(VLOOKUP(A884,Tabla3[],2,FALSE),0)</f>
        <v>0</v>
      </c>
      <c r="C884" s="38"/>
      <c r="D884" s="38" t="s">
        <v>286</v>
      </c>
      <c r="E884" s="38">
        <f>1*B883</f>
        <v>0</v>
      </c>
    </row>
    <row r="885" spans="1:5" thickBot="1" x14ac:dyDescent="0.3">
      <c r="A885" s="34"/>
      <c r="B885" s="14">
        <f>IFERROR(VLOOKUP(A885,Tabla3[],2,FALSE),0)</f>
        <v>0</v>
      </c>
      <c r="C885" s="38"/>
      <c r="D885" s="38" t="s">
        <v>110</v>
      </c>
      <c r="E885" s="38">
        <f>4*B883</f>
        <v>0</v>
      </c>
    </row>
    <row r="886" spans="1:5" thickBot="1" x14ac:dyDescent="0.3">
      <c r="A886" s="34"/>
      <c r="B886" s="14">
        <f>IFERROR(VLOOKUP(A886,Tabla3[],2,FALSE),0)</f>
        <v>0</v>
      </c>
      <c r="C886" s="35"/>
      <c r="D886" s="35" t="s">
        <v>13</v>
      </c>
      <c r="E886" s="35">
        <f>B883*800</f>
        <v>0</v>
      </c>
    </row>
    <row r="887" spans="1:5" thickBot="1" x14ac:dyDescent="0.3">
      <c r="A887" s="34"/>
      <c r="B887" s="14">
        <f>IFERROR(VLOOKUP(A887,Tabla3[],2,FALSE),0)</f>
        <v>0</v>
      </c>
      <c r="C887" s="35"/>
      <c r="D887" s="35" t="s">
        <v>9</v>
      </c>
      <c r="E887" s="35">
        <f>B883*130</f>
        <v>0</v>
      </c>
    </row>
    <row r="888" spans="1:5" thickBot="1" x14ac:dyDescent="0.3">
      <c r="A888" s="34"/>
      <c r="B888" s="14">
        <f>IFERROR(VLOOKUP(A888,Tabla3[],2,FALSE),0)</f>
        <v>0</v>
      </c>
      <c r="C888" s="35"/>
      <c r="D888" s="35" t="s">
        <v>16</v>
      </c>
      <c r="E888" s="35">
        <f>B883*130</f>
        <v>0</v>
      </c>
    </row>
    <row r="889" spans="1:5" thickBot="1" x14ac:dyDescent="0.3">
      <c r="A889" s="34"/>
      <c r="B889" s="14">
        <f>IFERROR(VLOOKUP(A889,Tabla3[],2,FALSE),0)</f>
        <v>0</v>
      </c>
      <c r="C889" s="35"/>
      <c r="D889" s="35" t="s">
        <v>23</v>
      </c>
      <c r="E889" s="35">
        <f>B883*20</f>
        <v>0</v>
      </c>
    </row>
    <row r="890" spans="1:5" thickBot="1" x14ac:dyDescent="0.3">
      <c r="A890" s="27"/>
      <c r="B890" s="14">
        <f>IFERROR(VLOOKUP(A890,Tabla3[],2,FALSE),0)</f>
        <v>0</v>
      </c>
      <c r="C890" s="28"/>
      <c r="D890" s="28" t="s">
        <v>24</v>
      </c>
      <c r="E890" s="28">
        <f>B883</f>
        <v>0</v>
      </c>
    </row>
    <row r="891" spans="1:5" thickBot="1" x14ac:dyDescent="0.3">
      <c r="A891" s="80" t="s">
        <v>490</v>
      </c>
      <c r="B891" s="14">
        <f>IFERROR(VLOOKUP(A891,Tabla3[],2,FALSE),0)</f>
        <v>0</v>
      </c>
      <c r="C891" s="31" t="s">
        <v>131</v>
      </c>
      <c r="D891" s="31" t="s">
        <v>123</v>
      </c>
      <c r="E891" s="31">
        <f>B891*75*3</f>
        <v>0</v>
      </c>
    </row>
    <row r="892" spans="1:5" thickBot="1" x14ac:dyDescent="0.3">
      <c r="A892" s="81"/>
      <c r="B892" s="14">
        <f>IFERROR(VLOOKUP(A892,Tabla3[],2,FALSE),0)</f>
        <v>0</v>
      </c>
      <c r="C892" s="35" t="s">
        <v>131</v>
      </c>
      <c r="D892" s="35" t="s">
        <v>106</v>
      </c>
      <c r="E892" s="35">
        <f>B891*20*3</f>
        <v>0</v>
      </c>
    </row>
    <row r="893" spans="1:5" thickBot="1" x14ac:dyDescent="0.3">
      <c r="A893" s="81"/>
      <c r="B893" s="14">
        <f>IFERROR(VLOOKUP(A893,Tabla3[],2,FALSE),0)</f>
        <v>0</v>
      </c>
      <c r="C893" s="35" t="s">
        <v>131</v>
      </c>
      <c r="D893" s="35" t="s">
        <v>128</v>
      </c>
      <c r="E893" s="35">
        <f>B891*10*3</f>
        <v>0</v>
      </c>
    </row>
    <row r="894" spans="1:5" thickBot="1" x14ac:dyDescent="0.3">
      <c r="A894" s="82"/>
      <c r="B894" s="14">
        <f>IFERROR(VLOOKUP(A894,Tabla3[],2,FALSE),0)</f>
        <v>0</v>
      </c>
      <c r="C894" s="33" t="s">
        <v>133</v>
      </c>
      <c r="D894" s="33" t="s">
        <v>51</v>
      </c>
      <c r="E894" s="33">
        <f>B891*40*3</f>
        <v>0</v>
      </c>
    </row>
    <row r="895" spans="1:5" ht="15" x14ac:dyDescent="0.25">
      <c r="A895" s="214" t="s">
        <v>615</v>
      </c>
      <c r="B895" s="2">
        <f>IFERROR(VLOOKUP(A895,Tabla3[],2,FALSE),0)</f>
        <v>0</v>
      </c>
      <c r="C895" s="67"/>
      <c r="D895" s="67" t="s">
        <v>123</v>
      </c>
      <c r="E895" s="215">
        <f>225*B895</f>
        <v>0</v>
      </c>
    </row>
    <row r="896" spans="1:5" ht="15" x14ac:dyDescent="0.25">
      <c r="A896" s="216"/>
      <c r="B896" s="6">
        <f>IFERROR(VLOOKUP(A896,Tabla3[],2,FALSE),0)</f>
        <v>0</v>
      </c>
      <c r="C896" s="68"/>
      <c r="D896" s="68" t="s">
        <v>106</v>
      </c>
      <c r="E896" s="217">
        <f>B895*90</f>
        <v>0</v>
      </c>
    </row>
    <row r="897" spans="1:5" ht="15" x14ac:dyDescent="0.25">
      <c r="A897" s="216"/>
      <c r="B897" s="6">
        <f>IFERROR(VLOOKUP(A897,Tabla3[],2,FALSE),0)</f>
        <v>0</v>
      </c>
      <c r="C897" s="68"/>
      <c r="D897" s="68" t="s">
        <v>128</v>
      </c>
      <c r="E897" s="217">
        <f>30*B895</f>
        <v>0</v>
      </c>
    </row>
    <row r="898" spans="1:5" ht="15" x14ac:dyDescent="0.25">
      <c r="A898" s="216"/>
      <c r="B898" s="6">
        <f>IFERROR(VLOOKUP(A898,Tabla3[],2,FALSE),0)</f>
        <v>0</v>
      </c>
      <c r="C898" s="68"/>
      <c r="D898" s="68" t="s">
        <v>51</v>
      </c>
      <c r="E898" s="217">
        <f>120*B895</f>
        <v>0</v>
      </c>
    </row>
    <row r="899" spans="1:5" ht="15" x14ac:dyDescent="0.25">
      <c r="A899" s="216"/>
      <c r="B899" s="6">
        <f>IFERROR(VLOOKUP(A899,Tabla3[],2,FALSE),0)</f>
        <v>0</v>
      </c>
      <c r="C899" s="68"/>
      <c r="D899" s="68" t="s">
        <v>286</v>
      </c>
      <c r="E899" s="217">
        <f>1*B895</f>
        <v>0</v>
      </c>
    </row>
    <row r="900" spans="1:5" ht="15" x14ac:dyDescent="0.25">
      <c r="A900" s="216"/>
      <c r="B900" s="6">
        <f>IFERROR(VLOOKUP(A900,Tabla3[],2,FALSE),0)</f>
        <v>0</v>
      </c>
      <c r="C900" s="68"/>
      <c r="D900" s="68" t="s">
        <v>13</v>
      </c>
      <c r="E900" s="217">
        <f>800*B895</f>
        <v>0</v>
      </c>
    </row>
    <row r="901" spans="1:5" ht="15" x14ac:dyDescent="0.25">
      <c r="A901" s="216"/>
      <c r="B901" s="6">
        <f>IFERROR(VLOOKUP(A901,Tabla3[],2,FALSE),0)</f>
        <v>0</v>
      </c>
      <c r="C901" s="68"/>
      <c r="D901" s="68" t="s">
        <v>9</v>
      </c>
      <c r="E901" s="217">
        <f>150*B895</f>
        <v>0</v>
      </c>
    </row>
    <row r="902" spans="1:5" ht="15" x14ac:dyDescent="0.25">
      <c r="A902" s="216"/>
      <c r="B902" s="6">
        <f>IFERROR(VLOOKUP(A902,Tabla3[],2,FALSE),0)</f>
        <v>0</v>
      </c>
      <c r="C902" s="68"/>
      <c r="D902" s="68" t="s">
        <v>16</v>
      </c>
      <c r="E902" s="217">
        <f>150*B895</f>
        <v>0</v>
      </c>
    </row>
    <row r="903" spans="1:5" ht="15" x14ac:dyDescent="0.25">
      <c r="A903" s="216"/>
      <c r="B903" s="6">
        <f>IFERROR(VLOOKUP(A903,Tabla3[],2,FALSE),0)</f>
        <v>0</v>
      </c>
      <c r="C903" s="68"/>
      <c r="D903" s="68" t="s">
        <v>23</v>
      </c>
      <c r="E903" s="217">
        <f>20*B895</f>
        <v>0</v>
      </c>
    </row>
    <row r="904" spans="1:5" thickBot="1" x14ac:dyDescent="0.3">
      <c r="A904" s="218"/>
      <c r="B904" s="180">
        <f>IFERROR(VLOOKUP(A904,Tabla3[],2,FALSE),0)</f>
        <v>0</v>
      </c>
      <c r="C904" s="69"/>
      <c r="D904" s="69" t="s">
        <v>24</v>
      </c>
      <c r="E904" s="219">
        <f>1*B895</f>
        <v>0</v>
      </c>
    </row>
    <row r="905" spans="1:5" thickBot="1" x14ac:dyDescent="0.3">
      <c r="A905" s="30" t="s">
        <v>491</v>
      </c>
      <c r="B905" s="212">
        <f>IFERROR(VLOOKUP(A905,Tabla3[],2,FALSE),0)</f>
        <v>0</v>
      </c>
      <c r="C905" s="86"/>
      <c r="D905" s="31" t="s">
        <v>75</v>
      </c>
      <c r="E905" s="86">
        <f>B905*40*3</f>
        <v>0</v>
      </c>
    </row>
    <row r="906" spans="1:5" thickBot="1" x14ac:dyDescent="0.3">
      <c r="A906" s="34"/>
      <c r="B906" s="14">
        <f>IFERROR(VLOOKUP(A906,Tabla3[],2,FALSE),0)</f>
        <v>0</v>
      </c>
      <c r="C906" s="38"/>
      <c r="D906" s="35" t="s">
        <v>116</v>
      </c>
      <c r="E906" s="38">
        <f>B905*40*3</f>
        <v>0</v>
      </c>
    </row>
    <row r="907" spans="1:5" thickBot="1" x14ac:dyDescent="0.3">
      <c r="A907" s="34"/>
      <c r="B907" s="14">
        <f>IFERROR(VLOOKUP(A907,Tabla3[],2,FALSE),0)</f>
        <v>0</v>
      </c>
      <c r="C907" s="38"/>
      <c r="D907" s="35" t="s">
        <v>129</v>
      </c>
      <c r="E907" s="38">
        <f>B905*40*3</f>
        <v>0</v>
      </c>
    </row>
    <row r="908" spans="1:5" thickBot="1" x14ac:dyDescent="0.3">
      <c r="A908" s="34"/>
      <c r="B908" s="14">
        <f>IFERROR(VLOOKUP(A908,Tabla3[],2,FALSE),0)</f>
        <v>0</v>
      </c>
      <c r="C908" s="38"/>
      <c r="D908" s="35" t="s">
        <v>123</v>
      </c>
      <c r="E908" s="38">
        <f>B905*40*3</f>
        <v>0</v>
      </c>
    </row>
    <row r="909" spans="1:5" thickBot="1" x14ac:dyDescent="0.3">
      <c r="A909" s="27"/>
      <c r="B909" s="14">
        <f>IFERROR(VLOOKUP(A909,Tabla3[],2,FALSE),0)</f>
        <v>0</v>
      </c>
      <c r="C909" s="41"/>
      <c r="D909" s="28" t="s">
        <v>57</v>
      </c>
      <c r="E909" s="41">
        <f>B905*40*3</f>
        <v>0</v>
      </c>
    </row>
    <row r="910" spans="1:5" thickBot="1" x14ac:dyDescent="0.3">
      <c r="A910" s="25" t="s">
        <v>492</v>
      </c>
      <c r="B910" s="14">
        <f>IFERROR(VLOOKUP(A910,Tabla3[],2,FALSE),0)</f>
        <v>0</v>
      </c>
      <c r="C910" s="37"/>
      <c r="D910" s="26" t="s">
        <v>75</v>
      </c>
      <c r="E910" s="37">
        <f>B910*40*3</f>
        <v>0</v>
      </c>
    </row>
    <row r="911" spans="1:5" thickBot="1" x14ac:dyDescent="0.3">
      <c r="A911" s="34"/>
      <c r="B911" s="14">
        <f>IFERROR(VLOOKUP(A911,Tabla3[],2,FALSE),0)</f>
        <v>0</v>
      </c>
      <c r="C911" s="38"/>
      <c r="D911" s="35" t="s">
        <v>116</v>
      </c>
      <c r="E911" s="38">
        <f>B910*40*3</f>
        <v>0</v>
      </c>
    </row>
    <row r="912" spans="1:5" thickBot="1" x14ac:dyDescent="0.3">
      <c r="A912" s="34"/>
      <c r="B912" s="14">
        <f>IFERROR(VLOOKUP(A912,Tabla3[],2,FALSE),0)</f>
        <v>0</v>
      </c>
      <c r="C912" s="38"/>
      <c r="D912" s="35" t="s">
        <v>129</v>
      </c>
      <c r="E912" s="38">
        <f>B910*40*3</f>
        <v>0</v>
      </c>
    </row>
    <row r="913" spans="1:5" thickBot="1" x14ac:dyDescent="0.3">
      <c r="A913" s="34"/>
      <c r="B913" s="14">
        <f>IFERROR(VLOOKUP(A913,Tabla3[],2,FALSE),0)</f>
        <v>0</v>
      </c>
      <c r="C913" s="38"/>
      <c r="D913" s="35" t="s">
        <v>123</v>
      </c>
      <c r="E913" s="38">
        <f>B910*40*3</f>
        <v>0</v>
      </c>
    </row>
    <row r="914" spans="1:5" thickBot="1" x14ac:dyDescent="0.3">
      <c r="A914" s="34"/>
      <c r="B914" s="14">
        <f>IFERROR(VLOOKUP(A914,Tabla3[],2,FALSE),0)</f>
        <v>0</v>
      </c>
      <c r="C914" s="38"/>
      <c r="D914" s="35" t="s">
        <v>57</v>
      </c>
      <c r="E914" s="38">
        <f>B910*40*3</f>
        <v>0</v>
      </c>
    </row>
    <row r="915" spans="1:5" thickBot="1" x14ac:dyDescent="0.3">
      <c r="A915" s="34"/>
      <c r="B915" s="14">
        <f>IFERROR(VLOOKUP(A915,Tabla3[],2,FALSE),0)</f>
        <v>0</v>
      </c>
      <c r="C915" s="38"/>
      <c r="D915" s="38" t="s">
        <v>13</v>
      </c>
      <c r="E915" s="38">
        <f>800*B910</f>
        <v>0</v>
      </c>
    </row>
    <row r="916" spans="1:5" thickBot="1" x14ac:dyDescent="0.3">
      <c r="A916" s="34"/>
      <c r="B916" s="14">
        <f>IFERROR(VLOOKUP(A916,Tabla3[],2,FALSE),0)</f>
        <v>0</v>
      </c>
      <c r="C916" s="38"/>
      <c r="D916" s="38" t="s">
        <v>9</v>
      </c>
      <c r="E916" s="38">
        <f>150*B910</f>
        <v>0</v>
      </c>
    </row>
    <row r="917" spans="1:5" thickBot="1" x14ac:dyDescent="0.3">
      <c r="A917" s="34"/>
      <c r="B917" s="14">
        <f>IFERROR(VLOOKUP(A917,Tabla3[],2,FALSE),0)</f>
        <v>0</v>
      </c>
      <c r="C917" s="38"/>
      <c r="D917" s="38" t="s">
        <v>16</v>
      </c>
      <c r="E917" s="38">
        <f>150*B910</f>
        <v>0</v>
      </c>
    </row>
    <row r="918" spans="1:5" thickBot="1" x14ac:dyDescent="0.3">
      <c r="A918" s="34"/>
      <c r="B918" s="14">
        <f>IFERROR(VLOOKUP(A918,Tabla3[],2,FALSE),0)</f>
        <v>0</v>
      </c>
      <c r="C918" s="38"/>
      <c r="D918" s="38" t="s">
        <v>23</v>
      </c>
      <c r="E918" s="38">
        <f>20*B910</f>
        <v>0</v>
      </c>
    </row>
    <row r="919" spans="1:5" thickBot="1" x14ac:dyDescent="0.3">
      <c r="A919" s="27"/>
      <c r="B919" s="14">
        <f>IFERROR(VLOOKUP(A919,Tabla3[],2,FALSE),0)</f>
        <v>0</v>
      </c>
      <c r="C919" s="41"/>
      <c r="D919" s="41" t="s">
        <v>24</v>
      </c>
      <c r="E919" s="41">
        <f>1*B910</f>
        <v>0</v>
      </c>
    </row>
    <row r="920" spans="1:5" thickBot="1" x14ac:dyDescent="0.3">
      <c r="A920" s="116" t="s">
        <v>668</v>
      </c>
      <c r="B920" s="14">
        <f>IFERROR(VLOOKUP(A920,Tabla3[],2,FALSE),0)</f>
        <v>0</v>
      </c>
      <c r="C920" s="26" t="s">
        <v>131</v>
      </c>
      <c r="D920" s="26" t="s">
        <v>270</v>
      </c>
      <c r="E920" s="26">
        <f>B920*75*3</f>
        <v>0</v>
      </c>
    </row>
    <row r="921" spans="1:5" thickBot="1" x14ac:dyDescent="0.3">
      <c r="A921" s="34"/>
      <c r="B921" s="14">
        <f>IFERROR(VLOOKUP(A921,Tabla3[],2,FALSE),0)</f>
        <v>0</v>
      </c>
      <c r="C921" s="35" t="s">
        <v>131</v>
      </c>
      <c r="D921" s="35" t="s">
        <v>106</v>
      </c>
      <c r="E921" s="35">
        <f>B920*20*3</f>
        <v>0</v>
      </c>
    </row>
    <row r="922" spans="1:5" thickBot="1" x14ac:dyDescent="0.3">
      <c r="A922" s="34"/>
      <c r="B922" s="14">
        <f>IFERROR(VLOOKUP(A922,Tabla3[],2,FALSE),0)</f>
        <v>0</v>
      </c>
      <c r="C922" s="35" t="s">
        <v>133</v>
      </c>
      <c r="D922" s="35" t="s">
        <v>51</v>
      </c>
      <c r="E922" s="35">
        <f>B920*20*3</f>
        <v>0</v>
      </c>
    </row>
    <row r="923" spans="1:5" thickBot="1" x14ac:dyDescent="0.3">
      <c r="A923" s="27"/>
      <c r="B923" s="14">
        <f>IFERROR(VLOOKUP(A923,Tabla3[],2,FALSE),0)</f>
        <v>0</v>
      </c>
      <c r="C923" s="28" t="s">
        <v>131</v>
      </c>
      <c r="D923" s="28" t="s">
        <v>128</v>
      </c>
      <c r="E923" s="28">
        <f>B920*10*3</f>
        <v>0</v>
      </c>
    </row>
    <row r="924" spans="1:5" thickBot="1" x14ac:dyDescent="0.3">
      <c r="A924" s="25" t="s">
        <v>493</v>
      </c>
      <c r="B924" s="14">
        <f>IFERROR(VLOOKUP(A924,Tabla3[],2,FALSE),0)</f>
        <v>0</v>
      </c>
      <c r="C924" s="26" t="s">
        <v>131</v>
      </c>
      <c r="D924" s="26" t="s">
        <v>270</v>
      </c>
      <c r="E924" s="26">
        <f>B924*75*3</f>
        <v>0</v>
      </c>
    </row>
    <row r="925" spans="1:5" thickBot="1" x14ac:dyDescent="0.3">
      <c r="A925" s="34"/>
      <c r="B925" s="14">
        <f>IFERROR(VLOOKUP(A925,Tabla3[],2,FALSE),0)</f>
        <v>0</v>
      </c>
      <c r="C925" s="35" t="s">
        <v>131</v>
      </c>
      <c r="D925" s="35" t="s">
        <v>106</v>
      </c>
      <c r="E925" s="35">
        <f>B924*20*3</f>
        <v>0</v>
      </c>
    </row>
    <row r="926" spans="1:5" thickBot="1" x14ac:dyDescent="0.3">
      <c r="A926" s="34"/>
      <c r="B926" s="14">
        <f>IFERROR(VLOOKUP(A926,Tabla3[],2,FALSE),0)</f>
        <v>0</v>
      </c>
      <c r="C926" s="35" t="s">
        <v>133</v>
      </c>
      <c r="D926" s="35" t="s">
        <v>51</v>
      </c>
      <c r="E926" s="35">
        <f>B924*20*3</f>
        <v>0</v>
      </c>
    </row>
    <row r="927" spans="1:5" thickBot="1" x14ac:dyDescent="0.3">
      <c r="A927" s="34"/>
      <c r="B927" s="14">
        <f>IFERROR(VLOOKUP(A927,Tabla3[],2,FALSE),0)</f>
        <v>0</v>
      </c>
      <c r="C927" s="35" t="s">
        <v>131</v>
      </c>
      <c r="D927" s="35" t="s">
        <v>128</v>
      </c>
      <c r="E927" s="35">
        <f>B924*10*3</f>
        <v>0</v>
      </c>
    </row>
    <row r="928" spans="1:5" thickBot="1" x14ac:dyDescent="0.3">
      <c r="A928" s="34"/>
      <c r="B928" s="14">
        <f>IFERROR(VLOOKUP(A928,Tabla3[],2,FALSE),0)</f>
        <v>0</v>
      </c>
      <c r="C928" s="35"/>
      <c r="D928" s="35" t="s">
        <v>7</v>
      </c>
      <c r="E928" s="35">
        <f>B924</f>
        <v>0</v>
      </c>
    </row>
    <row r="929" spans="1:5" thickBot="1" x14ac:dyDescent="0.3">
      <c r="A929" s="34"/>
      <c r="B929" s="14">
        <f>IFERROR(VLOOKUP(A929,Tabla3[],2,FALSE),0)</f>
        <v>0</v>
      </c>
      <c r="C929" s="35"/>
      <c r="D929" s="35" t="s">
        <v>74</v>
      </c>
      <c r="E929" s="35">
        <f>B924</f>
        <v>0</v>
      </c>
    </row>
    <row r="930" spans="1:5" thickBot="1" x14ac:dyDescent="0.3">
      <c r="A930" s="34"/>
      <c r="B930" s="14">
        <f>IFERROR(VLOOKUP(A930,Tabla3[],2,FALSE),0)</f>
        <v>0</v>
      </c>
      <c r="C930" s="35"/>
      <c r="D930" s="35" t="s">
        <v>35</v>
      </c>
      <c r="E930" s="35">
        <f>B924*40</f>
        <v>0</v>
      </c>
    </row>
    <row r="931" spans="1:5" thickBot="1" x14ac:dyDescent="0.3">
      <c r="A931" s="34"/>
      <c r="B931" s="14">
        <f>IFERROR(VLOOKUP(A931,Tabla3[],2,FALSE),0)</f>
        <v>0</v>
      </c>
      <c r="C931" s="35"/>
      <c r="D931" s="35" t="s">
        <v>8</v>
      </c>
      <c r="E931" s="35">
        <f>B924</f>
        <v>0</v>
      </c>
    </row>
    <row r="932" spans="1:5" thickBot="1" x14ac:dyDescent="0.3">
      <c r="A932" s="34"/>
      <c r="B932" s="14">
        <f>IFERROR(VLOOKUP(A932,Tabla3[],2,FALSE),0)</f>
        <v>0</v>
      </c>
      <c r="C932" s="35"/>
      <c r="D932" s="35" t="s">
        <v>9</v>
      </c>
      <c r="E932" s="35">
        <f>B924*80</f>
        <v>0</v>
      </c>
    </row>
    <row r="933" spans="1:5" thickBot="1" x14ac:dyDescent="0.3">
      <c r="A933" s="34"/>
      <c r="B933" s="14">
        <f>IFERROR(VLOOKUP(A933,Tabla3[],2,FALSE),0)</f>
        <v>0</v>
      </c>
      <c r="C933" s="35"/>
      <c r="D933" s="35" t="s">
        <v>7</v>
      </c>
      <c r="E933" s="35">
        <f>B924</f>
        <v>0</v>
      </c>
    </row>
    <row r="934" spans="1:5" thickBot="1" x14ac:dyDescent="0.3">
      <c r="A934" s="34"/>
      <c r="B934" s="14">
        <f>IFERROR(VLOOKUP(A934,Tabla3[],2,FALSE),0)</f>
        <v>0</v>
      </c>
      <c r="C934" s="35"/>
      <c r="D934" s="35" t="s">
        <v>35</v>
      </c>
      <c r="E934" s="35">
        <f>B924*40</f>
        <v>0</v>
      </c>
    </row>
    <row r="935" spans="1:5" thickBot="1" x14ac:dyDescent="0.3">
      <c r="A935" s="34"/>
      <c r="B935" s="14">
        <f>IFERROR(VLOOKUP(A935,Tabla3[],2,FALSE),0)</f>
        <v>0</v>
      </c>
      <c r="C935" s="35"/>
      <c r="D935" s="35" t="s">
        <v>10</v>
      </c>
      <c r="E935" s="35">
        <f>B924</f>
        <v>0</v>
      </c>
    </row>
    <row r="936" spans="1:5" thickBot="1" x14ac:dyDescent="0.3">
      <c r="A936" s="34"/>
      <c r="B936" s="14">
        <f>IFERROR(VLOOKUP(A936,Tabla3[],2,FALSE),0)</f>
        <v>0</v>
      </c>
      <c r="C936" s="35"/>
      <c r="D936" s="35" t="s">
        <v>9</v>
      </c>
      <c r="E936" s="35">
        <f>B924*80</f>
        <v>0</v>
      </c>
    </row>
    <row r="937" spans="1:5" thickBot="1" x14ac:dyDescent="0.3">
      <c r="A937" s="34"/>
      <c r="B937" s="14">
        <f>IFERROR(VLOOKUP(A937,Tabla3[],2,FALSE),0)</f>
        <v>0</v>
      </c>
      <c r="C937" s="35"/>
      <c r="D937" s="35" t="s">
        <v>7</v>
      </c>
      <c r="E937" s="35">
        <f>B924</f>
        <v>0</v>
      </c>
    </row>
    <row r="938" spans="1:5" thickBot="1" x14ac:dyDescent="0.3">
      <c r="A938" s="34"/>
      <c r="B938" s="14">
        <f>IFERROR(VLOOKUP(A938,Tabla3[],2,FALSE),0)</f>
        <v>0</v>
      </c>
      <c r="C938" s="35"/>
      <c r="D938" s="35" t="s">
        <v>35</v>
      </c>
      <c r="E938" s="35">
        <f>B924*40</f>
        <v>0</v>
      </c>
    </row>
    <row r="939" spans="1:5" thickBot="1" x14ac:dyDescent="0.3">
      <c r="A939" s="34"/>
      <c r="B939" s="14">
        <f>IFERROR(VLOOKUP(A939,Tabla3[],2,FALSE),0)</f>
        <v>0</v>
      </c>
      <c r="C939" s="35"/>
      <c r="D939" s="35" t="s">
        <v>6</v>
      </c>
      <c r="E939" s="35">
        <f>B924</f>
        <v>0</v>
      </c>
    </row>
    <row r="940" spans="1:5" thickBot="1" x14ac:dyDescent="0.3">
      <c r="A940" s="34"/>
      <c r="B940" s="14">
        <f>IFERROR(VLOOKUP(A940,Tabla3[],2,FALSE),0)</f>
        <v>0</v>
      </c>
      <c r="C940" s="35"/>
      <c r="D940" s="35" t="s">
        <v>9</v>
      </c>
      <c r="E940" s="35">
        <f>B924*80</f>
        <v>0</v>
      </c>
    </row>
    <row r="941" spans="1:5" thickBot="1" x14ac:dyDescent="0.3">
      <c r="A941" s="32"/>
      <c r="B941" s="14">
        <f>IFERROR(VLOOKUP(A941,Tabla3[],2,FALSE),0)</f>
        <v>0</v>
      </c>
      <c r="C941" s="33"/>
      <c r="D941" s="33" t="s">
        <v>16</v>
      </c>
      <c r="E941" s="33">
        <f>B924*150</f>
        <v>0</v>
      </c>
    </row>
    <row r="942" spans="1:5" thickBot="1" x14ac:dyDescent="0.3">
      <c r="A942" s="115" t="s">
        <v>669</v>
      </c>
      <c r="B942" s="14">
        <f>IFERROR(VLOOKUP(A942,Tabla3[],2,FALSE),0)</f>
        <v>1</v>
      </c>
      <c r="C942" s="37"/>
      <c r="D942" s="37" t="s">
        <v>55</v>
      </c>
      <c r="E942" s="37">
        <f>700*B942</f>
        <v>700</v>
      </c>
    </row>
    <row r="943" spans="1:5" thickBot="1" x14ac:dyDescent="0.3">
      <c r="A943" s="34"/>
      <c r="B943" s="14">
        <f>IFERROR(VLOOKUP(A943,Tabla3[],2,FALSE),0)</f>
        <v>0</v>
      </c>
      <c r="C943" s="38"/>
      <c r="D943" s="38" t="s">
        <v>89</v>
      </c>
      <c r="E943" s="38">
        <f>60*B942</f>
        <v>60</v>
      </c>
    </row>
    <row r="944" spans="1:5" thickBot="1" x14ac:dyDescent="0.3">
      <c r="A944" s="34"/>
      <c r="B944" s="14">
        <f>IFERROR(VLOOKUP(A944,Tabla3[],2,FALSE),0)</f>
        <v>0</v>
      </c>
      <c r="C944" s="38"/>
      <c r="D944" s="38" t="s">
        <v>82</v>
      </c>
      <c r="E944" s="38">
        <f>30*B942</f>
        <v>30</v>
      </c>
    </row>
    <row r="945" spans="1:5" thickBot="1" x14ac:dyDescent="0.3">
      <c r="A945" s="34"/>
      <c r="B945" s="14">
        <f>IFERROR(VLOOKUP(A945,Tabla3[],2,FALSE),0)</f>
        <v>0</v>
      </c>
      <c r="C945" s="38"/>
      <c r="D945" s="38" t="s">
        <v>64</v>
      </c>
      <c r="E945" s="38">
        <f>10*B942</f>
        <v>10</v>
      </c>
    </row>
    <row r="946" spans="1:5" thickBot="1" x14ac:dyDescent="0.3">
      <c r="A946" s="27"/>
      <c r="B946" s="14">
        <f>IFERROR(VLOOKUP(A946,Tabla3[],2,FALSE),0)</f>
        <v>0</v>
      </c>
      <c r="C946" s="41"/>
      <c r="D946" s="41" t="s">
        <v>286</v>
      </c>
      <c r="E946" s="41">
        <f>1*B942</f>
        <v>1</v>
      </c>
    </row>
    <row r="947" spans="1:5" thickBot="1" x14ac:dyDescent="0.3">
      <c r="A947" s="116" t="s">
        <v>670</v>
      </c>
      <c r="B947" s="14">
        <f>IFERROR(VLOOKUP(A947,Tabla3[],2,FALSE),0)</f>
        <v>0</v>
      </c>
      <c r="C947" s="26"/>
      <c r="D947" s="26" t="s">
        <v>55</v>
      </c>
      <c r="E947" s="26">
        <f>B947*700</f>
        <v>0</v>
      </c>
    </row>
    <row r="948" spans="1:5" thickBot="1" x14ac:dyDescent="0.3">
      <c r="A948" s="34"/>
      <c r="B948" s="14">
        <f>IFERROR(VLOOKUP(A948,Tabla3[],2,FALSE),0)</f>
        <v>0</v>
      </c>
      <c r="C948" s="35"/>
      <c r="D948" s="35" t="s">
        <v>89</v>
      </c>
      <c r="E948" s="35">
        <f>B947*60</f>
        <v>0</v>
      </c>
    </row>
    <row r="949" spans="1:5" thickBot="1" x14ac:dyDescent="0.3">
      <c r="A949" s="34"/>
      <c r="B949" s="14">
        <f>IFERROR(VLOOKUP(A949,Tabla3[],2,FALSE),0)</f>
        <v>0</v>
      </c>
      <c r="C949" s="35"/>
      <c r="D949" s="35" t="s">
        <v>82</v>
      </c>
      <c r="E949" s="35">
        <f>B947*30</f>
        <v>0</v>
      </c>
    </row>
    <row r="950" spans="1:5" thickBot="1" x14ac:dyDescent="0.3">
      <c r="A950" s="34"/>
      <c r="B950" s="14">
        <f>IFERROR(VLOOKUP(A950,Tabla3[],2,FALSE),0)</f>
        <v>0</v>
      </c>
      <c r="C950" s="35"/>
      <c r="D950" s="35" t="s">
        <v>64</v>
      </c>
      <c r="E950" s="35">
        <f>B947*10</f>
        <v>0</v>
      </c>
    </row>
    <row r="951" spans="1:5" thickBot="1" x14ac:dyDescent="0.3">
      <c r="A951" s="34"/>
      <c r="B951" s="14">
        <f>IFERROR(VLOOKUP(A951,Tabla3[],2,FALSE),0)</f>
        <v>0</v>
      </c>
      <c r="C951" s="38"/>
      <c r="D951" s="35" t="s">
        <v>13</v>
      </c>
      <c r="E951" s="35">
        <f>B947*800</f>
        <v>0</v>
      </c>
    </row>
    <row r="952" spans="1:5" thickBot="1" x14ac:dyDescent="0.3">
      <c r="A952" s="34"/>
      <c r="B952" s="14">
        <f>IFERROR(VLOOKUP(A952,Tabla3[],2,FALSE),0)</f>
        <v>0</v>
      </c>
      <c r="C952" s="38"/>
      <c r="D952" s="35" t="s">
        <v>9</v>
      </c>
      <c r="E952" s="35">
        <f>B947*150</f>
        <v>0</v>
      </c>
    </row>
    <row r="953" spans="1:5" thickBot="1" x14ac:dyDescent="0.3">
      <c r="A953" s="34"/>
      <c r="B953" s="14">
        <f>IFERROR(VLOOKUP(A953,Tabla3[],2,FALSE),0)</f>
        <v>0</v>
      </c>
      <c r="C953" s="38"/>
      <c r="D953" s="35" t="s">
        <v>16</v>
      </c>
      <c r="E953" s="35">
        <f>B947*150</f>
        <v>0</v>
      </c>
    </row>
    <row r="954" spans="1:5" thickBot="1" x14ac:dyDescent="0.3">
      <c r="A954" s="34"/>
      <c r="B954" s="14">
        <f>IFERROR(VLOOKUP(A954,Tabla3[],2,FALSE),0)</f>
        <v>0</v>
      </c>
      <c r="C954" s="38"/>
      <c r="D954" s="35" t="s">
        <v>23</v>
      </c>
      <c r="E954" s="35">
        <f>B947*20</f>
        <v>0</v>
      </c>
    </row>
    <row r="955" spans="1:5" thickBot="1" x14ac:dyDescent="0.3">
      <c r="A955" s="27"/>
      <c r="B955" s="14">
        <f>IFERROR(VLOOKUP(A955,Tabla3[],2,FALSE),0)</f>
        <v>0</v>
      </c>
      <c r="C955" s="41"/>
      <c r="D955" s="28" t="s">
        <v>24</v>
      </c>
      <c r="E955" s="28">
        <f>B947</f>
        <v>0</v>
      </c>
    </row>
    <row r="956" spans="1:5" thickBot="1" x14ac:dyDescent="0.3">
      <c r="A956" s="25" t="s">
        <v>494</v>
      </c>
      <c r="B956" s="14">
        <f>IFERROR(VLOOKUP(A956,Tabla3[],2,FALSE),0)</f>
        <v>0</v>
      </c>
      <c r="C956" s="37"/>
      <c r="D956" s="37" t="s">
        <v>637</v>
      </c>
      <c r="E956" s="37">
        <f>3*B956</f>
        <v>0</v>
      </c>
    </row>
    <row r="957" spans="1:5" thickBot="1" x14ac:dyDescent="0.3">
      <c r="A957" s="34"/>
      <c r="B957" s="14">
        <f>IFERROR(VLOOKUP(A957,Tabla3[],2,FALSE),0)</f>
        <v>0</v>
      </c>
      <c r="C957" s="38"/>
      <c r="D957" s="38" t="s">
        <v>636</v>
      </c>
      <c r="E957" s="38">
        <f>3*B956</f>
        <v>0</v>
      </c>
    </row>
    <row r="958" spans="1:5" thickBot="1" x14ac:dyDescent="0.3">
      <c r="A958" s="34"/>
      <c r="B958" s="14">
        <f>IFERROR(VLOOKUP(A958,Tabla3[],2,FALSE),0)</f>
        <v>0</v>
      </c>
      <c r="C958" s="38"/>
      <c r="D958" s="38" t="s">
        <v>97</v>
      </c>
      <c r="E958" s="38">
        <f>15*B956</f>
        <v>0</v>
      </c>
    </row>
    <row r="959" spans="1:5" thickBot="1" x14ac:dyDescent="0.3">
      <c r="A959" s="34"/>
      <c r="B959" s="14">
        <f>IFERROR(VLOOKUP(A959,Tabla3[],2,FALSE),0)</f>
        <v>0</v>
      </c>
      <c r="C959" s="38" t="s">
        <v>133</v>
      </c>
      <c r="D959" s="38" t="s">
        <v>51</v>
      </c>
      <c r="E959" s="38">
        <f>60*B956</f>
        <v>0</v>
      </c>
    </row>
    <row r="960" spans="1:5" thickBot="1" x14ac:dyDescent="0.3">
      <c r="A960" s="34"/>
      <c r="B960" s="14">
        <f>IFERROR(VLOOKUP(A960,Tabla3[],2,FALSE),0)</f>
        <v>0</v>
      </c>
      <c r="C960" s="38" t="s">
        <v>131</v>
      </c>
      <c r="D960" s="38" t="s">
        <v>106</v>
      </c>
      <c r="E960" s="38">
        <f>60*B956</f>
        <v>0</v>
      </c>
    </row>
    <row r="961" spans="1:5" thickBot="1" x14ac:dyDescent="0.3">
      <c r="A961" s="34"/>
      <c r="B961" s="14">
        <f>IFERROR(VLOOKUP(A961,Tabla3[],2,FALSE),0)</f>
        <v>0</v>
      </c>
      <c r="C961" s="38" t="s">
        <v>131</v>
      </c>
      <c r="D961" s="38" t="s">
        <v>116</v>
      </c>
      <c r="E961" s="38">
        <f>225*B956</f>
        <v>0</v>
      </c>
    </row>
    <row r="962" spans="1:5" thickBot="1" x14ac:dyDescent="0.3">
      <c r="A962" s="27"/>
      <c r="B962" s="14">
        <f>IFERROR(VLOOKUP(A962,Tabla3[],2,FALSE),0)</f>
        <v>0</v>
      </c>
      <c r="C962" s="41"/>
      <c r="D962" s="41" t="s">
        <v>65</v>
      </c>
      <c r="E962" s="41">
        <f>6*B956</f>
        <v>0</v>
      </c>
    </row>
    <row r="963" spans="1:5" thickBot="1" x14ac:dyDescent="0.3">
      <c r="A963" s="116" t="s">
        <v>614</v>
      </c>
      <c r="B963" s="14">
        <f>IFERROR(VLOOKUP(A963,Tabla3[],2,FALSE),0)</f>
        <v>0</v>
      </c>
      <c r="C963" s="26"/>
      <c r="D963" s="26" t="s">
        <v>637</v>
      </c>
      <c r="E963" s="26">
        <f>B963*3</f>
        <v>0</v>
      </c>
    </row>
    <row r="964" spans="1:5" thickBot="1" x14ac:dyDescent="0.3">
      <c r="A964" s="34"/>
      <c r="B964" s="14">
        <f>IFERROR(VLOOKUP(A964,Tabla3[],2,FALSE),0)</f>
        <v>0</v>
      </c>
      <c r="C964" s="35"/>
      <c r="D964" s="35" t="s">
        <v>636</v>
      </c>
      <c r="E964" s="35">
        <f>B963*3</f>
        <v>0</v>
      </c>
    </row>
    <row r="965" spans="1:5" thickBot="1" x14ac:dyDescent="0.3">
      <c r="A965" s="34"/>
      <c r="B965" s="14">
        <f>IFERROR(VLOOKUP(A965,Tabla3[],2,FALSE),0)</f>
        <v>0</v>
      </c>
      <c r="C965" s="35"/>
      <c r="D965" s="35" t="s">
        <v>97</v>
      </c>
      <c r="E965" s="35">
        <f>B963*50*3</f>
        <v>0</v>
      </c>
    </row>
    <row r="966" spans="1:5" thickBot="1" x14ac:dyDescent="0.3">
      <c r="A966" s="34"/>
      <c r="B966" s="14">
        <f>IFERROR(VLOOKUP(A966,Tabla3[],2,FALSE),0)</f>
        <v>0</v>
      </c>
      <c r="C966" s="35" t="s">
        <v>133</v>
      </c>
      <c r="D966" s="35" t="s">
        <v>51</v>
      </c>
      <c r="E966" s="35">
        <f>B963*20*3</f>
        <v>0</v>
      </c>
    </row>
    <row r="967" spans="1:5" thickBot="1" x14ac:dyDescent="0.3">
      <c r="A967" s="34"/>
      <c r="B967" s="14">
        <f>IFERROR(VLOOKUP(A967,Tabla3[],2,FALSE),0)</f>
        <v>0</v>
      </c>
      <c r="C967" s="35" t="s">
        <v>131</v>
      </c>
      <c r="D967" s="35" t="s">
        <v>106</v>
      </c>
      <c r="E967" s="35">
        <f>B963*20*3</f>
        <v>0</v>
      </c>
    </row>
    <row r="968" spans="1:5" thickBot="1" x14ac:dyDescent="0.3">
      <c r="A968" s="34"/>
      <c r="B968" s="14">
        <f>IFERROR(VLOOKUP(A968,Tabla3[],2,FALSE),0)</f>
        <v>0</v>
      </c>
      <c r="C968" s="35" t="s">
        <v>131</v>
      </c>
      <c r="D968" s="35" t="s">
        <v>116</v>
      </c>
      <c r="E968" s="35">
        <f>B963*75*3</f>
        <v>0</v>
      </c>
    </row>
    <row r="969" spans="1:5" thickBot="1" x14ac:dyDescent="0.3">
      <c r="A969" s="34"/>
      <c r="B969" s="14">
        <f>IFERROR(VLOOKUP(A969,Tabla3[],2,FALSE),0)</f>
        <v>0</v>
      </c>
      <c r="C969" s="38"/>
      <c r="D969" s="38" t="s">
        <v>65</v>
      </c>
      <c r="E969" s="38">
        <f>B963*6</f>
        <v>0</v>
      </c>
    </row>
    <row r="970" spans="1:5" thickBot="1" x14ac:dyDescent="0.3">
      <c r="A970" s="34"/>
      <c r="B970" s="14">
        <f>IFERROR(VLOOKUP(A970,Tabla3[],2,FALSE),0)</f>
        <v>0</v>
      </c>
      <c r="C970" s="38"/>
      <c r="D970" s="35" t="s">
        <v>13</v>
      </c>
      <c r="E970" s="35">
        <f>B963*800</f>
        <v>0</v>
      </c>
    </row>
    <row r="971" spans="1:5" thickBot="1" x14ac:dyDescent="0.3">
      <c r="A971" s="34"/>
      <c r="B971" s="14">
        <f>IFERROR(VLOOKUP(A971,Tabla3[],2,FALSE),0)</f>
        <v>0</v>
      </c>
      <c r="C971" s="38"/>
      <c r="D971" s="35" t="s">
        <v>9</v>
      </c>
      <c r="E971" s="35">
        <f>B963*150</f>
        <v>0</v>
      </c>
    </row>
    <row r="972" spans="1:5" thickBot="1" x14ac:dyDescent="0.3">
      <c r="A972" s="34"/>
      <c r="B972" s="14">
        <f>IFERROR(VLOOKUP(A972,Tabla3[],2,FALSE),0)</f>
        <v>0</v>
      </c>
      <c r="C972" s="38"/>
      <c r="D972" s="35" t="s">
        <v>16</v>
      </c>
      <c r="E972" s="35">
        <f>B963*150</f>
        <v>0</v>
      </c>
    </row>
    <row r="973" spans="1:5" thickBot="1" x14ac:dyDescent="0.3">
      <c r="A973" s="34"/>
      <c r="B973" s="14">
        <f>IFERROR(VLOOKUP(A973,Tabla3[],2,FALSE),0)</f>
        <v>0</v>
      </c>
      <c r="C973" s="38"/>
      <c r="D973" s="35" t="s">
        <v>23</v>
      </c>
      <c r="E973" s="35">
        <f>B963*20</f>
        <v>0</v>
      </c>
    </row>
    <row r="974" spans="1:5" thickBot="1" x14ac:dyDescent="0.3">
      <c r="A974" s="27"/>
      <c r="B974" s="14">
        <f>IFERROR(VLOOKUP(A974,Tabla3[],2,FALSE),0)</f>
        <v>0</v>
      </c>
      <c r="C974" s="41"/>
      <c r="D974" s="28" t="s">
        <v>24</v>
      </c>
      <c r="E974" s="28">
        <f>B963</f>
        <v>0</v>
      </c>
    </row>
    <row r="975" spans="1:5" thickBot="1" x14ac:dyDescent="0.3">
      <c r="A975" s="25" t="s">
        <v>546</v>
      </c>
      <c r="B975" s="14">
        <f>IFERROR(VLOOKUP(A975,Tabla3[],2,FALSE),0)</f>
        <v>0</v>
      </c>
      <c r="C975" s="26" t="s">
        <v>131</v>
      </c>
      <c r="D975" s="26" t="s">
        <v>57</v>
      </c>
      <c r="E975" s="26">
        <f>B975*75*3</f>
        <v>0</v>
      </c>
    </row>
    <row r="976" spans="1:5" thickBot="1" x14ac:dyDescent="0.3">
      <c r="A976" s="34"/>
      <c r="B976" s="14">
        <f>IFERROR(VLOOKUP(A976,Tabla3[],2,FALSE),0)</f>
        <v>0</v>
      </c>
      <c r="C976" s="35" t="s">
        <v>132</v>
      </c>
      <c r="D976" s="35" t="s">
        <v>636</v>
      </c>
      <c r="E976" s="35">
        <f>B975*0.5*3</f>
        <v>0</v>
      </c>
    </row>
    <row r="977" spans="1:5" thickBot="1" x14ac:dyDescent="0.3">
      <c r="A977" s="34"/>
      <c r="B977" s="14">
        <f>IFERROR(VLOOKUP(A977,Tabla3[],2,FALSE),0)</f>
        <v>0</v>
      </c>
      <c r="C977" s="35" t="s">
        <v>133</v>
      </c>
      <c r="D977" s="35" t="s">
        <v>51</v>
      </c>
      <c r="E977" s="35">
        <f>B975*20*3</f>
        <v>0</v>
      </c>
    </row>
    <row r="978" spans="1:5" thickBot="1" x14ac:dyDescent="0.3">
      <c r="A978" s="27"/>
      <c r="B978" s="14">
        <f>IFERROR(VLOOKUP(A978,Tabla3[],2,FALSE),0)</f>
        <v>0</v>
      </c>
      <c r="C978" s="28" t="s">
        <v>131</v>
      </c>
      <c r="D978" s="28" t="s">
        <v>106</v>
      </c>
      <c r="E978" s="28">
        <f>B975*20*3</f>
        <v>0</v>
      </c>
    </row>
    <row r="979" spans="1:5" thickBot="1" x14ac:dyDescent="0.3">
      <c r="A979" s="25" t="s">
        <v>589</v>
      </c>
      <c r="B979" s="14">
        <f>IFERROR(VLOOKUP(A979,Tabla3[],2,FALSE),0)</f>
        <v>0</v>
      </c>
      <c r="C979" s="26" t="s">
        <v>131</v>
      </c>
      <c r="D979" s="26" t="s">
        <v>57</v>
      </c>
      <c r="E979" s="26">
        <f>B979*75*3</f>
        <v>0</v>
      </c>
    </row>
    <row r="980" spans="1:5" thickBot="1" x14ac:dyDescent="0.3">
      <c r="A980" s="34"/>
      <c r="B980" s="14">
        <f>IFERROR(VLOOKUP(A980,Tabla3[],2,FALSE),0)</f>
        <v>0</v>
      </c>
      <c r="C980" s="35" t="s">
        <v>132</v>
      </c>
      <c r="D980" s="35" t="s">
        <v>636</v>
      </c>
      <c r="E980" s="35">
        <f>B979*0.5*3</f>
        <v>0</v>
      </c>
    </row>
    <row r="981" spans="1:5" thickBot="1" x14ac:dyDescent="0.3">
      <c r="A981" s="34"/>
      <c r="B981" s="14">
        <f>IFERROR(VLOOKUP(A981,Tabla3[],2,FALSE),0)</f>
        <v>0</v>
      </c>
      <c r="C981" s="35" t="s">
        <v>133</v>
      </c>
      <c r="D981" s="35" t="s">
        <v>51</v>
      </c>
      <c r="E981" s="35">
        <f>B979*20*3</f>
        <v>0</v>
      </c>
    </row>
    <row r="982" spans="1:5" thickBot="1" x14ac:dyDescent="0.3">
      <c r="A982" s="34"/>
      <c r="B982" s="14">
        <f>IFERROR(VLOOKUP(A982,Tabla3[],2,FALSE),0)</f>
        <v>0</v>
      </c>
      <c r="C982" s="35" t="s">
        <v>131</v>
      </c>
      <c r="D982" s="35" t="s">
        <v>106</v>
      </c>
      <c r="E982" s="35">
        <f>B979*20*3</f>
        <v>0</v>
      </c>
    </row>
    <row r="983" spans="1:5" thickBot="1" x14ac:dyDescent="0.3">
      <c r="A983" s="34"/>
      <c r="B983" s="14">
        <f>IFERROR(VLOOKUP(A983,Tabla3[],2,FALSE),0)</f>
        <v>0</v>
      </c>
      <c r="C983" s="38"/>
      <c r="D983" s="35" t="s">
        <v>13</v>
      </c>
      <c r="E983" s="35">
        <f>B979*800</f>
        <v>0</v>
      </c>
    </row>
    <row r="984" spans="1:5" thickBot="1" x14ac:dyDescent="0.3">
      <c r="A984" s="34"/>
      <c r="B984" s="14">
        <f>IFERROR(VLOOKUP(A984,Tabla3[],2,FALSE),0)</f>
        <v>0</v>
      </c>
      <c r="C984" s="38"/>
      <c r="D984" s="35" t="s">
        <v>9</v>
      </c>
      <c r="E984" s="35">
        <f>B979*150</f>
        <v>0</v>
      </c>
    </row>
    <row r="985" spans="1:5" thickBot="1" x14ac:dyDescent="0.3">
      <c r="A985" s="34"/>
      <c r="B985" s="14">
        <f>IFERROR(VLOOKUP(A985,Tabla3[],2,FALSE),0)</f>
        <v>0</v>
      </c>
      <c r="C985" s="38"/>
      <c r="D985" s="35" t="s">
        <v>16</v>
      </c>
      <c r="E985" s="35">
        <f>B979*150</f>
        <v>0</v>
      </c>
    </row>
    <row r="986" spans="1:5" thickBot="1" x14ac:dyDescent="0.3">
      <c r="A986" s="34"/>
      <c r="B986" s="14">
        <f>IFERROR(VLOOKUP(A986,Tabla3[],2,FALSE),0)</f>
        <v>0</v>
      </c>
      <c r="C986" s="38"/>
      <c r="D986" s="35" t="s">
        <v>23</v>
      </c>
      <c r="E986" s="35">
        <f>B979*20</f>
        <v>0</v>
      </c>
    </row>
    <row r="987" spans="1:5" thickBot="1" x14ac:dyDescent="0.3">
      <c r="A987" s="27"/>
      <c r="B987" s="14">
        <f>IFERROR(VLOOKUP(A987,Tabla3[],2,FALSE),0)</f>
        <v>0</v>
      </c>
      <c r="C987" s="41"/>
      <c r="D987" s="28" t="s">
        <v>24</v>
      </c>
      <c r="E987" s="28">
        <f>B979</f>
        <v>0</v>
      </c>
    </row>
    <row r="988" spans="1:5" thickBot="1" x14ac:dyDescent="0.3">
      <c r="A988" s="25" t="s">
        <v>495</v>
      </c>
      <c r="B988" s="14">
        <f>IFERROR(VLOOKUP(A988,Tabla3[],2,FALSE),0)</f>
        <v>0</v>
      </c>
      <c r="C988" s="37"/>
      <c r="D988" s="37" t="s">
        <v>129</v>
      </c>
      <c r="E988" s="37">
        <f>225*B988</f>
        <v>0</v>
      </c>
    </row>
    <row r="989" spans="1:5" thickBot="1" x14ac:dyDescent="0.3">
      <c r="A989" s="34"/>
      <c r="B989" s="14">
        <f>IFERROR(VLOOKUP(A989,Tabla3[],2,FALSE),0)</f>
        <v>0</v>
      </c>
      <c r="C989" s="38"/>
      <c r="D989" s="38" t="s">
        <v>636</v>
      </c>
      <c r="E989" s="38">
        <f>1.5*B988</f>
        <v>0</v>
      </c>
    </row>
    <row r="990" spans="1:5" thickBot="1" x14ac:dyDescent="0.3">
      <c r="A990" s="34"/>
      <c r="B990" s="14">
        <f>IFERROR(VLOOKUP(A990,Tabla3[],2,FALSE),0)</f>
        <v>0</v>
      </c>
      <c r="C990" s="38"/>
      <c r="D990" s="38" t="s">
        <v>51</v>
      </c>
      <c r="E990" s="38">
        <f>60*B988</f>
        <v>0</v>
      </c>
    </row>
    <row r="991" spans="1:5" thickBot="1" x14ac:dyDescent="0.3">
      <c r="A991" s="27"/>
      <c r="B991" s="14">
        <f>IFERROR(VLOOKUP(A991,Tabla3[],2,FALSE),0)</f>
        <v>0</v>
      </c>
      <c r="C991" s="41"/>
      <c r="D991" s="41" t="s">
        <v>106</v>
      </c>
      <c r="E991" s="41">
        <f>75*B988</f>
        <v>0</v>
      </c>
    </row>
    <row r="992" spans="1:5" thickBot="1" x14ac:dyDescent="0.3">
      <c r="A992" s="25" t="s">
        <v>496</v>
      </c>
      <c r="B992" s="14">
        <f>IFERROR(VLOOKUP(A992,Tabla3[],2,FALSE),0)</f>
        <v>0</v>
      </c>
      <c r="C992" s="37"/>
      <c r="D992" s="37" t="s">
        <v>129</v>
      </c>
      <c r="E992" s="37">
        <f>225*B992</f>
        <v>0</v>
      </c>
    </row>
    <row r="993" spans="1:5" thickBot="1" x14ac:dyDescent="0.3">
      <c r="A993" s="34"/>
      <c r="B993" s="14">
        <f>IFERROR(VLOOKUP(A993,Tabla3[],2,FALSE),0)</f>
        <v>0</v>
      </c>
      <c r="C993" s="38"/>
      <c r="D993" s="38" t="s">
        <v>636</v>
      </c>
      <c r="E993" s="38">
        <f>1.5*B992</f>
        <v>0</v>
      </c>
    </row>
    <row r="994" spans="1:5" thickBot="1" x14ac:dyDescent="0.3">
      <c r="A994" s="34"/>
      <c r="B994" s="14">
        <f>IFERROR(VLOOKUP(A994,Tabla3[],2,FALSE),0)</f>
        <v>0</v>
      </c>
      <c r="C994" s="38"/>
      <c r="D994" s="38" t="s">
        <v>51</v>
      </c>
      <c r="E994" s="38">
        <f>60*B992</f>
        <v>0</v>
      </c>
    </row>
    <row r="995" spans="1:5" thickBot="1" x14ac:dyDescent="0.3">
      <c r="A995" s="34"/>
      <c r="B995" s="14">
        <f>IFERROR(VLOOKUP(A995,Tabla3[],2,FALSE),0)</f>
        <v>0</v>
      </c>
      <c r="C995" s="38"/>
      <c r="D995" s="38" t="s">
        <v>106</v>
      </c>
      <c r="E995" s="38">
        <f>75*B992</f>
        <v>0</v>
      </c>
    </row>
    <row r="996" spans="1:5" thickBot="1" x14ac:dyDescent="0.3">
      <c r="A996" s="34"/>
      <c r="B996" s="14">
        <f>IFERROR(VLOOKUP(A996,Tabla3[],2,FALSE),0)</f>
        <v>0</v>
      </c>
      <c r="C996" s="38"/>
      <c r="D996" s="38" t="s">
        <v>13</v>
      </c>
      <c r="E996" s="38">
        <f>800*B992</f>
        <v>0</v>
      </c>
    </row>
    <row r="997" spans="1:5" thickBot="1" x14ac:dyDescent="0.3">
      <c r="A997" s="34"/>
      <c r="B997" s="14">
        <f>IFERROR(VLOOKUP(A997,Tabla3[],2,FALSE),0)</f>
        <v>0</v>
      </c>
      <c r="C997" s="38"/>
      <c r="D997" s="38" t="s">
        <v>9</v>
      </c>
      <c r="E997" s="38">
        <f>150*B992</f>
        <v>0</v>
      </c>
    </row>
    <row r="998" spans="1:5" thickBot="1" x14ac:dyDescent="0.3">
      <c r="A998" s="34"/>
      <c r="B998" s="14">
        <f>IFERROR(VLOOKUP(A998,Tabla3[],2,FALSE),0)</f>
        <v>0</v>
      </c>
      <c r="C998" s="38"/>
      <c r="D998" s="38" t="s">
        <v>16</v>
      </c>
      <c r="E998" s="38">
        <f>150*B992</f>
        <v>0</v>
      </c>
    </row>
    <row r="999" spans="1:5" thickBot="1" x14ac:dyDescent="0.3">
      <c r="A999" s="34"/>
      <c r="B999" s="14">
        <f>IFERROR(VLOOKUP(A999,Tabla3[],2,FALSE),0)</f>
        <v>0</v>
      </c>
      <c r="C999" s="38"/>
      <c r="D999" s="38" t="s">
        <v>23</v>
      </c>
      <c r="E999" s="38">
        <f>20*B992</f>
        <v>0</v>
      </c>
    </row>
    <row r="1000" spans="1:5" thickBot="1" x14ac:dyDescent="0.3">
      <c r="A1000" s="27"/>
      <c r="B1000" s="14">
        <f>IFERROR(VLOOKUP(A1000,Tabla3[],2,FALSE),0)</f>
        <v>0</v>
      </c>
      <c r="C1000" s="41"/>
      <c r="D1000" s="41" t="s">
        <v>24</v>
      </c>
      <c r="E1000" s="41">
        <f>1*B992</f>
        <v>0</v>
      </c>
    </row>
    <row r="1001" spans="1:5" thickBot="1" x14ac:dyDescent="0.3">
      <c r="A1001" s="25" t="s">
        <v>497</v>
      </c>
      <c r="B1001" s="14">
        <f>IFERROR(VLOOKUP(A1001,Tabla3[],2,FALSE),0)</f>
        <v>0</v>
      </c>
      <c r="C1001" s="37"/>
      <c r="D1001" s="37" t="s">
        <v>637</v>
      </c>
      <c r="E1001" s="37">
        <f>3*B1001</f>
        <v>0</v>
      </c>
    </row>
    <row r="1002" spans="1:5" thickBot="1" x14ac:dyDescent="0.3">
      <c r="A1002" s="34"/>
      <c r="B1002" s="14">
        <f>IFERROR(VLOOKUP(A1002,Tabla3[],2,FALSE),0)</f>
        <v>0</v>
      </c>
      <c r="C1002" s="38"/>
      <c r="D1002" s="38" t="s">
        <v>636</v>
      </c>
      <c r="E1002" s="38">
        <f>3*B1001</f>
        <v>0</v>
      </c>
    </row>
    <row r="1003" spans="1:5" thickBot="1" x14ac:dyDescent="0.3">
      <c r="A1003" s="34"/>
      <c r="B1003" s="14">
        <f>IFERROR(VLOOKUP(A1003,Tabla3[],2,FALSE),0)</f>
        <v>0</v>
      </c>
      <c r="C1003" s="38"/>
      <c r="D1003" s="38" t="s">
        <v>97</v>
      </c>
      <c r="E1003" s="38">
        <f>15*B1001</f>
        <v>0</v>
      </c>
    </row>
    <row r="1004" spans="1:5" thickBot="1" x14ac:dyDescent="0.3">
      <c r="A1004" s="34"/>
      <c r="B1004" s="14">
        <f>IFERROR(VLOOKUP(A1004,Tabla3[],2,FALSE),0)</f>
        <v>0</v>
      </c>
      <c r="C1004" s="38"/>
      <c r="D1004" s="38" t="s">
        <v>51</v>
      </c>
      <c r="E1004" s="38">
        <f>60*B1001</f>
        <v>0</v>
      </c>
    </row>
    <row r="1005" spans="1:5" thickBot="1" x14ac:dyDescent="0.3">
      <c r="A1005" s="34"/>
      <c r="B1005" s="14">
        <f>IFERROR(VLOOKUP(A1005,Tabla3[],2,FALSE),0)</f>
        <v>0</v>
      </c>
      <c r="C1005" s="38"/>
      <c r="D1005" s="38" t="s">
        <v>106</v>
      </c>
      <c r="E1005" s="38">
        <f>60*B1001</f>
        <v>0</v>
      </c>
    </row>
    <row r="1006" spans="1:5" thickBot="1" x14ac:dyDescent="0.3">
      <c r="A1006" s="27"/>
      <c r="B1006" s="14">
        <f>IFERROR(VLOOKUP(A1006,Tabla3[],2,FALSE),0)</f>
        <v>0</v>
      </c>
      <c r="C1006" s="41"/>
      <c r="D1006" s="41" t="s">
        <v>45</v>
      </c>
      <c r="E1006" s="41">
        <f>225*B1001</f>
        <v>0</v>
      </c>
    </row>
    <row r="1007" spans="1:5" thickBot="1" x14ac:dyDescent="0.3">
      <c r="A1007" s="80" t="s">
        <v>498</v>
      </c>
      <c r="B1007" s="14">
        <f>IFERROR(VLOOKUP(A1007,Tabla3[],2,FALSE),0)</f>
        <v>0</v>
      </c>
      <c r="C1007" s="86"/>
      <c r="D1007" s="86" t="s">
        <v>637</v>
      </c>
      <c r="E1007" s="86">
        <f>3*B1007</f>
        <v>0</v>
      </c>
    </row>
    <row r="1008" spans="1:5" thickBot="1" x14ac:dyDescent="0.3">
      <c r="A1008" s="81"/>
      <c r="B1008" s="14">
        <f>IFERROR(VLOOKUP(A1008,Tabla3[],2,FALSE),0)</f>
        <v>0</v>
      </c>
      <c r="C1008" s="38"/>
      <c r="D1008" s="38" t="s">
        <v>636</v>
      </c>
      <c r="E1008" s="38">
        <f>3*B1007</f>
        <v>0</v>
      </c>
    </row>
    <row r="1009" spans="1:5" thickBot="1" x14ac:dyDescent="0.3">
      <c r="A1009" s="81"/>
      <c r="B1009" s="14">
        <f>IFERROR(VLOOKUP(A1009,Tabla3[],2,FALSE),0)</f>
        <v>0</v>
      </c>
      <c r="C1009" s="38"/>
      <c r="D1009" s="38" t="s">
        <v>97</v>
      </c>
      <c r="E1009" s="38">
        <f>15*B1007</f>
        <v>0</v>
      </c>
    </row>
    <row r="1010" spans="1:5" thickBot="1" x14ac:dyDescent="0.3">
      <c r="A1010" s="81"/>
      <c r="B1010" s="14">
        <f>IFERROR(VLOOKUP(A1010,Tabla3[],2,FALSE),0)</f>
        <v>0</v>
      </c>
      <c r="C1010" s="38"/>
      <c r="D1010" s="38" t="s">
        <v>51</v>
      </c>
      <c r="E1010" s="38">
        <f>60*B1007</f>
        <v>0</v>
      </c>
    </row>
    <row r="1011" spans="1:5" thickBot="1" x14ac:dyDescent="0.3">
      <c r="A1011" s="81"/>
      <c r="B1011" s="14">
        <f>IFERROR(VLOOKUP(A1011,Tabla3[],2,FALSE),0)</f>
        <v>0</v>
      </c>
      <c r="C1011" s="38"/>
      <c r="D1011" s="38" t="s">
        <v>106</v>
      </c>
      <c r="E1011" s="38">
        <f>60*B1007</f>
        <v>0</v>
      </c>
    </row>
    <row r="1012" spans="1:5" thickBot="1" x14ac:dyDescent="0.3">
      <c r="A1012" s="81"/>
      <c r="B1012" s="14">
        <f>IFERROR(VLOOKUP(A1012,Tabla3[],2,FALSE),0)</f>
        <v>0</v>
      </c>
      <c r="C1012" s="38"/>
      <c r="D1012" s="38" t="s">
        <v>45</v>
      </c>
      <c r="E1012" s="38">
        <f>225*B1007</f>
        <v>0</v>
      </c>
    </row>
    <row r="1013" spans="1:5" thickBot="1" x14ac:dyDescent="0.3">
      <c r="A1013" s="81"/>
      <c r="B1013" s="14">
        <f>IFERROR(VLOOKUP(A1013,Tabla3[],2,FALSE),0)</f>
        <v>0</v>
      </c>
      <c r="C1013" s="38"/>
      <c r="D1013" s="38" t="s">
        <v>13</v>
      </c>
      <c r="E1013" s="38">
        <f>800*B1007</f>
        <v>0</v>
      </c>
    </row>
    <row r="1014" spans="1:5" thickBot="1" x14ac:dyDescent="0.3">
      <c r="A1014" s="81"/>
      <c r="B1014" s="14">
        <f>IFERROR(VLOOKUP(A1014,Tabla3[],2,FALSE),0)</f>
        <v>0</v>
      </c>
      <c r="C1014" s="38"/>
      <c r="D1014" s="38" t="s">
        <v>9</v>
      </c>
      <c r="E1014" s="38">
        <f>150*B1007</f>
        <v>0</v>
      </c>
    </row>
    <row r="1015" spans="1:5" thickBot="1" x14ac:dyDescent="0.3">
      <c r="A1015" s="81"/>
      <c r="B1015" s="14">
        <f>IFERROR(VLOOKUP(A1015,Tabla3[],2,FALSE),0)</f>
        <v>0</v>
      </c>
      <c r="C1015" s="38"/>
      <c r="D1015" s="38" t="s">
        <v>16</v>
      </c>
      <c r="E1015" s="38">
        <f>150*B1007</f>
        <v>0</v>
      </c>
    </row>
    <row r="1016" spans="1:5" thickBot="1" x14ac:dyDescent="0.3">
      <c r="A1016" s="81"/>
      <c r="B1016" s="14">
        <f>IFERROR(VLOOKUP(A1016,Tabla3[],2,FALSE),0)</f>
        <v>0</v>
      </c>
      <c r="C1016" s="38"/>
      <c r="D1016" s="38" t="s">
        <v>23</v>
      </c>
      <c r="E1016" s="38">
        <f>20*B1007</f>
        <v>0</v>
      </c>
    </row>
    <row r="1017" spans="1:5" thickBot="1" x14ac:dyDescent="0.3">
      <c r="A1017" s="82"/>
      <c r="B1017" s="14">
        <f>IFERROR(VLOOKUP(A1017,Tabla3[],2,FALSE),0)</f>
        <v>0</v>
      </c>
      <c r="C1017" s="39"/>
      <c r="D1017" s="39" t="s">
        <v>24</v>
      </c>
      <c r="E1017" s="39">
        <f>1*B1007</f>
        <v>0</v>
      </c>
    </row>
    <row r="1018" spans="1:5" thickBot="1" x14ac:dyDescent="0.3">
      <c r="A1018" s="25" t="s">
        <v>499</v>
      </c>
      <c r="B1018" s="14">
        <f>IFERROR(VLOOKUP(A1018,Tabla3[],2,FALSE),0)</f>
        <v>0</v>
      </c>
      <c r="C1018" s="37"/>
      <c r="D1018" s="37" t="s">
        <v>637</v>
      </c>
      <c r="E1018" s="37">
        <f>3*B1018</f>
        <v>0</v>
      </c>
    </row>
    <row r="1019" spans="1:5" thickBot="1" x14ac:dyDescent="0.3">
      <c r="A1019" s="34"/>
      <c r="B1019" s="14">
        <f>IFERROR(VLOOKUP(A1019,Tabla3[],2,FALSE),0)</f>
        <v>0</v>
      </c>
      <c r="C1019" s="38"/>
      <c r="D1019" s="38" t="s">
        <v>636</v>
      </c>
      <c r="E1019" s="38">
        <f>3*B1018</f>
        <v>0</v>
      </c>
    </row>
    <row r="1020" spans="1:5" thickBot="1" x14ac:dyDescent="0.3">
      <c r="A1020" s="34"/>
      <c r="B1020" s="14">
        <f>IFERROR(VLOOKUP(A1020,Tabla3[],2,FALSE),0)</f>
        <v>0</v>
      </c>
      <c r="C1020" s="38"/>
      <c r="D1020" s="38" t="s">
        <v>97</v>
      </c>
      <c r="E1020" s="38">
        <f>15*B1018</f>
        <v>0</v>
      </c>
    </row>
    <row r="1021" spans="1:5" thickBot="1" x14ac:dyDescent="0.3">
      <c r="A1021" s="34"/>
      <c r="B1021" s="14">
        <f>IFERROR(VLOOKUP(A1021,Tabla3[],2,FALSE),0)</f>
        <v>0</v>
      </c>
      <c r="C1021" s="38"/>
      <c r="D1021" s="38" t="s">
        <v>51</v>
      </c>
      <c r="E1021" s="38">
        <f>60*B1018</f>
        <v>0</v>
      </c>
    </row>
    <row r="1022" spans="1:5" thickBot="1" x14ac:dyDescent="0.3">
      <c r="A1022" s="34"/>
      <c r="B1022" s="14">
        <f>IFERROR(VLOOKUP(A1022,Tabla3[],2,FALSE),0)</f>
        <v>0</v>
      </c>
      <c r="C1022" s="38"/>
      <c r="D1022" s="38" t="s">
        <v>106</v>
      </c>
      <c r="E1022" s="38">
        <f>60*B1018</f>
        <v>0</v>
      </c>
    </row>
    <row r="1023" spans="1:5" thickBot="1" x14ac:dyDescent="0.3">
      <c r="A1023" s="27"/>
      <c r="B1023" s="14">
        <f>IFERROR(VLOOKUP(A1023,Tabla3[],2,FALSE),0)</f>
        <v>0</v>
      </c>
      <c r="C1023" s="41"/>
      <c r="D1023" s="28" t="s">
        <v>122</v>
      </c>
      <c r="E1023" s="41">
        <f>225*B1018</f>
        <v>0</v>
      </c>
    </row>
    <row r="1024" spans="1:5" thickBot="1" x14ac:dyDescent="0.3">
      <c r="A1024" s="25" t="s">
        <v>500</v>
      </c>
      <c r="B1024" s="14">
        <f>IFERROR(VLOOKUP(A1024,Tabla3[],2,FALSE),0)</f>
        <v>0</v>
      </c>
      <c r="C1024" s="37"/>
      <c r="D1024" s="37" t="s">
        <v>13</v>
      </c>
      <c r="E1024" s="37">
        <f>800*B1024</f>
        <v>0</v>
      </c>
    </row>
    <row r="1025" spans="1:5" thickBot="1" x14ac:dyDescent="0.3">
      <c r="A1025" s="34"/>
      <c r="B1025" s="14">
        <f>IFERROR(VLOOKUP(A1025,Tabla3[],2,FALSE),0)</f>
        <v>0</v>
      </c>
      <c r="C1025" s="38"/>
      <c r="D1025" s="38" t="s">
        <v>9</v>
      </c>
      <c r="E1025" s="38">
        <f>150*B1024</f>
        <v>0</v>
      </c>
    </row>
    <row r="1026" spans="1:5" thickBot="1" x14ac:dyDescent="0.3">
      <c r="A1026" s="34"/>
      <c r="B1026" s="14">
        <f>IFERROR(VLOOKUP(A1026,Tabla3[],2,FALSE),0)</f>
        <v>0</v>
      </c>
      <c r="C1026" s="38"/>
      <c r="D1026" s="38" t="s">
        <v>16</v>
      </c>
      <c r="E1026" s="38">
        <f>150*B1024</f>
        <v>0</v>
      </c>
    </row>
    <row r="1027" spans="1:5" thickBot="1" x14ac:dyDescent="0.3">
      <c r="A1027" s="34"/>
      <c r="B1027" s="14">
        <f>IFERROR(VLOOKUP(A1027,Tabla3[],2,FALSE),0)</f>
        <v>0</v>
      </c>
      <c r="C1027" s="38"/>
      <c r="D1027" s="38" t="s">
        <v>23</v>
      </c>
      <c r="E1027" s="38">
        <f>20*B1024</f>
        <v>0</v>
      </c>
    </row>
    <row r="1028" spans="1:5" thickBot="1" x14ac:dyDescent="0.3">
      <c r="A1028" s="34"/>
      <c r="B1028" s="14">
        <f>IFERROR(VLOOKUP(A1028,Tabla3[],2,FALSE),0)</f>
        <v>0</v>
      </c>
      <c r="C1028" s="38"/>
      <c r="D1028" s="38" t="s">
        <v>24</v>
      </c>
      <c r="E1028" s="38">
        <f>1*B1024</f>
        <v>0</v>
      </c>
    </row>
    <row r="1029" spans="1:5" thickBot="1" x14ac:dyDescent="0.3">
      <c r="A1029" s="34"/>
      <c r="B1029" s="14">
        <f>IFERROR(VLOOKUP(A1029,Tabla3[],2,FALSE),0)</f>
        <v>0</v>
      </c>
      <c r="C1029" s="38"/>
      <c r="D1029" s="38" t="s">
        <v>637</v>
      </c>
      <c r="E1029" s="38">
        <f>3*B1024</f>
        <v>0</v>
      </c>
    </row>
    <row r="1030" spans="1:5" thickBot="1" x14ac:dyDescent="0.3">
      <c r="A1030" s="34"/>
      <c r="B1030" s="14">
        <f>IFERROR(VLOOKUP(A1030,Tabla3[],2,FALSE),0)</f>
        <v>0</v>
      </c>
      <c r="C1030" s="38"/>
      <c r="D1030" s="38" t="s">
        <v>636</v>
      </c>
      <c r="E1030" s="38">
        <f>3*B1024</f>
        <v>0</v>
      </c>
    </row>
    <row r="1031" spans="1:5" thickBot="1" x14ac:dyDescent="0.3">
      <c r="A1031" s="34"/>
      <c r="B1031" s="14">
        <f>IFERROR(VLOOKUP(A1031,Tabla3[],2,FALSE),0)</f>
        <v>0</v>
      </c>
      <c r="C1031" s="38"/>
      <c r="D1031" s="38" t="s">
        <v>97</v>
      </c>
      <c r="E1031" s="38">
        <f>15*B1024</f>
        <v>0</v>
      </c>
    </row>
    <row r="1032" spans="1:5" thickBot="1" x14ac:dyDescent="0.3">
      <c r="A1032" s="34"/>
      <c r="B1032" s="14">
        <f>IFERROR(VLOOKUP(A1032,Tabla3[],2,FALSE),0)</f>
        <v>0</v>
      </c>
      <c r="C1032" s="38"/>
      <c r="D1032" s="38" t="s">
        <v>51</v>
      </c>
      <c r="E1032" s="38">
        <f>60*B1024</f>
        <v>0</v>
      </c>
    </row>
    <row r="1033" spans="1:5" thickBot="1" x14ac:dyDescent="0.3">
      <c r="A1033" s="34"/>
      <c r="B1033" s="14">
        <f>IFERROR(VLOOKUP(A1033,Tabla3[],2,FALSE),0)</f>
        <v>0</v>
      </c>
      <c r="C1033" s="38"/>
      <c r="D1033" s="38" t="s">
        <v>106</v>
      </c>
      <c r="E1033" s="38">
        <f>60*B1024</f>
        <v>0</v>
      </c>
    </row>
    <row r="1034" spans="1:5" thickBot="1" x14ac:dyDescent="0.3">
      <c r="A1034" s="27"/>
      <c r="B1034" s="14">
        <f>IFERROR(VLOOKUP(A1034,Tabla3[],2,FALSE),0)</f>
        <v>0</v>
      </c>
      <c r="C1034" s="41"/>
      <c r="D1034" s="28" t="s">
        <v>122</v>
      </c>
      <c r="E1034" s="41">
        <f>225*B1024</f>
        <v>0</v>
      </c>
    </row>
    <row r="1035" spans="1:5" thickBot="1" x14ac:dyDescent="0.3">
      <c r="A1035" s="25" t="s">
        <v>501</v>
      </c>
      <c r="B1035" s="14">
        <f>IFERROR(VLOOKUP(A1035,Tabla3[],2,FALSE),0)</f>
        <v>0</v>
      </c>
      <c r="C1035" s="37"/>
      <c r="D1035" s="37" t="s">
        <v>86</v>
      </c>
      <c r="E1035" s="37">
        <f>B1035*750</f>
        <v>0</v>
      </c>
    </row>
    <row r="1036" spans="1:5" thickBot="1" x14ac:dyDescent="0.3">
      <c r="A1036" s="27"/>
      <c r="B1036" s="14">
        <f>IFERROR(VLOOKUP(A1036,Tabla3[],2,FALSE),0)</f>
        <v>0</v>
      </c>
      <c r="C1036" s="41"/>
      <c r="D1036" s="41" t="s">
        <v>125</v>
      </c>
      <c r="E1036" s="41">
        <f>B1035*4</f>
        <v>0</v>
      </c>
    </row>
    <row r="1037" spans="1:5" thickBot="1" x14ac:dyDescent="0.3">
      <c r="A1037" s="25" t="s">
        <v>502</v>
      </c>
      <c r="B1037" s="14">
        <f>IFERROR(VLOOKUP(A1037,Tabla3[],2,FALSE),0)</f>
        <v>0</v>
      </c>
      <c r="C1037" s="37"/>
      <c r="D1037" s="37" t="s">
        <v>86</v>
      </c>
      <c r="E1037" s="37">
        <f>B1037*750</f>
        <v>0</v>
      </c>
    </row>
    <row r="1038" spans="1:5" thickBot="1" x14ac:dyDescent="0.3">
      <c r="A1038" s="34"/>
      <c r="B1038" s="14">
        <f>IFERROR(VLOOKUP(A1038,Tabla3[],2,FALSE),0)</f>
        <v>0</v>
      </c>
      <c r="C1038" s="38"/>
      <c r="D1038" s="38" t="s">
        <v>125</v>
      </c>
      <c r="E1038" s="38">
        <f>B1037*4</f>
        <v>0</v>
      </c>
    </row>
    <row r="1039" spans="1:5" thickBot="1" x14ac:dyDescent="0.3">
      <c r="A1039" s="34"/>
      <c r="B1039" s="14">
        <f>IFERROR(VLOOKUP(A1039,Tabla3[],2,FALSE),0)</f>
        <v>0</v>
      </c>
      <c r="C1039" s="38"/>
      <c r="D1039" s="38" t="s">
        <v>13</v>
      </c>
      <c r="E1039" s="38">
        <f>800*B1037</f>
        <v>0</v>
      </c>
    </row>
    <row r="1040" spans="1:5" thickBot="1" x14ac:dyDescent="0.3">
      <c r="A1040" s="34"/>
      <c r="B1040" s="14">
        <f>IFERROR(VLOOKUP(A1040,Tabla3[],2,FALSE),0)</f>
        <v>0</v>
      </c>
      <c r="C1040" s="38"/>
      <c r="D1040" s="38" t="s">
        <v>9</v>
      </c>
      <c r="E1040" s="38">
        <f>150*B1037</f>
        <v>0</v>
      </c>
    </row>
    <row r="1041" spans="1:5" thickBot="1" x14ac:dyDescent="0.3">
      <c r="A1041" s="34"/>
      <c r="B1041" s="14">
        <f>IFERROR(VLOOKUP(A1041,Tabla3[],2,FALSE),0)</f>
        <v>0</v>
      </c>
      <c r="C1041" s="38"/>
      <c r="D1041" s="38" t="s">
        <v>16</v>
      </c>
      <c r="E1041" s="38">
        <f>150*B1037</f>
        <v>0</v>
      </c>
    </row>
    <row r="1042" spans="1:5" thickBot="1" x14ac:dyDescent="0.3">
      <c r="A1042" s="34"/>
      <c r="B1042" s="14">
        <f>IFERROR(VLOOKUP(A1042,Tabla3[],2,FALSE),0)</f>
        <v>0</v>
      </c>
      <c r="C1042" s="38"/>
      <c r="D1042" s="38" t="s">
        <v>23</v>
      </c>
      <c r="E1042" s="38">
        <f>20*B1037</f>
        <v>0</v>
      </c>
    </row>
    <row r="1043" spans="1:5" thickBot="1" x14ac:dyDescent="0.3">
      <c r="A1043" s="27"/>
      <c r="B1043" s="14">
        <f>IFERROR(VLOOKUP(A1043,Tabla3[],2,FALSE),0)</f>
        <v>0</v>
      </c>
      <c r="C1043" s="41"/>
      <c r="D1043" s="41" t="s">
        <v>24</v>
      </c>
      <c r="E1043" s="41">
        <f>1*B1037</f>
        <v>0</v>
      </c>
    </row>
    <row r="1044" spans="1:5" thickBot="1" x14ac:dyDescent="0.3">
      <c r="A1044" s="80" t="s">
        <v>590</v>
      </c>
      <c r="B1044" s="14">
        <f>IFERROR(VLOOKUP(A1044,Tabla3[],2,FALSE),0)</f>
        <v>0</v>
      </c>
      <c r="C1044" s="31"/>
      <c r="D1044" s="31" t="s">
        <v>116</v>
      </c>
      <c r="E1044" s="31">
        <f>B1044*75*3</f>
        <v>0</v>
      </c>
    </row>
    <row r="1045" spans="1:5" thickBot="1" x14ac:dyDescent="0.3">
      <c r="A1045" s="81"/>
      <c r="B1045" s="14">
        <f>IFERROR(VLOOKUP(A1045,Tabla3[],2,FALSE),0)</f>
        <v>0</v>
      </c>
      <c r="C1045" s="35"/>
      <c r="D1045" s="35" t="s">
        <v>134</v>
      </c>
      <c r="E1045" s="35">
        <f>B1044*10*3</f>
        <v>0</v>
      </c>
    </row>
    <row r="1046" spans="1:5" thickBot="1" x14ac:dyDescent="0.3">
      <c r="A1046" s="81"/>
      <c r="B1046" s="14">
        <f>IFERROR(VLOOKUP(A1046,Tabla3[],2,FALSE),0)</f>
        <v>0</v>
      </c>
      <c r="C1046" s="35"/>
      <c r="D1046" s="35" t="s">
        <v>90</v>
      </c>
      <c r="E1046" s="35">
        <f>B1044*75*3</f>
        <v>0</v>
      </c>
    </row>
    <row r="1047" spans="1:5" thickBot="1" x14ac:dyDescent="0.3">
      <c r="A1047" s="81"/>
      <c r="B1047" s="14">
        <f>IFERROR(VLOOKUP(A1047,Tabla3[],2,FALSE),0)</f>
        <v>0</v>
      </c>
      <c r="C1047" s="35"/>
      <c r="D1047" s="35" t="s">
        <v>51</v>
      </c>
      <c r="E1047" s="35">
        <f>B1044*40*3</f>
        <v>0</v>
      </c>
    </row>
    <row r="1048" spans="1:5" thickBot="1" x14ac:dyDescent="0.3">
      <c r="A1048" s="82"/>
      <c r="B1048" s="14">
        <f>IFERROR(VLOOKUP(A1048,Tabla3[],2,FALSE),0)</f>
        <v>0</v>
      </c>
      <c r="C1048" s="33"/>
      <c r="D1048" s="33" t="s">
        <v>16</v>
      </c>
      <c r="E1048" s="33">
        <f>B1044*100*3</f>
        <v>0</v>
      </c>
    </row>
    <row r="1049" spans="1:5" thickBot="1" x14ac:dyDescent="0.3">
      <c r="A1049" s="115" t="s">
        <v>671</v>
      </c>
      <c r="B1049" s="14">
        <f>IFERROR(VLOOKUP(A1049,Tabla3[],2,FALSE),0)</f>
        <v>0</v>
      </c>
      <c r="C1049" s="26"/>
      <c r="D1049" s="26" t="s">
        <v>116</v>
      </c>
      <c r="E1049" s="26">
        <f>B1049*75*3</f>
        <v>0</v>
      </c>
    </row>
    <row r="1050" spans="1:5" thickBot="1" x14ac:dyDescent="0.3">
      <c r="A1050" s="34"/>
      <c r="B1050" s="14">
        <f>IFERROR(VLOOKUP(A1050,Tabla3[],2,FALSE),0)</f>
        <v>0</v>
      </c>
      <c r="C1050" s="35"/>
      <c r="D1050" s="35" t="s">
        <v>134</v>
      </c>
      <c r="E1050" s="35">
        <f>B1049*10*3</f>
        <v>0</v>
      </c>
    </row>
    <row r="1051" spans="1:5" thickBot="1" x14ac:dyDescent="0.3">
      <c r="A1051" s="34"/>
      <c r="B1051" s="14">
        <f>IFERROR(VLOOKUP(A1051,Tabla3[],2,FALSE),0)</f>
        <v>0</v>
      </c>
      <c r="C1051" s="35"/>
      <c r="D1051" s="35" t="s">
        <v>90</v>
      </c>
      <c r="E1051" s="35">
        <f>B1049*75*3</f>
        <v>0</v>
      </c>
    </row>
    <row r="1052" spans="1:5" thickBot="1" x14ac:dyDescent="0.3">
      <c r="A1052" s="34"/>
      <c r="B1052" s="14">
        <f>IFERROR(VLOOKUP(A1052,Tabla3[],2,FALSE),0)</f>
        <v>0</v>
      </c>
      <c r="C1052" s="35"/>
      <c r="D1052" s="35" t="s">
        <v>51</v>
      </c>
      <c r="E1052" s="35">
        <f>B1049*40*3</f>
        <v>0</v>
      </c>
    </row>
    <row r="1053" spans="1:5" thickBot="1" x14ac:dyDescent="0.3">
      <c r="A1053" s="34"/>
      <c r="B1053" s="14">
        <f>IFERROR(VLOOKUP(A1053,Tabla3[],2,FALSE),0)</f>
        <v>0</v>
      </c>
      <c r="C1053" s="35"/>
      <c r="D1053" s="35" t="s">
        <v>16</v>
      </c>
      <c r="E1053" s="35">
        <f>B1049*100*3</f>
        <v>0</v>
      </c>
    </row>
    <row r="1054" spans="1:5" thickBot="1" x14ac:dyDescent="0.3">
      <c r="A1054" s="34"/>
      <c r="B1054" s="14">
        <f>IFERROR(VLOOKUP(A1054,Tabla3[],2,FALSE),0)</f>
        <v>0</v>
      </c>
      <c r="C1054" s="38"/>
      <c r="D1054" s="38" t="s">
        <v>13</v>
      </c>
      <c r="E1054" s="38">
        <f>800*B1049</f>
        <v>0</v>
      </c>
    </row>
    <row r="1055" spans="1:5" thickBot="1" x14ac:dyDescent="0.3">
      <c r="A1055" s="34"/>
      <c r="B1055" s="14">
        <f>IFERROR(VLOOKUP(A1055,Tabla3[],2,FALSE),0)</f>
        <v>0</v>
      </c>
      <c r="C1055" s="38"/>
      <c r="D1055" s="38" t="s">
        <v>9</v>
      </c>
      <c r="E1055" s="38">
        <f>150*B1049</f>
        <v>0</v>
      </c>
    </row>
    <row r="1056" spans="1:5" thickBot="1" x14ac:dyDescent="0.3">
      <c r="A1056" s="34"/>
      <c r="B1056" s="14">
        <f>IFERROR(VLOOKUP(A1056,Tabla3[],2,FALSE),0)</f>
        <v>0</v>
      </c>
      <c r="C1056" s="38"/>
      <c r="D1056" s="38" t="s">
        <v>16</v>
      </c>
      <c r="E1056" s="38">
        <f>150*B1049</f>
        <v>0</v>
      </c>
    </row>
    <row r="1057" spans="1:5" thickBot="1" x14ac:dyDescent="0.3">
      <c r="A1057" s="34"/>
      <c r="B1057" s="14">
        <f>IFERROR(VLOOKUP(A1057,Tabla3[],2,FALSE),0)</f>
        <v>0</v>
      </c>
      <c r="C1057" s="38"/>
      <c r="D1057" s="38" t="s">
        <v>23</v>
      </c>
      <c r="E1057" s="38">
        <f>20*B1049</f>
        <v>0</v>
      </c>
    </row>
    <row r="1058" spans="1:5" thickBot="1" x14ac:dyDescent="0.3">
      <c r="A1058" s="27"/>
      <c r="B1058" s="14">
        <f>IFERROR(VLOOKUP(A1058,Tabla3[],2,FALSE),0)</f>
        <v>0</v>
      </c>
      <c r="C1058" s="41"/>
      <c r="D1058" s="41" t="s">
        <v>24</v>
      </c>
      <c r="E1058" s="41">
        <f>1*B1049</f>
        <v>0</v>
      </c>
    </row>
    <row r="1059" spans="1:5" thickBot="1" x14ac:dyDescent="0.3">
      <c r="A1059" s="80" t="s">
        <v>503</v>
      </c>
      <c r="B1059" s="14">
        <f>IFERROR(VLOOKUP(A1059,Tabla3[],2,FALSE),0)</f>
        <v>2</v>
      </c>
      <c r="C1059" s="31"/>
      <c r="D1059" s="31" t="s">
        <v>637</v>
      </c>
      <c r="E1059" s="31">
        <f>B1059*3</f>
        <v>6</v>
      </c>
    </row>
    <row r="1060" spans="1:5" thickBot="1" x14ac:dyDescent="0.3">
      <c r="A1060" s="81"/>
      <c r="B1060" s="14">
        <f>IFERROR(VLOOKUP(A1060,Tabla3[],2,FALSE),0)</f>
        <v>0</v>
      </c>
      <c r="C1060" s="35" t="s">
        <v>133</v>
      </c>
      <c r="D1060" s="35" t="s">
        <v>51</v>
      </c>
      <c r="E1060" s="35">
        <f>B1059*20*3</f>
        <v>120</v>
      </c>
    </row>
    <row r="1061" spans="1:5" thickBot="1" x14ac:dyDescent="0.3">
      <c r="A1061" s="81"/>
      <c r="B1061" s="14">
        <f>IFERROR(VLOOKUP(A1061,Tabla3[],2,FALSE),0)</f>
        <v>0</v>
      </c>
      <c r="C1061" s="35"/>
      <c r="D1061" s="35" t="s">
        <v>636</v>
      </c>
      <c r="E1061" s="35">
        <f>B1059*3</f>
        <v>6</v>
      </c>
    </row>
    <row r="1062" spans="1:5" thickBot="1" x14ac:dyDescent="0.3">
      <c r="A1062" s="81"/>
      <c r="B1062" s="14">
        <f>IFERROR(VLOOKUP(A1062,Tabla3[],2,FALSE),0)</f>
        <v>0</v>
      </c>
      <c r="C1062" s="35"/>
      <c r="D1062" s="35" t="s">
        <v>97</v>
      </c>
      <c r="E1062" s="35">
        <f>B1059*50*3</f>
        <v>300</v>
      </c>
    </row>
    <row r="1063" spans="1:5" thickBot="1" x14ac:dyDescent="0.3">
      <c r="A1063" s="81"/>
      <c r="B1063" s="14">
        <f>IFERROR(VLOOKUP(A1063,Tabla3[],2,FALSE),0)</f>
        <v>0</v>
      </c>
      <c r="C1063" s="35" t="s">
        <v>131</v>
      </c>
      <c r="D1063" s="35" t="s">
        <v>106</v>
      </c>
      <c r="E1063" s="35">
        <f>B1059*20*3</f>
        <v>120</v>
      </c>
    </row>
    <row r="1064" spans="1:5" thickBot="1" x14ac:dyDescent="0.3">
      <c r="A1064" s="81"/>
      <c r="B1064" s="14">
        <f>IFERROR(VLOOKUP(A1064,Tabla3[],2,FALSE),0)</f>
        <v>0</v>
      </c>
      <c r="C1064" s="35" t="s">
        <v>131</v>
      </c>
      <c r="D1064" s="35" t="s">
        <v>116</v>
      </c>
      <c r="E1064" s="35">
        <f>B1059*75*3</f>
        <v>450</v>
      </c>
    </row>
    <row r="1065" spans="1:5" thickBot="1" x14ac:dyDescent="0.3">
      <c r="A1065" s="82"/>
      <c r="B1065" s="14">
        <f>IFERROR(VLOOKUP(A1065,Tabla3[],2,FALSE),0)</f>
        <v>0</v>
      </c>
      <c r="C1065" s="33" t="s">
        <v>131</v>
      </c>
      <c r="D1065" s="33" t="s">
        <v>108</v>
      </c>
      <c r="E1065" s="33">
        <f>B1059*75*3</f>
        <v>450</v>
      </c>
    </row>
    <row r="1066" spans="1:5" thickBot="1" x14ac:dyDescent="0.3">
      <c r="A1066" s="25" t="s">
        <v>504</v>
      </c>
      <c r="B1066" s="14">
        <f>IFERROR(VLOOKUP(A1066,Tabla3[],2,FALSE),0)</f>
        <v>1</v>
      </c>
      <c r="C1066" s="26"/>
      <c r="D1066" s="26" t="s">
        <v>637</v>
      </c>
      <c r="E1066" s="26">
        <f>B1066*3</f>
        <v>3</v>
      </c>
    </row>
    <row r="1067" spans="1:5" thickBot="1" x14ac:dyDescent="0.3">
      <c r="A1067" s="34"/>
      <c r="B1067" s="14">
        <f>IFERROR(VLOOKUP(A1067,Tabla3[],2,FALSE),0)</f>
        <v>0</v>
      </c>
      <c r="C1067" s="35" t="s">
        <v>133</v>
      </c>
      <c r="D1067" s="35" t="s">
        <v>51</v>
      </c>
      <c r="E1067" s="35">
        <f>B1066*20*3</f>
        <v>60</v>
      </c>
    </row>
    <row r="1068" spans="1:5" thickBot="1" x14ac:dyDescent="0.3">
      <c r="A1068" s="34"/>
      <c r="B1068" s="14">
        <f>IFERROR(VLOOKUP(A1068,Tabla3[],2,FALSE),0)</f>
        <v>0</v>
      </c>
      <c r="C1068" s="35"/>
      <c r="D1068" s="35" t="s">
        <v>636</v>
      </c>
      <c r="E1068" s="35">
        <f>B1066*3</f>
        <v>3</v>
      </c>
    </row>
    <row r="1069" spans="1:5" thickBot="1" x14ac:dyDescent="0.3">
      <c r="A1069" s="34"/>
      <c r="B1069" s="14">
        <f>IFERROR(VLOOKUP(A1069,Tabla3[],2,FALSE),0)</f>
        <v>0</v>
      </c>
      <c r="C1069" s="35"/>
      <c r="D1069" s="35" t="s">
        <v>97</v>
      </c>
      <c r="E1069" s="35">
        <f>B1066*50*3</f>
        <v>150</v>
      </c>
    </row>
    <row r="1070" spans="1:5" thickBot="1" x14ac:dyDescent="0.3">
      <c r="A1070" s="34"/>
      <c r="B1070" s="14">
        <f>IFERROR(VLOOKUP(A1070,Tabla3[],2,FALSE),0)</f>
        <v>0</v>
      </c>
      <c r="C1070" s="35" t="s">
        <v>131</v>
      </c>
      <c r="D1070" s="35" t="s">
        <v>106</v>
      </c>
      <c r="E1070" s="35">
        <f>B1066*20*3</f>
        <v>60</v>
      </c>
    </row>
    <row r="1071" spans="1:5" thickBot="1" x14ac:dyDescent="0.3">
      <c r="A1071" s="34"/>
      <c r="B1071" s="14">
        <f>IFERROR(VLOOKUP(A1071,Tabla3[],2,FALSE),0)</f>
        <v>0</v>
      </c>
      <c r="C1071" s="35" t="s">
        <v>131</v>
      </c>
      <c r="D1071" s="35" t="s">
        <v>116</v>
      </c>
      <c r="E1071" s="35">
        <f>B1066*75*3</f>
        <v>225</v>
      </c>
    </row>
    <row r="1072" spans="1:5" thickBot="1" x14ac:dyDescent="0.3">
      <c r="A1072" s="34"/>
      <c r="B1072" s="14">
        <f>IFERROR(VLOOKUP(A1072,Tabla3[],2,FALSE),0)</f>
        <v>0</v>
      </c>
      <c r="C1072" s="35" t="s">
        <v>131</v>
      </c>
      <c r="D1072" s="35" t="s">
        <v>108</v>
      </c>
      <c r="E1072" s="35">
        <f>B1066*75*3</f>
        <v>225</v>
      </c>
    </row>
    <row r="1073" spans="1:5" thickBot="1" x14ac:dyDescent="0.3">
      <c r="A1073" s="34"/>
      <c r="B1073" s="14">
        <f>IFERROR(VLOOKUP(A1073,Tabla3[],2,FALSE),0)</f>
        <v>0</v>
      </c>
      <c r="C1073" s="38"/>
      <c r="D1073" s="35" t="s">
        <v>13</v>
      </c>
      <c r="E1073" s="35">
        <f>B1066*800</f>
        <v>800</v>
      </c>
    </row>
    <row r="1074" spans="1:5" thickBot="1" x14ac:dyDescent="0.3">
      <c r="A1074" s="34"/>
      <c r="B1074" s="14">
        <f>IFERROR(VLOOKUP(A1074,Tabla3[],2,FALSE),0)</f>
        <v>0</v>
      </c>
      <c r="C1074" s="38"/>
      <c r="D1074" s="35" t="s">
        <v>9</v>
      </c>
      <c r="E1074" s="35">
        <f>B1066*150</f>
        <v>150</v>
      </c>
    </row>
    <row r="1075" spans="1:5" thickBot="1" x14ac:dyDescent="0.3">
      <c r="A1075" s="34"/>
      <c r="B1075" s="14">
        <f>IFERROR(VLOOKUP(A1075,Tabla3[],2,FALSE),0)</f>
        <v>0</v>
      </c>
      <c r="C1075" s="38"/>
      <c r="D1075" s="35" t="s">
        <v>16</v>
      </c>
      <c r="E1075" s="35">
        <f>B1066*150</f>
        <v>150</v>
      </c>
    </row>
    <row r="1076" spans="1:5" thickBot="1" x14ac:dyDescent="0.3">
      <c r="A1076" s="34"/>
      <c r="B1076" s="14">
        <f>IFERROR(VLOOKUP(A1076,Tabla3[],2,FALSE),0)</f>
        <v>0</v>
      </c>
      <c r="C1076" s="38"/>
      <c r="D1076" s="35" t="s">
        <v>23</v>
      </c>
      <c r="E1076" s="35">
        <f>B1066*20</f>
        <v>20</v>
      </c>
    </row>
    <row r="1077" spans="1:5" thickBot="1" x14ac:dyDescent="0.3">
      <c r="A1077" s="27"/>
      <c r="B1077" s="14">
        <f>IFERROR(VLOOKUP(A1077,Tabla3[],2,FALSE),0)</f>
        <v>0</v>
      </c>
      <c r="C1077" s="41"/>
      <c r="D1077" s="28" t="s">
        <v>24</v>
      </c>
      <c r="E1077" s="28">
        <f>B1066</f>
        <v>1</v>
      </c>
    </row>
    <row r="1078" spans="1:5" thickBot="1" x14ac:dyDescent="0.3">
      <c r="A1078" s="25" t="s">
        <v>505</v>
      </c>
      <c r="B1078" s="14">
        <f>IFERROR(VLOOKUP(A1078,Tabla3[],2,FALSE),0)</f>
        <v>0</v>
      </c>
      <c r="C1078" s="26"/>
      <c r="D1078" s="26" t="s">
        <v>7</v>
      </c>
      <c r="E1078" s="26">
        <f>B1078</f>
        <v>0</v>
      </c>
    </row>
    <row r="1079" spans="1:5" thickBot="1" x14ac:dyDescent="0.3">
      <c r="A1079" s="34"/>
      <c r="B1079" s="14">
        <f>IFERROR(VLOOKUP(A1079,Tabla3[],2,FALSE),0)</f>
        <v>0</v>
      </c>
      <c r="C1079" s="35"/>
      <c r="D1079" s="35" t="s">
        <v>74</v>
      </c>
      <c r="E1079" s="35">
        <f>B1078</f>
        <v>0</v>
      </c>
    </row>
    <row r="1080" spans="1:5" thickBot="1" x14ac:dyDescent="0.3">
      <c r="A1080" s="34"/>
      <c r="B1080" s="14">
        <f>IFERROR(VLOOKUP(A1080,Tabla3[],2,FALSE),0)</f>
        <v>0</v>
      </c>
      <c r="C1080" s="35"/>
      <c r="D1080" s="35" t="s">
        <v>35</v>
      </c>
      <c r="E1080" s="35">
        <f>B1078*40</f>
        <v>0</v>
      </c>
    </row>
    <row r="1081" spans="1:5" thickBot="1" x14ac:dyDescent="0.3">
      <c r="A1081" s="34"/>
      <c r="B1081" s="14">
        <f>IFERROR(VLOOKUP(A1081,Tabla3[],2,FALSE),0)</f>
        <v>0</v>
      </c>
      <c r="C1081" s="35"/>
      <c r="D1081" s="35" t="s">
        <v>8</v>
      </c>
      <c r="E1081" s="35">
        <f>B1078</f>
        <v>0</v>
      </c>
    </row>
    <row r="1082" spans="1:5" thickBot="1" x14ac:dyDescent="0.3">
      <c r="A1082" s="34"/>
      <c r="B1082" s="14">
        <f>IFERROR(VLOOKUP(A1082,Tabla3[],2,FALSE),0)</f>
        <v>0</v>
      </c>
      <c r="C1082" s="35"/>
      <c r="D1082" s="35" t="s">
        <v>9</v>
      </c>
      <c r="E1082" s="35">
        <f>B1078*80</f>
        <v>0</v>
      </c>
    </row>
    <row r="1083" spans="1:5" thickBot="1" x14ac:dyDescent="0.3">
      <c r="A1083" s="34"/>
      <c r="B1083" s="14">
        <f>IFERROR(VLOOKUP(A1083,Tabla3[],2,FALSE),0)</f>
        <v>0</v>
      </c>
      <c r="C1083" s="35"/>
      <c r="D1083" s="35" t="s">
        <v>7</v>
      </c>
      <c r="E1083" s="35">
        <f>B1078</f>
        <v>0</v>
      </c>
    </row>
    <row r="1084" spans="1:5" thickBot="1" x14ac:dyDescent="0.3">
      <c r="A1084" s="34"/>
      <c r="B1084" s="14">
        <f>IFERROR(VLOOKUP(A1084,Tabla3[],2,FALSE),0)</f>
        <v>0</v>
      </c>
      <c r="C1084" s="35"/>
      <c r="D1084" s="35" t="s">
        <v>35</v>
      </c>
      <c r="E1084" s="35">
        <f>B1078*40</f>
        <v>0</v>
      </c>
    </row>
    <row r="1085" spans="1:5" thickBot="1" x14ac:dyDescent="0.3">
      <c r="A1085" s="34"/>
      <c r="B1085" s="14">
        <f>IFERROR(VLOOKUP(A1085,Tabla3[],2,FALSE),0)</f>
        <v>0</v>
      </c>
      <c r="C1085" s="35"/>
      <c r="D1085" s="35" t="s">
        <v>10</v>
      </c>
      <c r="E1085" s="35">
        <f>B1078</f>
        <v>0</v>
      </c>
    </row>
    <row r="1086" spans="1:5" thickBot="1" x14ac:dyDescent="0.3">
      <c r="A1086" s="34"/>
      <c r="B1086" s="14">
        <f>IFERROR(VLOOKUP(A1086,Tabla3[],2,FALSE),0)</f>
        <v>0</v>
      </c>
      <c r="C1086" s="35"/>
      <c r="D1086" s="35" t="s">
        <v>9</v>
      </c>
      <c r="E1086" s="35">
        <f>B1078*80</f>
        <v>0</v>
      </c>
    </row>
    <row r="1087" spans="1:5" thickBot="1" x14ac:dyDescent="0.3">
      <c r="A1087" s="34"/>
      <c r="B1087" s="14">
        <f>IFERROR(VLOOKUP(A1087,Tabla3[],2,FALSE),0)</f>
        <v>0</v>
      </c>
      <c r="C1087" s="35"/>
      <c r="D1087" s="35" t="s">
        <v>7</v>
      </c>
      <c r="E1087" s="35">
        <f>B1078</f>
        <v>0</v>
      </c>
    </row>
    <row r="1088" spans="1:5" thickBot="1" x14ac:dyDescent="0.3">
      <c r="A1088" s="34"/>
      <c r="B1088" s="14">
        <f>IFERROR(VLOOKUP(A1088,Tabla3[],2,FALSE),0)</f>
        <v>0</v>
      </c>
      <c r="C1088" s="35"/>
      <c r="D1088" s="35" t="s">
        <v>35</v>
      </c>
      <c r="E1088" s="35">
        <f>B1078*40</f>
        <v>0</v>
      </c>
    </row>
    <row r="1089" spans="1:5" thickBot="1" x14ac:dyDescent="0.3">
      <c r="A1089" s="34"/>
      <c r="B1089" s="14">
        <f>IFERROR(VLOOKUP(A1089,Tabla3[],2,FALSE),0)</f>
        <v>0</v>
      </c>
      <c r="C1089" s="35"/>
      <c r="D1089" s="35" t="s">
        <v>6</v>
      </c>
      <c r="E1089" s="35">
        <f>B1078</f>
        <v>0</v>
      </c>
    </row>
    <row r="1090" spans="1:5" thickBot="1" x14ac:dyDescent="0.3">
      <c r="A1090" s="34"/>
      <c r="B1090" s="14">
        <f>IFERROR(VLOOKUP(A1090,Tabla3[],2,FALSE),0)</f>
        <v>0</v>
      </c>
      <c r="C1090" s="35"/>
      <c r="D1090" s="35" t="s">
        <v>9</v>
      </c>
      <c r="E1090" s="35">
        <f>B1078*80</f>
        <v>0</v>
      </c>
    </row>
    <row r="1091" spans="1:5" thickBot="1" x14ac:dyDescent="0.3">
      <c r="A1091" s="34"/>
      <c r="B1091" s="14">
        <f>IFERROR(VLOOKUP(A1091,Tabla3[],2,FALSE),0)</f>
        <v>0</v>
      </c>
      <c r="C1091" s="35"/>
      <c r="D1091" s="35" t="s">
        <v>636</v>
      </c>
      <c r="E1091" s="35">
        <f>B1078*3</f>
        <v>0</v>
      </c>
    </row>
    <row r="1092" spans="1:5" thickBot="1" x14ac:dyDescent="0.3">
      <c r="A1092" s="34"/>
      <c r="B1092" s="14">
        <f>IFERROR(VLOOKUP(A1092,Tabla3[],2,FALSE),0)</f>
        <v>0</v>
      </c>
      <c r="C1092" s="35"/>
      <c r="D1092" s="35" t="s">
        <v>97</v>
      </c>
      <c r="E1092" s="35">
        <f>B1078*5*3</f>
        <v>0</v>
      </c>
    </row>
    <row r="1093" spans="1:5" thickBot="1" x14ac:dyDescent="0.3">
      <c r="A1093" s="34"/>
      <c r="B1093" s="14">
        <f>IFERROR(VLOOKUP(A1093,Tabla3[],2,FALSE),0)</f>
        <v>0</v>
      </c>
      <c r="C1093" s="35"/>
      <c r="D1093" s="35" t="s">
        <v>637</v>
      </c>
      <c r="E1093" s="35">
        <f>B1078*3</f>
        <v>0</v>
      </c>
    </row>
    <row r="1094" spans="1:5" thickBot="1" x14ac:dyDescent="0.3">
      <c r="A1094" s="34"/>
      <c r="B1094" s="14">
        <f>IFERROR(VLOOKUP(A1094,Tabla3[],2,FALSE),0)</f>
        <v>0</v>
      </c>
      <c r="C1094" s="35" t="s">
        <v>133</v>
      </c>
      <c r="D1094" s="35" t="s">
        <v>51</v>
      </c>
      <c r="E1094" s="35">
        <f>B1078*20*3</f>
        <v>0</v>
      </c>
    </row>
    <row r="1095" spans="1:5" thickBot="1" x14ac:dyDescent="0.3">
      <c r="A1095" s="34"/>
      <c r="B1095" s="14">
        <f>IFERROR(VLOOKUP(A1095,Tabla3[],2,FALSE),0)</f>
        <v>0</v>
      </c>
      <c r="C1095" s="35" t="s">
        <v>131</v>
      </c>
      <c r="D1095" s="35" t="s">
        <v>106</v>
      </c>
      <c r="E1095" s="35">
        <f>B1078*20*3</f>
        <v>0</v>
      </c>
    </row>
    <row r="1096" spans="1:5" thickBot="1" x14ac:dyDescent="0.3">
      <c r="A1096" s="34"/>
      <c r="B1096" s="14">
        <f>IFERROR(VLOOKUP(A1096,Tabla3[],2,FALSE),0)</f>
        <v>0</v>
      </c>
      <c r="C1096" s="35"/>
      <c r="D1096" s="35" t="s">
        <v>108</v>
      </c>
      <c r="E1096" s="35">
        <f>B1078*20*3</f>
        <v>0</v>
      </c>
    </row>
    <row r="1097" spans="1:5" thickBot="1" x14ac:dyDescent="0.3">
      <c r="A1097" s="34"/>
      <c r="B1097" s="14">
        <f>IFERROR(VLOOKUP(A1097,Tabla3[],2,FALSE),0)</f>
        <v>0</v>
      </c>
      <c r="C1097" s="35" t="s">
        <v>131</v>
      </c>
      <c r="D1097" s="35" t="s">
        <v>116</v>
      </c>
      <c r="E1097" s="35">
        <f>B1078*75*3</f>
        <v>0</v>
      </c>
    </row>
    <row r="1098" spans="1:5" thickBot="1" x14ac:dyDescent="0.3">
      <c r="A1098" s="27"/>
      <c r="B1098" s="14">
        <f>IFERROR(VLOOKUP(A1098,Tabla3[],2,FALSE),0)</f>
        <v>0</v>
      </c>
      <c r="C1098" s="28"/>
      <c r="D1098" s="28" t="s">
        <v>16</v>
      </c>
      <c r="E1098" s="28">
        <f>B1078*50</f>
        <v>0</v>
      </c>
    </row>
    <row r="1099" spans="1:5" thickBot="1" x14ac:dyDescent="0.3">
      <c r="A1099" s="15" t="s">
        <v>761</v>
      </c>
      <c r="B1099" s="14">
        <f>IFERROR(VLOOKUP(A1099,Tabla3[],2,FALSE),0)</f>
        <v>1</v>
      </c>
      <c r="C1099" s="31"/>
      <c r="D1099" s="31" t="s">
        <v>637</v>
      </c>
      <c r="E1099" s="31">
        <f>B1099*3</f>
        <v>3</v>
      </c>
    </row>
    <row r="1100" spans="1:5" thickBot="1" x14ac:dyDescent="0.3">
      <c r="A1100" s="81"/>
      <c r="B1100" s="14">
        <f>IFERROR(VLOOKUP(A1100,Tabla3[],2,FALSE),0)</f>
        <v>0</v>
      </c>
      <c r="C1100" s="35" t="s">
        <v>133</v>
      </c>
      <c r="D1100" s="35" t="s">
        <v>51</v>
      </c>
      <c r="E1100" s="35">
        <f>B1099*20*3</f>
        <v>60</v>
      </c>
    </row>
    <row r="1101" spans="1:5" thickBot="1" x14ac:dyDescent="0.3">
      <c r="A1101" s="81"/>
      <c r="B1101" s="14">
        <f>IFERROR(VLOOKUP(A1101,Tabla3[],2,FALSE),0)</f>
        <v>0</v>
      </c>
      <c r="C1101" s="35"/>
      <c r="D1101" s="35" t="s">
        <v>636</v>
      </c>
      <c r="E1101" s="35">
        <f>B1099*3</f>
        <v>3</v>
      </c>
    </row>
    <row r="1102" spans="1:5" thickBot="1" x14ac:dyDescent="0.3">
      <c r="A1102" s="81"/>
      <c r="B1102" s="14">
        <f>IFERROR(VLOOKUP(A1102,Tabla3[],2,FALSE),0)</f>
        <v>0</v>
      </c>
      <c r="C1102" s="35"/>
      <c r="D1102" s="35" t="s">
        <v>97</v>
      </c>
      <c r="E1102" s="35">
        <f>B1099*50*3</f>
        <v>150</v>
      </c>
    </row>
    <row r="1103" spans="1:5" thickBot="1" x14ac:dyDescent="0.3">
      <c r="A1103" s="81"/>
      <c r="B1103" s="14">
        <f>IFERROR(VLOOKUP(A1103,Tabla3[],2,FALSE),0)</f>
        <v>0</v>
      </c>
      <c r="C1103" s="35" t="s">
        <v>131</v>
      </c>
      <c r="D1103" s="35" t="s">
        <v>106</v>
      </c>
      <c r="E1103" s="35">
        <f>B1099*20*3</f>
        <v>60</v>
      </c>
    </row>
    <row r="1104" spans="1:5" thickBot="1" x14ac:dyDescent="0.3">
      <c r="A1104" s="81"/>
      <c r="B1104" s="14">
        <f>IFERROR(VLOOKUP(A1104,Tabla3[],2,FALSE),0)</f>
        <v>0</v>
      </c>
      <c r="C1104" s="35" t="s">
        <v>131</v>
      </c>
      <c r="D1104" s="35" t="s">
        <v>116</v>
      </c>
      <c r="E1104" s="35">
        <f>B1099*75*3</f>
        <v>225</v>
      </c>
    </row>
    <row r="1105" spans="1:5" thickBot="1" x14ac:dyDescent="0.3">
      <c r="A1105" s="82"/>
      <c r="B1105" s="14">
        <f>IFERROR(VLOOKUP(A1105,Tabla3[],2,FALSE),0)</f>
        <v>0</v>
      </c>
      <c r="C1105" s="39" t="s">
        <v>131</v>
      </c>
      <c r="D1105" s="33" t="s">
        <v>105</v>
      </c>
      <c r="E1105" s="39">
        <f>B1099*75*3</f>
        <v>225</v>
      </c>
    </row>
    <row r="1106" spans="1:5" thickBot="1" x14ac:dyDescent="0.3">
      <c r="A1106" s="25" t="s">
        <v>506</v>
      </c>
      <c r="B1106" s="14">
        <f>IFERROR(VLOOKUP(A1106,Tabla3[],2,FALSE),0)</f>
        <v>2</v>
      </c>
      <c r="C1106" s="26"/>
      <c r="D1106" s="26" t="s">
        <v>637</v>
      </c>
      <c r="E1106" s="26">
        <f>B1106*3</f>
        <v>6</v>
      </c>
    </row>
    <row r="1107" spans="1:5" thickBot="1" x14ac:dyDescent="0.3">
      <c r="A1107" s="34"/>
      <c r="B1107" s="14">
        <f>IFERROR(VLOOKUP(A1107,Tabla3[],2,FALSE),0)</f>
        <v>0</v>
      </c>
      <c r="C1107" s="35" t="s">
        <v>133</v>
      </c>
      <c r="D1107" s="35" t="s">
        <v>51</v>
      </c>
      <c r="E1107" s="35">
        <f>B1106*20*3</f>
        <v>120</v>
      </c>
    </row>
    <row r="1108" spans="1:5" thickBot="1" x14ac:dyDescent="0.3">
      <c r="A1108" s="34"/>
      <c r="B1108" s="14">
        <f>IFERROR(VLOOKUP(A1108,Tabla3[],2,FALSE),0)</f>
        <v>0</v>
      </c>
      <c r="C1108" s="35"/>
      <c r="D1108" s="35" t="s">
        <v>636</v>
      </c>
      <c r="E1108" s="35">
        <f>B1106*3</f>
        <v>6</v>
      </c>
    </row>
    <row r="1109" spans="1:5" thickBot="1" x14ac:dyDescent="0.3">
      <c r="A1109" s="34"/>
      <c r="B1109" s="14">
        <f>IFERROR(VLOOKUP(A1109,Tabla3[],2,FALSE),0)</f>
        <v>0</v>
      </c>
      <c r="C1109" s="35"/>
      <c r="D1109" s="35" t="s">
        <v>97</v>
      </c>
      <c r="E1109" s="35">
        <f>B1106*50*3</f>
        <v>300</v>
      </c>
    </row>
    <row r="1110" spans="1:5" thickBot="1" x14ac:dyDescent="0.3">
      <c r="A1110" s="34"/>
      <c r="B1110" s="14">
        <f>IFERROR(VLOOKUP(A1110,Tabla3[],2,FALSE),0)</f>
        <v>0</v>
      </c>
      <c r="C1110" s="35" t="s">
        <v>131</v>
      </c>
      <c r="D1110" s="35" t="s">
        <v>106</v>
      </c>
      <c r="E1110" s="35">
        <f>B1106*20*3</f>
        <v>120</v>
      </c>
    </row>
    <row r="1111" spans="1:5" thickBot="1" x14ac:dyDescent="0.3">
      <c r="A1111" s="34"/>
      <c r="B1111" s="14">
        <f>IFERROR(VLOOKUP(A1111,Tabla3[],2,FALSE),0)</f>
        <v>0</v>
      </c>
      <c r="C1111" s="35" t="s">
        <v>131</v>
      </c>
      <c r="D1111" s="35" t="s">
        <v>116</v>
      </c>
      <c r="E1111" s="35">
        <f>B1106*75*3</f>
        <v>450</v>
      </c>
    </row>
    <row r="1112" spans="1:5" thickBot="1" x14ac:dyDescent="0.3">
      <c r="A1112" s="34"/>
      <c r="B1112" s="14">
        <f>IFERROR(VLOOKUP(A1112,Tabla3[],2,FALSE),0)</f>
        <v>0</v>
      </c>
      <c r="C1112" s="38" t="s">
        <v>131</v>
      </c>
      <c r="D1112" s="35" t="s">
        <v>105</v>
      </c>
      <c r="E1112" s="38">
        <f>B1106*75*3</f>
        <v>450</v>
      </c>
    </row>
    <row r="1113" spans="1:5" thickBot="1" x14ac:dyDescent="0.3">
      <c r="A1113" s="34"/>
      <c r="B1113" s="14">
        <f>IFERROR(VLOOKUP(A1113,Tabla3[],2,FALSE),0)</f>
        <v>0</v>
      </c>
      <c r="C1113" s="38"/>
      <c r="D1113" s="35" t="s">
        <v>13</v>
      </c>
      <c r="E1113" s="35">
        <f>B1106*800</f>
        <v>1600</v>
      </c>
    </row>
    <row r="1114" spans="1:5" thickBot="1" x14ac:dyDescent="0.3">
      <c r="A1114" s="34"/>
      <c r="B1114" s="14">
        <f>IFERROR(VLOOKUP(A1114,Tabla3[],2,FALSE),0)</f>
        <v>0</v>
      </c>
      <c r="C1114" s="38"/>
      <c r="D1114" s="35" t="s">
        <v>9</v>
      </c>
      <c r="E1114" s="35">
        <f>B1106*150</f>
        <v>300</v>
      </c>
    </row>
    <row r="1115" spans="1:5" thickBot="1" x14ac:dyDescent="0.3">
      <c r="A1115" s="34"/>
      <c r="B1115" s="14">
        <f>IFERROR(VLOOKUP(A1115,Tabla3[],2,FALSE),0)</f>
        <v>0</v>
      </c>
      <c r="C1115" s="38"/>
      <c r="D1115" s="35" t="s">
        <v>16</v>
      </c>
      <c r="E1115" s="35">
        <f>B1106*150</f>
        <v>300</v>
      </c>
    </row>
    <row r="1116" spans="1:5" thickBot="1" x14ac:dyDescent="0.3">
      <c r="A1116" s="34"/>
      <c r="B1116" s="14">
        <f>IFERROR(VLOOKUP(A1116,Tabla3[],2,FALSE),0)</f>
        <v>0</v>
      </c>
      <c r="C1116" s="38"/>
      <c r="D1116" s="35" t="s">
        <v>23</v>
      </c>
      <c r="E1116" s="35">
        <f>B1106*20</f>
        <v>40</v>
      </c>
    </row>
    <row r="1117" spans="1:5" thickBot="1" x14ac:dyDescent="0.3">
      <c r="A1117" s="27"/>
      <c r="B1117" s="14">
        <f>IFERROR(VLOOKUP(A1117,Tabla3[],2,FALSE),0)</f>
        <v>0</v>
      </c>
      <c r="C1117" s="41"/>
      <c r="D1117" s="28" t="s">
        <v>24</v>
      </c>
      <c r="E1117" s="28">
        <f>B1106</f>
        <v>2</v>
      </c>
    </row>
    <row r="1118" spans="1:5" thickBot="1" x14ac:dyDescent="0.3">
      <c r="A1118" s="25" t="s">
        <v>507</v>
      </c>
      <c r="B1118" s="14">
        <f>IFERROR(VLOOKUP(A1118,Tabla3[],2,FALSE),0)</f>
        <v>0</v>
      </c>
      <c r="C1118" s="26"/>
      <c r="D1118" s="26" t="s">
        <v>7</v>
      </c>
      <c r="E1118" s="26">
        <f>B1118</f>
        <v>0</v>
      </c>
    </row>
    <row r="1119" spans="1:5" thickBot="1" x14ac:dyDescent="0.3">
      <c r="A1119" s="34"/>
      <c r="B1119" s="14">
        <f>IFERROR(VLOOKUP(A1119,Tabla3[],2,FALSE),0)</f>
        <v>0</v>
      </c>
      <c r="C1119" s="35"/>
      <c r="D1119" s="35" t="s">
        <v>74</v>
      </c>
      <c r="E1119" s="35">
        <f>B1118</f>
        <v>0</v>
      </c>
    </row>
    <row r="1120" spans="1:5" thickBot="1" x14ac:dyDescent="0.3">
      <c r="A1120" s="34"/>
      <c r="B1120" s="14">
        <f>IFERROR(VLOOKUP(A1120,Tabla3[],2,FALSE),0)</f>
        <v>0</v>
      </c>
      <c r="C1120" s="35"/>
      <c r="D1120" s="35" t="s">
        <v>35</v>
      </c>
      <c r="E1120" s="35">
        <f>B1118*40</f>
        <v>0</v>
      </c>
    </row>
    <row r="1121" spans="1:5" thickBot="1" x14ac:dyDescent="0.3">
      <c r="A1121" s="34"/>
      <c r="B1121" s="14">
        <f>IFERROR(VLOOKUP(A1121,Tabla3[],2,FALSE),0)</f>
        <v>0</v>
      </c>
      <c r="C1121" s="35"/>
      <c r="D1121" s="35" t="s">
        <v>8</v>
      </c>
      <c r="E1121" s="35">
        <f>B1118</f>
        <v>0</v>
      </c>
    </row>
    <row r="1122" spans="1:5" thickBot="1" x14ac:dyDescent="0.3">
      <c r="A1122" s="34"/>
      <c r="B1122" s="14">
        <f>IFERROR(VLOOKUP(A1122,Tabla3[],2,FALSE),0)</f>
        <v>0</v>
      </c>
      <c r="C1122" s="35"/>
      <c r="D1122" s="35" t="s">
        <v>9</v>
      </c>
      <c r="E1122" s="35">
        <f>B1118*80</f>
        <v>0</v>
      </c>
    </row>
    <row r="1123" spans="1:5" thickBot="1" x14ac:dyDescent="0.3">
      <c r="A1123" s="34"/>
      <c r="B1123" s="14">
        <f>IFERROR(VLOOKUP(A1123,Tabla3[],2,FALSE),0)</f>
        <v>0</v>
      </c>
      <c r="C1123" s="35"/>
      <c r="D1123" s="35" t="s">
        <v>7</v>
      </c>
      <c r="E1123" s="35">
        <f>B1118</f>
        <v>0</v>
      </c>
    </row>
    <row r="1124" spans="1:5" thickBot="1" x14ac:dyDescent="0.3">
      <c r="A1124" s="34"/>
      <c r="B1124" s="14">
        <f>IFERROR(VLOOKUP(A1124,Tabla3[],2,FALSE),0)</f>
        <v>0</v>
      </c>
      <c r="C1124" s="35"/>
      <c r="D1124" s="35" t="s">
        <v>35</v>
      </c>
      <c r="E1124" s="35">
        <f>B1118*40</f>
        <v>0</v>
      </c>
    </row>
    <row r="1125" spans="1:5" thickBot="1" x14ac:dyDescent="0.3">
      <c r="A1125" s="34"/>
      <c r="B1125" s="14">
        <f>IFERROR(VLOOKUP(A1125,Tabla3[],2,FALSE),0)</f>
        <v>0</v>
      </c>
      <c r="C1125" s="35"/>
      <c r="D1125" s="35" t="s">
        <v>10</v>
      </c>
      <c r="E1125" s="35">
        <f>B1118</f>
        <v>0</v>
      </c>
    </row>
    <row r="1126" spans="1:5" thickBot="1" x14ac:dyDescent="0.3">
      <c r="A1126" s="34"/>
      <c r="B1126" s="14">
        <f>IFERROR(VLOOKUP(A1126,Tabla3[],2,FALSE),0)</f>
        <v>0</v>
      </c>
      <c r="C1126" s="35"/>
      <c r="D1126" s="35" t="s">
        <v>9</v>
      </c>
      <c r="E1126" s="35">
        <f>B1118*80</f>
        <v>0</v>
      </c>
    </row>
    <row r="1127" spans="1:5" thickBot="1" x14ac:dyDescent="0.3">
      <c r="A1127" s="34"/>
      <c r="B1127" s="14">
        <f>IFERROR(VLOOKUP(A1127,Tabla3[],2,FALSE),0)</f>
        <v>0</v>
      </c>
      <c r="C1127" s="35"/>
      <c r="D1127" s="35" t="s">
        <v>7</v>
      </c>
      <c r="E1127" s="35">
        <f>B1118</f>
        <v>0</v>
      </c>
    </row>
    <row r="1128" spans="1:5" thickBot="1" x14ac:dyDescent="0.3">
      <c r="A1128" s="34"/>
      <c r="B1128" s="14">
        <f>IFERROR(VLOOKUP(A1128,Tabla3[],2,FALSE),0)</f>
        <v>0</v>
      </c>
      <c r="C1128" s="35"/>
      <c r="D1128" s="35" t="s">
        <v>35</v>
      </c>
      <c r="E1128" s="35">
        <f>B1118*40</f>
        <v>0</v>
      </c>
    </row>
    <row r="1129" spans="1:5" thickBot="1" x14ac:dyDescent="0.3">
      <c r="A1129" s="34"/>
      <c r="B1129" s="14">
        <f>IFERROR(VLOOKUP(A1129,Tabla3[],2,FALSE),0)</f>
        <v>0</v>
      </c>
      <c r="C1129" s="35"/>
      <c r="D1129" s="35" t="s">
        <v>6</v>
      </c>
      <c r="E1129" s="35">
        <f>B1118</f>
        <v>0</v>
      </c>
    </row>
    <row r="1130" spans="1:5" thickBot="1" x14ac:dyDescent="0.3">
      <c r="A1130" s="34"/>
      <c r="B1130" s="14">
        <f>IFERROR(VLOOKUP(A1130,Tabla3[],2,FALSE),0)</f>
        <v>0</v>
      </c>
      <c r="C1130" s="35"/>
      <c r="D1130" s="35" t="s">
        <v>9</v>
      </c>
      <c r="E1130" s="35">
        <f>B1118*80</f>
        <v>0</v>
      </c>
    </row>
    <row r="1131" spans="1:5" thickBot="1" x14ac:dyDescent="0.3">
      <c r="A1131" s="34"/>
      <c r="B1131" s="14">
        <f>IFERROR(VLOOKUP(A1131,Tabla3[],2,FALSE),0)</f>
        <v>0</v>
      </c>
      <c r="C1131" s="35"/>
      <c r="D1131" s="35" t="s">
        <v>636</v>
      </c>
      <c r="E1131" s="35">
        <f>B1118*3</f>
        <v>0</v>
      </c>
    </row>
    <row r="1132" spans="1:5" thickBot="1" x14ac:dyDescent="0.3">
      <c r="A1132" s="34"/>
      <c r="B1132" s="14">
        <f>IFERROR(VLOOKUP(A1132,Tabla3[],2,FALSE),0)</f>
        <v>0</v>
      </c>
      <c r="C1132" s="35"/>
      <c r="D1132" s="35" t="s">
        <v>97</v>
      </c>
      <c r="E1132" s="35">
        <f>B1118*5*3</f>
        <v>0</v>
      </c>
    </row>
    <row r="1133" spans="1:5" thickBot="1" x14ac:dyDescent="0.3">
      <c r="A1133" s="34"/>
      <c r="B1133" s="14">
        <f>IFERROR(VLOOKUP(A1133,Tabla3[],2,FALSE),0)</f>
        <v>0</v>
      </c>
      <c r="C1133" s="35"/>
      <c r="D1133" s="35" t="s">
        <v>637</v>
      </c>
      <c r="E1133" s="35">
        <f>B1118*3</f>
        <v>0</v>
      </c>
    </row>
    <row r="1134" spans="1:5" thickBot="1" x14ac:dyDescent="0.3">
      <c r="A1134" s="34"/>
      <c r="B1134" s="14">
        <f>IFERROR(VLOOKUP(A1134,Tabla3[],2,FALSE),0)</f>
        <v>0</v>
      </c>
      <c r="C1134" s="35" t="s">
        <v>133</v>
      </c>
      <c r="D1134" s="35" t="s">
        <v>51</v>
      </c>
      <c r="E1134" s="35">
        <f>B1118*20*3</f>
        <v>0</v>
      </c>
    </row>
    <row r="1135" spans="1:5" thickBot="1" x14ac:dyDescent="0.3">
      <c r="A1135" s="34"/>
      <c r="B1135" s="14">
        <f>IFERROR(VLOOKUP(A1135,Tabla3[],2,FALSE),0)</f>
        <v>0</v>
      </c>
      <c r="C1135" s="35" t="s">
        <v>131</v>
      </c>
      <c r="D1135" s="35" t="s">
        <v>106</v>
      </c>
      <c r="E1135" s="35">
        <f>B1118*20*3</f>
        <v>0</v>
      </c>
    </row>
    <row r="1136" spans="1:5" thickBot="1" x14ac:dyDescent="0.3">
      <c r="A1136" s="34"/>
      <c r="B1136" s="14">
        <f>IFERROR(VLOOKUP(A1136,Tabla3[],2,FALSE),0)</f>
        <v>0</v>
      </c>
      <c r="C1136" s="35"/>
      <c r="D1136" s="35" t="s">
        <v>105</v>
      </c>
      <c r="E1136" s="35">
        <f>B1118*20*3</f>
        <v>0</v>
      </c>
    </row>
    <row r="1137" spans="1:5" thickBot="1" x14ac:dyDescent="0.3">
      <c r="A1137" s="34"/>
      <c r="B1137" s="14">
        <f>IFERROR(VLOOKUP(A1137,Tabla3[],2,FALSE),0)</f>
        <v>0</v>
      </c>
      <c r="C1137" s="35" t="s">
        <v>131</v>
      </c>
      <c r="D1137" s="35" t="s">
        <v>116</v>
      </c>
      <c r="E1137" s="35">
        <f>B1118*75*3</f>
        <v>0</v>
      </c>
    </row>
    <row r="1138" spans="1:5" thickBot="1" x14ac:dyDescent="0.3">
      <c r="A1138" s="27"/>
      <c r="B1138" s="14">
        <f>IFERROR(VLOOKUP(A1138,Tabla3[],2,FALSE),0)</f>
        <v>0</v>
      </c>
      <c r="C1138" s="28"/>
      <c r="D1138" s="28" t="s">
        <v>16</v>
      </c>
      <c r="E1138" s="28">
        <f>B1118*50</f>
        <v>0</v>
      </c>
    </row>
    <row r="1139" spans="1:5" thickBot="1" x14ac:dyDescent="0.3">
      <c r="A1139" s="18" t="s">
        <v>508</v>
      </c>
      <c r="B1139" s="14">
        <f>IFERROR(VLOOKUP(A1139,Tabla3[],2,FALSE),0)</f>
        <v>0</v>
      </c>
      <c r="C1139" s="47"/>
      <c r="D1139" s="20" t="s">
        <v>110</v>
      </c>
      <c r="E1139" s="47">
        <f>B1139</f>
        <v>0</v>
      </c>
    </row>
    <row r="1140" spans="1:5" thickBot="1" x14ac:dyDescent="0.3">
      <c r="A1140" s="72" t="s">
        <v>509</v>
      </c>
      <c r="B1140" s="14">
        <f>IFERROR(VLOOKUP(A1140,Tabla3[],2,FALSE),0)</f>
        <v>0</v>
      </c>
      <c r="C1140" s="55"/>
      <c r="D1140" s="55" t="s">
        <v>112</v>
      </c>
      <c r="E1140" s="55">
        <f>1*B1140</f>
        <v>0</v>
      </c>
    </row>
    <row r="1141" spans="1:5" thickBot="1" x14ac:dyDescent="0.3">
      <c r="A1141" s="18" t="s">
        <v>510</v>
      </c>
      <c r="B1141" s="14">
        <f>IFERROR(VLOOKUP(A1141,Tabla3[],2,FALSE),0)</f>
        <v>0</v>
      </c>
      <c r="C1141" s="47"/>
      <c r="D1141" s="20" t="s">
        <v>100</v>
      </c>
      <c r="E1141" s="47">
        <f>B1141</f>
        <v>0</v>
      </c>
    </row>
    <row r="1142" spans="1:5" thickBot="1" x14ac:dyDescent="0.3">
      <c r="A1142" s="72" t="s">
        <v>511</v>
      </c>
      <c r="B1142" s="14">
        <f>IFERROR(VLOOKUP(A1142,Tabla3[],2,FALSE),0)</f>
        <v>0</v>
      </c>
      <c r="C1142" s="55"/>
      <c r="D1142" s="54" t="s">
        <v>100</v>
      </c>
      <c r="E1142" s="55">
        <f t="shared" ref="E1142:E1152" si="31">B1142*2</f>
        <v>0</v>
      </c>
    </row>
    <row r="1143" spans="1:5" thickBot="1" x14ac:dyDescent="0.3">
      <c r="A1143" s="18" t="s">
        <v>541</v>
      </c>
      <c r="B1143" s="14">
        <f>IFERROR(VLOOKUP(A1143,Tabla3[],2,FALSE),0)</f>
        <v>0</v>
      </c>
      <c r="C1143" s="47"/>
      <c r="D1143" s="20" t="s">
        <v>60</v>
      </c>
      <c r="E1143" s="47">
        <f t="shared" si="31"/>
        <v>0</v>
      </c>
    </row>
    <row r="1144" spans="1:5" thickBot="1" x14ac:dyDescent="0.3">
      <c r="A1144" s="72" t="s">
        <v>512</v>
      </c>
      <c r="B1144" s="14">
        <f>IFERROR(VLOOKUP(A1144,Tabla3[],2,FALSE),0)</f>
        <v>2</v>
      </c>
      <c r="C1144" s="55"/>
      <c r="D1144" s="54" t="s">
        <v>312</v>
      </c>
      <c r="E1144" s="55">
        <f t="shared" si="31"/>
        <v>4</v>
      </c>
    </row>
    <row r="1145" spans="1:5" thickBot="1" x14ac:dyDescent="0.3">
      <c r="A1145" s="18" t="s">
        <v>513</v>
      </c>
      <c r="B1145" s="14">
        <f>IFERROR(VLOOKUP(A1145,Tabla3[],2,FALSE),0)</f>
        <v>0</v>
      </c>
      <c r="C1145" s="47"/>
      <c r="D1145" s="47" t="s">
        <v>126</v>
      </c>
      <c r="E1145" s="47">
        <f t="shared" si="31"/>
        <v>0</v>
      </c>
    </row>
    <row r="1146" spans="1:5" thickBot="1" x14ac:dyDescent="0.3">
      <c r="A1146" s="72" t="s">
        <v>514</v>
      </c>
      <c r="B1146" s="14">
        <f>IFERROR(VLOOKUP(A1146,Tabla3[],2,FALSE),0)</f>
        <v>1</v>
      </c>
      <c r="C1146" s="55"/>
      <c r="D1146" s="55" t="s">
        <v>313</v>
      </c>
      <c r="E1146" s="55">
        <f t="shared" si="31"/>
        <v>2</v>
      </c>
    </row>
    <row r="1147" spans="1:5" thickBot="1" x14ac:dyDescent="0.3">
      <c r="A1147" s="116" t="s">
        <v>672</v>
      </c>
      <c r="B1147" s="14">
        <f>IFERROR(VLOOKUP(A1147,Tabla3[],2,FALSE),0)</f>
        <v>0</v>
      </c>
      <c r="C1147" s="47"/>
      <c r="D1147" s="47" t="s">
        <v>97</v>
      </c>
      <c r="E1147" s="47">
        <f t="shared" si="31"/>
        <v>0</v>
      </c>
    </row>
    <row r="1148" spans="1:5" thickBot="1" x14ac:dyDescent="0.3">
      <c r="A1148" s="72" t="s">
        <v>515</v>
      </c>
      <c r="B1148" s="14">
        <f>IFERROR(VLOOKUP(A1148,Tabla3[],2,FALSE),0)</f>
        <v>0</v>
      </c>
      <c r="C1148" s="55"/>
      <c r="D1148" s="55" t="s">
        <v>63</v>
      </c>
      <c r="E1148" s="55">
        <f t="shared" si="31"/>
        <v>0</v>
      </c>
    </row>
    <row r="1149" spans="1:5" thickBot="1" x14ac:dyDescent="0.3">
      <c r="A1149" s="18" t="s">
        <v>516</v>
      </c>
      <c r="B1149" s="14">
        <f>IFERROR(VLOOKUP(A1149,Tabla3[],2,FALSE),0)</f>
        <v>0</v>
      </c>
      <c r="C1149" s="47"/>
      <c r="D1149" s="47" t="s">
        <v>120</v>
      </c>
      <c r="E1149" s="47">
        <f t="shared" si="31"/>
        <v>0</v>
      </c>
    </row>
    <row r="1150" spans="1:5" thickBot="1" x14ac:dyDescent="0.3">
      <c r="A1150" s="72" t="s">
        <v>517</v>
      </c>
      <c r="B1150" s="14">
        <f>IFERROR(VLOOKUP(A1150,Tabla3[],2,FALSE),0)</f>
        <v>0</v>
      </c>
      <c r="C1150" s="55"/>
      <c r="D1150" s="55" t="s">
        <v>61</v>
      </c>
      <c r="E1150" s="55">
        <f t="shared" si="31"/>
        <v>0</v>
      </c>
    </row>
    <row r="1151" spans="1:5" thickBot="1" x14ac:dyDescent="0.3">
      <c r="A1151" s="18" t="s">
        <v>518</v>
      </c>
      <c r="B1151" s="14">
        <f>IFERROR(VLOOKUP(A1151,Tabla3[],2,FALSE),0)</f>
        <v>1</v>
      </c>
      <c r="C1151" s="47"/>
      <c r="D1151" s="47" t="s">
        <v>65</v>
      </c>
      <c r="E1151" s="47">
        <f t="shared" si="31"/>
        <v>2</v>
      </c>
    </row>
    <row r="1152" spans="1:5" thickBot="1" x14ac:dyDescent="0.3">
      <c r="A1152" s="72" t="s">
        <v>519</v>
      </c>
      <c r="B1152" s="14">
        <f>IFERROR(VLOOKUP(A1152,Tabla3[],2,FALSE),0)</f>
        <v>0</v>
      </c>
      <c r="C1152" s="55"/>
      <c r="D1152" s="55" t="s">
        <v>56</v>
      </c>
      <c r="E1152" s="55">
        <f t="shared" si="31"/>
        <v>0</v>
      </c>
    </row>
    <row r="1153" spans="1:5" thickBot="1" x14ac:dyDescent="0.3">
      <c r="A1153" s="25" t="s">
        <v>321</v>
      </c>
      <c r="B1153" s="14">
        <f>IFERROR(VLOOKUP(A1153,Tabla3[],2,FALSE),0)</f>
        <v>36</v>
      </c>
      <c r="C1153" s="26"/>
      <c r="D1153" s="26" t="s">
        <v>637</v>
      </c>
      <c r="E1153" s="26">
        <f>B1153</f>
        <v>36</v>
      </c>
    </row>
    <row r="1154" spans="1:5" ht="16.5" thickBot="1" x14ac:dyDescent="0.3">
      <c r="A1154" s="87"/>
      <c r="B1154" s="14">
        <f>IFERROR(VLOOKUP(A1154,Tabla3[],2,FALSE),0)</f>
        <v>0</v>
      </c>
      <c r="C1154" s="35" t="s">
        <v>133</v>
      </c>
      <c r="D1154" s="35" t="s">
        <v>51</v>
      </c>
      <c r="E1154" s="35">
        <f>B1153*20</f>
        <v>720</v>
      </c>
    </row>
    <row r="1155" spans="1:5" ht="16.5" thickBot="1" x14ac:dyDescent="0.3">
      <c r="A1155" s="87"/>
      <c r="B1155" s="14">
        <f>IFERROR(VLOOKUP(A1155,Tabla3[],2,FALSE),0)</f>
        <v>0</v>
      </c>
      <c r="C1155" s="35"/>
      <c r="D1155" s="35" t="s">
        <v>636</v>
      </c>
      <c r="E1155" s="35">
        <f>B1153</f>
        <v>36</v>
      </c>
    </row>
    <row r="1156" spans="1:5" ht="16.5" thickBot="1" x14ac:dyDescent="0.3">
      <c r="A1156" s="87"/>
      <c r="B1156" s="14">
        <f>IFERROR(VLOOKUP(A1156,Tabla3[],2,FALSE),0)</f>
        <v>0</v>
      </c>
      <c r="C1156" s="35"/>
      <c r="D1156" s="35" t="s">
        <v>97</v>
      </c>
      <c r="E1156" s="35">
        <f>B1153*50</f>
        <v>1800</v>
      </c>
    </row>
    <row r="1157" spans="1:5" ht="16.5" thickBot="1" x14ac:dyDescent="0.3">
      <c r="A1157" s="87"/>
      <c r="B1157" s="14">
        <f>IFERROR(VLOOKUP(A1157,Tabla3[],2,FALSE),0)</f>
        <v>0</v>
      </c>
      <c r="C1157" s="35" t="s">
        <v>131</v>
      </c>
      <c r="D1157" s="35" t="s">
        <v>106</v>
      </c>
      <c r="E1157" s="35">
        <f>B1153*20</f>
        <v>720</v>
      </c>
    </row>
    <row r="1158" spans="1:5" ht="16.5" thickBot="1" x14ac:dyDescent="0.3">
      <c r="A1158" s="87"/>
      <c r="B1158" s="14">
        <f>IFERROR(VLOOKUP(A1158,Tabla3[],2,FALSE),0)</f>
        <v>0</v>
      </c>
      <c r="C1158" s="35" t="s">
        <v>131</v>
      </c>
      <c r="D1158" s="35" t="s">
        <v>116</v>
      </c>
      <c r="E1158" s="35">
        <f>B1153*75</f>
        <v>2700</v>
      </c>
    </row>
    <row r="1159" spans="1:5" ht="16.5" thickBot="1" x14ac:dyDescent="0.3">
      <c r="A1159" s="88"/>
      <c r="B1159" s="14">
        <f>IFERROR(VLOOKUP(A1159,Tabla3[],2,FALSE),0)</f>
        <v>0</v>
      </c>
      <c r="C1159" s="28" t="s">
        <v>131</v>
      </c>
      <c r="D1159" s="28" t="s">
        <v>108</v>
      </c>
      <c r="E1159" s="28">
        <f>B1153*75</f>
        <v>2700</v>
      </c>
    </row>
    <row r="1160" spans="1:5" thickBot="1" x14ac:dyDescent="0.3">
      <c r="A1160" s="25" t="s">
        <v>591</v>
      </c>
      <c r="B1160" s="14">
        <f>IFERROR(VLOOKUP(A1160,Tabla3[],2,FALSE),0)</f>
        <v>2</v>
      </c>
      <c r="C1160" s="26" t="s">
        <v>131</v>
      </c>
      <c r="D1160" s="26" t="s">
        <v>57</v>
      </c>
      <c r="E1160" s="26">
        <f>B1160*75</f>
        <v>150</v>
      </c>
    </row>
    <row r="1161" spans="1:5" thickBot="1" x14ac:dyDescent="0.3">
      <c r="A1161" s="34"/>
      <c r="B1161" s="14">
        <f>IFERROR(VLOOKUP(A1161,Tabla3[],2,FALSE),0)</f>
        <v>0</v>
      </c>
      <c r="C1161" s="35" t="s">
        <v>132</v>
      </c>
      <c r="D1161" s="35" t="s">
        <v>636</v>
      </c>
      <c r="E1161" s="35">
        <f>B1160*0.5</f>
        <v>1</v>
      </c>
    </row>
    <row r="1162" spans="1:5" thickBot="1" x14ac:dyDescent="0.3">
      <c r="A1162" s="34"/>
      <c r="B1162" s="14">
        <f>IFERROR(VLOOKUP(A1162,Tabla3[],2,FALSE),0)</f>
        <v>0</v>
      </c>
      <c r="C1162" s="35" t="s">
        <v>133</v>
      </c>
      <c r="D1162" s="35" t="s">
        <v>51</v>
      </c>
      <c r="E1162" s="35">
        <f>B1160*20</f>
        <v>40</v>
      </c>
    </row>
    <row r="1163" spans="1:5" thickBot="1" x14ac:dyDescent="0.3">
      <c r="A1163" s="27"/>
      <c r="B1163" s="14">
        <f>IFERROR(VLOOKUP(A1163,Tabla3[],2,FALSE),0)</f>
        <v>0</v>
      </c>
      <c r="C1163" s="28" t="s">
        <v>131</v>
      </c>
      <c r="D1163" s="28" t="s">
        <v>106</v>
      </c>
      <c r="E1163" s="28">
        <f>B1160*20</f>
        <v>40</v>
      </c>
    </row>
    <row r="1164" spans="1:5" thickBot="1" x14ac:dyDescent="0.3">
      <c r="A1164" s="25" t="s">
        <v>592</v>
      </c>
      <c r="B1164" s="14">
        <f>IFERROR(VLOOKUP(A1164,Tabla3[],2,FALSE),0)</f>
        <v>0</v>
      </c>
      <c r="C1164" s="26" t="s">
        <v>131</v>
      </c>
      <c r="D1164" s="26" t="s">
        <v>57</v>
      </c>
      <c r="E1164" s="26">
        <f>B1164*75</f>
        <v>0</v>
      </c>
    </row>
    <row r="1165" spans="1:5" thickBot="1" x14ac:dyDescent="0.3">
      <c r="A1165" s="34"/>
      <c r="B1165" s="14">
        <f>IFERROR(VLOOKUP(A1165,Tabla3[],2,FALSE),0)</f>
        <v>0</v>
      </c>
      <c r="C1165" s="35" t="s">
        <v>132</v>
      </c>
      <c r="D1165" s="35" t="s">
        <v>636</v>
      </c>
      <c r="E1165" s="35">
        <f>B1164*0.5</f>
        <v>0</v>
      </c>
    </row>
    <row r="1166" spans="1:5" thickBot="1" x14ac:dyDescent="0.3">
      <c r="A1166" s="34"/>
      <c r="B1166" s="14">
        <f>IFERROR(VLOOKUP(A1166,Tabla3[],2,FALSE),0)</f>
        <v>0</v>
      </c>
      <c r="C1166" s="35" t="s">
        <v>133</v>
      </c>
      <c r="D1166" s="35" t="s">
        <v>51</v>
      </c>
      <c r="E1166" s="35">
        <f>B1164*20</f>
        <v>0</v>
      </c>
    </row>
    <row r="1167" spans="1:5" thickBot="1" x14ac:dyDescent="0.3">
      <c r="A1167" s="34"/>
      <c r="B1167" s="14">
        <f>IFERROR(VLOOKUP(A1167,Tabla3[],2,FALSE),0)</f>
        <v>0</v>
      </c>
      <c r="C1167" s="35" t="s">
        <v>131</v>
      </c>
      <c r="D1167" s="35" t="s">
        <v>106</v>
      </c>
      <c r="E1167" s="35">
        <f>B1164*20</f>
        <v>0</v>
      </c>
    </row>
    <row r="1168" spans="1:5" thickBot="1" x14ac:dyDescent="0.3">
      <c r="A1168" s="27"/>
      <c r="B1168" s="14">
        <f>IFERROR(VLOOKUP(A1168,Tabla3[],2,FALSE),0)</f>
        <v>0</v>
      </c>
      <c r="C1168" s="41" t="s">
        <v>131</v>
      </c>
      <c r="D1168" s="28" t="s">
        <v>105</v>
      </c>
      <c r="E1168" s="41">
        <f>B1164*20</f>
        <v>0</v>
      </c>
    </row>
    <row r="1169" spans="1:5" thickBot="1" x14ac:dyDescent="0.3">
      <c r="A1169" s="25" t="s">
        <v>593</v>
      </c>
      <c r="B1169" s="14">
        <f>IFERROR(VLOOKUP(A1169,Tabla3[],2,FALSE),0)</f>
        <v>1</v>
      </c>
      <c r="C1169" s="26" t="s">
        <v>131</v>
      </c>
      <c r="D1169" s="26" t="s">
        <v>57</v>
      </c>
      <c r="E1169" s="26">
        <f>B1169*75</f>
        <v>75</v>
      </c>
    </row>
    <row r="1170" spans="1:5" thickBot="1" x14ac:dyDescent="0.3">
      <c r="A1170" s="34"/>
      <c r="B1170" s="14">
        <f>IFERROR(VLOOKUP(A1170,Tabla3[],2,FALSE),0)</f>
        <v>0</v>
      </c>
      <c r="C1170" s="35" t="s">
        <v>132</v>
      </c>
      <c r="D1170" s="35" t="s">
        <v>636</v>
      </c>
      <c r="E1170" s="35">
        <f>B1169*0.5</f>
        <v>0.5</v>
      </c>
    </row>
    <row r="1171" spans="1:5" thickBot="1" x14ac:dyDescent="0.3">
      <c r="A1171" s="34"/>
      <c r="B1171" s="14">
        <f>IFERROR(VLOOKUP(A1171,Tabla3[],2,FALSE),0)</f>
        <v>0</v>
      </c>
      <c r="C1171" s="35" t="s">
        <v>133</v>
      </c>
      <c r="D1171" s="35" t="s">
        <v>51</v>
      </c>
      <c r="E1171" s="35">
        <f>B1169*20</f>
        <v>20</v>
      </c>
    </row>
    <row r="1172" spans="1:5" thickBot="1" x14ac:dyDescent="0.3">
      <c r="A1172" s="34"/>
      <c r="B1172" s="14">
        <f>IFERROR(VLOOKUP(A1172,Tabla3[],2,FALSE),0)</f>
        <v>0</v>
      </c>
      <c r="C1172" s="35" t="s">
        <v>131</v>
      </c>
      <c r="D1172" s="35" t="s">
        <v>106</v>
      </c>
      <c r="E1172" s="35">
        <f>B1169*20</f>
        <v>20</v>
      </c>
    </row>
    <row r="1173" spans="1:5" thickBot="1" x14ac:dyDescent="0.3">
      <c r="A1173" s="27"/>
      <c r="B1173" s="14">
        <f>IFERROR(VLOOKUP(A1173,Tabla3[],2,FALSE),0)</f>
        <v>0</v>
      </c>
      <c r="C1173" s="41" t="s">
        <v>131</v>
      </c>
      <c r="D1173" s="28" t="s">
        <v>582</v>
      </c>
      <c r="E1173" s="41">
        <f>B1169*20</f>
        <v>20</v>
      </c>
    </row>
    <row r="1174" spans="1:5" thickBot="1" x14ac:dyDescent="0.3">
      <c r="A1174" s="80" t="s">
        <v>594</v>
      </c>
      <c r="B1174" s="14">
        <f>IFERROR(VLOOKUP(A1174,Tabla3[],2,FALSE),0)</f>
        <v>0</v>
      </c>
      <c r="C1174" s="31" t="s">
        <v>131</v>
      </c>
      <c r="D1174" s="31" t="s">
        <v>57</v>
      </c>
      <c r="E1174" s="31">
        <f>B1174*75</f>
        <v>0</v>
      </c>
    </row>
    <row r="1175" spans="1:5" thickBot="1" x14ac:dyDescent="0.3">
      <c r="A1175" s="81"/>
      <c r="B1175" s="14">
        <f>IFERROR(VLOOKUP(A1175,Tabla3[],2,FALSE),0)</f>
        <v>0</v>
      </c>
      <c r="C1175" s="35" t="s">
        <v>132</v>
      </c>
      <c r="D1175" s="35" t="s">
        <v>636</v>
      </c>
      <c r="E1175" s="35">
        <f>B1174*0.5</f>
        <v>0</v>
      </c>
    </row>
    <row r="1176" spans="1:5" thickBot="1" x14ac:dyDescent="0.3">
      <c r="A1176" s="81"/>
      <c r="B1176" s="14">
        <f>IFERROR(VLOOKUP(A1176,Tabla3[],2,FALSE),0)</f>
        <v>0</v>
      </c>
      <c r="C1176" s="35" t="s">
        <v>133</v>
      </c>
      <c r="D1176" s="35" t="s">
        <v>51</v>
      </c>
      <c r="E1176" s="35">
        <f>B1174*20</f>
        <v>0</v>
      </c>
    </row>
    <row r="1177" spans="1:5" thickBot="1" x14ac:dyDescent="0.3">
      <c r="A1177" s="81"/>
      <c r="B1177" s="14">
        <f>IFERROR(VLOOKUP(A1177,Tabla3[],2,FALSE),0)</f>
        <v>0</v>
      </c>
      <c r="C1177" s="35" t="s">
        <v>131</v>
      </c>
      <c r="D1177" s="35" t="s">
        <v>106</v>
      </c>
      <c r="E1177" s="35">
        <f>B1174*20</f>
        <v>0</v>
      </c>
    </row>
    <row r="1178" spans="1:5" thickBot="1" x14ac:dyDescent="0.3">
      <c r="A1178" s="82"/>
      <c r="B1178" s="14">
        <f>IFERROR(VLOOKUP(A1178,Tabla3[],2,FALSE),0)</f>
        <v>0</v>
      </c>
      <c r="C1178" s="39" t="s">
        <v>131</v>
      </c>
      <c r="D1178" s="33" t="s">
        <v>107</v>
      </c>
      <c r="E1178" s="39">
        <f>B1174*20</f>
        <v>0</v>
      </c>
    </row>
    <row r="1179" spans="1:5" thickBot="1" x14ac:dyDescent="0.3">
      <c r="A1179" s="25" t="s">
        <v>595</v>
      </c>
      <c r="B1179" s="14">
        <f>IFERROR(VLOOKUP(A1179,Tabla3[],2,FALSE),0)</f>
        <v>0</v>
      </c>
      <c r="C1179" s="26" t="s">
        <v>131</v>
      </c>
      <c r="D1179" s="26" t="s">
        <v>104</v>
      </c>
      <c r="E1179" s="26">
        <f>B1179*30</f>
        <v>0</v>
      </c>
    </row>
    <row r="1180" spans="1:5" thickBot="1" x14ac:dyDescent="0.3">
      <c r="A1180" s="34"/>
      <c r="B1180" s="14">
        <f>IFERROR(VLOOKUP(A1180,Tabla3[],2,FALSE),0)</f>
        <v>0</v>
      </c>
      <c r="C1180" s="35" t="s">
        <v>131</v>
      </c>
      <c r="D1180" s="35" t="s">
        <v>129</v>
      </c>
      <c r="E1180" s="35">
        <f>B1179*75</f>
        <v>0</v>
      </c>
    </row>
    <row r="1181" spans="1:5" thickBot="1" x14ac:dyDescent="0.3">
      <c r="A1181" s="34"/>
      <c r="B1181" s="14">
        <f>IFERROR(VLOOKUP(A1181,Tabla3[],2,FALSE),0)</f>
        <v>0</v>
      </c>
      <c r="C1181" s="35" t="s">
        <v>131</v>
      </c>
      <c r="D1181" s="35" t="s">
        <v>128</v>
      </c>
      <c r="E1181" s="35">
        <f>B1179*20</f>
        <v>0</v>
      </c>
    </row>
    <row r="1182" spans="1:5" thickBot="1" x14ac:dyDescent="0.3">
      <c r="A1182" s="34"/>
      <c r="B1182" s="14">
        <f>IFERROR(VLOOKUP(A1182,Tabla3[],2,FALSE),0)</f>
        <v>0</v>
      </c>
      <c r="C1182" s="35" t="s">
        <v>131</v>
      </c>
      <c r="D1182" s="35" t="s">
        <v>106</v>
      </c>
      <c r="E1182" s="35">
        <f>B1179*20</f>
        <v>0</v>
      </c>
    </row>
    <row r="1183" spans="1:5" thickBot="1" x14ac:dyDescent="0.3">
      <c r="A1183" s="27"/>
      <c r="B1183" s="14">
        <f>IFERROR(VLOOKUP(A1183,Tabla3[],2,FALSE),0)</f>
        <v>0</v>
      </c>
      <c r="C1183" s="28" t="s">
        <v>133</v>
      </c>
      <c r="D1183" s="28" t="s">
        <v>51</v>
      </c>
      <c r="E1183" s="28">
        <f>B1179*20</f>
        <v>0</v>
      </c>
    </row>
    <row r="1184" spans="1:5" thickBot="1" x14ac:dyDescent="0.3">
      <c r="A1184" s="25" t="s">
        <v>596</v>
      </c>
      <c r="B1184" s="14">
        <f>IFERROR(VLOOKUP(A1184,Tabla3[],2,FALSE),0)</f>
        <v>4</v>
      </c>
      <c r="C1184" s="26" t="s">
        <v>131</v>
      </c>
      <c r="D1184" s="26" t="s">
        <v>116</v>
      </c>
      <c r="E1184" s="26">
        <f>B1184*75</f>
        <v>300</v>
      </c>
    </row>
    <row r="1185" spans="1:5" thickBot="1" x14ac:dyDescent="0.3">
      <c r="A1185" s="34"/>
      <c r="B1185" s="14">
        <f>IFERROR(VLOOKUP(A1185,Tabla3[],2,FALSE),0)</f>
        <v>0</v>
      </c>
      <c r="C1185" s="35" t="s">
        <v>131</v>
      </c>
      <c r="D1185" s="35" t="s">
        <v>106</v>
      </c>
      <c r="E1185" s="35">
        <f>B1184*20</f>
        <v>80</v>
      </c>
    </row>
    <row r="1186" spans="1:5" thickBot="1" x14ac:dyDescent="0.3">
      <c r="A1186" s="34"/>
      <c r="B1186" s="14">
        <f>IFERROR(VLOOKUP(A1186,Tabla3[],2,FALSE),0)</f>
        <v>0</v>
      </c>
      <c r="C1186" s="35" t="s">
        <v>133</v>
      </c>
      <c r="D1186" s="35" t="s">
        <v>51</v>
      </c>
      <c r="E1186" s="35">
        <f>B1184*40</f>
        <v>160</v>
      </c>
    </row>
    <row r="1187" spans="1:5" thickBot="1" x14ac:dyDescent="0.3">
      <c r="A1187" s="34"/>
      <c r="B1187" s="14">
        <f>IFERROR(VLOOKUP(A1187,Tabla3[],2,FALSE),0)</f>
        <v>0</v>
      </c>
      <c r="C1187" s="35" t="s">
        <v>131</v>
      </c>
      <c r="D1187" s="35" t="s">
        <v>128</v>
      </c>
      <c r="E1187" s="35">
        <f>B1184*10</f>
        <v>40</v>
      </c>
    </row>
    <row r="1188" spans="1:5" thickBot="1" x14ac:dyDescent="0.3">
      <c r="A1188" s="27"/>
      <c r="B1188" s="14">
        <f>IFERROR(VLOOKUP(A1188,Tabla3[],2,FALSE),0)</f>
        <v>0</v>
      </c>
      <c r="C1188" s="28" t="s">
        <v>133</v>
      </c>
      <c r="D1188" s="28" t="s">
        <v>105</v>
      </c>
      <c r="E1188" s="28">
        <f>B1184*150</f>
        <v>600</v>
      </c>
    </row>
    <row r="1189" spans="1:5" thickBot="1" x14ac:dyDescent="0.3">
      <c r="A1189" s="80" t="s">
        <v>597</v>
      </c>
      <c r="B1189" s="14">
        <f>IFERROR(VLOOKUP(A1189,Tabla3[],2,FALSE),0)</f>
        <v>7</v>
      </c>
      <c r="C1189" s="31" t="s">
        <v>131</v>
      </c>
      <c r="D1189" s="31" t="s">
        <v>116</v>
      </c>
      <c r="E1189" s="31">
        <f>B1189*75</f>
        <v>525</v>
      </c>
    </row>
    <row r="1190" spans="1:5" thickBot="1" x14ac:dyDescent="0.3">
      <c r="A1190" s="81"/>
      <c r="B1190" s="14">
        <f>IFERROR(VLOOKUP(A1190,Tabla3[],2,FALSE),0)</f>
        <v>0</v>
      </c>
      <c r="C1190" s="35" t="s">
        <v>131</v>
      </c>
      <c r="D1190" s="35" t="s">
        <v>106</v>
      </c>
      <c r="E1190" s="35">
        <f>B1189*20</f>
        <v>140</v>
      </c>
    </row>
    <row r="1191" spans="1:5" thickBot="1" x14ac:dyDescent="0.3">
      <c r="A1191" s="81"/>
      <c r="B1191" s="14">
        <f>IFERROR(VLOOKUP(A1191,Tabla3[],2,FALSE),0)</f>
        <v>0</v>
      </c>
      <c r="C1191" s="35" t="s">
        <v>133</v>
      </c>
      <c r="D1191" s="35" t="s">
        <v>51</v>
      </c>
      <c r="E1191" s="35">
        <f>B1189*40</f>
        <v>280</v>
      </c>
    </row>
    <row r="1192" spans="1:5" thickBot="1" x14ac:dyDescent="0.3">
      <c r="A1192" s="81"/>
      <c r="B1192" s="14">
        <f>IFERROR(VLOOKUP(A1192,Tabla3[],2,FALSE),0)</f>
        <v>0</v>
      </c>
      <c r="C1192" s="35" t="s">
        <v>131</v>
      </c>
      <c r="D1192" s="35" t="s">
        <v>128</v>
      </c>
      <c r="E1192" s="35">
        <f>B1189*10</f>
        <v>70</v>
      </c>
    </row>
    <row r="1193" spans="1:5" thickBot="1" x14ac:dyDescent="0.3">
      <c r="A1193" s="82"/>
      <c r="B1193" s="14">
        <f>IFERROR(VLOOKUP(A1193,Tabla3[],2,FALSE),0)</f>
        <v>0</v>
      </c>
      <c r="C1193" s="33" t="s">
        <v>133</v>
      </c>
      <c r="D1193" s="33" t="s">
        <v>582</v>
      </c>
      <c r="E1193" s="33">
        <f>B1189*150</f>
        <v>1050</v>
      </c>
    </row>
    <row r="1194" spans="1:5" thickBot="1" x14ac:dyDescent="0.3">
      <c r="A1194" s="25" t="s">
        <v>598</v>
      </c>
      <c r="B1194" s="14">
        <f>IFERROR(VLOOKUP(A1194,Tabla3[],2,FALSE),0)</f>
        <v>3</v>
      </c>
      <c r="C1194" s="26" t="s">
        <v>131</v>
      </c>
      <c r="D1194" s="26" t="s">
        <v>116</v>
      </c>
      <c r="E1194" s="26">
        <f>B1194*75</f>
        <v>225</v>
      </c>
    </row>
    <row r="1195" spans="1:5" thickBot="1" x14ac:dyDescent="0.3">
      <c r="A1195" s="34"/>
      <c r="B1195" s="14">
        <f>IFERROR(VLOOKUP(A1195,Tabla3[],2,FALSE),0)</f>
        <v>0</v>
      </c>
      <c r="C1195" s="35" t="s">
        <v>131</v>
      </c>
      <c r="D1195" s="35" t="s">
        <v>106</v>
      </c>
      <c r="E1195" s="35">
        <f>B1194*20</f>
        <v>60</v>
      </c>
    </row>
    <row r="1196" spans="1:5" thickBot="1" x14ac:dyDescent="0.3">
      <c r="A1196" s="34"/>
      <c r="B1196" s="14">
        <f>IFERROR(VLOOKUP(A1196,Tabla3[],2,FALSE),0)</f>
        <v>0</v>
      </c>
      <c r="C1196" s="35" t="s">
        <v>133</v>
      </c>
      <c r="D1196" s="35" t="s">
        <v>51</v>
      </c>
      <c r="E1196" s="35">
        <f>B1194*40</f>
        <v>120</v>
      </c>
    </row>
    <row r="1197" spans="1:5" thickBot="1" x14ac:dyDescent="0.3">
      <c r="A1197" s="34"/>
      <c r="B1197" s="14">
        <f>IFERROR(VLOOKUP(A1197,Tabla3[],2,FALSE),0)</f>
        <v>0</v>
      </c>
      <c r="C1197" s="35" t="s">
        <v>131</v>
      </c>
      <c r="D1197" s="35" t="s">
        <v>128</v>
      </c>
      <c r="E1197" s="35">
        <f>B1194*10</f>
        <v>30</v>
      </c>
    </row>
    <row r="1198" spans="1:5" thickBot="1" x14ac:dyDescent="0.3">
      <c r="A1198" s="27"/>
      <c r="B1198" s="14">
        <f>IFERROR(VLOOKUP(A1198,Tabla3[],2,FALSE),0)</f>
        <v>0</v>
      </c>
      <c r="C1198" s="28" t="s">
        <v>133</v>
      </c>
      <c r="D1198" s="28" t="s">
        <v>107</v>
      </c>
      <c r="E1198" s="28">
        <f>B1194*150</f>
        <v>450</v>
      </c>
    </row>
    <row r="1199" spans="1:5" thickBot="1" x14ac:dyDescent="0.3">
      <c r="A1199" s="25" t="s">
        <v>599</v>
      </c>
      <c r="B1199" s="14">
        <f>IFERROR(VLOOKUP(A1199,Tabla3[],2,FALSE),0)</f>
        <v>4</v>
      </c>
      <c r="C1199" s="26" t="s">
        <v>131</v>
      </c>
      <c r="D1199" s="26" t="s">
        <v>123</v>
      </c>
      <c r="E1199" s="26">
        <f>B1199*75</f>
        <v>300</v>
      </c>
    </row>
    <row r="1200" spans="1:5" thickBot="1" x14ac:dyDescent="0.3">
      <c r="A1200" s="34"/>
      <c r="B1200" s="14">
        <f>IFERROR(VLOOKUP(A1200,Tabla3[],2,FALSE),0)</f>
        <v>0</v>
      </c>
      <c r="C1200" s="35" t="s">
        <v>131</v>
      </c>
      <c r="D1200" s="35" t="s">
        <v>106</v>
      </c>
      <c r="E1200" s="35">
        <f>B1199*50</f>
        <v>200</v>
      </c>
    </row>
    <row r="1201" spans="1:5" thickBot="1" x14ac:dyDescent="0.3">
      <c r="A1201" s="34"/>
      <c r="B1201" s="14">
        <f>IFERROR(VLOOKUP(A1201,Tabla3[],2,FALSE),0)</f>
        <v>0</v>
      </c>
      <c r="C1201" s="35" t="s">
        <v>131</v>
      </c>
      <c r="D1201" s="35" t="s">
        <v>128</v>
      </c>
      <c r="E1201" s="35">
        <f>B1199*10</f>
        <v>40</v>
      </c>
    </row>
    <row r="1202" spans="1:5" thickBot="1" x14ac:dyDescent="0.3">
      <c r="A1202" s="27"/>
      <c r="B1202" s="14">
        <f>IFERROR(VLOOKUP(A1202,Tabla3[],2,FALSE),0)</f>
        <v>0</v>
      </c>
      <c r="C1202" s="28" t="s">
        <v>133</v>
      </c>
      <c r="D1202" s="28" t="s">
        <v>51</v>
      </c>
      <c r="E1202" s="28">
        <f>B1199*40</f>
        <v>160</v>
      </c>
    </row>
    <row r="1203" spans="1:5" thickBot="1" x14ac:dyDescent="0.3">
      <c r="A1203" s="25" t="s">
        <v>600</v>
      </c>
      <c r="B1203" s="14">
        <f>IFERROR(VLOOKUP(A1203,Tabla3[],2,FALSE),0)</f>
        <v>2</v>
      </c>
      <c r="C1203" s="26" t="s">
        <v>131</v>
      </c>
      <c r="D1203" s="26" t="s">
        <v>123</v>
      </c>
      <c r="E1203" s="26">
        <f>B1203*75</f>
        <v>150</v>
      </c>
    </row>
    <row r="1204" spans="1:5" thickBot="1" x14ac:dyDescent="0.3">
      <c r="A1204" s="34"/>
      <c r="B1204" s="14">
        <f>IFERROR(VLOOKUP(A1204,Tabla3[],2,FALSE),0)</f>
        <v>0</v>
      </c>
      <c r="C1204" s="35" t="s">
        <v>131</v>
      </c>
      <c r="D1204" s="35" t="s">
        <v>106</v>
      </c>
      <c r="E1204" s="35">
        <f>B1203*30</f>
        <v>60</v>
      </c>
    </row>
    <row r="1205" spans="1:5" thickBot="1" x14ac:dyDescent="0.3">
      <c r="A1205" s="34"/>
      <c r="B1205" s="14">
        <f>IFERROR(VLOOKUP(A1205,Tabla3[],2,FALSE),0)</f>
        <v>0</v>
      </c>
      <c r="C1205" s="35" t="s">
        <v>131</v>
      </c>
      <c r="D1205" s="35" t="s">
        <v>128</v>
      </c>
      <c r="E1205" s="35">
        <f>B1203*10</f>
        <v>20</v>
      </c>
    </row>
    <row r="1206" spans="1:5" thickBot="1" x14ac:dyDescent="0.3">
      <c r="A1206" s="34"/>
      <c r="B1206" s="14">
        <f>IFERROR(VLOOKUP(A1206,Tabla3[],2,FALSE),0)</f>
        <v>0</v>
      </c>
      <c r="C1206" s="35" t="s">
        <v>133</v>
      </c>
      <c r="D1206" s="35" t="s">
        <v>51</v>
      </c>
      <c r="E1206" s="35">
        <f>B1203*40</f>
        <v>80</v>
      </c>
    </row>
    <row r="1207" spans="1:5" thickBot="1" x14ac:dyDescent="0.3">
      <c r="A1207" s="27"/>
      <c r="B1207" s="14">
        <f>IFERROR(VLOOKUP(A1207,Tabla3[],2,FALSE),0)</f>
        <v>0</v>
      </c>
      <c r="C1207" s="41"/>
      <c r="D1207" s="28" t="s">
        <v>67</v>
      </c>
      <c r="E1207" s="41">
        <f>B1203*30</f>
        <v>60</v>
      </c>
    </row>
    <row r="1208" spans="1:5" thickBot="1" x14ac:dyDescent="0.3">
      <c r="A1208" s="25" t="s">
        <v>601</v>
      </c>
      <c r="B1208" s="14">
        <f>IFERROR(VLOOKUP(A1208,Tabla3[],2,FALSE),0)</f>
        <v>1</v>
      </c>
      <c r="C1208" s="26" t="s">
        <v>131</v>
      </c>
      <c r="D1208" s="26" t="s">
        <v>123</v>
      </c>
      <c r="E1208" s="26">
        <f>B1208*75</f>
        <v>75</v>
      </c>
    </row>
    <row r="1209" spans="1:5" thickBot="1" x14ac:dyDescent="0.3">
      <c r="A1209" s="34"/>
      <c r="B1209" s="14">
        <f>IFERROR(VLOOKUP(A1209,Tabla3[],2,FALSE),0)</f>
        <v>0</v>
      </c>
      <c r="C1209" s="35" t="s">
        <v>131</v>
      </c>
      <c r="D1209" s="35" t="s">
        <v>106</v>
      </c>
      <c r="E1209" s="35">
        <f>B1208*30</f>
        <v>30</v>
      </c>
    </row>
    <row r="1210" spans="1:5" thickBot="1" x14ac:dyDescent="0.3">
      <c r="A1210" s="34"/>
      <c r="B1210" s="14">
        <f>IFERROR(VLOOKUP(A1210,Tabla3[],2,FALSE),0)</f>
        <v>0</v>
      </c>
      <c r="C1210" s="35" t="s">
        <v>131</v>
      </c>
      <c r="D1210" s="35" t="s">
        <v>128</v>
      </c>
      <c r="E1210" s="35">
        <f>B1208*10</f>
        <v>10</v>
      </c>
    </row>
    <row r="1211" spans="1:5" thickBot="1" x14ac:dyDescent="0.3">
      <c r="A1211" s="34"/>
      <c r="B1211" s="14">
        <f>IFERROR(VLOOKUP(A1211,Tabla3[],2,FALSE),0)</f>
        <v>0</v>
      </c>
      <c r="C1211" s="35" t="s">
        <v>133</v>
      </c>
      <c r="D1211" s="35" t="s">
        <v>51</v>
      </c>
      <c r="E1211" s="35">
        <f>B1208*40</f>
        <v>40</v>
      </c>
    </row>
    <row r="1212" spans="1:5" thickBot="1" x14ac:dyDescent="0.3">
      <c r="A1212" s="27"/>
      <c r="B1212" s="14">
        <f>IFERROR(VLOOKUP(A1212,Tabla3[],2,FALSE),0)</f>
        <v>0</v>
      </c>
      <c r="C1212" s="41"/>
      <c r="D1212" s="28" t="s">
        <v>105</v>
      </c>
      <c r="E1212" s="41">
        <f>B1208*30</f>
        <v>30</v>
      </c>
    </row>
    <row r="1213" spans="1:5" thickBot="1" x14ac:dyDescent="0.3">
      <c r="A1213" s="80" t="s">
        <v>602</v>
      </c>
      <c r="B1213" s="14">
        <f>IFERROR(VLOOKUP(A1213,Tabla3[],2,FALSE),0)</f>
        <v>0</v>
      </c>
      <c r="C1213" s="86"/>
      <c r="D1213" s="86" t="s">
        <v>123</v>
      </c>
      <c r="E1213" s="86">
        <f>75*B1213</f>
        <v>0</v>
      </c>
    </row>
    <row r="1214" spans="1:5" thickBot="1" x14ac:dyDescent="0.3">
      <c r="A1214" s="81"/>
      <c r="B1214" s="14">
        <f>IFERROR(VLOOKUP(A1214,Tabla3[],2,FALSE),0)</f>
        <v>0</v>
      </c>
      <c r="C1214" s="38"/>
      <c r="D1214" s="38" t="s">
        <v>106</v>
      </c>
      <c r="E1214" s="38">
        <f>30*B1213</f>
        <v>0</v>
      </c>
    </row>
    <row r="1215" spans="1:5" thickBot="1" x14ac:dyDescent="0.3">
      <c r="A1215" s="81"/>
      <c r="B1215" s="14">
        <f>IFERROR(VLOOKUP(A1215,Tabla3[],2,FALSE),0)</f>
        <v>0</v>
      </c>
      <c r="C1215" s="38"/>
      <c r="D1215" s="38" t="s">
        <v>128</v>
      </c>
      <c r="E1215" s="38">
        <f>10*B1213</f>
        <v>0</v>
      </c>
    </row>
    <row r="1216" spans="1:5" thickBot="1" x14ac:dyDescent="0.3">
      <c r="A1216" s="81"/>
      <c r="B1216" s="14">
        <f>IFERROR(VLOOKUP(A1216,Tabla3[],2,FALSE),0)</f>
        <v>0</v>
      </c>
      <c r="C1216" s="38"/>
      <c r="D1216" s="38" t="s">
        <v>51</v>
      </c>
      <c r="E1216" s="38">
        <f>10*B1213</f>
        <v>0</v>
      </c>
    </row>
    <row r="1217" spans="1:5" thickBot="1" x14ac:dyDescent="0.3">
      <c r="A1217" s="82"/>
      <c r="B1217" s="14">
        <f>IFERROR(VLOOKUP(A1217,Tabla3[],2,FALSE),0)</f>
        <v>0</v>
      </c>
      <c r="C1217" s="39"/>
      <c r="D1217" s="39" t="s">
        <v>582</v>
      </c>
      <c r="E1217" s="39">
        <f>30*B1213</f>
        <v>0</v>
      </c>
    </row>
    <row r="1218" spans="1:5" thickBot="1" x14ac:dyDescent="0.3">
      <c r="A1218" s="25" t="s">
        <v>317</v>
      </c>
      <c r="B1218" s="14">
        <f>IFERROR(VLOOKUP(A1218,Tabla3[],2,FALSE),0)</f>
        <v>5</v>
      </c>
      <c r="C1218" s="26"/>
      <c r="D1218" s="26" t="s">
        <v>637</v>
      </c>
      <c r="E1218" s="26">
        <f>B1218</f>
        <v>5</v>
      </c>
    </row>
    <row r="1219" spans="1:5" thickBot="1" x14ac:dyDescent="0.3">
      <c r="A1219" s="34"/>
      <c r="B1219" s="14">
        <f>IFERROR(VLOOKUP(A1219,Tabla3[],2,FALSE),0)</f>
        <v>0</v>
      </c>
      <c r="C1219" s="35" t="s">
        <v>133</v>
      </c>
      <c r="D1219" s="35" t="s">
        <v>51</v>
      </c>
      <c r="E1219" s="35">
        <f>B1218*20</f>
        <v>100</v>
      </c>
    </row>
    <row r="1220" spans="1:5" thickBot="1" x14ac:dyDescent="0.3">
      <c r="A1220" s="34"/>
      <c r="B1220" s="14">
        <f>IFERROR(VLOOKUP(A1220,Tabla3[],2,FALSE),0)</f>
        <v>0</v>
      </c>
      <c r="C1220" s="35" t="s">
        <v>131</v>
      </c>
      <c r="D1220" s="35" t="s">
        <v>106</v>
      </c>
      <c r="E1220" s="35">
        <f>B1218*20</f>
        <v>100</v>
      </c>
    </row>
    <row r="1221" spans="1:5" thickBot="1" x14ac:dyDescent="0.3">
      <c r="A1221" s="34"/>
      <c r="B1221" s="14">
        <f>IFERROR(VLOOKUP(A1221,Tabla3[],2,FALSE),0)</f>
        <v>0</v>
      </c>
      <c r="C1221" s="35"/>
      <c r="D1221" s="35" t="s">
        <v>636</v>
      </c>
      <c r="E1221" s="35">
        <f>B1218</f>
        <v>5</v>
      </c>
    </row>
    <row r="1222" spans="1:5" thickBot="1" x14ac:dyDescent="0.3">
      <c r="A1222" s="34"/>
      <c r="B1222" s="14">
        <f>IFERROR(VLOOKUP(A1222,Tabla3[],2,FALSE),0)</f>
        <v>0</v>
      </c>
      <c r="C1222" s="35"/>
      <c r="D1222" s="38" t="s">
        <v>97</v>
      </c>
      <c r="E1222" s="35">
        <f>B1218*50</f>
        <v>250</v>
      </c>
    </row>
    <row r="1223" spans="1:5" thickBot="1" x14ac:dyDescent="0.3">
      <c r="A1223" s="27"/>
      <c r="B1223" s="14">
        <f>IFERROR(VLOOKUP(A1223,Tabla3[],2,FALSE),0)</f>
        <v>0</v>
      </c>
      <c r="C1223" s="28" t="s">
        <v>131</v>
      </c>
      <c r="D1223" s="28" t="s">
        <v>116</v>
      </c>
      <c r="E1223" s="28">
        <f>B1218*75</f>
        <v>375</v>
      </c>
    </row>
    <row r="1224" spans="1:5" thickBot="1" x14ac:dyDescent="0.3">
      <c r="A1224" s="25" t="s">
        <v>552</v>
      </c>
      <c r="B1224" s="14">
        <f>IFERROR(VLOOKUP(A1224,Tabla3[],2,FALSE),0)</f>
        <v>7</v>
      </c>
      <c r="C1224" s="26"/>
      <c r="D1224" s="26" t="s">
        <v>637</v>
      </c>
      <c r="E1224" s="26">
        <f>B1224</f>
        <v>7</v>
      </c>
    </row>
    <row r="1225" spans="1:5" thickBot="1" x14ac:dyDescent="0.3">
      <c r="A1225" s="34"/>
      <c r="B1225" s="14">
        <f>IFERROR(VLOOKUP(A1225,Tabla3[],2,FALSE),0)</f>
        <v>0</v>
      </c>
      <c r="C1225" s="35"/>
      <c r="D1225" s="35" t="s">
        <v>636</v>
      </c>
      <c r="E1225" s="35">
        <f>B1224</f>
        <v>7</v>
      </c>
    </row>
    <row r="1226" spans="1:5" thickBot="1" x14ac:dyDescent="0.3">
      <c r="A1226" s="34"/>
      <c r="B1226" s="14">
        <f>IFERROR(VLOOKUP(A1226,Tabla3[],2,FALSE),0)</f>
        <v>0</v>
      </c>
      <c r="C1226" s="35"/>
      <c r="D1226" s="35" t="s">
        <v>97</v>
      </c>
      <c r="E1226" s="35">
        <f>B1224*50</f>
        <v>350</v>
      </c>
    </row>
    <row r="1227" spans="1:5" thickBot="1" x14ac:dyDescent="0.3">
      <c r="A1227" s="34"/>
      <c r="B1227" s="14">
        <f>IFERROR(VLOOKUP(A1227,Tabla3[],2,FALSE),0)</f>
        <v>0</v>
      </c>
      <c r="C1227" s="35" t="s">
        <v>133</v>
      </c>
      <c r="D1227" s="35" t="s">
        <v>51</v>
      </c>
      <c r="E1227" s="35">
        <f>B1224*20</f>
        <v>140</v>
      </c>
    </row>
    <row r="1228" spans="1:5" thickBot="1" x14ac:dyDescent="0.3">
      <c r="A1228" s="34"/>
      <c r="B1228" s="14">
        <f>IFERROR(VLOOKUP(A1228,Tabla3[],2,FALSE),0)</f>
        <v>0</v>
      </c>
      <c r="C1228" s="35" t="s">
        <v>131</v>
      </c>
      <c r="D1228" s="35" t="s">
        <v>106</v>
      </c>
      <c r="E1228" s="35">
        <f>B1224*20</f>
        <v>140</v>
      </c>
    </row>
    <row r="1229" spans="1:5" thickBot="1" x14ac:dyDescent="0.3">
      <c r="A1229" s="34"/>
      <c r="B1229" s="14">
        <f>IFERROR(VLOOKUP(A1229,Tabla3[],2,FALSE),0)</f>
        <v>0</v>
      </c>
      <c r="C1229" s="35" t="s">
        <v>131</v>
      </c>
      <c r="D1229" s="35" t="s">
        <v>116</v>
      </c>
      <c r="E1229" s="35">
        <f>B1224*75</f>
        <v>525</v>
      </c>
    </row>
    <row r="1230" spans="1:5" thickBot="1" x14ac:dyDescent="0.3">
      <c r="A1230" s="27"/>
      <c r="B1230" s="14">
        <f>IFERROR(VLOOKUP(A1230,Tabla3[],2,FALSE),0)</f>
        <v>0</v>
      </c>
      <c r="C1230" s="28" t="s">
        <v>132</v>
      </c>
      <c r="D1230" s="28" t="s">
        <v>65</v>
      </c>
      <c r="E1230" s="41">
        <f>B1224</f>
        <v>7</v>
      </c>
    </row>
    <row r="1231" spans="1:5" thickBot="1" x14ac:dyDescent="0.3">
      <c r="A1231" s="25" t="s">
        <v>318</v>
      </c>
      <c r="B1231" s="14">
        <f>IFERROR(VLOOKUP(A1231,Tabla3[],2,FALSE),0)</f>
        <v>9</v>
      </c>
      <c r="C1231" s="26"/>
      <c r="D1231" s="26" t="s">
        <v>637</v>
      </c>
      <c r="E1231" s="26">
        <f>B1231</f>
        <v>9</v>
      </c>
    </row>
    <row r="1232" spans="1:5" thickBot="1" x14ac:dyDescent="0.3">
      <c r="A1232" s="34"/>
      <c r="B1232" s="14">
        <f>IFERROR(VLOOKUP(A1232,Tabla3[],2,FALSE),0)</f>
        <v>0</v>
      </c>
      <c r="C1232" s="35" t="s">
        <v>133</v>
      </c>
      <c r="D1232" s="35" t="s">
        <v>51</v>
      </c>
      <c r="E1232" s="35">
        <f>B1231*20</f>
        <v>180</v>
      </c>
    </row>
    <row r="1233" spans="1:5" thickBot="1" x14ac:dyDescent="0.3">
      <c r="A1233" s="34"/>
      <c r="B1233" s="14">
        <f>IFERROR(VLOOKUP(A1233,Tabla3[],2,FALSE),0)</f>
        <v>0</v>
      </c>
      <c r="C1233" s="35"/>
      <c r="D1233" s="35" t="s">
        <v>636</v>
      </c>
      <c r="E1233" s="35">
        <f>B1231</f>
        <v>9</v>
      </c>
    </row>
    <row r="1234" spans="1:5" thickBot="1" x14ac:dyDescent="0.3">
      <c r="A1234" s="34"/>
      <c r="B1234" s="14">
        <f>IFERROR(VLOOKUP(A1234,Tabla3[],2,FALSE),0)</f>
        <v>0</v>
      </c>
      <c r="C1234" s="35"/>
      <c r="D1234" s="35" t="s">
        <v>97</v>
      </c>
      <c r="E1234" s="35">
        <f>B1231*50</f>
        <v>450</v>
      </c>
    </row>
    <row r="1235" spans="1:5" thickBot="1" x14ac:dyDescent="0.3">
      <c r="A1235" s="34"/>
      <c r="B1235" s="14">
        <f>IFERROR(VLOOKUP(A1235,Tabla3[],2,FALSE),0)</f>
        <v>0</v>
      </c>
      <c r="C1235" s="35" t="s">
        <v>131</v>
      </c>
      <c r="D1235" s="35" t="s">
        <v>106</v>
      </c>
      <c r="E1235" s="35">
        <f>B1231*20</f>
        <v>180</v>
      </c>
    </row>
    <row r="1236" spans="1:5" thickBot="1" x14ac:dyDescent="0.3">
      <c r="A1236" s="34"/>
      <c r="B1236" s="14">
        <f>IFERROR(VLOOKUP(A1236,Tabla3[],2,FALSE),0)</f>
        <v>0</v>
      </c>
      <c r="C1236" s="35" t="s">
        <v>131</v>
      </c>
      <c r="D1236" s="35" t="s">
        <v>116</v>
      </c>
      <c r="E1236" s="35">
        <f>B1231*75</f>
        <v>675</v>
      </c>
    </row>
    <row r="1237" spans="1:5" thickBot="1" x14ac:dyDescent="0.3">
      <c r="A1237" s="27"/>
      <c r="B1237" s="14">
        <f>IFERROR(VLOOKUP(A1237,Tabla3[],2,FALSE),0)</f>
        <v>0</v>
      </c>
      <c r="C1237" s="28" t="s">
        <v>131</v>
      </c>
      <c r="D1237" s="28" t="s">
        <v>108</v>
      </c>
      <c r="E1237" s="28">
        <f>B1231*75</f>
        <v>675</v>
      </c>
    </row>
    <row r="1238" spans="1:5" thickBot="1" x14ac:dyDescent="0.3">
      <c r="A1238" s="80" t="s">
        <v>603</v>
      </c>
      <c r="B1238" s="14">
        <f>IFERROR(VLOOKUP(A1238,Tabla3[],2,FALSE),0)</f>
        <v>4</v>
      </c>
      <c r="C1238" s="31" t="s">
        <v>131</v>
      </c>
      <c r="D1238" s="31" t="s">
        <v>270</v>
      </c>
      <c r="E1238" s="31">
        <f>B1238*75</f>
        <v>300</v>
      </c>
    </row>
    <row r="1239" spans="1:5" thickBot="1" x14ac:dyDescent="0.3">
      <c r="A1239" s="81"/>
      <c r="B1239" s="14">
        <f>IFERROR(VLOOKUP(A1239,Tabla3[],2,FALSE),0)</f>
        <v>0</v>
      </c>
      <c r="C1239" s="35" t="s">
        <v>131</v>
      </c>
      <c r="D1239" s="35" t="s">
        <v>106</v>
      </c>
      <c r="E1239" s="35">
        <f>B1238*20</f>
        <v>80</v>
      </c>
    </row>
    <row r="1240" spans="1:5" thickBot="1" x14ac:dyDescent="0.3">
      <c r="A1240" s="81"/>
      <c r="B1240" s="14">
        <f>IFERROR(VLOOKUP(A1240,Tabla3[],2,FALSE),0)</f>
        <v>0</v>
      </c>
      <c r="C1240" s="35" t="s">
        <v>133</v>
      </c>
      <c r="D1240" s="35" t="s">
        <v>51</v>
      </c>
      <c r="E1240" s="35">
        <f>B1238*20</f>
        <v>80</v>
      </c>
    </row>
    <row r="1241" spans="1:5" thickBot="1" x14ac:dyDescent="0.3">
      <c r="A1241" s="82"/>
      <c r="B1241" s="14">
        <f>IFERROR(VLOOKUP(A1241,Tabla3[],2,FALSE),0)</f>
        <v>0</v>
      </c>
      <c r="C1241" s="33" t="s">
        <v>131</v>
      </c>
      <c r="D1241" s="33" t="s">
        <v>128</v>
      </c>
      <c r="E1241" s="33">
        <f>B1238*10</f>
        <v>40</v>
      </c>
    </row>
    <row r="1242" spans="1:5" thickBot="1" x14ac:dyDescent="0.3">
      <c r="A1242" s="25" t="s">
        <v>223</v>
      </c>
      <c r="B1242" s="14">
        <f>IFERROR(VLOOKUP(A1242,Tabla3[],2,FALSE),0)</f>
        <v>0</v>
      </c>
      <c r="C1242" s="26" t="s">
        <v>131</v>
      </c>
      <c r="D1242" s="26" t="s">
        <v>109</v>
      </c>
      <c r="E1242" s="26">
        <f>B1242*75</f>
        <v>0</v>
      </c>
    </row>
    <row r="1243" spans="1:5" ht="16.5" thickBot="1" x14ac:dyDescent="0.3">
      <c r="A1243" s="88"/>
      <c r="B1243" s="14">
        <f>IFERROR(VLOOKUP(A1243,Tabla3[],2,FALSE),0)</f>
        <v>0</v>
      </c>
      <c r="C1243" s="28" t="s">
        <v>131</v>
      </c>
      <c r="D1243" s="28" t="s">
        <v>59</v>
      </c>
      <c r="E1243" s="28">
        <f>B1242*150</f>
        <v>0</v>
      </c>
    </row>
    <row r="1244" spans="1:5" thickBot="1" x14ac:dyDescent="0.3">
      <c r="A1244" s="25" t="s">
        <v>607</v>
      </c>
      <c r="B1244" s="14">
        <f>IFERROR(VLOOKUP(A1244,Tabla3[],2,FALSE),0)</f>
        <v>0</v>
      </c>
      <c r="C1244" s="26"/>
      <c r="D1244" s="26" t="s">
        <v>26</v>
      </c>
      <c r="E1244" s="2">
        <f>B1244</f>
        <v>0</v>
      </c>
    </row>
    <row r="1245" spans="1:5" thickBot="1" x14ac:dyDescent="0.3">
      <c r="A1245" s="34"/>
      <c r="B1245" s="14">
        <f>IFERROR(VLOOKUP(A1245,Tabla3[],2,FALSE),0)</f>
        <v>0</v>
      </c>
      <c r="C1245" s="35"/>
      <c r="D1245" s="35" t="s">
        <v>9</v>
      </c>
      <c r="E1245" s="6">
        <f>B1244*50</f>
        <v>0</v>
      </c>
    </row>
    <row r="1246" spans="1:5" thickBot="1" x14ac:dyDescent="0.3">
      <c r="A1246" s="34"/>
      <c r="B1246" s="14">
        <f>IFERROR(VLOOKUP(A1246,Tabla3[],2,FALSE),0)</f>
        <v>0</v>
      </c>
      <c r="C1246" s="35"/>
      <c r="D1246" s="35" t="s">
        <v>102</v>
      </c>
      <c r="E1246" s="6">
        <f>B1244*0.5</f>
        <v>0</v>
      </c>
    </row>
    <row r="1247" spans="1:5" thickBot="1" x14ac:dyDescent="0.3">
      <c r="A1247" s="34"/>
      <c r="B1247" s="14">
        <f>IFERROR(VLOOKUP(A1247,Tabla3[],2,FALSE),0)</f>
        <v>0</v>
      </c>
      <c r="C1247" s="35"/>
      <c r="D1247" s="35" t="s">
        <v>28</v>
      </c>
      <c r="E1247" s="6">
        <f>B1244</f>
        <v>0</v>
      </c>
    </row>
    <row r="1248" spans="1:5" thickBot="1" x14ac:dyDescent="0.3">
      <c r="A1248" s="32"/>
      <c r="B1248" s="14">
        <f>IFERROR(VLOOKUP(A1248,Tabla3[],2,FALSE),0)</f>
        <v>0</v>
      </c>
      <c r="C1248" s="33"/>
      <c r="D1248" s="33" t="s">
        <v>13</v>
      </c>
      <c r="E1248" s="1">
        <f>B1244*100</f>
        <v>0</v>
      </c>
    </row>
    <row r="1249" spans="1:5" thickBot="1" x14ac:dyDescent="0.3">
      <c r="A1249" s="25" t="s">
        <v>628</v>
      </c>
      <c r="B1249" s="14">
        <f>IFERROR(VLOOKUP(A1249,Tabla3[],2,FALSE),0)</f>
        <v>0</v>
      </c>
      <c r="C1249" s="26"/>
      <c r="D1249" s="26" t="s">
        <v>5</v>
      </c>
      <c r="E1249" s="2">
        <f>B1249</f>
        <v>0</v>
      </c>
    </row>
    <row r="1250" spans="1:5" thickBot="1" x14ac:dyDescent="0.3">
      <c r="A1250" s="34"/>
      <c r="B1250" s="14">
        <f>IFERROR(VLOOKUP(A1250,Tabla3[],2,FALSE),0)</f>
        <v>0</v>
      </c>
      <c r="C1250" s="35"/>
      <c r="D1250" s="35" t="s">
        <v>9</v>
      </c>
      <c r="E1250" s="6">
        <f>B1249*50</f>
        <v>0</v>
      </c>
    </row>
    <row r="1251" spans="1:5" thickBot="1" x14ac:dyDescent="0.3">
      <c r="A1251" s="34"/>
      <c r="B1251" s="14">
        <f>IFERROR(VLOOKUP(A1251,Tabla3[],2,FALSE),0)</f>
        <v>0</v>
      </c>
      <c r="C1251" s="35"/>
      <c r="D1251" s="35" t="s">
        <v>8</v>
      </c>
      <c r="E1251" s="6">
        <f>B1249</f>
        <v>0</v>
      </c>
    </row>
    <row r="1252" spans="1:5" thickBot="1" x14ac:dyDescent="0.3">
      <c r="A1252" s="32"/>
      <c r="B1252" s="14">
        <f>IFERROR(VLOOKUP(A1252,Tabla3[],2,FALSE),0)</f>
        <v>0</v>
      </c>
      <c r="C1252" s="33" t="s">
        <v>133</v>
      </c>
      <c r="D1252" s="33" t="s">
        <v>13</v>
      </c>
      <c r="E1252" s="6">
        <f>B1249*100</f>
        <v>0</v>
      </c>
    </row>
    <row r="1253" spans="1:5" thickBot="1" x14ac:dyDescent="0.3">
      <c r="A1253" s="34"/>
      <c r="B1253" s="14">
        <f>IFERROR(VLOOKUP(A1253,Tabla3[],2,FALSE),0)</f>
        <v>0</v>
      </c>
      <c r="C1253" s="35"/>
      <c r="D1253" s="35" t="s">
        <v>28</v>
      </c>
      <c r="E1253" s="2">
        <f>B1249</f>
        <v>0</v>
      </c>
    </row>
    <row r="1254" spans="1:5" thickBot="1" x14ac:dyDescent="0.3">
      <c r="A1254" s="25" t="s">
        <v>673</v>
      </c>
      <c r="B1254" s="14">
        <f>IFERROR(VLOOKUP(A1254,Tabla3[],2,FALSE),0)</f>
        <v>4</v>
      </c>
      <c r="C1254" s="26"/>
      <c r="D1254" s="26" t="s">
        <v>674</v>
      </c>
      <c r="E1254" s="6">
        <f>B1254*2</f>
        <v>8</v>
      </c>
    </row>
    <row r="1255" spans="1:5" thickBot="1" x14ac:dyDescent="0.3">
      <c r="A1255" s="34"/>
      <c r="B1255" s="14">
        <f>IFERROR(VLOOKUP(A1255,Tabla3[],2,FALSE),0)</f>
        <v>0</v>
      </c>
      <c r="C1255" s="35"/>
      <c r="D1255" s="35" t="s">
        <v>27</v>
      </c>
      <c r="E1255" s="6">
        <f>B1254</f>
        <v>4</v>
      </c>
    </row>
    <row r="1256" spans="1:5" thickBot="1" x14ac:dyDescent="0.3">
      <c r="A1256" s="34"/>
      <c r="B1256" s="14">
        <f>IFERROR(VLOOKUP(A1256,Tabla3[],2,FALSE),0)</f>
        <v>0</v>
      </c>
      <c r="C1256" s="35"/>
      <c r="D1256" s="35" t="s">
        <v>32</v>
      </c>
      <c r="E1256" s="6">
        <f>B1254</f>
        <v>4</v>
      </c>
    </row>
    <row r="1257" spans="1:5" thickBot="1" x14ac:dyDescent="0.3">
      <c r="A1257" s="32"/>
      <c r="B1257" s="14">
        <f>IFERROR(VLOOKUP(A1257,Tabla3[],2,FALSE),0)</f>
        <v>0</v>
      </c>
      <c r="C1257" s="33" t="s">
        <v>133</v>
      </c>
      <c r="D1257" s="33" t="s">
        <v>13</v>
      </c>
      <c r="E1257" s="2">
        <f>B1254*100</f>
        <v>400</v>
      </c>
    </row>
    <row r="1258" spans="1:5" thickBot="1" x14ac:dyDescent="0.3">
      <c r="A1258" s="34"/>
      <c r="B1258" s="14">
        <f>IFERROR(VLOOKUP(A1258,Tabla3[],2,FALSE),0)</f>
        <v>0</v>
      </c>
      <c r="C1258" s="35"/>
      <c r="D1258" s="35" t="s">
        <v>28</v>
      </c>
      <c r="E1258" s="6">
        <f>B1254</f>
        <v>4</v>
      </c>
    </row>
    <row r="1259" spans="1:5" thickBot="1" x14ac:dyDescent="0.3">
      <c r="A1259" s="25" t="s">
        <v>675</v>
      </c>
      <c r="B1259" s="14">
        <f>IFERROR(VLOOKUP(A1259,Tabla3[],2,FALSE),0)</f>
        <v>0</v>
      </c>
      <c r="C1259" s="26"/>
      <c r="D1259" s="26" t="s">
        <v>674</v>
      </c>
      <c r="E1259" s="6">
        <f>B1259</f>
        <v>0</v>
      </c>
    </row>
    <row r="1260" spans="1:5" thickBot="1" x14ac:dyDescent="0.3">
      <c r="A1260" s="34"/>
      <c r="B1260" s="14">
        <f>IFERROR(VLOOKUP(A1260,Tabla3[],2,FALSE),0)</f>
        <v>0</v>
      </c>
      <c r="C1260" s="35"/>
      <c r="D1260" s="35" t="s">
        <v>27</v>
      </c>
      <c r="E1260" s="6"/>
    </row>
    <row r="1261" spans="1:5" thickBot="1" x14ac:dyDescent="0.3">
      <c r="A1261" s="34"/>
      <c r="B1261" s="14">
        <f>IFERROR(VLOOKUP(A1261,Tabla3[],2,FALSE),0)</f>
        <v>0</v>
      </c>
      <c r="C1261" s="35"/>
      <c r="D1261" s="35" t="s">
        <v>28</v>
      </c>
      <c r="E1261" s="6">
        <f>B1259</f>
        <v>0</v>
      </c>
    </row>
    <row r="1262" spans="1:5" thickBot="1" x14ac:dyDescent="0.3">
      <c r="A1262" s="34"/>
      <c r="B1262" s="14">
        <f>IFERROR(VLOOKUP(A1262,Tabla3[],2,FALSE),0)</f>
        <v>0</v>
      </c>
      <c r="C1262" s="35"/>
      <c r="D1262" s="35" t="s">
        <v>30</v>
      </c>
      <c r="E1262" s="6">
        <f>B1259*0.2</f>
        <v>0</v>
      </c>
    </row>
    <row r="1263" spans="1:5" thickBot="1" x14ac:dyDescent="0.3">
      <c r="A1263" s="34"/>
      <c r="B1263" s="14">
        <f>IFERROR(VLOOKUP(A1263,Tabla3[],2,FALSE),0)</f>
        <v>0</v>
      </c>
      <c r="C1263" s="35" t="s">
        <v>133</v>
      </c>
      <c r="D1263" s="35" t="s">
        <v>573</v>
      </c>
      <c r="E1263" s="1">
        <f>B1259*0.2</f>
        <v>0</v>
      </c>
    </row>
    <row r="1264" spans="1:5" thickBot="1" x14ac:dyDescent="0.3">
      <c r="A1264" s="34"/>
      <c r="B1264" s="14">
        <f>IFERROR(VLOOKUP(A1264,Tabla3[],2,FALSE),0)</f>
        <v>0</v>
      </c>
      <c r="C1264" s="35" t="s">
        <v>159</v>
      </c>
      <c r="D1264" s="35" t="s">
        <v>34</v>
      </c>
      <c r="E1264" s="75">
        <f>B1259</f>
        <v>0</v>
      </c>
    </row>
    <row r="1265" spans="1:5" thickBot="1" x14ac:dyDescent="0.3">
      <c r="A1265" s="32"/>
      <c r="B1265" s="14">
        <f>IFERROR(VLOOKUP(A1265,Tabla3[],2,FALSE),0)</f>
        <v>0</v>
      </c>
      <c r="C1265" s="33" t="s">
        <v>133</v>
      </c>
      <c r="D1265" s="33" t="s">
        <v>13</v>
      </c>
      <c r="E1265" s="76">
        <f>B1264*100</f>
        <v>0</v>
      </c>
    </row>
    <row r="1266" spans="1:5" thickBot="1" x14ac:dyDescent="0.3">
      <c r="A1266" s="112" t="s">
        <v>609</v>
      </c>
      <c r="B1266" s="14">
        <f>IFERROR(VLOOKUP(A1266,Tabla3[],2,FALSE),0)</f>
        <v>17</v>
      </c>
      <c r="C1266" s="26"/>
      <c r="D1266" s="200" t="s">
        <v>36</v>
      </c>
      <c r="E1266" s="76">
        <f>B1266</f>
        <v>17</v>
      </c>
    </row>
    <row r="1267" spans="1:5" thickBot="1" x14ac:dyDescent="0.3">
      <c r="A1267" s="34"/>
      <c r="B1267" s="14">
        <f>IFERROR(VLOOKUP(A1267,Tabla3[],2,FALSE),0)</f>
        <v>0</v>
      </c>
      <c r="C1267" s="35"/>
      <c r="D1267" s="35" t="s">
        <v>40</v>
      </c>
      <c r="E1267" s="76">
        <f>B1266*0.5</f>
        <v>8.5</v>
      </c>
    </row>
    <row r="1268" spans="1:5" thickBot="1" x14ac:dyDescent="0.3">
      <c r="A1268" s="34"/>
      <c r="B1268" s="14">
        <f>IFERROR(VLOOKUP(A1268,Tabla3[],2,FALSE),0)</f>
        <v>0</v>
      </c>
      <c r="C1268" s="35"/>
      <c r="D1268" s="35" t="s">
        <v>41</v>
      </c>
      <c r="E1268" s="93">
        <f>B1266</f>
        <v>17</v>
      </c>
    </row>
    <row r="1269" spans="1:5" thickBot="1" x14ac:dyDescent="0.3">
      <c r="A1269" s="34"/>
      <c r="B1269" s="14">
        <f>IFERROR(VLOOKUP(A1269,Tabla3[],2,FALSE),0)</f>
        <v>0</v>
      </c>
      <c r="C1269" s="35"/>
      <c r="D1269" s="35" t="s">
        <v>311</v>
      </c>
      <c r="E1269" s="2">
        <f>B1266</f>
        <v>17</v>
      </c>
    </row>
    <row r="1270" spans="1:5" thickBot="1" x14ac:dyDescent="0.3">
      <c r="A1270" s="27"/>
      <c r="B1270" s="14">
        <f>IFERROR(VLOOKUP(A1270,Tabla3[],2,FALSE),0)</f>
        <v>0</v>
      </c>
      <c r="C1270" s="117"/>
      <c r="D1270" s="28" t="s">
        <v>6</v>
      </c>
      <c r="E1270" s="6">
        <f>B1266</f>
        <v>17</v>
      </c>
    </row>
    <row r="1271" spans="1:5" thickBot="1" x14ac:dyDescent="0.3">
      <c r="A1271" s="25" t="s">
        <v>29</v>
      </c>
      <c r="B1271" s="14">
        <f>IFERROR(VLOOKUP(A1271,Tabla3[],2,FALSE),0)</f>
        <v>20</v>
      </c>
      <c r="C1271" s="26"/>
      <c r="D1271" s="26" t="s">
        <v>26</v>
      </c>
      <c r="E1271" s="6">
        <f>B1271</f>
        <v>20</v>
      </c>
    </row>
    <row r="1272" spans="1:5" thickBot="1" x14ac:dyDescent="0.3">
      <c r="A1272" s="34"/>
      <c r="B1272" s="14">
        <f>IFERROR(VLOOKUP(A1272,Tabla3[],2,FALSE),0)</f>
        <v>0</v>
      </c>
      <c r="C1272" s="35"/>
      <c r="D1272" s="35" t="s">
        <v>27</v>
      </c>
      <c r="E1272" s="6"/>
    </row>
    <row r="1273" spans="1:5" thickBot="1" x14ac:dyDescent="0.3">
      <c r="A1273" s="34"/>
      <c r="B1273" s="14">
        <f>IFERROR(VLOOKUP(A1273,Tabla3[],2,FALSE),0)</f>
        <v>0</v>
      </c>
      <c r="C1273" s="35"/>
      <c r="D1273" s="35" t="s">
        <v>28</v>
      </c>
      <c r="E1273" s="6">
        <f>B1271</f>
        <v>20</v>
      </c>
    </row>
    <row r="1274" spans="1:5" thickBot="1" x14ac:dyDescent="0.3">
      <c r="A1274" s="34"/>
      <c r="B1274" s="14">
        <f>IFERROR(VLOOKUP(A1274,Tabla3[],2,FALSE),0)</f>
        <v>0</v>
      </c>
      <c r="C1274" s="35"/>
      <c r="D1274" s="35" t="s">
        <v>30</v>
      </c>
      <c r="E1274" s="6">
        <f>B1271*0.2</f>
        <v>4</v>
      </c>
    </row>
    <row r="1275" spans="1:5" thickBot="1" x14ac:dyDescent="0.3">
      <c r="A1275" s="34"/>
      <c r="B1275" s="14">
        <f>IFERROR(VLOOKUP(A1275,Tabla3[],2,FALSE),0)</f>
        <v>0</v>
      </c>
      <c r="C1275" s="35" t="s">
        <v>133</v>
      </c>
      <c r="D1275" s="35" t="s">
        <v>573</v>
      </c>
      <c r="E1275" s="1">
        <f>B1271*0.5</f>
        <v>10</v>
      </c>
    </row>
    <row r="1276" spans="1:5" thickBot="1" x14ac:dyDescent="0.3">
      <c r="A1276" s="34"/>
      <c r="B1276" s="14">
        <f>IFERROR(VLOOKUP(A1276,Tabla3[],2,FALSE),0)</f>
        <v>0</v>
      </c>
      <c r="C1276" s="35" t="s">
        <v>159</v>
      </c>
      <c r="D1276" s="35" t="s">
        <v>34</v>
      </c>
      <c r="E1276" s="2">
        <f>B1271*0.2</f>
        <v>4</v>
      </c>
    </row>
    <row r="1277" spans="1:5" thickBot="1" x14ac:dyDescent="0.3">
      <c r="A1277" s="32"/>
      <c r="B1277" s="14">
        <f>IFERROR(VLOOKUP(A1277,Tabla3[],2,FALSE),0)</f>
        <v>0</v>
      </c>
      <c r="C1277" s="33" t="s">
        <v>133</v>
      </c>
      <c r="D1277" s="33" t="s">
        <v>13</v>
      </c>
      <c r="E1277" s="95">
        <f>B1271*100</f>
        <v>2000</v>
      </c>
    </row>
    <row r="1278" spans="1:5" thickBot="1" x14ac:dyDescent="0.3">
      <c r="A1278" s="118" t="s">
        <v>728</v>
      </c>
      <c r="B1278" s="14">
        <f>IFERROR(VLOOKUP(A1278,Tabla3[],2,FALSE),0)</f>
        <v>0</v>
      </c>
      <c r="C1278" s="37"/>
      <c r="D1278" s="37" t="s">
        <v>676</v>
      </c>
      <c r="E1278" s="2">
        <f>B1278*75</f>
        <v>0</v>
      </c>
    </row>
    <row r="1279" spans="1:5" thickBot="1" x14ac:dyDescent="0.3">
      <c r="A1279" s="120"/>
      <c r="B1279" s="14">
        <f>IFERROR(VLOOKUP(A1279,Tabla3[],2,FALSE),0)</f>
        <v>0</v>
      </c>
      <c r="C1279" s="41"/>
      <c r="D1279" s="51" t="s">
        <v>584</v>
      </c>
      <c r="E1279" s="95">
        <f>B1278</f>
        <v>0</v>
      </c>
    </row>
    <row r="1280" spans="1:5" thickBot="1" x14ac:dyDescent="0.3">
      <c r="A1280" s="118" t="s">
        <v>677</v>
      </c>
      <c r="B1280" s="14">
        <f>IFERROR(VLOOKUP(A1280,Tabla3[],2,FALSE),0)</f>
        <v>0</v>
      </c>
      <c r="C1280" s="37"/>
      <c r="D1280" s="37" t="s">
        <v>678</v>
      </c>
      <c r="E1280" s="2">
        <f>B1280*75</f>
        <v>0</v>
      </c>
    </row>
    <row r="1281" spans="1:5" thickBot="1" x14ac:dyDescent="0.3">
      <c r="A1281" s="120"/>
      <c r="B1281" s="14">
        <f>IFERROR(VLOOKUP(A1281,Tabla3[],2,FALSE),0)</f>
        <v>0</v>
      </c>
      <c r="C1281" s="41"/>
      <c r="D1281" s="51" t="s">
        <v>584</v>
      </c>
      <c r="E1281" s="55">
        <f>B1280</f>
        <v>0</v>
      </c>
    </row>
    <row r="1282" spans="1:5" thickBot="1" x14ac:dyDescent="0.3">
      <c r="A1282" s="118" t="s">
        <v>679</v>
      </c>
      <c r="B1282" s="14">
        <f>IFERROR(VLOOKUP(A1282,Tabla3[],2,FALSE),0)</f>
        <v>0</v>
      </c>
      <c r="C1282" s="37"/>
      <c r="D1282" s="37" t="s">
        <v>680</v>
      </c>
      <c r="E1282" s="75">
        <f>B1282</f>
        <v>0</v>
      </c>
    </row>
    <row r="1283" spans="1:5" thickBot="1" x14ac:dyDescent="0.3">
      <c r="A1283" s="121"/>
      <c r="B1283" s="14">
        <f>IFERROR(VLOOKUP(A1283,Tabla3[],2,FALSE),0)</f>
        <v>0</v>
      </c>
      <c r="C1283" s="112"/>
      <c r="D1283" s="55" t="s">
        <v>584</v>
      </c>
      <c r="E1283" s="76">
        <f>B1282*20</f>
        <v>0</v>
      </c>
    </row>
    <row r="1284" spans="1:5" thickBot="1" x14ac:dyDescent="0.3">
      <c r="A1284" s="25" t="s">
        <v>681</v>
      </c>
      <c r="B1284" s="14">
        <f>IFERROR(VLOOKUP(A1284,Tabla3[],2,FALSE),0)</f>
        <v>23</v>
      </c>
      <c r="C1284" s="26"/>
      <c r="D1284" s="26" t="s">
        <v>637</v>
      </c>
      <c r="E1284" s="26">
        <f>B1284</f>
        <v>23</v>
      </c>
    </row>
    <row r="1285" spans="1:5" thickBot="1" x14ac:dyDescent="0.3">
      <c r="A1285" s="34"/>
      <c r="B1285" s="14">
        <f>IFERROR(VLOOKUP(A1285,Tabla3[],2,FALSE),0)</f>
        <v>0</v>
      </c>
      <c r="C1285" s="35" t="s">
        <v>133</v>
      </c>
      <c r="D1285" s="35" t="s">
        <v>51</v>
      </c>
      <c r="E1285" s="35">
        <f>B1284*20</f>
        <v>460</v>
      </c>
    </row>
    <row r="1286" spans="1:5" thickBot="1" x14ac:dyDescent="0.3">
      <c r="A1286" s="34"/>
      <c r="B1286" s="14">
        <f>IFERROR(VLOOKUP(A1286,Tabla3[],2,FALSE),0)</f>
        <v>0</v>
      </c>
      <c r="C1286" s="35" t="s">
        <v>131</v>
      </c>
      <c r="D1286" s="35" t="s">
        <v>106</v>
      </c>
      <c r="E1286" s="35">
        <f>B1284*20</f>
        <v>460</v>
      </c>
    </row>
    <row r="1287" spans="1:5" thickBot="1" x14ac:dyDescent="0.3">
      <c r="A1287" s="34"/>
      <c r="B1287" s="14">
        <f>IFERROR(VLOOKUP(A1287,Tabla3[],2,FALSE),0)</f>
        <v>0</v>
      </c>
      <c r="C1287" s="35"/>
      <c r="D1287" s="35" t="s">
        <v>636</v>
      </c>
      <c r="E1287" s="35">
        <f>B1284</f>
        <v>23</v>
      </c>
    </row>
    <row r="1288" spans="1:5" thickBot="1" x14ac:dyDescent="0.3">
      <c r="A1288" s="34"/>
      <c r="B1288" s="14">
        <f>IFERROR(VLOOKUP(A1288,Tabla3[],2,FALSE),0)</f>
        <v>0</v>
      </c>
      <c r="C1288" s="35"/>
      <c r="D1288" s="38" t="s">
        <v>97</v>
      </c>
      <c r="E1288" s="35">
        <f>B1284*50</f>
        <v>1150</v>
      </c>
    </row>
    <row r="1289" spans="1:5" thickBot="1" x14ac:dyDescent="0.3">
      <c r="A1289" s="34"/>
      <c r="B1289" s="14">
        <f>IFERROR(VLOOKUP(A1289,Tabla3[],2,FALSE),0)</f>
        <v>0</v>
      </c>
      <c r="C1289" s="35" t="s">
        <v>131</v>
      </c>
      <c r="D1289" s="33" t="s">
        <v>116</v>
      </c>
      <c r="E1289" s="33">
        <f>B1284*75</f>
        <v>1725</v>
      </c>
    </row>
    <row r="1290" spans="1:5" thickBot="1" x14ac:dyDescent="0.3">
      <c r="A1290" s="27"/>
      <c r="B1290" s="14">
        <f>IFERROR(VLOOKUP(A1290,Tabla3[],2,FALSE),0)</f>
        <v>0</v>
      </c>
      <c r="C1290" s="117"/>
      <c r="D1290" s="28" t="s">
        <v>107</v>
      </c>
      <c r="E1290" s="76">
        <f>B1289*20</f>
        <v>0</v>
      </c>
    </row>
    <row r="1291" spans="1:5" thickBot="1" x14ac:dyDescent="0.3">
      <c r="A1291" s="30" t="s">
        <v>682</v>
      </c>
      <c r="B1291" s="14">
        <f>IFERROR(VLOOKUP(A1291,Tabla3[],2,FALSE),0)</f>
        <v>21</v>
      </c>
      <c r="C1291" s="31"/>
      <c r="D1291" s="26" t="s">
        <v>637</v>
      </c>
      <c r="E1291" s="26">
        <f>B1291</f>
        <v>21</v>
      </c>
    </row>
    <row r="1292" spans="1:5" thickBot="1" x14ac:dyDescent="0.3">
      <c r="A1292" s="34"/>
      <c r="B1292" s="14">
        <f>IFERROR(VLOOKUP(A1292,Tabla3[],2,FALSE),0)</f>
        <v>0</v>
      </c>
      <c r="C1292" s="35" t="s">
        <v>133</v>
      </c>
      <c r="D1292" s="35" t="s">
        <v>51</v>
      </c>
      <c r="E1292" s="35">
        <f>B1291*20</f>
        <v>420</v>
      </c>
    </row>
    <row r="1293" spans="1:5" thickBot="1" x14ac:dyDescent="0.3">
      <c r="A1293" s="34"/>
      <c r="B1293" s="14">
        <f>IFERROR(VLOOKUP(A1293,Tabla3[],2,FALSE),0)</f>
        <v>0</v>
      </c>
      <c r="C1293" s="35" t="s">
        <v>131</v>
      </c>
      <c r="D1293" s="35" t="s">
        <v>106</v>
      </c>
      <c r="E1293" s="35">
        <f>B1291*20</f>
        <v>420</v>
      </c>
    </row>
    <row r="1294" spans="1:5" thickBot="1" x14ac:dyDescent="0.3">
      <c r="A1294" s="34"/>
      <c r="B1294" s="14">
        <f>IFERROR(VLOOKUP(A1294,Tabla3[],2,FALSE),0)</f>
        <v>0</v>
      </c>
      <c r="C1294" s="35"/>
      <c r="D1294" s="35" t="s">
        <v>636</v>
      </c>
      <c r="E1294" s="35">
        <f>B1291</f>
        <v>21</v>
      </c>
    </row>
    <row r="1295" spans="1:5" thickBot="1" x14ac:dyDescent="0.3">
      <c r="A1295" s="34"/>
      <c r="B1295" s="14">
        <f>IFERROR(VLOOKUP(A1295,Tabla3[],2,FALSE),0)</f>
        <v>0</v>
      </c>
      <c r="C1295" s="35"/>
      <c r="D1295" s="38" t="s">
        <v>97</v>
      </c>
      <c r="E1295" s="35">
        <f>B1291*50</f>
        <v>1050</v>
      </c>
    </row>
    <row r="1296" spans="1:5" thickBot="1" x14ac:dyDescent="0.3">
      <c r="A1296" s="34"/>
      <c r="B1296" s="14">
        <f>IFERROR(VLOOKUP(A1296,Tabla3[],2,FALSE),0)</f>
        <v>0</v>
      </c>
      <c r="C1296" s="35" t="s">
        <v>131</v>
      </c>
      <c r="D1296" s="33" t="s">
        <v>116</v>
      </c>
      <c r="E1296" s="33">
        <f>B1291*75</f>
        <v>1575</v>
      </c>
    </row>
    <row r="1297" spans="1:5" thickBot="1" x14ac:dyDescent="0.3">
      <c r="A1297" s="27"/>
      <c r="B1297" s="14">
        <f>IFERROR(VLOOKUP(A1297,Tabla3[],2,FALSE),0)</f>
        <v>0</v>
      </c>
      <c r="C1297" s="117"/>
      <c r="D1297" s="102" t="s">
        <v>104</v>
      </c>
      <c r="E1297" s="76">
        <f>B1296*20</f>
        <v>0</v>
      </c>
    </row>
    <row r="1298" spans="1:5" thickBot="1" x14ac:dyDescent="0.3">
      <c r="A1298" s="30" t="s">
        <v>683</v>
      </c>
      <c r="B1298" s="14">
        <f>IFERROR(VLOOKUP(A1298,Tabla3[],2,FALSE),0)</f>
        <v>168</v>
      </c>
      <c r="C1298" s="31"/>
      <c r="D1298" s="26" t="s">
        <v>637</v>
      </c>
      <c r="E1298" s="26">
        <f>B1298</f>
        <v>168</v>
      </c>
    </row>
    <row r="1299" spans="1:5" thickBot="1" x14ac:dyDescent="0.3">
      <c r="A1299" s="34"/>
      <c r="B1299" s="14">
        <f>IFERROR(VLOOKUP(A1299,Tabla3[],2,FALSE),0)</f>
        <v>0</v>
      </c>
      <c r="C1299" s="35" t="s">
        <v>133</v>
      </c>
      <c r="D1299" s="35" t="s">
        <v>51</v>
      </c>
      <c r="E1299" s="35">
        <f>B1298*20</f>
        <v>3360</v>
      </c>
    </row>
    <row r="1300" spans="1:5" thickBot="1" x14ac:dyDescent="0.3">
      <c r="A1300" s="34"/>
      <c r="B1300" s="14">
        <f>IFERROR(VLOOKUP(A1300,Tabla3[],2,FALSE),0)</f>
        <v>0</v>
      </c>
      <c r="C1300" s="35" t="s">
        <v>131</v>
      </c>
      <c r="D1300" s="35" t="s">
        <v>106</v>
      </c>
      <c r="E1300" s="35">
        <f>B1298*20</f>
        <v>3360</v>
      </c>
    </row>
    <row r="1301" spans="1:5" thickBot="1" x14ac:dyDescent="0.3">
      <c r="A1301" s="34"/>
      <c r="B1301" s="14">
        <f>IFERROR(VLOOKUP(A1301,Tabla3[],2,FALSE),0)</f>
        <v>0</v>
      </c>
      <c r="C1301" s="35"/>
      <c r="D1301" s="35" t="s">
        <v>636</v>
      </c>
      <c r="E1301" s="35">
        <f>B1298</f>
        <v>168</v>
      </c>
    </row>
    <row r="1302" spans="1:5" thickBot="1" x14ac:dyDescent="0.3">
      <c r="A1302" s="34"/>
      <c r="B1302" s="14">
        <f>IFERROR(VLOOKUP(A1302,Tabla3[],2,FALSE),0)</f>
        <v>0</v>
      </c>
      <c r="C1302" s="35"/>
      <c r="D1302" s="38" t="s">
        <v>97</v>
      </c>
      <c r="E1302" s="35">
        <f>B1298*50</f>
        <v>8400</v>
      </c>
    </row>
    <row r="1303" spans="1:5" thickBot="1" x14ac:dyDescent="0.3">
      <c r="A1303" s="34"/>
      <c r="B1303" s="14">
        <f>IFERROR(VLOOKUP(A1303,Tabla3[],2,FALSE),0)</f>
        <v>0</v>
      </c>
      <c r="C1303" s="35" t="s">
        <v>131</v>
      </c>
      <c r="D1303" s="33" t="s">
        <v>116</v>
      </c>
      <c r="E1303" s="33">
        <f>B1298*75</f>
        <v>12600</v>
      </c>
    </row>
    <row r="1304" spans="1:5" thickBot="1" x14ac:dyDescent="0.3">
      <c r="A1304" s="32"/>
      <c r="B1304" s="14">
        <f>IFERROR(VLOOKUP(A1304,Tabla3[],2,FALSE),0)</f>
        <v>0</v>
      </c>
      <c r="C1304" s="82"/>
      <c r="D1304" s="33" t="s">
        <v>582</v>
      </c>
      <c r="E1304" s="3"/>
    </row>
    <row r="1305" spans="1:5" thickBot="1" x14ac:dyDescent="0.3">
      <c r="A1305" s="15" t="s">
        <v>745</v>
      </c>
      <c r="B1305" s="14">
        <f>IFERROR(VLOOKUP(A1305,Tabla3[],2,FALSE),0)</f>
        <v>0</v>
      </c>
      <c r="C1305" s="123"/>
      <c r="D1305" s="47" t="s">
        <v>684</v>
      </c>
      <c r="E1305" s="75">
        <f>B1305</f>
        <v>0</v>
      </c>
    </row>
    <row r="1306" spans="1:5" thickBot="1" x14ac:dyDescent="0.3">
      <c r="A1306" s="17" t="s">
        <v>744</v>
      </c>
      <c r="B1306" s="14">
        <f>IFERROR(VLOOKUP(A1306,Tabla3[],2,FALSE),0)</f>
        <v>0</v>
      </c>
      <c r="C1306" s="123"/>
      <c r="D1306" s="47" t="s">
        <v>686</v>
      </c>
      <c r="E1306" s="76">
        <f>B1305*20</f>
        <v>0</v>
      </c>
    </row>
    <row r="1307" spans="1:5" thickBot="1" x14ac:dyDescent="0.3">
      <c r="A1307" s="25" t="s">
        <v>687</v>
      </c>
      <c r="B1307" s="14">
        <f>IFERROR(VLOOKUP(A1307,Tabla3[],2,FALSE),0)</f>
        <v>3</v>
      </c>
      <c r="C1307" s="26"/>
      <c r="D1307" s="26" t="s">
        <v>637</v>
      </c>
      <c r="E1307" s="26">
        <f>B1307</f>
        <v>3</v>
      </c>
    </row>
    <row r="1308" spans="1:5" thickBot="1" x14ac:dyDescent="0.3">
      <c r="A1308" s="34"/>
      <c r="B1308" s="14">
        <f>IFERROR(VLOOKUP(A1308,Tabla3[],2,FALSE),0)</f>
        <v>0</v>
      </c>
      <c r="C1308" s="35" t="s">
        <v>133</v>
      </c>
      <c r="D1308" s="35" t="s">
        <v>51</v>
      </c>
      <c r="E1308" s="35">
        <f>B1307*20</f>
        <v>60</v>
      </c>
    </row>
    <row r="1309" spans="1:5" thickBot="1" x14ac:dyDescent="0.3">
      <c r="A1309" s="34"/>
      <c r="B1309" s="14">
        <f>IFERROR(VLOOKUP(A1309,Tabla3[],2,FALSE),0)</f>
        <v>0</v>
      </c>
      <c r="C1309" s="35" t="s">
        <v>131</v>
      </c>
      <c r="D1309" s="35" t="s">
        <v>106</v>
      </c>
      <c r="E1309" s="35">
        <f>B1307*20</f>
        <v>60</v>
      </c>
    </row>
    <row r="1310" spans="1:5" thickBot="1" x14ac:dyDescent="0.3">
      <c r="A1310" s="34"/>
      <c r="B1310" s="14">
        <f>IFERROR(VLOOKUP(A1310,Tabla3[],2,FALSE),0)</f>
        <v>0</v>
      </c>
      <c r="C1310" s="35"/>
      <c r="D1310" s="35" t="s">
        <v>636</v>
      </c>
      <c r="E1310" s="35">
        <f>B1307</f>
        <v>3</v>
      </c>
    </row>
    <row r="1311" spans="1:5" thickBot="1" x14ac:dyDescent="0.3">
      <c r="A1311" s="34"/>
      <c r="B1311" s="14">
        <f>IFERROR(VLOOKUP(A1311,Tabla3[],2,FALSE),0)</f>
        <v>0</v>
      </c>
      <c r="C1311" s="35"/>
      <c r="D1311" s="38" t="s">
        <v>97</v>
      </c>
      <c r="E1311" s="35">
        <f>B1307*50</f>
        <v>150</v>
      </c>
    </row>
    <row r="1312" spans="1:5" thickBot="1" x14ac:dyDescent="0.3">
      <c r="A1312" s="34"/>
      <c r="B1312" s="14">
        <f>IFERROR(VLOOKUP(A1312,Tabla3[],2,FALSE),0)</f>
        <v>0</v>
      </c>
      <c r="C1312" s="35" t="s">
        <v>131</v>
      </c>
      <c r="D1312" s="33" t="s">
        <v>116</v>
      </c>
      <c r="E1312" s="33">
        <f>B1307*75</f>
        <v>225</v>
      </c>
    </row>
    <row r="1313" spans="1:5" thickBot="1" x14ac:dyDescent="0.3">
      <c r="A1313" s="27"/>
      <c r="B1313" s="14">
        <f>IFERROR(VLOOKUP(A1313,Tabla3[],2,FALSE),0)</f>
        <v>0</v>
      </c>
      <c r="C1313" s="117"/>
      <c r="D1313" s="28" t="s">
        <v>107</v>
      </c>
      <c r="E1313" s="76">
        <f>B1312*20</f>
        <v>0</v>
      </c>
    </row>
    <row r="1314" spans="1:5" thickBot="1" x14ac:dyDescent="0.3">
      <c r="A1314" s="30" t="s">
        <v>688</v>
      </c>
      <c r="B1314" s="14">
        <f>IFERROR(VLOOKUP(A1314,Tabla3[],2,FALSE),0)</f>
        <v>5</v>
      </c>
      <c r="C1314" s="31"/>
      <c r="D1314" s="26" t="s">
        <v>637</v>
      </c>
      <c r="E1314" s="26">
        <f>B1314</f>
        <v>5</v>
      </c>
    </row>
    <row r="1315" spans="1:5" thickBot="1" x14ac:dyDescent="0.3">
      <c r="A1315" s="34"/>
      <c r="B1315" s="14">
        <f>IFERROR(VLOOKUP(A1315,Tabla3[],2,FALSE),0)</f>
        <v>0</v>
      </c>
      <c r="C1315" s="35" t="s">
        <v>133</v>
      </c>
      <c r="D1315" s="35" t="s">
        <v>51</v>
      </c>
      <c r="E1315" s="35">
        <f>B1314*20</f>
        <v>100</v>
      </c>
    </row>
    <row r="1316" spans="1:5" thickBot="1" x14ac:dyDescent="0.3">
      <c r="A1316" s="34"/>
      <c r="B1316" s="14">
        <f>IFERROR(VLOOKUP(A1316,Tabla3[],2,FALSE),0)</f>
        <v>0</v>
      </c>
      <c r="C1316" s="35" t="s">
        <v>131</v>
      </c>
      <c r="D1316" s="35" t="s">
        <v>106</v>
      </c>
      <c r="E1316" s="35">
        <f>B1314*20</f>
        <v>100</v>
      </c>
    </row>
    <row r="1317" spans="1:5" thickBot="1" x14ac:dyDescent="0.3">
      <c r="A1317" s="34"/>
      <c r="B1317" s="14">
        <f>IFERROR(VLOOKUP(A1317,Tabla3[],2,FALSE),0)</f>
        <v>0</v>
      </c>
      <c r="C1317" s="35"/>
      <c r="D1317" s="35" t="s">
        <v>636</v>
      </c>
      <c r="E1317" s="35">
        <f>B1314</f>
        <v>5</v>
      </c>
    </row>
    <row r="1318" spans="1:5" thickBot="1" x14ac:dyDescent="0.3">
      <c r="A1318" s="34"/>
      <c r="B1318" s="14">
        <f>IFERROR(VLOOKUP(A1318,Tabla3[],2,FALSE),0)</f>
        <v>0</v>
      </c>
      <c r="C1318" s="35"/>
      <c r="D1318" s="38" t="s">
        <v>97</v>
      </c>
      <c r="E1318" s="35">
        <f>B1314*50</f>
        <v>250</v>
      </c>
    </row>
    <row r="1319" spans="1:5" thickBot="1" x14ac:dyDescent="0.3">
      <c r="A1319" s="34"/>
      <c r="B1319" s="14">
        <f>IFERROR(VLOOKUP(A1319,Tabla3[],2,FALSE),0)</f>
        <v>0</v>
      </c>
      <c r="C1319" s="35" t="s">
        <v>131</v>
      </c>
      <c r="D1319" s="33" t="s">
        <v>116</v>
      </c>
      <c r="E1319" s="33">
        <f>B1314*75</f>
        <v>375</v>
      </c>
    </row>
    <row r="1320" spans="1:5" thickBot="1" x14ac:dyDescent="0.3">
      <c r="A1320" s="27"/>
      <c r="B1320" s="14">
        <f>IFERROR(VLOOKUP(A1320,Tabla3[],2,FALSE),0)</f>
        <v>0</v>
      </c>
      <c r="C1320" s="117"/>
      <c r="D1320" s="102" t="s">
        <v>104</v>
      </c>
      <c r="E1320" s="76">
        <f>B1319*20</f>
        <v>0</v>
      </c>
    </row>
    <row r="1321" spans="1:5" thickBot="1" x14ac:dyDescent="0.3">
      <c r="A1321" s="30" t="s">
        <v>689</v>
      </c>
      <c r="B1321" s="14">
        <f>IFERROR(VLOOKUP(A1321,Tabla3[],2,FALSE),0)</f>
        <v>4</v>
      </c>
      <c r="C1321" s="31"/>
      <c r="D1321" s="26" t="s">
        <v>637</v>
      </c>
      <c r="E1321" s="26">
        <f>B1321</f>
        <v>4</v>
      </c>
    </row>
    <row r="1322" spans="1:5" thickBot="1" x14ac:dyDescent="0.3">
      <c r="A1322" s="34"/>
      <c r="B1322" s="14">
        <f>IFERROR(VLOOKUP(A1322,Tabla3[],2,FALSE),0)</f>
        <v>0</v>
      </c>
      <c r="C1322" s="35" t="s">
        <v>133</v>
      </c>
      <c r="D1322" s="35" t="s">
        <v>51</v>
      </c>
      <c r="E1322" s="35">
        <f>B1321*20</f>
        <v>80</v>
      </c>
    </row>
    <row r="1323" spans="1:5" thickBot="1" x14ac:dyDescent="0.3">
      <c r="A1323" s="34"/>
      <c r="B1323" s="14">
        <f>IFERROR(VLOOKUP(A1323,Tabla3[],2,FALSE),0)</f>
        <v>0</v>
      </c>
      <c r="C1323" s="35" t="s">
        <v>131</v>
      </c>
      <c r="D1323" s="35" t="s">
        <v>106</v>
      </c>
      <c r="E1323" s="35">
        <f>B1321*20</f>
        <v>80</v>
      </c>
    </row>
    <row r="1324" spans="1:5" thickBot="1" x14ac:dyDescent="0.3">
      <c r="A1324" s="34"/>
      <c r="B1324" s="14">
        <f>IFERROR(VLOOKUP(A1324,Tabla3[],2,FALSE),0)</f>
        <v>0</v>
      </c>
      <c r="C1324" s="35"/>
      <c r="D1324" s="35" t="s">
        <v>636</v>
      </c>
      <c r="E1324" s="35">
        <f>B1321</f>
        <v>4</v>
      </c>
    </row>
    <row r="1325" spans="1:5" thickBot="1" x14ac:dyDescent="0.3">
      <c r="A1325" s="34"/>
      <c r="B1325" s="14">
        <f>IFERROR(VLOOKUP(A1325,Tabla3[],2,FALSE),0)</f>
        <v>0</v>
      </c>
      <c r="C1325" s="35"/>
      <c r="D1325" s="38" t="s">
        <v>97</v>
      </c>
      <c r="E1325" s="35">
        <f>B1321*50</f>
        <v>200</v>
      </c>
    </row>
    <row r="1326" spans="1:5" thickBot="1" x14ac:dyDescent="0.3">
      <c r="A1326" s="34"/>
      <c r="B1326" s="14">
        <f>IFERROR(VLOOKUP(A1326,Tabla3[],2,FALSE),0)</f>
        <v>0</v>
      </c>
      <c r="C1326" s="35" t="s">
        <v>131</v>
      </c>
      <c r="D1326" s="33" t="s">
        <v>116</v>
      </c>
      <c r="E1326" s="33">
        <f>B1321*75</f>
        <v>300</v>
      </c>
    </row>
    <row r="1327" spans="1:5" thickBot="1" x14ac:dyDescent="0.3">
      <c r="A1327" s="32"/>
      <c r="B1327" s="14">
        <f>IFERROR(VLOOKUP(A1327,Tabla3[],2,FALSE),0)</f>
        <v>0</v>
      </c>
      <c r="C1327" s="82"/>
      <c r="D1327" s="33" t="s">
        <v>582</v>
      </c>
      <c r="E1327" s="76">
        <f>B1326*20</f>
        <v>0</v>
      </c>
    </row>
    <row r="1328" spans="1:5" thickBot="1" x14ac:dyDescent="0.3">
      <c r="A1328" s="125" t="s">
        <v>632</v>
      </c>
      <c r="B1328" s="14">
        <f>IFERROR(VLOOKUP(A1328,Tabla3[],2,FALSE),0)</f>
        <v>0</v>
      </c>
      <c r="C1328" s="126"/>
      <c r="D1328" s="20" t="s">
        <v>690</v>
      </c>
      <c r="E1328" s="98">
        <f>B1328*500</f>
        <v>0</v>
      </c>
    </row>
    <row r="1329" spans="1:5" thickBot="1" x14ac:dyDescent="0.3">
      <c r="A1329" s="121" t="s">
        <v>691</v>
      </c>
      <c r="B1329" s="14">
        <f>IFERROR(VLOOKUP(A1329,Tabla3[],2,FALSE),0)</f>
        <v>0</v>
      </c>
      <c r="C1329" s="112"/>
      <c r="D1329" s="54" t="s">
        <v>127</v>
      </c>
      <c r="E1329" s="98">
        <f>B1329</f>
        <v>0</v>
      </c>
    </row>
    <row r="1330" spans="1:5" thickBot="1" x14ac:dyDescent="0.3">
      <c r="A1330" s="81" t="s">
        <v>692</v>
      </c>
      <c r="B1330" s="14">
        <f>IFERROR(VLOOKUP(A1330,Tabla3[],2,FALSE),0)</f>
        <v>0</v>
      </c>
      <c r="C1330" s="81"/>
      <c r="D1330" s="35" t="s">
        <v>220</v>
      </c>
      <c r="E1330" s="98">
        <f>B1330*500</f>
        <v>0</v>
      </c>
    </row>
    <row r="1331" spans="1:5" thickBot="1" x14ac:dyDescent="0.3">
      <c r="A1331" s="81"/>
      <c r="B1331" s="14">
        <f>IFERROR(VLOOKUP(A1331,Tabla3[],2,FALSE),0)</f>
        <v>0</v>
      </c>
      <c r="C1331" s="81"/>
      <c r="D1331" s="35" t="s">
        <v>106</v>
      </c>
      <c r="E1331" s="26">
        <f>B1331*75</f>
        <v>0</v>
      </c>
    </row>
    <row r="1332" spans="1:5" thickBot="1" x14ac:dyDescent="0.3">
      <c r="A1332" s="81" t="s">
        <v>693</v>
      </c>
      <c r="B1332" s="14">
        <f>IFERROR(VLOOKUP(A1332,Tabla3[],2,FALSE),0)</f>
        <v>3</v>
      </c>
      <c r="C1332" s="81"/>
      <c r="D1332" s="35" t="s">
        <v>220</v>
      </c>
      <c r="E1332" s="35">
        <f>B1331*500</f>
        <v>0</v>
      </c>
    </row>
    <row r="1333" spans="1:5" thickBot="1" x14ac:dyDescent="0.3">
      <c r="A1333" s="25" t="s">
        <v>612</v>
      </c>
      <c r="B1333" s="14">
        <f>IFERROR(VLOOKUP(A1333,Tabla3[],2,FALSE),0)</f>
        <v>4</v>
      </c>
      <c r="C1333" s="26"/>
      <c r="D1333" s="26" t="s">
        <v>13</v>
      </c>
      <c r="E1333" s="26">
        <f>B1333*800</f>
        <v>3200</v>
      </c>
    </row>
    <row r="1334" spans="1:5" thickBot="1" x14ac:dyDescent="0.3">
      <c r="A1334" s="34"/>
      <c r="B1334" s="14">
        <f>IFERROR(VLOOKUP(A1334,Tabla3[],2,FALSE),0)</f>
        <v>0</v>
      </c>
      <c r="C1334" s="35"/>
      <c r="D1334" s="35" t="s">
        <v>9</v>
      </c>
      <c r="E1334" s="35">
        <f>B1333*150</f>
        <v>600</v>
      </c>
    </row>
    <row r="1335" spans="1:5" thickBot="1" x14ac:dyDescent="0.3">
      <c r="A1335" s="34"/>
      <c r="B1335" s="14">
        <f>IFERROR(VLOOKUP(A1335,Tabla3[],2,FALSE),0)</f>
        <v>0</v>
      </c>
      <c r="C1335" s="35"/>
      <c r="D1335" s="35" t="s">
        <v>16</v>
      </c>
      <c r="E1335" s="35">
        <f>B1333*150</f>
        <v>600</v>
      </c>
    </row>
    <row r="1336" spans="1:5" thickBot="1" x14ac:dyDescent="0.3">
      <c r="A1336" s="34"/>
      <c r="B1336" s="14">
        <f>IFERROR(VLOOKUP(A1336,Tabla3[],2,FALSE),0)</f>
        <v>0</v>
      </c>
      <c r="C1336" s="35"/>
      <c r="D1336" s="35" t="s">
        <v>23</v>
      </c>
      <c r="E1336" s="35">
        <f>B1333*20</f>
        <v>80</v>
      </c>
    </row>
    <row r="1337" spans="1:5" thickBot="1" x14ac:dyDescent="0.3">
      <c r="A1337" s="27"/>
      <c r="B1337" s="14">
        <f>IFERROR(VLOOKUP(A1337,Tabla3[],2,FALSE),0)</f>
        <v>0</v>
      </c>
      <c r="C1337" s="28"/>
      <c r="D1337" s="28" t="s">
        <v>31</v>
      </c>
      <c r="E1337" s="38">
        <f>B1333</f>
        <v>4</v>
      </c>
    </row>
    <row r="1338" spans="1:5" thickBot="1" x14ac:dyDescent="0.3">
      <c r="A1338" s="25" t="s">
        <v>694</v>
      </c>
      <c r="B1338" s="14">
        <f>IFERROR(VLOOKUP(A1338,Tabla3[],2,FALSE),0)</f>
        <v>0</v>
      </c>
      <c r="C1338" s="37"/>
      <c r="D1338" s="37" t="s">
        <v>11</v>
      </c>
      <c r="E1338" s="37">
        <f>B1338</f>
        <v>0</v>
      </c>
    </row>
    <row r="1339" spans="1:5" thickBot="1" x14ac:dyDescent="0.3">
      <c r="A1339" s="34"/>
      <c r="B1339" s="14">
        <f>IFERROR(VLOOKUP(A1339,Tabla3[],2,FALSE),0)</f>
        <v>0</v>
      </c>
      <c r="C1339" s="38"/>
      <c r="D1339" s="38" t="s">
        <v>13</v>
      </c>
      <c r="E1339" s="38">
        <f>B1338*300</f>
        <v>0</v>
      </c>
    </row>
    <row r="1340" spans="1:5" thickBot="1" x14ac:dyDescent="0.3">
      <c r="A1340" s="32"/>
      <c r="B1340" s="14">
        <f>IFERROR(VLOOKUP(A1340,Tabla3[],2,FALSE),0)</f>
        <v>0</v>
      </c>
      <c r="C1340" s="39"/>
      <c r="D1340" s="39" t="s">
        <v>209</v>
      </c>
      <c r="E1340" s="39">
        <f>2*B1338</f>
        <v>0</v>
      </c>
    </row>
    <row r="1341" spans="1:5" thickBot="1" x14ac:dyDescent="0.3">
      <c r="A1341" s="25" t="s">
        <v>695</v>
      </c>
      <c r="B1341" s="14">
        <f>IFERROR(VLOOKUP(A1341,Tabla3[],2,FALSE),0)</f>
        <v>0</v>
      </c>
      <c r="C1341" s="26"/>
      <c r="D1341" s="26" t="s">
        <v>8</v>
      </c>
      <c r="E1341" s="26">
        <f>B1341*2</f>
        <v>0</v>
      </c>
    </row>
    <row r="1342" spans="1:5" thickBot="1" x14ac:dyDescent="0.3">
      <c r="A1342" s="34"/>
      <c r="B1342" s="14">
        <f>IFERROR(VLOOKUP(A1342,Tabla3[],2,FALSE),0)</f>
        <v>0</v>
      </c>
      <c r="C1342" s="35"/>
      <c r="D1342" s="35" t="s">
        <v>634</v>
      </c>
      <c r="E1342" s="35">
        <f>B1341*5</f>
        <v>0</v>
      </c>
    </row>
    <row r="1343" spans="1:5" thickBot="1" x14ac:dyDescent="0.3">
      <c r="A1343" s="34"/>
      <c r="B1343" s="14">
        <f>IFERROR(VLOOKUP(A1343,Tabla3[],2,FALSE),0)</f>
        <v>0</v>
      </c>
      <c r="C1343" s="35"/>
      <c r="D1343" s="35" t="s">
        <v>102</v>
      </c>
      <c r="E1343" s="35">
        <f>B1341*0.5</f>
        <v>0</v>
      </c>
    </row>
    <row r="1344" spans="1:5" thickBot="1" x14ac:dyDescent="0.3">
      <c r="A1344" s="32"/>
      <c r="B1344" s="14">
        <f>IFERROR(VLOOKUP(A1344,Tabla3[],2,FALSE),0)</f>
        <v>0</v>
      </c>
      <c r="C1344" s="33"/>
      <c r="D1344" s="33" t="s">
        <v>13</v>
      </c>
      <c r="E1344" s="33">
        <f>B1341*120</f>
        <v>0</v>
      </c>
    </row>
    <row r="1345" spans="1:5" thickBot="1" x14ac:dyDescent="0.3">
      <c r="A1345" s="25" t="s">
        <v>696</v>
      </c>
      <c r="B1345" s="14">
        <f>IFERROR(VLOOKUP(A1345,Tabla3[],2,FALSE),0)</f>
        <v>0</v>
      </c>
      <c r="C1345" s="26"/>
      <c r="D1345" s="26" t="s">
        <v>26</v>
      </c>
      <c r="E1345" s="2">
        <f>B1345</f>
        <v>0</v>
      </c>
    </row>
    <row r="1346" spans="1:5" thickBot="1" x14ac:dyDescent="0.3">
      <c r="A1346" s="34"/>
      <c r="B1346" s="14">
        <f>IFERROR(VLOOKUP(A1346,Tabla3[],2,FALSE),0)</f>
        <v>0</v>
      </c>
      <c r="C1346" s="35"/>
      <c r="D1346" s="35" t="s">
        <v>9</v>
      </c>
      <c r="E1346" s="6">
        <f>B1345*50</f>
        <v>0</v>
      </c>
    </row>
    <row r="1347" spans="1:5" thickBot="1" x14ac:dyDescent="0.3">
      <c r="A1347" s="34"/>
      <c r="B1347" s="14">
        <f>IFERROR(VLOOKUP(A1347,Tabla3[],2,FALSE),0)</f>
        <v>0</v>
      </c>
      <c r="C1347" s="35"/>
      <c r="D1347" s="35" t="s">
        <v>102</v>
      </c>
      <c r="E1347" s="6">
        <f>B1345*0.5</f>
        <v>0</v>
      </c>
    </row>
    <row r="1348" spans="1:5" thickBot="1" x14ac:dyDescent="0.3">
      <c r="A1348" s="34"/>
      <c r="B1348" s="14">
        <f>IFERROR(VLOOKUP(A1348,Tabla3[],2,FALSE),0)</f>
        <v>0</v>
      </c>
      <c r="C1348" s="35"/>
      <c r="D1348" s="35" t="s">
        <v>28</v>
      </c>
      <c r="E1348" s="6">
        <f>B1345</f>
        <v>0</v>
      </c>
    </row>
    <row r="1349" spans="1:5" thickBot="1" x14ac:dyDescent="0.3">
      <c r="A1349" s="32"/>
      <c r="B1349" s="14">
        <f>IFERROR(VLOOKUP(A1349,Tabla3[],2,FALSE),0)</f>
        <v>0</v>
      </c>
      <c r="C1349" s="33"/>
      <c r="D1349" s="33" t="s">
        <v>13</v>
      </c>
      <c r="E1349" s="1">
        <f>B1345*100</f>
        <v>0</v>
      </c>
    </row>
    <row r="1350" spans="1:5" thickBot="1" x14ac:dyDescent="0.3">
      <c r="A1350" s="116" t="s">
        <v>697</v>
      </c>
      <c r="B1350" s="14">
        <f>IFERROR(VLOOKUP(A1350,Tabla3[],2,FALSE),0)</f>
        <v>0</v>
      </c>
      <c r="C1350" s="31"/>
      <c r="D1350" s="31" t="s">
        <v>520</v>
      </c>
      <c r="E1350" s="31">
        <f>B1350</f>
        <v>0</v>
      </c>
    </row>
    <row r="1351" spans="1:5" thickBot="1" x14ac:dyDescent="0.3">
      <c r="A1351" s="34"/>
      <c r="B1351" s="14">
        <f>IFERROR(VLOOKUP(A1351,Tabla3[],2,FALSE),0)</f>
        <v>0</v>
      </c>
      <c r="C1351" s="35"/>
      <c r="D1351" s="35" t="s">
        <v>311</v>
      </c>
      <c r="E1351" s="35">
        <f>B1350*2</f>
        <v>0</v>
      </c>
    </row>
    <row r="1352" spans="1:5" thickBot="1" x14ac:dyDescent="0.3">
      <c r="A1352" s="32"/>
      <c r="B1352" s="14">
        <f>IFERROR(VLOOKUP(A1352,Tabla3[],2,FALSE),0)</f>
        <v>0</v>
      </c>
      <c r="C1352" s="33"/>
      <c r="D1352" s="28" t="s">
        <v>16</v>
      </c>
      <c r="E1352" s="28">
        <f>B1350*50</f>
        <v>0</v>
      </c>
    </row>
    <row r="1353" spans="1:5" thickBot="1" x14ac:dyDescent="0.3">
      <c r="A1353" s="25" t="s">
        <v>606</v>
      </c>
      <c r="B1353" s="14">
        <f>IFERROR(VLOOKUP(A1353,Tabla3[],2,FALSE),0)</f>
        <v>9</v>
      </c>
      <c r="C1353" s="127"/>
      <c r="D1353" s="26" t="s">
        <v>19</v>
      </c>
      <c r="E1353" s="20">
        <f t="shared" ref="E1353:E1354" si="32">B1353</f>
        <v>9</v>
      </c>
    </row>
    <row r="1354" spans="1:5" thickBot="1" x14ac:dyDescent="0.3">
      <c r="A1354" s="27" t="s">
        <v>611</v>
      </c>
      <c r="B1354" s="14">
        <f>IFERROR(VLOOKUP(A1354,Tabla3[],2,FALSE),0)</f>
        <v>0</v>
      </c>
      <c r="C1354" s="117"/>
      <c r="D1354" s="28" t="s">
        <v>583</v>
      </c>
      <c r="E1354" s="50">
        <f t="shared" si="32"/>
        <v>0</v>
      </c>
    </row>
    <row r="1355" spans="1:5" thickBot="1" x14ac:dyDescent="0.3">
      <c r="A1355" s="18" t="s">
        <v>538</v>
      </c>
      <c r="B1355" s="14">
        <f>IFERROR(VLOOKUP(A1355,Tabla3[],2,FALSE),0)</f>
        <v>0</v>
      </c>
      <c r="C1355" s="47" t="s">
        <v>136</v>
      </c>
      <c r="D1355" s="20" t="s">
        <v>698</v>
      </c>
      <c r="E1355" s="20">
        <f>B1355*150</f>
        <v>0</v>
      </c>
    </row>
    <row r="1356" spans="1:5" thickBot="1" x14ac:dyDescent="0.3">
      <c r="A1356" s="49" t="s">
        <v>366</v>
      </c>
      <c r="B1356" s="14">
        <f>IFERROR(VLOOKUP(A1356,Tabla3[],2,FALSE),0)</f>
        <v>0</v>
      </c>
      <c r="C1356" s="51" t="s">
        <v>136</v>
      </c>
      <c r="D1356" s="50" t="s">
        <v>699</v>
      </c>
      <c r="E1356" s="20">
        <f t="shared" ref="E1356:E1359" si="33">B1356</f>
        <v>0</v>
      </c>
    </row>
    <row r="1357" spans="1:5" thickBot="1" x14ac:dyDescent="0.3">
      <c r="A1357" s="18" t="s">
        <v>574</v>
      </c>
      <c r="B1357" s="14">
        <f>IFERROR(VLOOKUP(A1357,Tabla3[],2,FALSE),0)</f>
        <v>0</v>
      </c>
      <c r="C1357" s="47" t="s">
        <v>136</v>
      </c>
      <c r="D1357" s="47" t="s">
        <v>69</v>
      </c>
      <c r="E1357" s="20">
        <f t="shared" si="33"/>
        <v>0</v>
      </c>
    </row>
    <row r="1358" spans="1:5" thickBot="1" x14ac:dyDescent="0.3">
      <c r="A1358" s="18" t="s">
        <v>537</v>
      </c>
      <c r="B1358" s="14">
        <f>IFERROR(VLOOKUP(A1358,Tabla3[],2,FALSE),0)</f>
        <v>0</v>
      </c>
      <c r="C1358" s="47" t="s">
        <v>136</v>
      </c>
      <c r="D1358" s="20" t="s">
        <v>700</v>
      </c>
      <c r="E1358" s="20">
        <f t="shared" si="33"/>
        <v>0</v>
      </c>
    </row>
    <row r="1359" spans="1:5" thickBot="1" x14ac:dyDescent="0.3">
      <c r="A1359" s="18" t="s">
        <v>737</v>
      </c>
      <c r="B1359" s="14">
        <f>IFERROR(VLOOKUP(A1359,Tabla3[],2,FALSE),0)</f>
        <v>0</v>
      </c>
      <c r="C1359" s="47" t="s">
        <v>136</v>
      </c>
      <c r="D1359" s="20" t="s">
        <v>701</v>
      </c>
      <c r="E1359" s="20">
        <f t="shared" si="33"/>
        <v>0</v>
      </c>
    </row>
    <row r="1360" spans="1:5" thickBot="1" x14ac:dyDescent="0.3">
      <c r="A1360" s="18" t="s">
        <v>575</v>
      </c>
      <c r="B1360" s="14">
        <f>IFERROR(VLOOKUP(A1360,Tabla3[],2,FALSE),0)</f>
        <v>0</v>
      </c>
      <c r="C1360" s="47" t="s">
        <v>136</v>
      </c>
      <c r="D1360" s="20" t="s">
        <v>702</v>
      </c>
      <c r="E1360" s="20"/>
    </row>
    <row r="1361" spans="1:5" thickBot="1" x14ac:dyDescent="0.3">
      <c r="A1361" s="18" t="s">
        <v>562</v>
      </c>
      <c r="B1361" s="14">
        <f>IFERROR(VLOOKUP(A1361,Tabla3[],2,FALSE),0)</f>
        <v>0</v>
      </c>
      <c r="C1361" s="47" t="s">
        <v>136</v>
      </c>
      <c r="D1361" s="20" t="s">
        <v>703</v>
      </c>
      <c r="E1361" s="54">
        <f>B1361*150</f>
        <v>0</v>
      </c>
    </row>
    <row r="1362" spans="1:5" thickBot="1" x14ac:dyDescent="0.3">
      <c r="A1362" s="18" t="s">
        <v>561</v>
      </c>
      <c r="B1362" s="14">
        <f>IFERROR(VLOOKUP(A1362,Tabla3[],2,FALSE),0)</f>
        <v>0</v>
      </c>
      <c r="C1362" s="47" t="s">
        <v>135</v>
      </c>
      <c r="D1362" s="20" t="s">
        <v>704</v>
      </c>
      <c r="E1362" s="106">
        <f t="shared" ref="E1362" si="34">B1362*500</f>
        <v>0</v>
      </c>
    </row>
    <row r="1363" spans="1:5" thickBot="1" x14ac:dyDescent="0.3">
      <c r="A1363" s="53" t="s">
        <v>550</v>
      </c>
      <c r="B1363" s="14">
        <f>IFERROR(VLOOKUP(A1363,Tabla3[],2,FALSE),0)</f>
        <v>0</v>
      </c>
      <c r="C1363" s="55" t="s">
        <v>135</v>
      </c>
      <c r="D1363" s="55" t="s">
        <v>70</v>
      </c>
      <c r="E1363" s="19">
        <f t="shared" ref="E1363:E1373" si="35">B1363</f>
        <v>0</v>
      </c>
    </row>
    <row r="1364" spans="1:5" thickBot="1" x14ac:dyDescent="0.3">
      <c r="A1364" s="128" t="s">
        <v>705</v>
      </c>
      <c r="B1364" s="14">
        <f>IFERROR(VLOOKUP(A1364,Tabla3[],2,FALSE),0)</f>
        <v>0</v>
      </c>
      <c r="C1364" s="38"/>
      <c r="D1364" s="35" t="s">
        <v>706</v>
      </c>
      <c r="E1364" s="19">
        <f t="shared" si="35"/>
        <v>0</v>
      </c>
    </row>
    <row r="1365" spans="1:5" thickBot="1" x14ac:dyDescent="0.3">
      <c r="A1365" s="128" t="s">
        <v>627</v>
      </c>
      <c r="B1365" s="14">
        <f>IFERROR(VLOOKUP(A1365,Tabla3[],2,FALSE),0)</f>
        <v>0</v>
      </c>
      <c r="C1365" s="38"/>
      <c r="D1365" s="38" t="s">
        <v>100</v>
      </c>
      <c r="E1365" s="19">
        <f t="shared" si="35"/>
        <v>0</v>
      </c>
    </row>
    <row r="1366" spans="1:5" thickBot="1" x14ac:dyDescent="0.3">
      <c r="A1366" s="128" t="s">
        <v>707</v>
      </c>
      <c r="B1366" s="14">
        <f>IFERROR(VLOOKUP(A1366,Tabla3[],2,FALSE),0)</f>
        <v>2</v>
      </c>
      <c r="C1366" s="38"/>
      <c r="D1366" s="38" t="s">
        <v>6</v>
      </c>
      <c r="E1366" s="19">
        <f t="shared" si="35"/>
        <v>2</v>
      </c>
    </row>
    <row r="1367" spans="1:5" thickBot="1" x14ac:dyDescent="0.3">
      <c r="A1367" s="129" t="s">
        <v>708</v>
      </c>
      <c r="B1367" s="14">
        <f>IFERROR(VLOOKUP(A1367,Tabla3[],2,FALSE),0)</f>
        <v>1</v>
      </c>
      <c r="C1367" s="38"/>
      <c r="D1367" s="35" t="s">
        <v>8</v>
      </c>
      <c r="E1367" s="19">
        <f t="shared" si="35"/>
        <v>1</v>
      </c>
    </row>
    <row r="1368" spans="1:5" thickBot="1" x14ac:dyDescent="0.3">
      <c r="A1368" s="128" t="s">
        <v>620</v>
      </c>
      <c r="B1368" s="14">
        <f>IFERROR(VLOOKUP(A1368,Tabla3[],2,FALSE),0)</f>
        <v>2</v>
      </c>
      <c r="C1368" s="38"/>
      <c r="D1368" s="38" t="s">
        <v>102</v>
      </c>
      <c r="E1368" s="19">
        <f>B1368*50</f>
        <v>100</v>
      </c>
    </row>
    <row r="1369" spans="1:5" thickBot="1" x14ac:dyDescent="0.3">
      <c r="A1369" s="129" t="s">
        <v>621</v>
      </c>
      <c r="B1369" s="14">
        <f>IFERROR(VLOOKUP(A1369,Tabla3[],2,FALSE),0)</f>
        <v>4</v>
      </c>
      <c r="C1369" s="38"/>
      <c r="D1369" s="38" t="s">
        <v>24</v>
      </c>
      <c r="E1369" s="19">
        <f>B1369*50</f>
        <v>200</v>
      </c>
    </row>
    <row r="1370" spans="1:5" thickBot="1" x14ac:dyDescent="0.3">
      <c r="A1370" s="128" t="s">
        <v>709</v>
      </c>
      <c r="B1370" s="14">
        <f>IFERROR(VLOOKUP(A1370,Tabla3[],2,FALSE),0)</f>
        <v>7</v>
      </c>
      <c r="C1370" s="38"/>
      <c r="D1370" s="38" t="s">
        <v>16</v>
      </c>
      <c r="E1370" s="19">
        <f t="shared" si="35"/>
        <v>7</v>
      </c>
    </row>
    <row r="1371" spans="1:5" thickBot="1" x14ac:dyDescent="0.3">
      <c r="A1371" s="129" t="s">
        <v>710</v>
      </c>
      <c r="B1371" s="14">
        <f>IFERROR(VLOOKUP(A1371,Tabla3[],2,FALSE),0)</f>
        <v>2</v>
      </c>
      <c r="C1371" s="38"/>
      <c r="D1371" s="38" t="s">
        <v>35</v>
      </c>
      <c r="E1371" s="19">
        <f t="shared" si="35"/>
        <v>2</v>
      </c>
    </row>
    <row r="1372" spans="1:5" thickBot="1" x14ac:dyDescent="0.3">
      <c r="A1372" s="128" t="s">
        <v>740</v>
      </c>
      <c r="B1372" s="14">
        <f>IFERROR(VLOOKUP(A1372,Tabla3[],2,FALSE),0)</f>
        <v>0</v>
      </c>
      <c r="C1372" s="38"/>
      <c r="D1372" s="38"/>
      <c r="E1372" s="19">
        <f t="shared" si="35"/>
        <v>0</v>
      </c>
    </row>
    <row r="1373" spans="1:5" thickBot="1" x14ac:dyDescent="0.3">
      <c r="A1373" s="129" t="s">
        <v>711</v>
      </c>
      <c r="B1373" s="14">
        <f>IFERROR(VLOOKUP(A1373,Tabla3[],2,FALSE),0)</f>
        <v>2</v>
      </c>
      <c r="C1373" s="38"/>
      <c r="D1373" s="38" t="s">
        <v>32</v>
      </c>
      <c r="E1373" s="19">
        <f t="shared" si="35"/>
        <v>2</v>
      </c>
    </row>
    <row r="1374" spans="1:5" thickBot="1" x14ac:dyDescent="0.3">
      <c r="A1374" s="128" t="s">
        <v>712</v>
      </c>
      <c r="B1374" s="14">
        <f>IFERROR(VLOOKUP(A1374,Tabla3[],2,FALSE),0)</f>
        <v>1</v>
      </c>
      <c r="C1374" s="38"/>
      <c r="D1374" s="35" t="s">
        <v>4</v>
      </c>
      <c r="E1374" s="107">
        <f>B1374*2</f>
        <v>2</v>
      </c>
    </row>
    <row r="1375" spans="1:5" thickBot="1" x14ac:dyDescent="0.3">
      <c r="A1375" s="130" t="s">
        <v>619</v>
      </c>
      <c r="B1375" s="14">
        <f>IFERROR(VLOOKUP(A1375,Tabla3[],2,FALSE),0)</f>
        <v>3</v>
      </c>
      <c r="C1375"/>
      <c r="D1375" s="55" t="s">
        <v>311</v>
      </c>
      <c r="E1375" s="107">
        <f>B1375</f>
        <v>3</v>
      </c>
    </row>
    <row r="1376" spans="1:5" thickBot="1" x14ac:dyDescent="0.3">
      <c r="A1376" s="130" t="s">
        <v>713</v>
      </c>
      <c r="B1376" s="14">
        <f>IFERROR(VLOOKUP(A1376,Tabla3[],2,FALSE),0)</f>
        <v>0</v>
      </c>
      <c r="C1376"/>
      <c r="D1376" s="55" t="s">
        <v>714</v>
      </c>
      <c r="E1376" s="42">
        <f>B1376*2</f>
        <v>0</v>
      </c>
    </row>
    <row r="1377" spans="1:5" thickBot="1" x14ac:dyDescent="0.3">
      <c r="A1377" s="131" t="s">
        <v>715</v>
      </c>
      <c r="B1377" s="14">
        <f>IFERROR(VLOOKUP(A1377,Tabla3[],2,FALSE),0)</f>
        <v>1</v>
      </c>
      <c r="C1377"/>
      <c r="D1377" s="55" t="s">
        <v>714</v>
      </c>
      <c r="E1377" s="75">
        <f>B1377</f>
        <v>1</v>
      </c>
    </row>
    <row r="1378" spans="1:5" thickBot="1" x14ac:dyDescent="0.3">
      <c r="A1378" s="132" t="s">
        <v>633</v>
      </c>
      <c r="B1378" s="14">
        <f>IFERROR(VLOOKUP(A1378,Tabla3[],2,FALSE),0)</f>
        <v>7</v>
      </c>
      <c r="C1378" s="42"/>
      <c r="D1378" s="206" t="s">
        <v>77</v>
      </c>
      <c r="E1378" s="79">
        <f>B1378</f>
        <v>7</v>
      </c>
    </row>
    <row r="1379" spans="1:5" ht="15" x14ac:dyDescent="0.25">
      <c r="A1379" s="230" t="s">
        <v>716</v>
      </c>
      <c r="B1379" s="2">
        <f>IFERROR(VLOOKUP(A1379,Tabla3[],2,FALSE),0)</f>
        <v>2</v>
      </c>
      <c r="C1379" s="75"/>
      <c r="D1379" s="75" t="s">
        <v>14</v>
      </c>
      <c r="E1379" s="215">
        <f>B1379</f>
        <v>2</v>
      </c>
    </row>
    <row r="1380" spans="1:5" thickBot="1" x14ac:dyDescent="0.3">
      <c r="A1380" s="231"/>
      <c r="B1380" s="180">
        <f>IFERROR(VLOOKUP(A1380,Tabla3[],2,FALSE),0)</f>
        <v>0</v>
      </c>
      <c r="C1380" s="77"/>
      <c r="D1380" s="77" t="s">
        <v>311</v>
      </c>
      <c r="E1380" s="167">
        <f>B1379*2</f>
        <v>4</v>
      </c>
    </row>
    <row r="1381" spans="1:5" thickBot="1" x14ac:dyDescent="0.3">
      <c r="A1381" s="222" t="s">
        <v>717</v>
      </c>
      <c r="B1381" s="223">
        <f>IFERROR(VLOOKUP(A1381,Tabla3[],2,FALSE),0)</f>
        <v>0</v>
      </c>
      <c r="C1381" s="228"/>
      <c r="D1381" s="228" t="s">
        <v>35</v>
      </c>
      <c r="E1381" s="229">
        <f t="shared" ref="E1381:E1386" si="36">B1381</f>
        <v>0</v>
      </c>
    </row>
    <row r="1382" spans="1:5" thickBot="1" x14ac:dyDescent="0.3">
      <c r="A1382" s="227" t="s">
        <v>618</v>
      </c>
      <c r="B1382" s="223">
        <f>IFERROR(VLOOKUP(A1382,Tabla3[],2,FALSE),0)</f>
        <v>2</v>
      </c>
      <c r="C1382" s="228"/>
      <c r="D1382" s="228" t="s">
        <v>35</v>
      </c>
      <c r="E1382" s="226">
        <f t="shared" si="36"/>
        <v>2</v>
      </c>
    </row>
    <row r="1383" spans="1:5" thickBot="1" x14ac:dyDescent="0.3">
      <c r="A1383" s="222" t="s">
        <v>718</v>
      </c>
      <c r="B1383" s="223">
        <f>IFERROR(VLOOKUP(A1383,Tabla3[],2,FALSE),0)</f>
        <v>1</v>
      </c>
      <c r="C1383" s="224"/>
      <c r="D1383" s="225" t="s">
        <v>5</v>
      </c>
      <c r="E1383" s="226">
        <f t="shared" si="36"/>
        <v>1</v>
      </c>
    </row>
    <row r="1384" spans="1:5" thickBot="1" x14ac:dyDescent="0.3">
      <c r="A1384" s="232" t="s">
        <v>719</v>
      </c>
      <c r="B1384" s="220">
        <f>IFERROR(VLOOKUP(A1384,Tabla3[],2,FALSE),0)</f>
        <v>0</v>
      </c>
      <c r="C1384" s="233"/>
      <c r="D1384" s="233" t="s">
        <v>26</v>
      </c>
      <c r="E1384" s="234">
        <f t="shared" si="36"/>
        <v>0</v>
      </c>
    </row>
    <row r="1385" spans="1:5" thickBot="1" x14ac:dyDescent="0.3">
      <c r="A1385" s="235" t="s">
        <v>720</v>
      </c>
      <c r="B1385" s="152">
        <f>IFERROR(VLOOKUP(A1385,Tabla3[],2,FALSE),0)</f>
        <v>0</v>
      </c>
      <c r="C1385" s="221"/>
      <c r="D1385" s="221" t="s">
        <v>16</v>
      </c>
      <c r="E1385" s="236">
        <f t="shared" si="36"/>
        <v>0</v>
      </c>
    </row>
    <row r="1386" spans="1:5" thickBot="1" x14ac:dyDescent="0.3">
      <c r="A1386" s="193" t="s">
        <v>721</v>
      </c>
      <c r="B1386" s="13">
        <f>IFERROR(VLOOKUP(A1386,Tabla3[],2,FALSE),0)</f>
        <v>0</v>
      </c>
      <c r="C1386" s="197"/>
      <c r="D1386" s="197" t="s">
        <v>674</v>
      </c>
      <c r="E1386" s="12">
        <f t="shared" si="36"/>
        <v>0</v>
      </c>
    </row>
    <row r="1387" spans="1:5" ht="15" x14ac:dyDescent="0.25">
      <c r="A1387" s="183" t="s">
        <v>722</v>
      </c>
      <c r="B1387" s="2">
        <f>IFERROR(VLOOKUP(A1387,Tabla3[],2,FALSE),0)</f>
        <v>0</v>
      </c>
      <c r="C1387" s="75"/>
      <c r="D1387" s="75" t="s">
        <v>5</v>
      </c>
      <c r="E1387" s="237">
        <f>B1387*1</f>
        <v>0</v>
      </c>
    </row>
    <row r="1388" spans="1:5" ht="15" x14ac:dyDescent="0.25">
      <c r="A1388" s="216"/>
      <c r="B1388" s="6">
        <f>IFERROR(VLOOKUP(A1388,Tabla3[],2,FALSE),0)</f>
        <v>0</v>
      </c>
      <c r="C1388" s="76"/>
      <c r="D1388" s="76" t="s">
        <v>9</v>
      </c>
      <c r="E1388" s="238">
        <f>B1387*50</f>
        <v>0</v>
      </c>
    </row>
    <row r="1389" spans="1:5" ht="15" x14ac:dyDescent="0.25">
      <c r="A1389" s="216"/>
      <c r="B1389" s="6">
        <f>IFERROR(VLOOKUP(A1389,Tabla3[],2,FALSE),0)</f>
        <v>0</v>
      </c>
      <c r="C1389" s="76"/>
      <c r="D1389" s="76" t="s">
        <v>8</v>
      </c>
      <c r="E1389" s="141">
        <f>B1387</f>
        <v>0</v>
      </c>
    </row>
    <row r="1390" spans="1:5" thickBot="1" x14ac:dyDescent="0.3">
      <c r="A1390" s="239"/>
      <c r="B1390" s="1">
        <f>IFERROR(VLOOKUP(A1390,Tabla3[],2,FALSE),0)</f>
        <v>0</v>
      </c>
      <c r="C1390" s="79"/>
      <c r="D1390" s="79" t="s">
        <v>28</v>
      </c>
      <c r="E1390" s="143">
        <f>B1387</f>
        <v>0</v>
      </c>
    </row>
    <row r="1391" spans="1:5" ht="15" x14ac:dyDescent="0.25">
      <c r="A1391" s="214" t="s">
        <v>729</v>
      </c>
      <c r="B1391" s="2">
        <f>IFERROR(VLOOKUP(A1391,Tabla3[],2,FALSE),0)</f>
        <v>0</v>
      </c>
      <c r="C1391" s="240"/>
      <c r="D1391" s="75" t="s">
        <v>738</v>
      </c>
      <c r="E1391" s="139">
        <f>B1391*75</f>
        <v>0</v>
      </c>
    </row>
    <row r="1392" spans="1:5" thickBot="1" x14ac:dyDescent="0.3">
      <c r="A1392" s="239"/>
      <c r="B1392" s="1">
        <f>IFERROR(VLOOKUP(A1392,Tabla3[],2,FALSE),0)</f>
        <v>0</v>
      </c>
      <c r="C1392" s="189"/>
      <c r="D1392" s="79" t="s">
        <v>59</v>
      </c>
      <c r="E1392" s="143">
        <f>B1391*75</f>
        <v>0</v>
      </c>
    </row>
    <row r="1393" spans="1:5" ht="15" x14ac:dyDescent="0.25">
      <c r="A1393" s="214" t="s">
        <v>731</v>
      </c>
      <c r="B1393" s="2">
        <f>IFERROR(VLOOKUP(A1393,Tabla3[],2,FALSE),0)</f>
        <v>0</v>
      </c>
      <c r="C1393" s="240"/>
      <c r="D1393" s="75" t="s">
        <v>88</v>
      </c>
      <c r="E1393" s="139">
        <f>B1393*75</f>
        <v>0</v>
      </c>
    </row>
    <row r="1394" spans="1:5" thickBot="1" x14ac:dyDescent="0.3">
      <c r="A1394" s="239"/>
      <c r="B1394" s="1">
        <f>IFERROR(VLOOKUP(A1394,Tabla3[],2,FALSE),0)</f>
        <v>0</v>
      </c>
      <c r="C1394" s="189"/>
      <c r="D1394" s="209" t="s">
        <v>313</v>
      </c>
      <c r="E1394" s="143">
        <f>B1393</f>
        <v>0</v>
      </c>
    </row>
    <row r="1395" spans="1:5" ht="15" x14ac:dyDescent="0.25">
      <c r="A1395" s="214" t="s">
        <v>730</v>
      </c>
      <c r="B1395" s="2">
        <f>IFERROR(VLOOKUP(A1395,Tabla3[],2,FALSE),0)</f>
        <v>0</v>
      </c>
      <c r="C1395" s="240"/>
      <c r="D1395" s="75" t="s">
        <v>87</v>
      </c>
      <c r="E1395" s="139">
        <f>B1395*75</f>
        <v>0</v>
      </c>
    </row>
    <row r="1396" spans="1:5" ht="15" x14ac:dyDescent="0.25">
      <c r="A1396" s="216"/>
      <c r="B1396" s="6">
        <f>IFERROR(VLOOKUP(A1396,Tabla3[],2,FALSE),0)</f>
        <v>0</v>
      </c>
      <c r="C1396" s="213"/>
      <c r="D1396" s="76" t="s">
        <v>106</v>
      </c>
      <c r="E1396" s="141">
        <f>B1395*20</f>
        <v>0</v>
      </c>
    </row>
    <row r="1397" spans="1:5" ht="15" x14ac:dyDescent="0.25">
      <c r="A1397" s="216"/>
      <c r="B1397" s="6">
        <f>IFERROR(VLOOKUP(A1397,Tabla3[],2,FALSE),0)</f>
        <v>0</v>
      </c>
      <c r="C1397" s="213"/>
      <c r="D1397" s="68" t="s">
        <v>313</v>
      </c>
      <c r="E1397" s="238">
        <f>B1395</f>
        <v>0</v>
      </c>
    </row>
    <row r="1398" spans="1:5" thickBot="1" x14ac:dyDescent="0.3">
      <c r="A1398" s="239"/>
      <c r="B1398" s="1">
        <f>IFERROR(VLOOKUP(A1398,Tabla3[],2,FALSE),0)</f>
        <v>0</v>
      </c>
      <c r="C1398" s="189"/>
      <c r="D1398" s="79" t="s">
        <v>104</v>
      </c>
      <c r="E1398" s="242">
        <f>B1395*20</f>
        <v>0</v>
      </c>
    </row>
    <row r="1399" spans="1:5" ht="15" x14ac:dyDescent="0.25">
      <c r="A1399" s="94" t="s">
        <v>725</v>
      </c>
      <c r="B1399" s="2">
        <f>IFERROR(VLOOKUP(A1399,Tabla3[],2,FALSE),0)</f>
        <v>0</v>
      </c>
      <c r="C1399" s="135"/>
      <c r="D1399" s="67" t="s">
        <v>678</v>
      </c>
      <c r="E1399" s="237">
        <f>B1399</f>
        <v>0</v>
      </c>
    </row>
    <row r="1400" spans="1:5" ht="15" x14ac:dyDescent="0.25">
      <c r="A1400" s="90"/>
      <c r="B1400" s="6">
        <f>IFERROR(VLOOKUP(A1400,Tabla3[],2,FALSE),0)</f>
        <v>0</v>
      </c>
      <c r="C1400" s="98"/>
      <c r="D1400" s="68" t="s">
        <v>127</v>
      </c>
      <c r="E1400" s="238">
        <f>B1399</f>
        <v>0</v>
      </c>
    </row>
    <row r="1401" spans="1:5" ht="15" x14ac:dyDescent="0.25">
      <c r="A1401" s="90"/>
      <c r="B1401" s="6">
        <f>IFERROR(VLOOKUP(A1401,Tabla3[],2,FALSE),0)</f>
        <v>0</v>
      </c>
      <c r="C1401" s="98"/>
      <c r="D1401" s="68"/>
      <c r="E1401" s="238">
        <f>B1399*80</f>
        <v>0</v>
      </c>
    </row>
    <row r="1402" spans="1:5" thickBot="1" x14ac:dyDescent="0.3">
      <c r="A1402" s="92"/>
      <c r="B1402" s="180">
        <f>IFERROR(VLOOKUP(A1402,Tabla3[],2,FALSE),0)</f>
        <v>0</v>
      </c>
      <c r="C1402" s="137"/>
      <c r="D1402" s="77"/>
      <c r="E1402" s="241">
        <f>B1399*0.2</f>
        <v>0</v>
      </c>
    </row>
    <row r="1403" spans="1:5" thickBot="1" x14ac:dyDescent="0.3">
      <c r="A1403" s="159" t="s">
        <v>741</v>
      </c>
      <c r="B1403" s="212">
        <f>IFERROR(VLOOKUP(A1403,Tabla3[],2,FALSE),0)</f>
        <v>0</v>
      </c>
      <c r="C1403" s="31"/>
      <c r="D1403" s="31" t="s">
        <v>13</v>
      </c>
      <c r="E1403" s="31">
        <f>B1403*800</f>
        <v>0</v>
      </c>
    </row>
    <row r="1404" spans="1:5" thickBot="1" x14ac:dyDescent="0.3">
      <c r="A1404"/>
      <c r="B1404" s="14">
        <f>IFERROR(VLOOKUP(A1404,Tabla3[],2,FALSE),0)</f>
        <v>0</v>
      </c>
      <c r="C1404" s="35"/>
      <c r="D1404" s="35" t="s">
        <v>9</v>
      </c>
      <c r="E1404" s="35">
        <f>B1403*50</f>
        <v>0</v>
      </c>
    </row>
    <row r="1405" spans="1:5" thickBot="1" x14ac:dyDescent="0.3">
      <c r="A1405"/>
      <c r="B1405" s="14">
        <f>IFERROR(VLOOKUP(A1405,Tabla3[],2,FALSE),0)</f>
        <v>0</v>
      </c>
      <c r="C1405" s="35"/>
      <c r="D1405" s="35" t="s">
        <v>16</v>
      </c>
      <c r="E1405" s="35">
        <f>B1403*150</f>
        <v>0</v>
      </c>
    </row>
    <row r="1406" spans="1:5" thickBot="1" x14ac:dyDescent="0.3">
      <c r="A1406"/>
      <c r="B1406" s="14">
        <f>IFERROR(VLOOKUP(A1406,Tabla3[],2,FALSE),0)</f>
        <v>0</v>
      </c>
      <c r="C1406" s="35"/>
      <c r="D1406" s="35" t="s">
        <v>23</v>
      </c>
      <c r="E1406" s="35">
        <f>B1403*20</f>
        <v>0</v>
      </c>
    </row>
    <row r="1407" spans="1:5" thickBot="1" x14ac:dyDescent="0.3">
      <c r="A1407"/>
      <c r="B1407" s="14">
        <f>IFERROR(VLOOKUP(A1407,Tabla3[],2,FALSE),0)</f>
        <v>0</v>
      </c>
      <c r="C1407" s="33"/>
      <c r="D1407" s="33" t="s">
        <v>521</v>
      </c>
      <c r="E1407" s="33">
        <f>B1403*140</f>
        <v>0</v>
      </c>
    </row>
    <row r="1408" spans="1:5" thickBot="1" x14ac:dyDescent="0.3">
      <c r="A1408" s="17" t="s">
        <v>726</v>
      </c>
      <c r="B1408" s="14">
        <f>IFERROR(VLOOKUP(A1408,Tabla3[],2,FALSE),0)</f>
        <v>0</v>
      </c>
      <c r="C1408" s="26"/>
      <c r="D1408" s="26" t="s">
        <v>13</v>
      </c>
      <c r="E1408" s="26">
        <f>B1408*280</f>
        <v>0</v>
      </c>
    </row>
    <row r="1409" spans="1:5" thickBot="1" x14ac:dyDescent="0.3">
      <c r="A1409"/>
      <c r="B1409" s="14">
        <f>IFERROR(VLOOKUP(A1409,Tabla3[],2,FALSE),0)</f>
        <v>0</v>
      </c>
      <c r="C1409" s="35"/>
      <c r="D1409" s="35" t="s">
        <v>9</v>
      </c>
      <c r="E1409" s="35">
        <f>B1408*25</f>
        <v>0</v>
      </c>
    </row>
    <row r="1410" spans="1:5" thickBot="1" x14ac:dyDescent="0.3">
      <c r="A1410"/>
      <c r="B1410" s="14">
        <f>IFERROR(VLOOKUP(A1410,Tabla3[],2,FALSE),0)</f>
        <v>0</v>
      </c>
      <c r="C1410" s="35"/>
      <c r="D1410" s="35" t="s">
        <v>16</v>
      </c>
      <c r="E1410" s="35">
        <f>B1408*60</f>
        <v>0</v>
      </c>
    </row>
    <row r="1411" spans="1:5" thickBot="1" x14ac:dyDescent="0.3">
      <c r="A1411"/>
      <c r="B1411" s="14">
        <f>IFERROR(VLOOKUP(A1411,Tabla3[],2,FALSE),0)</f>
        <v>0</v>
      </c>
      <c r="C1411" s="35"/>
      <c r="D1411" s="35" t="s">
        <v>23</v>
      </c>
      <c r="E1411" s="35">
        <f>B1408*20</f>
        <v>0</v>
      </c>
    </row>
    <row r="1412" spans="1:5" thickBot="1" x14ac:dyDescent="0.3">
      <c r="A1412"/>
      <c r="B1412" s="14">
        <f>IFERROR(VLOOKUP(A1412,Tabla3[],2,FALSE),0)</f>
        <v>0</v>
      </c>
      <c r="C1412" s="33"/>
      <c r="D1412" s="33" t="s">
        <v>521</v>
      </c>
      <c r="E1412" s="33">
        <f>B1408*50</f>
        <v>0</v>
      </c>
    </row>
    <row r="1413" spans="1:5" thickBot="1" x14ac:dyDescent="0.3">
      <c r="A1413" s="15" t="s">
        <v>727</v>
      </c>
      <c r="B1413" s="14">
        <f>IFERROR(VLOOKUP(A1413,Tabla3[],2,FALSE),0)</f>
        <v>0</v>
      </c>
      <c r="C1413" s="26"/>
      <c r="D1413" s="26" t="s">
        <v>13</v>
      </c>
      <c r="E1413" s="26">
        <f>B1413*280</f>
        <v>0</v>
      </c>
    </row>
    <row r="1414" spans="1:5" thickBot="1" x14ac:dyDescent="0.3">
      <c r="A1414" s="34"/>
      <c r="B1414" s="14">
        <f>IFERROR(VLOOKUP(A1414,Tabla3[],2,FALSE),0)</f>
        <v>0</v>
      </c>
      <c r="C1414" s="35"/>
      <c r="D1414" s="35" t="s">
        <v>9</v>
      </c>
      <c r="E1414" s="35">
        <f>B1413*25</f>
        <v>0</v>
      </c>
    </row>
    <row r="1415" spans="1:5" thickBot="1" x14ac:dyDescent="0.3">
      <c r="A1415" s="34"/>
      <c r="B1415" s="14">
        <f>IFERROR(VLOOKUP(A1415,Tabla3[],2,FALSE),0)</f>
        <v>0</v>
      </c>
      <c r="C1415" s="35"/>
      <c r="D1415" s="35" t="s">
        <v>16</v>
      </c>
      <c r="E1415" s="35">
        <f>B1413*60</f>
        <v>0</v>
      </c>
    </row>
    <row r="1416" spans="1:5" thickBot="1" x14ac:dyDescent="0.3">
      <c r="A1416" s="32"/>
      <c r="B1416" s="14">
        <f>IFERROR(VLOOKUP(A1416,Tabla3[],2,FALSE),0)</f>
        <v>0</v>
      </c>
      <c r="C1416" s="33"/>
      <c r="D1416" s="33" t="s">
        <v>23</v>
      </c>
      <c r="E1416" s="35">
        <f>B1413*20</f>
        <v>0</v>
      </c>
    </row>
    <row r="1417" spans="1:5" thickBot="1" x14ac:dyDescent="0.3">
      <c r="A1417" s="15" t="s">
        <v>742</v>
      </c>
      <c r="B1417" s="14">
        <f>IFERROR(VLOOKUP(A1417,Tabla3[],2,FALSE),0)</f>
        <v>3</v>
      </c>
      <c r="C1417" s="26"/>
      <c r="D1417" s="26" t="s">
        <v>637</v>
      </c>
      <c r="E1417" s="26">
        <f>B1417</f>
        <v>3</v>
      </c>
    </row>
    <row r="1418" spans="1:5" thickBot="1" x14ac:dyDescent="0.3">
      <c r="A1418" s="34"/>
      <c r="B1418" s="14">
        <f>IFERROR(VLOOKUP(A1418,Tabla3[],2,FALSE),0)</f>
        <v>0</v>
      </c>
      <c r="C1418" s="35"/>
      <c r="D1418" s="35" t="s">
        <v>636</v>
      </c>
      <c r="E1418" s="35">
        <f>B1417</f>
        <v>3</v>
      </c>
    </row>
    <row r="1419" spans="1:5" thickBot="1" x14ac:dyDescent="0.3">
      <c r="A1419" s="34"/>
      <c r="B1419" s="14">
        <f>IFERROR(VLOOKUP(A1419,Tabla3[],2,FALSE),0)</f>
        <v>0</v>
      </c>
      <c r="C1419" s="35"/>
      <c r="D1419" s="35" t="s">
        <v>97</v>
      </c>
      <c r="E1419" s="35">
        <f>B1417*50</f>
        <v>150</v>
      </c>
    </row>
    <row r="1420" spans="1:5" thickBot="1" x14ac:dyDescent="0.3">
      <c r="A1420" s="34"/>
      <c r="B1420" s="14">
        <f>IFERROR(VLOOKUP(A1420,Tabla3[],2,FALSE),0)</f>
        <v>0</v>
      </c>
      <c r="C1420" s="35" t="s">
        <v>133</v>
      </c>
      <c r="D1420" s="35" t="s">
        <v>51</v>
      </c>
      <c r="E1420" s="35">
        <f>B1417*20</f>
        <v>60</v>
      </c>
    </row>
    <row r="1421" spans="1:5" thickBot="1" x14ac:dyDescent="0.3">
      <c r="A1421" s="34"/>
      <c r="B1421" s="14">
        <f>IFERROR(VLOOKUP(A1421,Tabla3[],2,FALSE),0)</f>
        <v>0</v>
      </c>
      <c r="C1421" s="35" t="s">
        <v>131</v>
      </c>
      <c r="D1421" s="35" t="s">
        <v>106</v>
      </c>
      <c r="E1421" s="35">
        <f>B1417*20</f>
        <v>60</v>
      </c>
    </row>
    <row r="1422" spans="1:5" thickBot="1" x14ac:dyDescent="0.3">
      <c r="A1422" s="27"/>
      <c r="B1422" s="14">
        <f>IFERROR(VLOOKUP(A1422,Tabla3[],2,FALSE),0)</f>
        <v>0</v>
      </c>
      <c r="C1422" s="28" t="s">
        <v>131</v>
      </c>
      <c r="D1422" s="28" t="s">
        <v>86</v>
      </c>
      <c r="E1422" s="28">
        <f>B1417*75</f>
        <v>225</v>
      </c>
    </row>
    <row r="1423" spans="1:5" thickBot="1" x14ac:dyDescent="0.3">
      <c r="A1423" s="15" t="s">
        <v>743</v>
      </c>
      <c r="B1423" s="14">
        <f>IFERROR(VLOOKUP(A1423,Tabla3[],2,FALSE),0)</f>
        <v>1</v>
      </c>
      <c r="C1423" s="26"/>
      <c r="D1423" s="200" t="s">
        <v>36</v>
      </c>
      <c r="E1423" s="76">
        <f>B1423</f>
        <v>1</v>
      </c>
    </row>
    <row r="1424" spans="1:5" thickBot="1" x14ac:dyDescent="0.3">
      <c r="A1424" s="34"/>
      <c r="B1424" s="14">
        <f>IFERROR(VLOOKUP(A1424,Tabla3[],2,FALSE),0)</f>
        <v>0</v>
      </c>
      <c r="C1424" s="35"/>
      <c r="D1424" s="35" t="s">
        <v>40</v>
      </c>
      <c r="E1424" s="76">
        <f>B1423*4</f>
        <v>4</v>
      </c>
    </row>
    <row r="1425" spans="1:5" thickBot="1" x14ac:dyDescent="0.3">
      <c r="A1425" s="34"/>
      <c r="B1425" s="14">
        <f>IFERROR(VLOOKUP(A1425,Tabla3[],2,FALSE),0)</f>
        <v>0</v>
      </c>
      <c r="C1425" s="35"/>
      <c r="D1425" s="35" t="s">
        <v>41</v>
      </c>
      <c r="E1425" s="93">
        <f>B1423</f>
        <v>1</v>
      </c>
    </row>
    <row r="1426" spans="1:5" thickBot="1" x14ac:dyDescent="0.3">
      <c r="A1426" s="34"/>
      <c r="B1426" s="14">
        <f>IFERROR(VLOOKUP(A1426,Tabla3[],2,FALSE),0)</f>
        <v>0</v>
      </c>
      <c r="C1426" s="35"/>
      <c r="D1426" s="35" t="s">
        <v>311</v>
      </c>
      <c r="E1426" s="2">
        <f>B1423</f>
        <v>1</v>
      </c>
    </row>
    <row r="1427" spans="1:5" thickBot="1" x14ac:dyDescent="0.3">
      <c r="A1427" s="32"/>
      <c r="B1427" s="14">
        <f>IFERROR(VLOOKUP(A1427,Tabla3[],2,FALSE),0)</f>
        <v>0</v>
      </c>
      <c r="C1427" s="82"/>
      <c r="D1427" s="33" t="s">
        <v>6</v>
      </c>
      <c r="E1427" s="1">
        <f>B1423</f>
        <v>1</v>
      </c>
    </row>
    <row r="1428" spans="1:5" ht="15" x14ac:dyDescent="0.25">
      <c r="A1428" s="89" t="s">
        <v>762</v>
      </c>
      <c r="B1428" s="2">
        <f>IFERROR(VLOOKUP(A1428,Tabla3[],2,FALSE),0)</f>
        <v>0</v>
      </c>
      <c r="C1428" s="75"/>
      <c r="D1428" s="75" t="s">
        <v>637</v>
      </c>
      <c r="E1428" s="139">
        <f>B1428</f>
        <v>0</v>
      </c>
    </row>
    <row r="1429" spans="1:5" x14ac:dyDescent="0.25">
      <c r="A1429" s="140"/>
      <c r="B1429" s="6">
        <f>IFERROR(VLOOKUP(A1429,Tabla3[],2,FALSE),0)</f>
        <v>0</v>
      </c>
      <c r="C1429" s="76"/>
      <c r="D1429" s="76" t="s">
        <v>636</v>
      </c>
      <c r="E1429" s="141">
        <f>B1428</f>
        <v>0</v>
      </c>
    </row>
    <row r="1430" spans="1:5" x14ac:dyDescent="0.25">
      <c r="A1430" s="140"/>
      <c r="B1430" s="6">
        <f>IFERROR(VLOOKUP(A1430,Tabla3[],2,FALSE),0)</f>
        <v>0</v>
      </c>
      <c r="C1430" s="76"/>
      <c r="D1430" s="76" t="s">
        <v>97</v>
      </c>
      <c r="E1430" s="141">
        <f>B1428*50</f>
        <v>0</v>
      </c>
    </row>
    <row r="1431" spans="1:5" x14ac:dyDescent="0.25">
      <c r="A1431" s="140"/>
      <c r="B1431" s="6">
        <f>IFERROR(VLOOKUP(A1431,Tabla3[],2,FALSE),0)</f>
        <v>0</v>
      </c>
      <c r="C1431" s="76" t="s">
        <v>133</v>
      </c>
      <c r="D1431" s="76" t="s">
        <v>51</v>
      </c>
      <c r="E1431" s="141">
        <f>B1428*20</f>
        <v>0</v>
      </c>
    </row>
    <row r="1432" spans="1:5" ht="16.5" thickBot="1" x14ac:dyDescent="0.3">
      <c r="A1432" s="140"/>
      <c r="B1432" s="6">
        <f>IFERROR(VLOOKUP(A1432,Tabla3[],2,FALSE),0)</f>
        <v>0</v>
      </c>
      <c r="C1432" s="76" t="s">
        <v>131</v>
      </c>
      <c r="D1432" s="76" t="s">
        <v>106</v>
      </c>
      <c r="E1432" s="141">
        <f>B1428*20</f>
        <v>0</v>
      </c>
    </row>
    <row r="1433" spans="1:5" ht="16.5" thickBot="1" x14ac:dyDescent="0.3">
      <c r="A1433" s="142"/>
      <c r="B1433" s="1">
        <f>IFERROR(VLOOKUP(A1433,Tabla3[],2,FALSE),0)</f>
        <v>0</v>
      </c>
      <c r="C1433" s="79" t="s">
        <v>131</v>
      </c>
      <c r="D1433" s="23" t="s">
        <v>59</v>
      </c>
      <c r="E1433" s="143">
        <f>B1428*75</f>
        <v>0</v>
      </c>
    </row>
    <row r="1434" spans="1:5" thickBot="1" x14ac:dyDescent="0.3">
      <c r="A1434" s="84" t="s">
        <v>604</v>
      </c>
      <c r="B1434" s="144">
        <f>IFERROR(VLOOKUP(A1434,Tabla3[],2,FALSE),0)</f>
        <v>17</v>
      </c>
      <c r="C1434" s="3"/>
      <c r="D1434" s="145" t="s">
        <v>110</v>
      </c>
      <c r="E1434" s="146">
        <f>B1434</f>
        <v>17</v>
      </c>
    </row>
    <row r="1435" spans="1:5" thickBot="1" x14ac:dyDescent="0.3">
      <c r="A1435" s="147" t="s">
        <v>763</v>
      </c>
      <c r="B1435" s="14">
        <f>IFERROR(VLOOKUP(A1435,Tabla3[],2,FALSE),0)</f>
        <v>0</v>
      </c>
      <c r="C1435" s="148"/>
      <c r="D1435" s="148" t="s">
        <v>13</v>
      </c>
      <c r="E1435" s="149">
        <f>B1435*800</f>
        <v>0</v>
      </c>
    </row>
    <row r="1436" spans="1:5" thickBot="1" x14ac:dyDescent="0.3">
      <c r="A1436" s="96"/>
      <c r="B1436" s="14">
        <f>IFERROR(VLOOKUP(A1436,Tabla3[],2,FALSE),0)</f>
        <v>0</v>
      </c>
      <c r="C1436" s="35"/>
      <c r="D1436" s="35" t="s">
        <v>9</v>
      </c>
      <c r="E1436" s="150">
        <f>B1435*50</f>
        <v>0</v>
      </c>
    </row>
    <row r="1437" spans="1:5" thickBot="1" x14ac:dyDescent="0.3">
      <c r="A1437" s="96"/>
      <c r="B1437" s="14">
        <f>IFERROR(VLOOKUP(A1437,Tabla3[],2,FALSE),0)</f>
        <v>0</v>
      </c>
      <c r="C1437" s="35"/>
      <c r="D1437" s="35" t="s">
        <v>16</v>
      </c>
      <c r="E1437" s="150">
        <f>B1435*150</f>
        <v>0</v>
      </c>
    </row>
    <row r="1438" spans="1:5" thickBot="1" x14ac:dyDescent="0.3">
      <c r="A1438" s="96"/>
      <c r="B1438" s="14">
        <f>IFERROR(VLOOKUP(A1438,Tabla3[],2,FALSE),0)</f>
        <v>0</v>
      </c>
      <c r="C1438" s="35"/>
      <c r="D1438" s="35" t="s">
        <v>23</v>
      </c>
      <c r="E1438" s="150">
        <f>B1435*20</f>
        <v>0</v>
      </c>
    </row>
    <row r="1439" spans="1:5" thickBot="1" x14ac:dyDescent="0.3">
      <c r="A1439" s="151"/>
      <c r="B1439" s="152">
        <f>IFERROR(VLOOKUP(A1439,Tabla3[],2,FALSE),0)</f>
        <v>0</v>
      </c>
      <c r="C1439" s="153"/>
      <c r="D1439" s="153" t="s">
        <v>521</v>
      </c>
      <c r="E1439" s="155">
        <f>B1435*140</f>
        <v>0</v>
      </c>
    </row>
    <row r="1440" spans="1:5" thickBot="1" x14ac:dyDescent="0.3">
      <c r="A1440" s="156" t="s">
        <v>764</v>
      </c>
      <c r="B1440" s="152">
        <f>IFERROR(VLOOKUP(A1440,Tabla3[],2,FALSE),0)</f>
        <v>0</v>
      </c>
      <c r="C1440" s="157"/>
      <c r="D1440" s="207" t="s">
        <v>59</v>
      </c>
      <c r="E1440" s="158">
        <f>B1440*150</f>
        <v>0</v>
      </c>
    </row>
    <row r="1441" spans="1:5" thickBot="1" x14ac:dyDescent="0.3">
      <c r="A1441" s="160" t="s">
        <v>766</v>
      </c>
      <c r="B1441" s="14">
        <f>IFERROR(VLOOKUP(A1441,Tabla3[],2,FALSE),0)</f>
        <v>0</v>
      </c>
      <c r="C1441" s="148"/>
      <c r="D1441" s="148" t="s">
        <v>637</v>
      </c>
      <c r="E1441" s="149">
        <f>B1441</f>
        <v>0</v>
      </c>
    </row>
    <row r="1442" spans="1:5" thickBot="1" x14ac:dyDescent="0.3">
      <c r="A1442" s="162"/>
      <c r="B1442" s="14">
        <f>IFERROR(VLOOKUP(A1442,Tabla3[],2,FALSE),0)</f>
        <v>0</v>
      </c>
      <c r="C1442" s="35" t="s">
        <v>133</v>
      </c>
      <c r="D1442" s="35" t="s">
        <v>51</v>
      </c>
      <c r="E1442" s="150">
        <f>B1441*20</f>
        <v>0</v>
      </c>
    </row>
    <row r="1443" spans="1:5" thickBot="1" x14ac:dyDescent="0.3">
      <c r="A1443" s="162"/>
      <c r="B1443" s="14">
        <f>IFERROR(VLOOKUP(A1443,Tabla3[],2,FALSE),0)</f>
        <v>0</v>
      </c>
      <c r="C1443" s="35" t="s">
        <v>131</v>
      </c>
      <c r="D1443" s="35" t="s">
        <v>106</v>
      </c>
      <c r="E1443" s="150">
        <f>B1441*20</f>
        <v>0</v>
      </c>
    </row>
    <row r="1444" spans="1:5" thickBot="1" x14ac:dyDescent="0.3">
      <c r="A1444" s="162"/>
      <c r="B1444" s="14">
        <f>IFERROR(VLOOKUP(A1444,Tabla3[],2,FALSE),0)</f>
        <v>0</v>
      </c>
      <c r="C1444" s="35"/>
      <c r="D1444" s="35" t="s">
        <v>636</v>
      </c>
      <c r="E1444" s="150">
        <f>B1441</f>
        <v>0</v>
      </c>
    </row>
    <row r="1445" spans="1:5" thickBot="1" x14ac:dyDescent="0.3">
      <c r="A1445" s="162"/>
      <c r="B1445" s="14">
        <f>IFERROR(VLOOKUP(A1445,Tabla3[],2,FALSE),0)</f>
        <v>0</v>
      </c>
      <c r="C1445" s="35"/>
      <c r="D1445" s="38" t="s">
        <v>97</v>
      </c>
      <c r="E1445" s="150">
        <f>B1441*50</f>
        <v>0</v>
      </c>
    </row>
    <row r="1446" spans="1:5" thickBot="1" x14ac:dyDescent="0.3">
      <c r="A1446" s="162"/>
      <c r="B1446" s="14">
        <f>IFERROR(VLOOKUP(A1446,Tabla3[],2,FALSE),0)</f>
        <v>0</v>
      </c>
      <c r="C1446" s="35" t="s">
        <v>131</v>
      </c>
      <c r="D1446" s="33" t="s">
        <v>116</v>
      </c>
      <c r="E1446" s="163">
        <f>B1441*75</f>
        <v>0</v>
      </c>
    </row>
    <row r="1447" spans="1:5" thickBot="1" x14ac:dyDescent="0.3">
      <c r="A1447" s="164"/>
      <c r="B1447" s="152"/>
      <c r="C1447" s="165"/>
      <c r="D1447" s="208" t="s">
        <v>104</v>
      </c>
      <c r="E1447" s="167">
        <f>B1441*20</f>
        <v>0</v>
      </c>
    </row>
    <row r="1448" spans="1:5" thickBot="1" x14ac:dyDescent="0.3">
      <c r="A1448" s="159" t="s">
        <v>767</v>
      </c>
      <c r="B1448" s="14">
        <f>IFERROR(VLOOKUP(A1448,Tabla3[],2,FALSE),0)</f>
        <v>0</v>
      </c>
      <c r="C1448" s="26"/>
      <c r="D1448" s="26" t="s">
        <v>637</v>
      </c>
      <c r="E1448" s="26">
        <f>B1448</f>
        <v>0</v>
      </c>
    </row>
    <row r="1449" spans="1:5" thickBot="1" x14ac:dyDescent="0.3">
      <c r="A1449" s="17"/>
      <c r="B1449" s="14">
        <f>IFERROR(VLOOKUP(A1449,Tabla3[],2,FALSE),0)</f>
        <v>0</v>
      </c>
      <c r="C1449" s="35" t="s">
        <v>133</v>
      </c>
      <c r="D1449" s="35" t="s">
        <v>51</v>
      </c>
      <c r="E1449" s="35">
        <f>B1448*20</f>
        <v>0</v>
      </c>
    </row>
    <row r="1450" spans="1:5" thickBot="1" x14ac:dyDescent="0.3">
      <c r="A1450" s="17"/>
      <c r="B1450" s="14">
        <f>IFERROR(VLOOKUP(A1450,Tabla3[],2,FALSE),0)</f>
        <v>0</v>
      </c>
      <c r="C1450" s="35" t="s">
        <v>131</v>
      </c>
      <c r="D1450" s="35" t="s">
        <v>106</v>
      </c>
      <c r="E1450" s="35">
        <f>B1448*20</f>
        <v>0</v>
      </c>
    </row>
    <row r="1451" spans="1:5" thickBot="1" x14ac:dyDescent="0.3">
      <c r="A1451" s="17"/>
      <c r="B1451" s="14">
        <f>IFERROR(VLOOKUP(A1451,Tabla3[],2,FALSE),0)</f>
        <v>0</v>
      </c>
      <c r="C1451" s="35"/>
      <c r="D1451" s="35" t="s">
        <v>636</v>
      </c>
      <c r="E1451" s="35">
        <f>B1448</f>
        <v>0</v>
      </c>
    </row>
    <row r="1452" spans="1:5" thickBot="1" x14ac:dyDescent="0.3">
      <c r="A1452" s="17"/>
      <c r="B1452" s="14">
        <f>IFERROR(VLOOKUP(A1452,Tabla3[],2,FALSE),0)</f>
        <v>0</v>
      </c>
      <c r="C1452" s="35"/>
      <c r="D1452" s="38" t="s">
        <v>97</v>
      </c>
      <c r="E1452" s="35">
        <f>B1448*50</f>
        <v>0</v>
      </c>
    </row>
    <row r="1453" spans="1:5" thickBot="1" x14ac:dyDescent="0.3">
      <c r="A1453" s="170"/>
      <c r="B1453" s="14">
        <f>IFERROR(VLOOKUP(A1453,Tabla3[],2,FALSE),0)</f>
        <v>0</v>
      </c>
      <c r="C1453" s="33" t="s">
        <v>131</v>
      </c>
      <c r="D1453" s="33" t="s">
        <v>116</v>
      </c>
      <c r="E1453" s="33">
        <f>B1448*75</f>
        <v>0</v>
      </c>
    </row>
    <row r="1454" spans="1:5" thickBot="1" x14ac:dyDescent="0.3">
      <c r="A1454" s="160" t="s">
        <v>768</v>
      </c>
      <c r="B1454" s="14">
        <f>IFERROR(VLOOKUP(A1454,Tabla3[],2,FALSE),0)</f>
        <v>0</v>
      </c>
      <c r="C1454" s="148"/>
      <c r="D1454" s="148" t="s">
        <v>637</v>
      </c>
      <c r="E1454" s="149">
        <f>B1454</f>
        <v>0</v>
      </c>
    </row>
    <row r="1455" spans="1:5" thickBot="1" x14ac:dyDescent="0.3">
      <c r="A1455" s="162"/>
      <c r="B1455" s="14">
        <f>IFERROR(VLOOKUP(A1455,Tabla3[],2,FALSE),0)</f>
        <v>0</v>
      </c>
      <c r="C1455" s="35" t="s">
        <v>133</v>
      </c>
      <c r="D1455" s="35" t="s">
        <v>51</v>
      </c>
      <c r="E1455" s="150">
        <f>B1454*20</f>
        <v>0</v>
      </c>
    </row>
    <row r="1456" spans="1:5" thickBot="1" x14ac:dyDescent="0.3">
      <c r="A1456" s="162"/>
      <c r="B1456" s="14">
        <f>IFERROR(VLOOKUP(A1456,Tabla3[],2,FALSE),0)</f>
        <v>0</v>
      </c>
      <c r="C1456" s="35" t="s">
        <v>131</v>
      </c>
      <c r="D1456" s="35" t="s">
        <v>106</v>
      </c>
      <c r="E1456" s="150">
        <f>B1454*20</f>
        <v>0</v>
      </c>
    </row>
    <row r="1457" spans="1:5" thickBot="1" x14ac:dyDescent="0.3">
      <c r="A1457" s="162"/>
      <c r="B1457" s="14">
        <f>IFERROR(VLOOKUP(A1457,Tabla3[],2,FALSE),0)</f>
        <v>0</v>
      </c>
      <c r="C1457" s="35"/>
      <c r="D1457" s="35" t="s">
        <v>636</v>
      </c>
      <c r="E1457" s="150">
        <f>B1454</f>
        <v>0</v>
      </c>
    </row>
    <row r="1458" spans="1:5" thickBot="1" x14ac:dyDescent="0.3">
      <c r="A1458" s="162"/>
      <c r="B1458" s="14">
        <f>IFERROR(VLOOKUP(A1460,Tabla3[],2,FALSE),0)</f>
        <v>0</v>
      </c>
      <c r="C1458" s="35"/>
      <c r="D1458" s="38" t="s">
        <v>97</v>
      </c>
      <c r="E1458" s="150">
        <f>B1454*50</f>
        <v>0</v>
      </c>
    </row>
    <row r="1459" spans="1:5" thickBot="1" x14ac:dyDescent="0.3">
      <c r="A1459" s="162"/>
      <c r="B1459" s="14"/>
      <c r="C1459" s="35" t="s">
        <v>131</v>
      </c>
      <c r="D1459" s="33" t="s">
        <v>116</v>
      </c>
      <c r="E1459" s="163">
        <f>B1454*75</f>
        <v>0</v>
      </c>
    </row>
    <row r="1460" spans="1:5" thickBot="1" x14ac:dyDescent="0.3">
      <c r="A1460" s="164"/>
      <c r="B1460" s="152">
        <f>IFERROR(VLOOKUP(A1462,Tabla3[],2,FALSE),0)</f>
        <v>0</v>
      </c>
      <c r="C1460" s="165"/>
      <c r="D1460" s="153" t="s">
        <v>107</v>
      </c>
      <c r="E1460" s="167">
        <f>B1454*20</f>
        <v>0</v>
      </c>
    </row>
    <row r="1461" spans="1:5" thickBot="1" x14ac:dyDescent="0.3">
      <c r="A1461" s="147" t="s">
        <v>769</v>
      </c>
      <c r="B1461" s="14">
        <f>IFERROR(VLOOKUP(A1461,Tabla3[],2,FALSE),0)</f>
        <v>0</v>
      </c>
      <c r="C1461" s="148"/>
      <c r="D1461" s="148" t="s">
        <v>637</v>
      </c>
      <c r="E1461" s="149">
        <f>B1461</f>
        <v>0</v>
      </c>
    </row>
    <row r="1462" spans="1:5" ht="16.5" thickBot="1" x14ac:dyDescent="0.3">
      <c r="A1462" s="168"/>
      <c r="B1462" s="14">
        <f>IFERROR(VLOOKUP(A1462,Tabla3[],2,FALSE),0)</f>
        <v>0</v>
      </c>
      <c r="C1462" s="35" t="s">
        <v>133</v>
      </c>
      <c r="D1462" s="35" t="s">
        <v>51</v>
      </c>
      <c r="E1462" s="150">
        <f>B1461*20</f>
        <v>0</v>
      </c>
    </row>
    <row r="1463" spans="1:5" ht="16.5" thickBot="1" x14ac:dyDescent="0.3">
      <c r="A1463" s="168"/>
      <c r="B1463" s="14">
        <f>IFERROR(VLOOKUP(A1463,Tabla3[],2,FALSE),0)</f>
        <v>0</v>
      </c>
      <c r="C1463" s="35"/>
      <c r="D1463" s="35" t="s">
        <v>636</v>
      </c>
      <c r="E1463" s="150">
        <f>B1461</f>
        <v>0</v>
      </c>
    </row>
    <row r="1464" spans="1:5" ht="16.5" thickBot="1" x14ac:dyDescent="0.3">
      <c r="A1464" s="168"/>
      <c r="B1464" s="14">
        <f>IFERROR(VLOOKUP(A1464,Tabla3[],2,FALSE),0)</f>
        <v>0</v>
      </c>
      <c r="C1464" s="35"/>
      <c r="D1464" s="35" t="s">
        <v>97</v>
      </c>
      <c r="E1464" s="150">
        <f>B1461*50</f>
        <v>0</v>
      </c>
    </row>
    <row r="1465" spans="1:5" ht="16.5" thickBot="1" x14ac:dyDescent="0.3">
      <c r="A1465" s="168"/>
      <c r="B1465" s="14">
        <f>IFERROR(VLOOKUP(A1465,Tabla3[],2,FALSE),0)</f>
        <v>0</v>
      </c>
      <c r="C1465" s="35" t="s">
        <v>131</v>
      </c>
      <c r="D1465" s="35" t="s">
        <v>106</v>
      </c>
      <c r="E1465" s="150">
        <f>B1461*20</f>
        <v>0</v>
      </c>
    </row>
    <row r="1466" spans="1:5" ht="16.5" thickBot="1" x14ac:dyDescent="0.3">
      <c r="A1466" s="168"/>
      <c r="B1466" s="14">
        <f>IFERROR(VLOOKUP(A1466,Tabla3[],2,FALSE),0)</f>
        <v>0</v>
      </c>
      <c r="C1466" s="35" t="s">
        <v>131</v>
      </c>
      <c r="D1466" s="35" t="s">
        <v>116</v>
      </c>
      <c r="E1466" s="150">
        <f>B1461*75</f>
        <v>0</v>
      </c>
    </row>
    <row r="1467" spans="1:5" ht="16.5" thickBot="1" x14ac:dyDescent="0.3">
      <c r="A1467" s="169"/>
      <c r="B1467" s="152">
        <f>IFERROR(VLOOKUP(A1467,Tabla3[],2,FALSE),0)</f>
        <v>0</v>
      </c>
      <c r="C1467" s="153" t="s">
        <v>131</v>
      </c>
      <c r="D1467" s="153" t="s">
        <v>108</v>
      </c>
      <c r="E1467" s="155">
        <f>B1461*75</f>
        <v>0</v>
      </c>
    </row>
    <row r="1468" spans="1:5" thickBot="1" x14ac:dyDescent="0.3">
      <c r="A1468" s="17" t="s">
        <v>765</v>
      </c>
      <c r="B1468" s="14">
        <f>IFERROR(VLOOKUP(A1468,Tabla3[],2,FALSE),0)</f>
        <v>0</v>
      </c>
      <c r="C1468" s="26"/>
      <c r="D1468" s="26" t="s">
        <v>36</v>
      </c>
      <c r="E1468" s="26">
        <f>B1468</f>
        <v>0</v>
      </c>
    </row>
    <row r="1469" spans="1:5" thickBot="1" x14ac:dyDescent="0.3">
      <c r="A1469" s="17" t="s">
        <v>770</v>
      </c>
      <c r="B1469" s="14">
        <f>IFERROR(VLOOKUP(A1469,Tabla3[],2,FALSE),0)</f>
        <v>0</v>
      </c>
      <c r="C1469" s="26"/>
      <c r="D1469" s="26" t="s">
        <v>13</v>
      </c>
      <c r="E1469" s="26">
        <f>B1469*280</f>
        <v>0</v>
      </c>
    </row>
    <row r="1470" spans="1:5" ht="16.5" thickBot="1" x14ac:dyDescent="0.3">
      <c r="B1470" s="14">
        <f>IFERROR(VLOOKUP(A1470,Tabla3[],2,FALSE),0)</f>
        <v>0</v>
      </c>
      <c r="C1470" s="35"/>
      <c r="D1470" s="35" t="s">
        <v>9</v>
      </c>
      <c r="E1470" s="35">
        <f>B1469*25</f>
        <v>0</v>
      </c>
    </row>
    <row r="1471" spans="1:5" ht="16.5" thickBot="1" x14ac:dyDescent="0.3">
      <c r="B1471" s="14">
        <f>IFERROR(VLOOKUP(A1471,Tabla3[],2,FALSE),0)</f>
        <v>0</v>
      </c>
      <c r="C1471" s="35"/>
      <c r="D1471" s="35" t="s">
        <v>16</v>
      </c>
      <c r="E1471" s="35">
        <f>B1469*60</f>
        <v>0</v>
      </c>
    </row>
    <row r="1472" spans="1:5" ht="16.5" thickBot="1" x14ac:dyDescent="0.3">
      <c r="B1472" s="14">
        <f>IFERROR(VLOOKUP(A1472,Tabla3[],2,FALSE),0)</f>
        <v>0</v>
      </c>
      <c r="C1472" s="35"/>
      <c r="D1472" s="35" t="s">
        <v>23</v>
      </c>
      <c r="E1472" s="35">
        <f>B1469*20</f>
        <v>0</v>
      </c>
    </row>
    <row r="1473" spans="1:5" ht="16.5" thickBot="1" x14ac:dyDescent="0.3">
      <c r="B1473" s="14">
        <f>IFERROR(VLOOKUP(A1473,Tabla3[],2,FALSE),0)</f>
        <v>0</v>
      </c>
      <c r="C1473" s="33"/>
      <c r="D1473" s="33" t="s">
        <v>521</v>
      </c>
      <c r="E1473" s="33">
        <f>B1469*50</f>
        <v>0</v>
      </c>
    </row>
    <row r="1474" spans="1:5" thickBot="1" x14ac:dyDescent="0.3">
      <c r="A1474" s="17" t="s">
        <v>771</v>
      </c>
      <c r="B1474" s="14">
        <f>IFERROR(VLOOKUP(A1474,Tabla3[],2,FALSE),0)</f>
        <v>0</v>
      </c>
      <c r="C1474" s="37"/>
      <c r="D1474" s="26" t="s">
        <v>39</v>
      </c>
      <c r="E1474" s="37">
        <f>B1474*1</f>
        <v>0</v>
      </c>
    </row>
    <row r="1475" spans="1:5" thickBot="1" x14ac:dyDescent="0.3">
      <c r="A1475" s="15" t="s">
        <v>772</v>
      </c>
      <c r="B1475" s="14">
        <f>IFERROR(VLOOKUP(A1475,Tabla3[],2,FALSE),0)</f>
        <v>0</v>
      </c>
      <c r="C1475" s="26"/>
      <c r="D1475" s="26" t="s">
        <v>13</v>
      </c>
      <c r="E1475" s="26">
        <f>B1475*280</f>
        <v>0</v>
      </c>
    </row>
    <row r="1476" spans="1:5" thickBot="1" x14ac:dyDescent="0.3">
      <c r="A1476" s="17" t="s">
        <v>773</v>
      </c>
      <c r="B1476" s="14">
        <f>IFERROR(VLOOKUP(A1476,Tabla3[],2,FALSE),0)</f>
        <v>0</v>
      </c>
      <c r="C1476"/>
      <c r="D1476" s="35" t="s">
        <v>5</v>
      </c>
      <c r="E1476" s="19">
        <f>B1476</f>
        <v>0</v>
      </c>
    </row>
    <row r="1477" spans="1:5" thickBot="1" x14ac:dyDescent="0.3">
      <c r="A1477" s="15" t="s">
        <v>774</v>
      </c>
      <c r="B1477" s="14">
        <f>IFERROR(VLOOKUP(A1477,Tabla3[],2,FALSE),0)</f>
        <v>0</v>
      </c>
      <c r="C1477"/>
      <c r="D1477" s="35" t="s">
        <v>5</v>
      </c>
      <c r="E1477" s="19">
        <f>B1477</f>
        <v>0</v>
      </c>
    </row>
    <row r="1478" spans="1:5" thickBot="1" x14ac:dyDescent="0.3">
      <c r="A1478" s="17" t="s">
        <v>775</v>
      </c>
      <c r="B1478" s="14">
        <f>IFERROR(VLOOKUP(A1478,Tabla3[],2,FALSE),0)</f>
        <v>0</v>
      </c>
      <c r="C1478"/>
      <c r="D1478" s="35" t="s">
        <v>5</v>
      </c>
      <c r="E1478" s="19">
        <f>B1478</f>
        <v>0</v>
      </c>
    </row>
    <row r="1479" spans="1:5" thickBot="1" x14ac:dyDescent="0.3">
      <c r="A1479" s="15" t="s">
        <v>776</v>
      </c>
      <c r="B1479" s="14">
        <f>IFERROR(VLOOKUP(A1479,Tabla3[],2,FALSE),0)</f>
        <v>0</v>
      </c>
      <c r="C1479"/>
      <c r="D1479" s="35" t="s">
        <v>5</v>
      </c>
      <c r="E1479" s="19">
        <f>B1479</f>
        <v>0</v>
      </c>
    </row>
    <row r="1480" spans="1:5" thickBot="1" x14ac:dyDescent="0.3">
      <c r="A1480" s="15" t="s">
        <v>777</v>
      </c>
      <c r="B1480" s="14">
        <f>IFERROR(VLOOKUP(A1480,Tabla3[],2,FALSE),0)</f>
        <v>0</v>
      </c>
      <c r="C1480" s="23"/>
      <c r="D1480" s="23" t="s">
        <v>0</v>
      </c>
      <c r="E1480" s="24">
        <f>B1480*2</f>
        <v>0</v>
      </c>
    </row>
    <row r="1481" spans="1:5" thickBot="1" x14ac:dyDescent="0.3">
      <c r="A1481" s="15" t="s">
        <v>778</v>
      </c>
      <c r="B1481" s="14">
        <f>IFERROR(VLOOKUP(A1481,Tabla3[],2,FALSE),0)</f>
        <v>0</v>
      </c>
      <c r="C1481" s="26"/>
      <c r="D1481" s="26" t="s">
        <v>36</v>
      </c>
      <c r="E1481" s="26">
        <f>B1481</f>
        <v>0</v>
      </c>
    </row>
    <row r="1482" spans="1:5" thickBot="1" x14ac:dyDescent="0.3">
      <c r="A1482" s="15" t="s">
        <v>779</v>
      </c>
      <c r="B1482" s="14">
        <f>IFERROR(VLOOKUP(A1482,Tabla3[],2,FALSE),0)</f>
        <v>0</v>
      </c>
      <c r="C1482" s="148"/>
      <c r="D1482" s="148" t="s">
        <v>637</v>
      </c>
      <c r="E1482" s="149">
        <f>B1482</f>
        <v>0</v>
      </c>
    </row>
    <row r="1483" spans="1:5" thickBot="1" x14ac:dyDescent="0.3">
      <c r="A1483" s="15"/>
      <c r="B1483" s="14">
        <f>IFERROR(VLOOKUP(A1483,Tabla3[],2,FALSE),0)</f>
        <v>0</v>
      </c>
      <c r="C1483" s="35" t="s">
        <v>133</v>
      </c>
      <c r="D1483" s="35" t="s">
        <v>51</v>
      </c>
      <c r="E1483" s="150">
        <f>B1482*20</f>
        <v>0</v>
      </c>
    </row>
    <row r="1484" spans="1:5" thickBot="1" x14ac:dyDescent="0.3">
      <c r="A1484" s="15"/>
      <c r="B1484" s="14">
        <f>IFERROR(VLOOKUP(A1484,Tabla3[],2,FALSE),0)</f>
        <v>0</v>
      </c>
      <c r="C1484" s="35" t="s">
        <v>131</v>
      </c>
      <c r="D1484" s="35" t="s">
        <v>106</v>
      </c>
      <c r="E1484" s="150">
        <f>B1482*20</f>
        <v>0</v>
      </c>
    </row>
    <row r="1485" spans="1:5" thickBot="1" x14ac:dyDescent="0.3">
      <c r="A1485" s="15"/>
      <c r="B1485" s="14">
        <f>IFERROR(VLOOKUP(A1485,Tabla3[],2,FALSE),0)</f>
        <v>0</v>
      </c>
      <c r="C1485" s="35"/>
      <c r="D1485" s="35" t="s">
        <v>636</v>
      </c>
      <c r="E1485" s="150">
        <f>B1482</f>
        <v>0</v>
      </c>
    </row>
    <row r="1486" spans="1:5" thickBot="1" x14ac:dyDescent="0.3">
      <c r="A1486" s="15"/>
      <c r="B1486" s="14">
        <f>IFERROR(VLOOKUP(A1486,Tabla3[],2,FALSE),0)</f>
        <v>0</v>
      </c>
      <c r="C1486" s="35"/>
      <c r="D1486" s="38" t="s">
        <v>97</v>
      </c>
      <c r="E1486" s="150">
        <f>B1482*50</f>
        <v>0</v>
      </c>
    </row>
    <row r="1487" spans="1:5" thickBot="1" x14ac:dyDescent="0.3">
      <c r="A1487" s="15"/>
      <c r="B1487" s="14">
        <f>IFERROR(VLOOKUP(A1487,Tabla3[],2,FALSE),0)</f>
        <v>0</v>
      </c>
      <c r="C1487" s="35" t="s">
        <v>131</v>
      </c>
      <c r="D1487" s="33" t="s">
        <v>116</v>
      </c>
      <c r="E1487" s="163">
        <f>B1482*75</f>
        <v>0</v>
      </c>
    </row>
    <row r="1488" spans="1:5" thickBot="1" x14ac:dyDescent="0.3">
      <c r="A1488" s="15"/>
      <c r="B1488" s="14">
        <f>IFERROR(VLOOKUP(A1488,Tabla3[],2,FALSE),0)</f>
        <v>0</v>
      </c>
      <c r="C1488" s="165"/>
      <c r="D1488" s="208" t="s">
        <v>104</v>
      </c>
      <c r="E1488" s="167">
        <f>B1482*20</f>
        <v>0</v>
      </c>
    </row>
    <row r="1489" spans="1:5" thickBot="1" x14ac:dyDescent="0.3">
      <c r="A1489" s="15" t="s">
        <v>780</v>
      </c>
      <c r="B1489" s="14">
        <f>IFERROR(VLOOKUP(A1489,Tabla3[],2,FALSE),0)</f>
        <v>0</v>
      </c>
      <c r="C1489" s="123"/>
      <c r="D1489" s="47" t="s">
        <v>684</v>
      </c>
      <c r="E1489" s="75">
        <f>B1489*500</f>
        <v>0</v>
      </c>
    </row>
    <row r="1490" spans="1:5" thickBot="1" x14ac:dyDescent="0.3">
      <c r="A1490" s="15" t="s">
        <v>781</v>
      </c>
      <c r="B1490" s="14">
        <f>IFERROR(VLOOKUP(A1490,Tabla3[],2,FALSE),0)</f>
        <v>0</v>
      </c>
      <c r="C1490" s="26"/>
      <c r="D1490" s="26" t="s">
        <v>13</v>
      </c>
      <c r="E1490" s="26">
        <f>B1490*280</f>
        <v>0</v>
      </c>
    </row>
    <row r="1491" spans="1:5" ht="16.5" thickBot="1" x14ac:dyDescent="0.3">
      <c r="B1491" s="14">
        <f>IFERROR(VLOOKUP(A1491,Tabla3[],2,FALSE),0)</f>
        <v>0</v>
      </c>
      <c r="C1491" s="35"/>
      <c r="D1491" s="35" t="s">
        <v>9</v>
      </c>
      <c r="E1491" s="35">
        <f>B1490*25</f>
        <v>0</v>
      </c>
    </row>
    <row r="1492" spans="1:5" ht="16.5" thickBot="1" x14ac:dyDescent="0.3">
      <c r="B1492" s="14">
        <f>IFERROR(VLOOKUP(A1492,Tabla3[],2,FALSE),0)</f>
        <v>0</v>
      </c>
      <c r="C1492" s="35"/>
      <c r="D1492" s="35" t="s">
        <v>16</v>
      </c>
      <c r="E1492" s="35">
        <f>B1490*60</f>
        <v>0</v>
      </c>
    </row>
    <row r="1493" spans="1:5" ht="16.5" thickBot="1" x14ac:dyDescent="0.3">
      <c r="B1493" s="14">
        <f>IFERROR(VLOOKUP(A1493,Tabla3[],2,FALSE),0)</f>
        <v>0</v>
      </c>
      <c r="C1493" s="35"/>
      <c r="D1493" s="35" t="s">
        <v>23</v>
      </c>
      <c r="E1493" s="35">
        <f>B1490*20</f>
        <v>0</v>
      </c>
    </row>
    <row r="1494" spans="1:5" ht="16.5" thickBot="1" x14ac:dyDescent="0.3">
      <c r="B1494" s="14">
        <f>IFERROR(VLOOKUP(A1494,Tabla3[],2,FALSE),0)</f>
        <v>0</v>
      </c>
      <c r="C1494" s="33"/>
      <c r="D1494" s="33" t="s">
        <v>521</v>
      </c>
      <c r="E1494" s="33">
        <f>B1490*50</f>
        <v>0</v>
      </c>
    </row>
    <row r="1495" spans="1:5" thickBot="1" x14ac:dyDescent="0.3">
      <c r="A1495" s="15" t="s">
        <v>782</v>
      </c>
      <c r="B1495" s="14">
        <f>IFERROR(VLOOKUP(A1495,Tabla3[],2,FALSE),0)</f>
        <v>0</v>
      </c>
      <c r="C1495" s="31"/>
      <c r="D1495" s="26" t="s">
        <v>637</v>
      </c>
      <c r="E1495" s="26">
        <f>B1495</f>
        <v>0</v>
      </c>
    </row>
    <row r="1496" spans="1:5" ht="16.5" thickBot="1" x14ac:dyDescent="0.3">
      <c r="B1496" s="14">
        <f>IFERROR(VLOOKUP(A1496,Tabla3[],2,FALSE),0)</f>
        <v>0</v>
      </c>
      <c r="C1496" s="35" t="s">
        <v>133</v>
      </c>
      <c r="D1496" s="35" t="s">
        <v>51</v>
      </c>
      <c r="E1496" s="35">
        <f>B1495*20</f>
        <v>0</v>
      </c>
    </row>
    <row r="1497" spans="1:5" ht="16.5" thickBot="1" x14ac:dyDescent="0.3">
      <c r="B1497" s="14">
        <f>IFERROR(VLOOKUP(A1497,Tabla3[],2,FALSE),0)</f>
        <v>0</v>
      </c>
      <c r="C1497" s="35" t="s">
        <v>131</v>
      </c>
      <c r="D1497" s="35" t="s">
        <v>106</v>
      </c>
      <c r="E1497" s="35">
        <f>B1495*20</f>
        <v>0</v>
      </c>
    </row>
    <row r="1498" spans="1:5" ht="16.5" thickBot="1" x14ac:dyDescent="0.3">
      <c r="B1498" s="14">
        <f>IFERROR(VLOOKUP(A1498,Tabla3[],2,FALSE),0)</f>
        <v>0</v>
      </c>
      <c r="C1498" s="35"/>
      <c r="D1498" s="35" t="s">
        <v>636</v>
      </c>
      <c r="E1498" s="35">
        <f>B1495</f>
        <v>0</v>
      </c>
    </row>
    <row r="1499" spans="1:5" ht="16.5" thickBot="1" x14ac:dyDescent="0.3">
      <c r="B1499" s="14">
        <f>IFERROR(VLOOKUP(A1499,Tabla3[],2,FALSE),0)</f>
        <v>0</v>
      </c>
      <c r="C1499" s="35"/>
      <c r="D1499" s="38" t="s">
        <v>97</v>
      </c>
      <c r="E1499" s="35">
        <f>B1495*50</f>
        <v>0</v>
      </c>
    </row>
    <row r="1500" spans="1:5" ht="16.5" thickBot="1" x14ac:dyDescent="0.3">
      <c r="B1500" s="14">
        <f>IFERROR(VLOOKUP(A1500,Tabla3[],2,FALSE),0)</f>
        <v>0</v>
      </c>
      <c r="C1500" s="35" t="s">
        <v>131</v>
      </c>
      <c r="D1500" s="33" t="s">
        <v>116</v>
      </c>
      <c r="E1500" s="33">
        <f>B1495*75</f>
        <v>0</v>
      </c>
    </row>
    <row r="1501" spans="1:5" ht="16.5" thickBot="1" x14ac:dyDescent="0.3">
      <c r="B1501" s="14">
        <f>IFERROR(VLOOKUP(A1501,Tabla3[],2,FALSE),0)</f>
        <v>0</v>
      </c>
      <c r="C1501" s="82"/>
      <c r="D1501" s="33" t="s">
        <v>582</v>
      </c>
      <c r="E1501" s="76">
        <f>B1495*20</f>
        <v>0</v>
      </c>
    </row>
    <row r="1502" spans="1:5" thickBot="1" x14ac:dyDescent="0.3">
      <c r="A1502" s="15" t="s">
        <v>631</v>
      </c>
      <c r="B1502" s="14">
        <f>IFERROR(VLOOKUP(A1502,Tabla3[],2,FALSE),0)</f>
        <v>0</v>
      </c>
      <c r="C1502" s="47"/>
      <c r="D1502" s="47" t="s">
        <v>125</v>
      </c>
      <c r="E1502" s="47">
        <f>B1502</f>
        <v>0</v>
      </c>
    </row>
    <row r="1503" spans="1:5" thickBot="1" x14ac:dyDescent="0.3">
      <c r="A1503" s="17" t="s">
        <v>783</v>
      </c>
      <c r="B1503" s="14">
        <f>IFERROR(VLOOKUP(A1503,Tabla3[],2,FALSE),0)</f>
        <v>0</v>
      </c>
      <c r="C1503" s="47" t="s">
        <v>136</v>
      </c>
      <c r="D1503" s="20" t="s">
        <v>115</v>
      </c>
      <c r="E1503" s="20">
        <f t="shared" ref="E1503" si="37">B1503*750</f>
        <v>0</v>
      </c>
    </row>
    <row r="1504" spans="1:5" thickBot="1" x14ac:dyDescent="0.3">
      <c r="A1504" s="15" t="s">
        <v>784</v>
      </c>
      <c r="B1504" s="14">
        <f>IFERROR(VLOOKUP(A1504,Tabla3[],2,FALSE),0)</f>
        <v>0</v>
      </c>
      <c r="C1504" s="47" t="s">
        <v>136</v>
      </c>
      <c r="D1504" s="102" t="s">
        <v>644</v>
      </c>
      <c r="E1504" s="20">
        <f t="shared" ref="E1504" si="38">B1504</f>
        <v>0</v>
      </c>
    </row>
    <row r="1505" spans="1:5" thickBot="1" x14ac:dyDescent="0.3">
      <c r="A1505" s="15" t="s">
        <v>685</v>
      </c>
      <c r="B1505" s="14">
        <f>IFERROR(VLOOKUP(A1505,Tabla3[],2,FALSE),0)</f>
        <v>0</v>
      </c>
      <c r="C1505" s="123"/>
      <c r="D1505" s="47" t="s">
        <v>686</v>
      </c>
      <c r="E1505" s="76">
        <f>B1504*500</f>
        <v>0</v>
      </c>
    </row>
    <row r="1506" spans="1:5" thickBot="1" x14ac:dyDescent="0.3">
      <c r="A1506" s="17" t="s">
        <v>785</v>
      </c>
      <c r="B1506" s="14">
        <f>IFERROR(VLOOKUP(A1506,Tabla3[],2,FALSE),0)</f>
        <v>0</v>
      </c>
      <c r="C1506" s="26"/>
      <c r="D1506" s="26" t="s">
        <v>36</v>
      </c>
      <c r="E1506" s="26">
        <f>B1506</f>
        <v>0</v>
      </c>
    </row>
    <row r="1507" spans="1:5" ht="16.5" thickBot="1" x14ac:dyDescent="0.3">
      <c r="B1507" s="14">
        <f>IFERROR(VLOOKUP(A1507,Tabla3[],2,FALSE),0)</f>
        <v>0</v>
      </c>
      <c r="C1507" s="35"/>
      <c r="D1507" s="35" t="s">
        <v>102</v>
      </c>
      <c r="E1507" s="35">
        <f>B1506*0.5</f>
        <v>0</v>
      </c>
    </row>
    <row r="1508" spans="1:5" ht="16.5" thickBot="1" x14ac:dyDescent="0.3">
      <c r="B1508" s="14">
        <f>IFERROR(VLOOKUP(A1508,Tabla3[],2,FALSE),0)</f>
        <v>0</v>
      </c>
      <c r="C1508" s="33"/>
      <c r="D1508" s="33" t="s">
        <v>311</v>
      </c>
      <c r="E1508" s="33">
        <f>B1506*2</f>
        <v>0</v>
      </c>
    </row>
    <row r="1509" spans="1:5" thickBot="1" x14ac:dyDescent="0.3">
      <c r="A1509" s="176" t="s">
        <v>789</v>
      </c>
      <c r="B1509" s="14">
        <f>IFERROR(VLOOKUP(A1509,Tabla3[],2,FALSE),0)</f>
        <v>0</v>
      </c>
      <c r="C1509" s="177"/>
      <c r="D1509" s="78" t="s">
        <v>116</v>
      </c>
      <c r="E1509" s="177">
        <f t="shared" ref="E1509" si="39">75*B1509</f>
        <v>0</v>
      </c>
    </row>
    <row r="1510" spans="1:5" thickBot="1" x14ac:dyDescent="0.3">
      <c r="A1510" s="178"/>
      <c r="B1510" s="14">
        <f>IFERROR(VLOOKUP(A1510,Tabla3[],2,FALSE),0)</f>
        <v>0</v>
      </c>
      <c r="C1510" s="68"/>
      <c r="D1510" s="76" t="s">
        <v>106</v>
      </c>
      <c r="E1510" s="68">
        <f>60*B1509</f>
        <v>0</v>
      </c>
    </row>
    <row r="1511" spans="1:5" thickBot="1" x14ac:dyDescent="0.3">
      <c r="A1511" s="179"/>
      <c r="B1511" s="14">
        <f>IFERROR(VLOOKUP(A1511,Tabla3[],2,FALSE),0)</f>
        <v>0</v>
      </c>
      <c r="C1511" s="69"/>
      <c r="D1511" s="77" t="s">
        <v>51</v>
      </c>
      <c r="E1511" s="69">
        <f>10*B1509</f>
        <v>0</v>
      </c>
    </row>
    <row r="1512" spans="1:5" thickBot="1" x14ac:dyDescent="0.3">
      <c r="A1512" s="181" t="s">
        <v>786</v>
      </c>
      <c r="B1512" s="14">
        <f>IFERROR(VLOOKUP(A1512,Tabla3[],2,FALSE),0)</f>
        <v>0</v>
      </c>
      <c r="C1512" s="78" t="s">
        <v>131</v>
      </c>
      <c r="D1512" s="78" t="s">
        <v>123</v>
      </c>
      <c r="E1512" s="78">
        <f>B1512*75</f>
        <v>0</v>
      </c>
    </row>
    <row r="1513" spans="1:5" thickBot="1" x14ac:dyDescent="0.3">
      <c r="A1513" s="90"/>
      <c r="B1513" s="14">
        <f>IFERROR(VLOOKUP(A1513,Tabla3[],2,FALSE),0)</f>
        <v>0</v>
      </c>
      <c r="C1513" s="76" t="s">
        <v>131</v>
      </c>
      <c r="D1513" s="76" t="s">
        <v>106</v>
      </c>
      <c r="E1513" s="76">
        <f>B1512*50</f>
        <v>0</v>
      </c>
    </row>
    <row r="1514" spans="1:5" thickBot="1" x14ac:dyDescent="0.3">
      <c r="A1514" s="90"/>
      <c r="B1514" s="14">
        <f>IFERROR(VLOOKUP(A1514,Tabla3[],2,FALSE),0)</f>
        <v>0</v>
      </c>
      <c r="C1514" s="76" t="s">
        <v>131</v>
      </c>
      <c r="D1514" s="76" t="s">
        <v>128</v>
      </c>
      <c r="E1514" s="76">
        <f>B1512*10</f>
        <v>0</v>
      </c>
    </row>
    <row r="1515" spans="1:5" thickBot="1" x14ac:dyDescent="0.3">
      <c r="A1515" s="182"/>
      <c r="B1515" s="14">
        <f>IFERROR(VLOOKUP(A1515,Tabla3[],2,FALSE),0)</f>
        <v>0</v>
      </c>
      <c r="C1515" s="79" t="s">
        <v>133</v>
      </c>
      <c r="D1515" s="79" t="s">
        <v>51</v>
      </c>
      <c r="E1515" s="79">
        <f>B1512*40</f>
        <v>0</v>
      </c>
    </row>
    <row r="1516" spans="1:5" thickBot="1" x14ac:dyDescent="0.3">
      <c r="A1516" s="183" t="s">
        <v>790</v>
      </c>
      <c r="B1516" s="14">
        <f>IFERROR(VLOOKUP(A1516,Tabla3[],2,FALSE),0)</f>
        <v>0</v>
      </c>
      <c r="C1516" s="75"/>
      <c r="D1516" s="75" t="s">
        <v>637</v>
      </c>
      <c r="E1516" s="75">
        <f>B1516</f>
        <v>0</v>
      </c>
    </row>
    <row r="1517" spans="1:5" thickBot="1" x14ac:dyDescent="0.3">
      <c r="A1517" s="184"/>
      <c r="B1517" s="14">
        <f>IFERROR(VLOOKUP(A1517,Tabla3[],2,FALSE),0)</f>
        <v>0</v>
      </c>
      <c r="C1517" s="76" t="s">
        <v>133</v>
      </c>
      <c r="D1517" s="76" t="s">
        <v>51</v>
      </c>
      <c r="E1517" s="76">
        <f>B1516*20</f>
        <v>0</v>
      </c>
    </row>
    <row r="1518" spans="1:5" thickBot="1" x14ac:dyDescent="0.3">
      <c r="A1518" s="184"/>
      <c r="B1518" s="14">
        <f>IFERROR(VLOOKUP(A1518,Tabla3[],2,FALSE),0)</f>
        <v>0</v>
      </c>
      <c r="C1518" s="76" t="s">
        <v>131</v>
      </c>
      <c r="D1518" s="76" t="s">
        <v>106</v>
      </c>
      <c r="E1518" s="76">
        <f>B1516*20</f>
        <v>0</v>
      </c>
    </row>
    <row r="1519" spans="1:5" thickBot="1" x14ac:dyDescent="0.3">
      <c r="A1519" s="184"/>
      <c r="B1519" s="14">
        <f>IFERROR(VLOOKUP(A1519,Tabla3[],2,FALSE),0)</f>
        <v>0</v>
      </c>
      <c r="C1519" s="76"/>
      <c r="D1519" s="76" t="s">
        <v>636</v>
      </c>
      <c r="E1519" s="76">
        <f>B1516</f>
        <v>0</v>
      </c>
    </row>
    <row r="1520" spans="1:5" thickBot="1" x14ac:dyDescent="0.3">
      <c r="A1520" s="184"/>
      <c r="B1520" s="14">
        <f>IFERROR(VLOOKUP(A1520,Tabla3[],2,FALSE),0)</f>
        <v>0</v>
      </c>
      <c r="C1520" s="76"/>
      <c r="D1520" s="68" t="s">
        <v>97</v>
      </c>
      <c r="E1520" s="76">
        <f>B1516*50</f>
        <v>0</v>
      </c>
    </row>
    <row r="1521" spans="1:5" thickBot="1" x14ac:dyDescent="0.3">
      <c r="A1521" s="185"/>
      <c r="B1521" s="14">
        <f>IFERROR(VLOOKUP(A1521,Tabla3[],2,FALSE),0)</f>
        <v>0</v>
      </c>
      <c r="C1521" s="79" t="s">
        <v>131</v>
      </c>
      <c r="D1521" s="79" t="s">
        <v>116</v>
      </c>
      <c r="E1521" s="79">
        <f>B1516*75</f>
        <v>0</v>
      </c>
    </row>
    <row r="1522" spans="1:5" thickBot="1" x14ac:dyDescent="0.3">
      <c r="A1522" s="186" t="s">
        <v>791</v>
      </c>
      <c r="B1522" s="14">
        <f>IFERROR(VLOOKUP(A1522,Tabla3[],2,FALSE),0)</f>
        <v>0</v>
      </c>
      <c r="C1522" s="75"/>
      <c r="D1522" s="75" t="s">
        <v>637</v>
      </c>
      <c r="E1522" s="75">
        <f>B1522</f>
        <v>0</v>
      </c>
    </row>
    <row r="1523" spans="1:5" thickBot="1" x14ac:dyDescent="0.3">
      <c r="A1523" s="187"/>
      <c r="B1523" s="14">
        <f>IFERROR(VLOOKUP(A1523,Tabla3[],2,FALSE),0)</f>
        <v>0</v>
      </c>
      <c r="C1523" s="76" t="s">
        <v>133</v>
      </c>
      <c r="D1523" s="76" t="s">
        <v>51</v>
      </c>
      <c r="E1523" s="76">
        <f>B1522*20</f>
        <v>0</v>
      </c>
    </row>
    <row r="1524" spans="1:5" thickBot="1" x14ac:dyDescent="0.3">
      <c r="A1524" s="187"/>
      <c r="B1524" s="14">
        <f>IFERROR(VLOOKUP(A1524,Tabla3[],2,FALSE),0)</f>
        <v>0</v>
      </c>
      <c r="C1524" s="76" t="s">
        <v>131</v>
      </c>
      <c r="D1524" s="76" t="s">
        <v>106</v>
      </c>
      <c r="E1524" s="76">
        <f>B1522*20</f>
        <v>0</v>
      </c>
    </row>
    <row r="1525" spans="1:5" thickBot="1" x14ac:dyDescent="0.3">
      <c r="A1525" s="187"/>
      <c r="B1525" s="14">
        <f>IFERROR(VLOOKUP(A1525,Tabla3[],2,FALSE),0)</f>
        <v>0</v>
      </c>
      <c r="C1525" s="76"/>
      <c r="D1525" s="76" t="s">
        <v>636</v>
      </c>
      <c r="E1525" s="76">
        <f>B1522</f>
        <v>0</v>
      </c>
    </row>
    <row r="1526" spans="1:5" thickBot="1" x14ac:dyDescent="0.3">
      <c r="A1526" s="187"/>
      <c r="B1526" s="14">
        <f>IFERROR(VLOOKUP(A1526,Tabla3[],2,FALSE),0)</f>
        <v>0</v>
      </c>
      <c r="C1526" s="76"/>
      <c r="D1526" s="68" t="s">
        <v>97</v>
      </c>
      <c r="E1526" s="76">
        <f>B1522*50</f>
        <v>0</v>
      </c>
    </row>
    <row r="1527" spans="1:5" thickBot="1" x14ac:dyDescent="0.3">
      <c r="A1527" s="187"/>
      <c r="B1527" s="14">
        <f>IFERROR(VLOOKUP(A1527,Tabla3[],2,FALSE),0)</f>
        <v>0</v>
      </c>
      <c r="C1527" s="76" t="s">
        <v>131</v>
      </c>
      <c r="D1527" s="76" t="s">
        <v>116</v>
      </c>
      <c r="E1527" s="76">
        <f>B1522*75</f>
        <v>0</v>
      </c>
    </row>
    <row r="1528" spans="1:5" thickBot="1" x14ac:dyDescent="0.3">
      <c r="A1528" s="188"/>
      <c r="B1528" s="14">
        <f>IFERROR(VLOOKUP(A1528,Tabla3[],2,FALSE),0)</f>
        <v>0</v>
      </c>
      <c r="C1528" s="189"/>
      <c r="D1528" s="209" t="s">
        <v>104</v>
      </c>
      <c r="E1528" s="79">
        <f>B1522*20</f>
        <v>0</v>
      </c>
    </row>
    <row r="1529" spans="1:5" thickBot="1" x14ac:dyDescent="0.3">
      <c r="A1529" s="186" t="s">
        <v>792</v>
      </c>
      <c r="B1529" s="14">
        <f>IFERROR(VLOOKUP(A1529,Tabla3[],2,FALSE),0)</f>
        <v>0</v>
      </c>
      <c r="C1529" s="75"/>
      <c r="D1529" s="75" t="s">
        <v>637</v>
      </c>
      <c r="E1529" s="75">
        <f>B1529</f>
        <v>0</v>
      </c>
    </row>
    <row r="1530" spans="1:5" thickBot="1" x14ac:dyDescent="0.3">
      <c r="A1530" s="187"/>
      <c r="B1530" s="14">
        <f>IFERROR(VLOOKUP(A1530,Tabla3[],2,FALSE),0)</f>
        <v>0</v>
      </c>
      <c r="C1530" s="76" t="s">
        <v>133</v>
      </c>
      <c r="D1530" s="76" t="s">
        <v>51</v>
      </c>
      <c r="E1530" s="76">
        <f>B1529*20</f>
        <v>0</v>
      </c>
    </row>
    <row r="1531" spans="1:5" thickBot="1" x14ac:dyDescent="0.3">
      <c r="A1531" s="187"/>
      <c r="B1531" s="14">
        <f>IFERROR(VLOOKUP(A1531,Tabla3[],2,FALSE),0)</f>
        <v>0</v>
      </c>
      <c r="C1531" s="76"/>
      <c r="D1531" s="76" t="s">
        <v>636</v>
      </c>
      <c r="E1531" s="76">
        <f>B1529</f>
        <v>0</v>
      </c>
    </row>
    <row r="1532" spans="1:5" thickBot="1" x14ac:dyDescent="0.3">
      <c r="A1532" s="187"/>
      <c r="B1532" s="14">
        <f>IFERROR(VLOOKUP(A1532,Tabla3[],2,FALSE),0)</f>
        <v>0</v>
      </c>
      <c r="C1532" s="76"/>
      <c r="D1532" s="76" t="s">
        <v>97</v>
      </c>
      <c r="E1532" s="76">
        <f>B1529*50</f>
        <v>0</v>
      </c>
    </row>
    <row r="1533" spans="1:5" thickBot="1" x14ac:dyDescent="0.3">
      <c r="A1533" s="187"/>
      <c r="B1533" s="14">
        <f>IFERROR(VLOOKUP(A1533,Tabla3[],2,FALSE),0)</f>
        <v>0</v>
      </c>
      <c r="C1533" s="76" t="s">
        <v>131</v>
      </c>
      <c r="D1533" s="76" t="s">
        <v>106</v>
      </c>
      <c r="E1533" s="76">
        <f>B1529*20</f>
        <v>0</v>
      </c>
    </row>
    <row r="1534" spans="1:5" thickBot="1" x14ac:dyDescent="0.3">
      <c r="A1534" s="187"/>
      <c r="B1534" s="14">
        <f>IFERROR(VLOOKUP(A1534,Tabla3[],2,FALSE),0)</f>
        <v>0</v>
      </c>
      <c r="C1534" s="76" t="s">
        <v>131</v>
      </c>
      <c r="D1534" s="76" t="s">
        <v>116</v>
      </c>
      <c r="E1534" s="76">
        <f>B1529*75</f>
        <v>0</v>
      </c>
    </row>
    <row r="1535" spans="1:5" thickBot="1" x14ac:dyDescent="0.3">
      <c r="A1535" s="190"/>
      <c r="B1535" s="14">
        <f>IFERROR(VLOOKUP(A1535,Tabla3[],2,FALSE),0)</f>
        <v>0</v>
      </c>
      <c r="C1535" s="77" t="s">
        <v>131</v>
      </c>
      <c r="D1535" s="77" t="s">
        <v>108</v>
      </c>
      <c r="E1535" s="77">
        <f>B1529*75</f>
        <v>0</v>
      </c>
    </row>
    <row r="1536" spans="1:5" thickBot="1" x14ac:dyDescent="0.3">
      <c r="A1536" s="191" t="s">
        <v>793</v>
      </c>
      <c r="B1536" s="14">
        <f>IFERROR(VLOOKUP(A1536,Tabla3[],2,FALSE),0)</f>
        <v>0</v>
      </c>
      <c r="C1536" s="75"/>
      <c r="D1536" s="75" t="s">
        <v>637</v>
      </c>
      <c r="E1536" s="75">
        <f>B1536</f>
        <v>0</v>
      </c>
    </row>
    <row r="1537" spans="1:5" thickBot="1" x14ac:dyDescent="0.3">
      <c r="A1537" s="192"/>
      <c r="B1537" s="14">
        <f>IFERROR(VLOOKUP(A1537,Tabla3[],2,FALSE),0)</f>
        <v>0</v>
      </c>
      <c r="C1537" s="76" t="s">
        <v>133</v>
      </c>
      <c r="D1537" s="76" t="s">
        <v>51</v>
      </c>
      <c r="E1537" s="76">
        <f>B1536*20</f>
        <v>0</v>
      </c>
    </row>
    <row r="1538" spans="1:5" thickBot="1" x14ac:dyDescent="0.3">
      <c r="A1538" s="192"/>
      <c r="B1538" s="14">
        <f>IFERROR(VLOOKUP(A1538,Tabla3[],2,FALSE),0)</f>
        <v>0</v>
      </c>
      <c r="C1538" s="76" t="s">
        <v>131</v>
      </c>
      <c r="D1538" s="76" t="s">
        <v>106</v>
      </c>
      <c r="E1538" s="76">
        <f>B1536*20</f>
        <v>0</v>
      </c>
    </row>
    <row r="1539" spans="1:5" thickBot="1" x14ac:dyDescent="0.3">
      <c r="A1539" s="192"/>
      <c r="B1539" s="14">
        <f>IFERROR(VLOOKUP(A1539,Tabla3[],2,FALSE),0)</f>
        <v>0</v>
      </c>
      <c r="C1539" s="76"/>
      <c r="D1539" s="76" t="s">
        <v>636</v>
      </c>
      <c r="E1539" s="76">
        <f>B1536</f>
        <v>0</v>
      </c>
    </row>
    <row r="1540" spans="1:5" thickBot="1" x14ac:dyDescent="0.3">
      <c r="A1540" s="192"/>
      <c r="B1540" s="14">
        <f>IFERROR(VLOOKUP(A1540,Tabla3[],2,FALSE),0)</f>
        <v>0</v>
      </c>
      <c r="C1540" s="76"/>
      <c r="D1540" s="68" t="s">
        <v>97</v>
      </c>
      <c r="E1540" s="76">
        <f>B1536*50</f>
        <v>0</v>
      </c>
    </row>
    <row r="1541" spans="1:5" thickBot="1" x14ac:dyDescent="0.3">
      <c r="A1541" s="192"/>
      <c r="B1541" s="14">
        <f>IFERROR(VLOOKUP(A1541,Tabla3[],2,FALSE),0)</f>
        <v>0</v>
      </c>
      <c r="C1541" s="76" t="s">
        <v>131</v>
      </c>
      <c r="D1541" s="76" t="s">
        <v>116</v>
      </c>
      <c r="E1541" s="76">
        <f>B1536*75</f>
        <v>0</v>
      </c>
    </row>
    <row r="1542" spans="1:5" thickBot="1" x14ac:dyDescent="0.3">
      <c r="A1542" s="192"/>
      <c r="B1542" s="14">
        <f>IFERROR(VLOOKUP(A1542,Tabla3[],2,FALSE),0)</f>
        <v>0</v>
      </c>
      <c r="C1542" s="189"/>
      <c r="D1542" s="79" t="s">
        <v>107</v>
      </c>
      <c r="E1542" s="79">
        <f>B1536*20</f>
        <v>0</v>
      </c>
    </row>
    <row r="1543" spans="1:5" thickBot="1" x14ac:dyDescent="0.3">
      <c r="A1543" s="193" t="s">
        <v>794</v>
      </c>
      <c r="B1543" s="14">
        <f>IFERROR(VLOOKUP(A1543,Tabla3[],2,FALSE),0)</f>
        <v>0</v>
      </c>
      <c r="C1543" s="75"/>
      <c r="D1543" s="75" t="s">
        <v>637</v>
      </c>
      <c r="E1543" s="75">
        <f>B1543</f>
        <v>0</v>
      </c>
    </row>
    <row r="1544" spans="1:5" thickBot="1" x14ac:dyDescent="0.3">
      <c r="A1544" s="96"/>
      <c r="B1544" s="14">
        <f>IFERROR(VLOOKUP(A1544,Tabla3[],2,FALSE),0)</f>
        <v>0</v>
      </c>
      <c r="C1544" s="76" t="s">
        <v>133</v>
      </c>
      <c r="D1544" s="76" t="s">
        <v>51</v>
      </c>
      <c r="E1544" s="76">
        <f>B1543*20</f>
        <v>0</v>
      </c>
    </row>
    <row r="1545" spans="1:5" thickBot="1" x14ac:dyDescent="0.3">
      <c r="A1545" s="96"/>
      <c r="B1545" s="14">
        <f>IFERROR(VLOOKUP(A1545,Tabla3[],2,FALSE),0)</f>
        <v>0</v>
      </c>
      <c r="C1545" s="76" t="s">
        <v>131</v>
      </c>
      <c r="D1545" s="76" t="s">
        <v>106</v>
      </c>
      <c r="E1545" s="76">
        <f>B1543*20</f>
        <v>0</v>
      </c>
    </row>
    <row r="1546" spans="1:5" thickBot="1" x14ac:dyDescent="0.3">
      <c r="A1546" s="96"/>
      <c r="B1546" s="14">
        <f>IFERROR(VLOOKUP(A1546,Tabla3[],2,FALSE),0)</f>
        <v>0</v>
      </c>
      <c r="C1546" s="76"/>
      <c r="D1546" s="76" t="s">
        <v>636</v>
      </c>
      <c r="E1546" s="76">
        <f>B1543</f>
        <v>0</v>
      </c>
    </row>
    <row r="1547" spans="1:5" thickBot="1" x14ac:dyDescent="0.3">
      <c r="A1547" s="96"/>
      <c r="B1547" s="14">
        <f>IFERROR(VLOOKUP(A1547,Tabla3[],2,FALSE),0)</f>
        <v>0</v>
      </c>
      <c r="C1547" s="76"/>
      <c r="D1547" s="68" t="s">
        <v>97</v>
      </c>
      <c r="E1547" s="76">
        <f>B1543*50</f>
        <v>0</v>
      </c>
    </row>
    <row r="1548" spans="1:5" thickBot="1" x14ac:dyDescent="0.3">
      <c r="A1548" s="96"/>
      <c r="B1548" s="14">
        <f>IFERROR(VLOOKUP(A1548,Tabla3[],2,FALSE),0)</f>
        <v>0</v>
      </c>
      <c r="C1548" s="76" t="s">
        <v>131</v>
      </c>
      <c r="D1548" s="76" t="s">
        <v>116</v>
      </c>
      <c r="E1548" s="76">
        <f>B1543*75</f>
        <v>0</v>
      </c>
    </row>
    <row r="1549" spans="1:5" thickBot="1" x14ac:dyDescent="0.3">
      <c r="A1549" s="151"/>
      <c r="B1549" s="14">
        <f>IFERROR(VLOOKUP(A1549,Tabla3[],2,FALSE),0)</f>
        <v>0</v>
      </c>
      <c r="C1549" s="194"/>
      <c r="D1549" s="77" t="s">
        <v>582</v>
      </c>
      <c r="E1549" s="93"/>
    </row>
    <row r="1550" spans="1:5" thickBot="1" x14ac:dyDescent="0.3">
      <c r="A1550" s="195" t="s">
        <v>795</v>
      </c>
      <c r="B1550" s="14">
        <f>IFERROR(VLOOKUP(A1550,Tabla3[],2,FALSE),0)</f>
        <v>0</v>
      </c>
      <c r="C1550" s="196"/>
      <c r="D1550" s="210" t="s">
        <v>47</v>
      </c>
      <c r="E1550" s="197">
        <f t="shared" ref="E1550" si="40">B1550*150</f>
        <v>0</v>
      </c>
    </row>
    <row r="1551" spans="1:5" thickBot="1" x14ac:dyDescent="0.3">
      <c r="A1551" s="244" t="s">
        <v>796</v>
      </c>
      <c r="B1551" s="14">
        <f>IFERROR(VLOOKUP(A1551,Tabla3[],2,FALSE),0)</f>
        <v>0</v>
      </c>
      <c r="C1551" s="198"/>
      <c r="D1551" s="145" t="s">
        <v>12</v>
      </c>
      <c r="E1551" s="199">
        <f>B1551</f>
        <v>0</v>
      </c>
    </row>
    <row r="1552" spans="1:5" thickBot="1" x14ac:dyDescent="0.3">
      <c r="A1552" s="245" t="s">
        <v>797</v>
      </c>
      <c r="B1552" s="243">
        <f>IFERROR(VLOOKUP(A1552,Tabla3[],2,FALSE),0)</f>
        <v>0</v>
      </c>
      <c r="C1552" s="198"/>
      <c r="D1552" s="145"/>
      <c r="E1552" s="199">
        <f>B1552</f>
        <v>0</v>
      </c>
    </row>
    <row r="1553" spans="1:5" thickBot="1" x14ac:dyDescent="0.3">
      <c r="A1553" s="246" t="s">
        <v>798</v>
      </c>
      <c r="B1553" s="243">
        <f>IFERROR(VLOOKUP(A1553,Tabla3[],2,FALSE),0)</f>
        <v>0</v>
      </c>
      <c r="C1553" s="198"/>
      <c r="D1553" s="145" t="s">
        <v>12</v>
      </c>
      <c r="E1553" s="199">
        <f>B1553</f>
        <v>0</v>
      </c>
    </row>
    <row r="1554" spans="1:5" thickBot="1" x14ac:dyDescent="0.3">
      <c r="A1554" s="245" t="s">
        <v>799</v>
      </c>
      <c r="B1554" s="243">
        <f>IFERROR(VLOOKUP(A1554,Tabla3[],2,FALSE),0)</f>
        <v>0</v>
      </c>
      <c r="C1554" s="198"/>
      <c r="D1554" s="145" t="s">
        <v>0</v>
      </c>
      <c r="E1554" s="199">
        <f>B1554</f>
        <v>0</v>
      </c>
    </row>
    <row r="1555" spans="1:5" thickBot="1" x14ac:dyDescent="0.3">
      <c r="A1555" s="245" t="s">
        <v>787</v>
      </c>
      <c r="B1555" s="243">
        <f>IFERROR(VLOOKUP(A1555,Tabla3[],2,FALSE),0)</f>
        <v>0</v>
      </c>
      <c r="C1555" s="197"/>
      <c r="D1555" s="211" t="s">
        <v>220</v>
      </c>
      <c r="E1555" s="197">
        <f>B1555*1000</f>
        <v>0</v>
      </c>
    </row>
    <row r="1556" spans="1:5" thickBot="1" x14ac:dyDescent="0.3">
      <c r="A1556" s="245" t="s">
        <v>788</v>
      </c>
      <c r="B1556" s="243">
        <f>IFERROR(VLOOKUP(A1556,Tabla3[],2,FALSE),0)</f>
        <v>0</v>
      </c>
      <c r="C1556" s="123"/>
      <c r="D1556" s="47" t="s">
        <v>684</v>
      </c>
      <c r="E1556" s="75">
        <f>B1556*500</f>
        <v>0</v>
      </c>
    </row>
    <row r="1557" spans="1:5" thickBot="1" x14ac:dyDescent="0.3">
      <c r="A1557" s="17" t="s">
        <v>800</v>
      </c>
      <c r="B1557" s="14">
        <f>IFERROR(VLOOKUP(A1557,Tabla3[],2,FALSE),0)</f>
        <v>0</v>
      </c>
      <c r="C1557" s="196"/>
      <c r="D1557" s="210" t="s">
        <v>47</v>
      </c>
      <c r="E1557" s="197">
        <f>B1557*75</f>
        <v>0</v>
      </c>
    </row>
    <row r="1558" spans="1:5" thickBot="1" x14ac:dyDescent="0.3">
      <c r="A1558" s="17" t="s">
        <v>802</v>
      </c>
      <c r="B1558" s="14">
        <f>IFERROR(VLOOKUP(A1558,Tabla3[],2,FALSE),0)</f>
        <v>0</v>
      </c>
      <c r="C1558" s="26"/>
      <c r="D1558" s="26" t="s">
        <v>7</v>
      </c>
      <c r="E1558" s="26">
        <f>B1558</f>
        <v>0</v>
      </c>
    </row>
    <row r="1559" spans="1:5" ht="16.5" thickBot="1" x14ac:dyDescent="0.3">
      <c r="B1559" s="14">
        <f>IFERROR(VLOOKUP(A1559,Tabla3[],2,FALSE),0)</f>
        <v>0</v>
      </c>
      <c r="C1559" s="35"/>
      <c r="D1559" s="35" t="s">
        <v>35</v>
      </c>
      <c r="E1559" s="35">
        <f>B1558*50</f>
        <v>0</v>
      </c>
    </row>
    <row r="1560" spans="1:5" ht="16.5" thickBot="1" x14ac:dyDescent="0.3">
      <c r="B1560" s="14">
        <f>IFERROR(VLOOKUP(A1560,Tabla3[],2,FALSE),0)</f>
        <v>0</v>
      </c>
      <c r="C1560" s="35"/>
      <c r="D1560" s="35" t="s">
        <v>31</v>
      </c>
      <c r="E1560" s="35">
        <f>B1558</f>
        <v>0</v>
      </c>
    </row>
    <row r="1561" spans="1:5" ht="16.5" thickBot="1" x14ac:dyDescent="0.3">
      <c r="B1561" s="14">
        <f>IFERROR(VLOOKUP(A1561,Tabla3[],2,FALSE),0)</f>
        <v>0</v>
      </c>
      <c r="C1561" s="35"/>
      <c r="D1561" s="35" t="s">
        <v>9</v>
      </c>
      <c r="E1561" s="35">
        <f>B1558*90</f>
        <v>0</v>
      </c>
    </row>
    <row r="1562" spans="1:5" ht="16.5" thickBot="1" x14ac:dyDescent="0.3">
      <c r="B1562" s="14">
        <f>IFERROR(VLOOKUP(A1562,Tabla3[],2,FALSE),0)</f>
        <v>0</v>
      </c>
      <c r="C1562" s="33"/>
      <c r="D1562" s="33" t="s">
        <v>16</v>
      </c>
      <c r="E1562" s="33">
        <f>B1558*50</f>
        <v>0</v>
      </c>
    </row>
    <row r="1563" spans="1:5" thickBot="1" x14ac:dyDescent="0.3">
      <c r="A1563" s="17" t="s">
        <v>801</v>
      </c>
      <c r="B1563" s="14">
        <f>IFERROR(VLOOKUP(A1563,Tabla3[],2,FALSE),0)</f>
        <v>0</v>
      </c>
      <c r="C1563" s="26" t="s">
        <v>268</v>
      </c>
      <c r="D1563" s="37" t="s">
        <v>11</v>
      </c>
      <c r="E1563" s="26">
        <f>B1563*1</f>
        <v>0</v>
      </c>
    </row>
    <row r="1564" spans="1:5" ht="16.5" thickBot="1" x14ac:dyDescent="0.3">
      <c r="B1564" s="14">
        <f>IFERROR(VLOOKUP(A1564,Tabla3[],2,FALSE),0)</f>
        <v>0</v>
      </c>
      <c r="C1564" s="35"/>
      <c r="D1564" s="35" t="s">
        <v>803</v>
      </c>
      <c r="E1564" s="35">
        <f>B1563</f>
        <v>0</v>
      </c>
    </row>
    <row r="1565" spans="1:5" ht="16.5" thickBot="1" x14ac:dyDescent="0.3">
      <c r="B1565" s="14">
        <f>IFERROR(VLOOKUP(A1565,Tabla3[],2,FALSE),0)</f>
        <v>0</v>
      </c>
      <c r="C1565" s="35" t="s">
        <v>133</v>
      </c>
      <c r="D1565" s="35" t="s">
        <v>16</v>
      </c>
      <c r="E1565" s="35">
        <f>B1563*50</f>
        <v>0</v>
      </c>
    </row>
    <row r="1566" spans="1:5" ht="16.5" thickBot="1" x14ac:dyDescent="0.3">
      <c r="B1566" s="14">
        <f>IFERROR(VLOOKUP(A1566,Tabla3[],2,FALSE),0)</f>
        <v>0</v>
      </c>
      <c r="C1566" s="28" t="s">
        <v>133</v>
      </c>
      <c r="D1566" s="28" t="s">
        <v>13</v>
      </c>
      <c r="E1566" s="28">
        <f>B1563*100</f>
        <v>0</v>
      </c>
    </row>
    <row r="1567" spans="1:5" thickBot="1" x14ac:dyDescent="0.3">
      <c r="A1567" s="15" t="s">
        <v>804</v>
      </c>
      <c r="B1567" s="14">
        <f>IFERROR(VLOOKUP(A1567,Tabla3[],2,FALSE),0)</f>
        <v>0</v>
      </c>
      <c r="C1567" s="148"/>
      <c r="D1567" s="148" t="s">
        <v>13</v>
      </c>
      <c r="E1567" s="149">
        <f>B1567*800</f>
        <v>0</v>
      </c>
    </row>
    <row r="1568" spans="1:5" ht="16.5" thickBot="1" x14ac:dyDescent="0.3">
      <c r="B1568" s="14">
        <f>IFERROR(VLOOKUP(A1568,Tabla3[],2,FALSE),0)</f>
        <v>0</v>
      </c>
      <c r="C1568" s="35"/>
      <c r="D1568" s="35" t="s">
        <v>9</v>
      </c>
      <c r="E1568" s="150">
        <f>B1567*50</f>
        <v>0</v>
      </c>
    </row>
    <row r="1569" spans="1:5" ht="16.5" thickBot="1" x14ac:dyDescent="0.3">
      <c r="B1569" s="14">
        <f>IFERROR(VLOOKUP(A1569,Tabla3[],2,FALSE),0)</f>
        <v>0</v>
      </c>
      <c r="C1569" s="35"/>
      <c r="D1569" s="35" t="s">
        <v>16</v>
      </c>
      <c r="E1569" s="150">
        <f>B1567*150</f>
        <v>0</v>
      </c>
    </row>
    <row r="1570" spans="1:5" ht="16.5" thickBot="1" x14ac:dyDescent="0.3">
      <c r="B1570" s="14">
        <f>IFERROR(VLOOKUP(A1570,Tabla3[],2,FALSE),0)</f>
        <v>0</v>
      </c>
      <c r="C1570" s="35"/>
      <c r="D1570" s="35" t="s">
        <v>23</v>
      </c>
      <c r="E1570" s="150">
        <f>B1567*20</f>
        <v>0</v>
      </c>
    </row>
    <row r="1571" spans="1:5" ht="16.5" thickBot="1" x14ac:dyDescent="0.3">
      <c r="B1571" s="152">
        <f>IFERROR(VLOOKUP(A1571,Tabla3[],2,FALSE),0)</f>
        <v>0</v>
      </c>
      <c r="C1571" s="153"/>
      <c r="D1571" s="153" t="s">
        <v>521</v>
      </c>
      <c r="E1571" s="155">
        <f>B1567*140</f>
        <v>0</v>
      </c>
    </row>
    <row r="1572" spans="1:5" thickBot="1" x14ac:dyDescent="0.3">
      <c r="A1572" s="15" t="s">
        <v>805</v>
      </c>
      <c r="B1572" s="14">
        <f>IFERROR(VLOOKUP(A1572,Tabla3[],2,FALSE),0)</f>
        <v>4</v>
      </c>
      <c r="C1572" s="26"/>
      <c r="D1572" s="26" t="s">
        <v>13</v>
      </c>
      <c r="E1572" s="26">
        <f>B1572*800</f>
        <v>3200</v>
      </c>
    </row>
    <row r="1573" spans="1:5" ht="16.5" thickBot="1" x14ac:dyDescent="0.3">
      <c r="B1573" s="14">
        <f>IFERROR(VLOOKUP(A1573,Tabla3[],2,FALSE),0)</f>
        <v>0</v>
      </c>
      <c r="C1573" s="35"/>
      <c r="D1573" s="35" t="s">
        <v>9</v>
      </c>
      <c r="E1573" s="35">
        <f>B1572*150</f>
        <v>600</v>
      </c>
    </row>
    <row r="1574" spans="1:5" ht="16.5" thickBot="1" x14ac:dyDescent="0.3">
      <c r="B1574" s="14">
        <f>IFERROR(VLOOKUP(A1574,Tabla3[],2,FALSE),0)</f>
        <v>0</v>
      </c>
      <c r="C1574" s="35"/>
      <c r="D1574" s="35" t="s">
        <v>16</v>
      </c>
      <c r="E1574" s="35">
        <f>B1572*150</f>
        <v>600</v>
      </c>
    </row>
    <row r="1575" spans="1:5" ht="16.5" thickBot="1" x14ac:dyDescent="0.3">
      <c r="B1575" s="14">
        <f>IFERROR(VLOOKUP(A1575,Tabla3[],2,FALSE),0)</f>
        <v>0</v>
      </c>
      <c r="C1575" s="35"/>
      <c r="D1575" s="35" t="s">
        <v>23</v>
      </c>
      <c r="E1575" s="35">
        <f>B1572*20</f>
        <v>80</v>
      </c>
    </row>
    <row r="1576" spans="1:5" ht="16.5" thickBot="1" x14ac:dyDescent="0.3">
      <c r="B1576" s="14">
        <f>IFERROR(VLOOKUP(A1576,Tabla3[],2,FALSE),0)</f>
        <v>0</v>
      </c>
      <c r="C1576" s="33"/>
      <c r="D1576" s="33" t="s">
        <v>24</v>
      </c>
      <c r="E1576" s="33">
        <f>B1572</f>
        <v>4</v>
      </c>
    </row>
    <row r="1577" spans="1:5" thickBot="1" x14ac:dyDescent="0.3">
      <c r="A1577" s="17" t="s">
        <v>806</v>
      </c>
      <c r="B1577" s="14">
        <f>IFERROR(VLOOKUP(A1577,Tabla3[],2,FALSE),0)</f>
        <v>0</v>
      </c>
      <c r="C1577" s="26"/>
      <c r="D1577" s="26" t="s">
        <v>3</v>
      </c>
      <c r="E1577" s="26">
        <f>B1577</f>
        <v>0</v>
      </c>
    </row>
    <row r="1578" spans="1:5" ht="16.5" thickBot="1" x14ac:dyDescent="0.3">
      <c r="B1578" s="14">
        <f>IFERROR(VLOOKUP(A1578,Tabla3[],2,FALSE),0)</f>
        <v>0</v>
      </c>
      <c r="C1578" s="35"/>
      <c r="D1578" s="35" t="s">
        <v>521</v>
      </c>
      <c r="E1578" s="35">
        <f>B1577*150</f>
        <v>0</v>
      </c>
    </row>
    <row r="1579" spans="1:5" ht="16.5" thickBot="1" x14ac:dyDescent="0.3">
      <c r="B1579" s="14">
        <f>IFERROR(VLOOKUP(A1579,Tabla3[],2,FALSE),0)</f>
        <v>0</v>
      </c>
      <c r="C1579" s="28"/>
      <c r="D1579" s="28" t="s">
        <v>35</v>
      </c>
      <c r="E1579" s="28">
        <f>B1577*150</f>
        <v>0</v>
      </c>
    </row>
    <row r="1580" spans="1:5" thickBot="1" x14ac:dyDescent="0.3">
      <c r="A1580" s="15" t="s">
        <v>807</v>
      </c>
      <c r="B1580" s="152">
        <f>IFERROR(VLOOKUP(A1580,Tabla3[],2,FALSE),0)</f>
        <v>0</v>
      </c>
      <c r="C1580" s="157"/>
      <c r="D1580" s="207" t="s">
        <v>59</v>
      </c>
      <c r="E1580" s="158">
        <f>B1580*150</f>
        <v>0</v>
      </c>
    </row>
    <row r="1581" spans="1:5" thickBot="1" x14ac:dyDescent="0.3">
      <c r="A1581" s="15" t="s">
        <v>808</v>
      </c>
      <c r="B1581" s="14">
        <f>IFERROR(VLOOKUP(A1581,Tabla3[],2,FALSE),0)</f>
        <v>6</v>
      </c>
      <c r="C1581" s="47"/>
      <c r="D1581" s="47" t="s">
        <v>111</v>
      </c>
      <c r="E1581" s="47">
        <f t="shared" ref="E1581" si="41">B1581</f>
        <v>6</v>
      </c>
    </row>
    <row r="1582" spans="1:5" thickBot="1" x14ac:dyDescent="0.3">
      <c r="A1582" s="17" t="s">
        <v>809</v>
      </c>
      <c r="B1582" s="14">
        <f>IFERROR(VLOOKUP(A1582,Tabla3[],2,FALSE),0)</f>
        <v>0</v>
      </c>
      <c r="C1582" s="31"/>
      <c r="D1582" s="31" t="s">
        <v>637</v>
      </c>
      <c r="E1582" s="31">
        <f>B1582*3</f>
        <v>0</v>
      </c>
    </row>
    <row r="1583" spans="1:5" ht="16.5" thickBot="1" x14ac:dyDescent="0.3">
      <c r="B1583" s="14">
        <f>IFERROR(VLOOKUP(A1583,Tabla3[],2,FALSE),0)</f>
        <v>0</v>
      </c>
      <c r="C1583" s="35" t="s">
        <v>133</v>
      </c>
      <c r="D1583" s="35" t="s">
        <v>51</v>
      </c>
      <c r="E1583" s="35">
        <f>B1582*20*3</f>
        <v>0</v>
      </c>
    </row>
    <row r="1584" spans="1:5" ht="16.5" thickBot="1" x14ac:dyDescent="0.3">
      <c r="B1584" s="14">
        <f>IFERROR(VLOOKUP(A1584,Tabla3[],2,FALSE),0)</f>
        <v>0</v>
      </c>
      <c r="C1584" s="35"/>
      <c r="D1584" s="35" t="s">
        <v>636</v>
      </c>
      <c r="E1584" s="35">
        <f>B1582*3</f>
        <v>0</v>
      </c>
    </row>
    <row r="1585" spans="1:5" ht="16.5" thickBot="1" x14ac:dyDescent="0.3">
      <c r="B1585" s="14">
        <f>IFERROR(VLOOKUP(A1585,Tabla3[],2,FALSE),0)</f>
        <v>0</v>
      </c>
      <c r="C1585" s="35"/>
      <c r="D1585" s="35" t="s">
        <v>97</v>
      </c>
      <c r="E1585" s="35">
        <f>B1582*50*3</f>
        <v>0</v>
      </c>
    </row>
    <row r="1586" spans="1:5" ht="16.5" thickBot="1" x14ac:dyDescent="0.3">
      <c r="B1586" s="14">
        <f>IFERROR(VLOOKUP(A1586,Tabla3[],2,FALSE),0)</f>
        <v>0</v>
      </c>
      <c r="C1586" s="35" t="s">
        <v>131</v>
      </c>
      <c r="D1586" s="35" t="s">
        <v>106</v>
      </c>
      <c r="E1586" s="35">
        <f>B1582*20*3</f>
        <v>0</v>
      </c>
    </row>
    <row r="1587" spans="1:5" ht="16.5" thickBot="1" x14ac:dyDescent="0.3">
      <c r="B1587" s="14">
        <f>IFERROR(VLOOKUP(A1587,Tabla3[],2,FALSE),0)</f>
        <v>0</v>
      </c>
      <c r="C1587" s="35" t="s">
        <v>131</v>
      </c>
      <c r="D1587" s="35" t="s">
        <v>116</v>
      </c>
      <c r="E1587" s="35">
        <f>B1582*75*3</f>
        <v>0</v>
      </c>
    </row>
    <row r="1588" spans="1:5" ht="16.5" thickBot="1" x14ac:dyDescent="0.3">
      <c r="B1588" s="14">
        <f>IFERROR(VLOOKUP(A1588,Tabla3[],2,FALSE),0)</f>
        <v>0</v>
      </c>
      <c r="C1588" s="39" t="s">
        <v>131</v>
      </c>
      <c r="D1588" s="33" t="s">
        <v>105</v>
      </c>
      <c r="E1588" s="39">
        <f>B1582*75*3</f>
        <v>0</v>
      </c>
    </row>
    <row r="1589" spans="1:5" thickBot="1" x14ac:dyDescent="0.3">
      <c r="A1589" s="15" t="s">
        <v>815</v>
      </c>
      <c r="B1589" s="14">
        <f>IFERROR(VLOOKUP(A1589,Tabla3[],2,FALSE),0)</f>
        <v>0</v>
      </c>
      <c r="C1589" s="47" t="s">
        <v>136</v>
      </c>
      <c r="D1589" s="102" t="s">
        <v>647</v>
      </c>
      <c r="E1589" s="20">
        <f t="shared" ref="E1589" si="42">B1589</f>
        <v>0</v>
      </c>
    </row>
    <row r="1590" spans="1:5" thickBot="1" x14ac:dyDescent="0.3">
      <c r="A1590" s="15" t="s">
        <v>816</v>
      </c>
      <c r="B1590" s="14">
        <f>IFERROR(VLOOKUP(A1590,Tabla3[],2,FALSE),0)</f>
        <v>0</v>
      </c>
      <c r="C1590" s="47"/>
      <c r="D1590" s="202" t="s">
        <v>72</v>
      </c>
      <c r="E1590" s="47">
        <f t="shared" ref="E1590" si="43">75*B1590</f>
        <v>0</v>
      </c>
    </row>
    <row r="1591" spans="1:5" thickBot="1" x14ac:dyDescent="0.3">
      <c r="A1591" s="17" t="s">
        <v>817</v>
      </c>
      <c r="B1591" s="14">
        <f>IFERROR(VLOOKUP(A1591,Tabla3[],2,FALSE),0)</f>
        <v>0</v>
      </c>
      <c r="C1591" s="81"/>
      <c r="D1591" s="35" t="s">
        <v>220</v>
      </c>
      <c r="E1591" s="98">
        <f>B1591*500</f>
        <v>0</v>
      </c>
    </row>
    <row r="1592" spans="1:5" ht="16.5" thickBot="1" x14ac:dyDescent="0.3">
      <c r="B1592" s="14">
        <f>IFERROR(VLOOKUP(A1592,Tabla3[],2,FALSE),0)</f>
        <v>0</v>
      </c>
      <c r="C1592" s="81"/>
      <c r="D1592" s="35" t="s">
        <v>106</v>
      </c>
      <c r="E1592" s="26">
        <f>B1592*75</f>
        <v>0</v>
      </c>
    </row>
    <row r="1593" spans="1:5" thickBot="1" x14ac:dyDescent="0.3">
      <c r="A1593" s="17" t="s">
        <v>818</v>
      </c>
      <c r="B1593" s="14">
        <f>IFERROR(VLOOKUP(A1593,Tabla3[],2,FALSE),0)</f>
        <v>0</v>
      </c>
      <c r="C1593" s="26" t="s">
        <v>131</v>
      </c>
      <c r="D1593" s="26" t="s">
        <v>270</v>
      </c>
      <c r="E1593" s="26">
        <f>B1593*75*2</f>
        <v>0</v>
      </c>
    </row>
    <row r="1594" spans="1:5" ht="16.5" thickBot="1" x14ac:dyDescent="0.3">
      <c r="B1594" s="14">
        <f>IFERROR(VLOOKUP(A1594,Tabla3[],2,FALSE),0)</f>
        <v>0</v>
      </c>
      <c r="C1594" s="35" t="s">
        <v>131</v>
      </c>
      <c r="D1594" s="35" t="s">
        <v>106</v>
      </c>
      <c r="E1594" s="35">
        <f>B1593*20*2</f>
        <v>0</v>
      </c>
    </row>
    <row r="1595" spans="1:5" ht="16.5" thickBot="1" x14ac:dyDescent="0.3">
      <c r="B1595" s="14">
        <f>IFERROR(VLOOKUP(A1595,Tabla3[],2,FALSE),0)</f>
        <v>0</v>
      </c>
      <c r="C1595" s="35" t="s">
        <v>133</v>
      </c>
      <c r="D1595" s="35" t="s">
        <v>51</v>
      </c>
      <c r="E1595" s="35">
        <f>B1593*20*2</f>
        <v>0</v>
      </c>
    </row>
    <row r="1596" spans="1:5" ht="16.5" thickBot="1" x14ac:dyDescent="0.3">
      <c r="B1596" s="14">
        <f>IFERROR(VLOOKUP(A1596,Tabla3[],2,FALSE),0)</f>
        <v>0</v>
      </c>
      <c r="C1596" s="33" t="s">
        <v>131</v>
      </c>
      <c r="D1596" s="33" t="s">
        <v>128</v>
      </c>
      <c r="E1596" s="33">
        <f>B1593*10*2</f>
        <v>0</v>
      </c>
    </row>
    <row r="1597" spans="1:5" thickBot="1" x14ac:dyDescent="0.3">
      <c r="A1597" s="17" t="s">
        <v>819</v>
      </c>
      <c r="B1597" s="14">
        <f>IFERROR(VLOOKUP(A1597,Tabla3[],2,FALSE),0)</f>
        <v>0</v>
      </c>
      <c r="C1597" s="47"/>
      <c r="D1597" s="47" t="s">
        <v>820</v>
      </c>
      <c r="E1597" s="47">
        <f>150*B1597</f>
        <v>0</v>
      </c>
    </row>
    <row r="1598" spans="1:5" thickBot="1" x14ac:dyDescent="0.3">
      <c r="A1598" s="15" t="s">
        <v>821</v>
      </c>
      <c r="B1598" s="14">
        <f>IFERROR(VLOOKUP(A1598,Tabla3[],2,FALSE),0)</f>
        <v>0</v>
      </c>
      <c r="C1598" s="26" t="s">
        <v>131</v>
      </c>
      <c r="D1598" s="26" t="s">
        <v>270</v>
      </c>
      <c r="E1598" s="26">
        <f>B1598*75*2</f>
        <v>0</v>
      </c>
    </row>
    <row r="1599" spans="1:5" ht="16.5" thickBot="1" x14ac:dyDescent="0.3">
      <c r="B1599" s="14">
        <f>IFERROR(VLOOKUP(A1599,Tabla3[],2,FALSE),0)</f>
        <v>0</v>
      </c>
      <c r="C1599" s="35" t="s">
        <v>131</v>
      </c>
      <c r="D1599" s="35" t="s">
        <v>106</v>
      </c>
      <c r="E1599" s="35">
        <f>B1598*20*2</f>
        <v>0</v>
      </c>
    </row>
    <row r="1600" spans="1:5" ht="16.5" thickBot="1" x14ac:dyDescent="0.3">
      <c r="B1600" s="14">
        <f>IFERROR(VLOOKUP(A1600,Tabla3[],2,FALSE),0)</f>
        <v>0</v>
      </c>
      <c r="C1600" s="35" t="s">
        <v>133</v>
      </c>
      <c r="D1600" s="35" t="s">
        <v>51</v>
      </c>
      <c r="E1600" s="35">
        <f>B1598*20*2</f>
        <v>0</v>
      </c>
    </row>
    <row r="1601" spans="1:5" x14ac:dyDescent="0.25">
      <c r="B1601" s="14">
        <f>IFERROR(VLOOKUP(A1601,Tabla3[],2,FALSE),0)</f>
        <v>0</v>
      </c>
      <c r="C1601" s="33" t="s">
        <v>131</v>
      </c>
      <c r="D1601" s="33" t="s">
        <v>128</v>
      </c>
      <c r="E1601" s="33">
        <f>B1598*10*2</f>
        <v>0</v>
      </c>
    </row>
    <row r="1602" spans="1:5" thickBot="1" x14ac:dyDescent="0.3">
      <c r="A1602" s="17" t="s">
        <v>822</v>
      </c>
      <c r="B1602" s="212">
        <f>IFERROR(VLOOKUP(A1602,Tabla3[],2,FALSE),0)</f>
        <v>0</v>
      </c>
      <c r="C1602" s="31"/>
      <c r="D1602" s="31" t="s">
        <v>13</v>
      </c>
      <c r="E1602" s="31">
        <f>B1602*800</f>
        <v>0</v>
      </c>
    </row>
    <row r="1603" spans="1:5" ht="16.5" thickBot="1" x14ac:dyDescent="0.3">
      <c r="B1603" s="14">
        <f>IFERROR(VLOOKUP(A1603,Tabla3[],2,FALSE),0)</f>
        <v>0</v>
      </c>
      <c r="C1603" s="35"/>
      <c r="D1603" s="35" t="s">
        <v>9</v>
      </c>
      <c r="E1603" s="35">
        <f>B1602*50</f>
        <v>0</v>
      </c>
    </row>
    <row r="1604" spans="1:5" ht="16.5" thickBot="1" x14ac:dyDescent="0.3">
      <c r="B1604" s="14">
        <f>IFERROR(VLOOKUP(A1604,Tabla3[],2,FALSE),0)</f>
        <v>0</v>
      </c>
      <c r="C1604" s="35"/>
      <c r="D1604" s="35" t="s">
        <v>16</v>
      </c>
      <c r="E1604" s="35">
        <f>B1602*150</f>
        <v>0</v>
      </c>
    </row>
    <row r="1605" spans="1:5" ht="16.5" thickBot="1" x14ac:dyDescent="0.3">
      <c r="B1605" s="14">
        <f>IFERROR(VLOOKUP(A1605,Tabla3[],2,FALSE),0)</f>
        <v>0</v>
      </c>
      <c r="C1605" s="35"/>
      <c r="D1605" s="35" t="s">
        <v>23</v>
      </c>
      <c r="E1605" s="35">
        <f>B1602*20</f>
        <v>0</v>
      </c>
    </row>
    <row r="1606" spans="1:5" ht="16.5" thickBot="1" x14ac:dyDescent="0.3">
      <c r="B1606" s="14">
        <f>IFERROR(VLOOKUP(A1606,Tabla3[],2,FALSE),0)</f>
        <v>0</v>
      </c>
      <c r="C1606" s="33"/>
      <c r="D1606" s="33" t="s">
        <v>521</v>
      </c>
      <c r="E1606" s="33">
        <f>B1602*140</f>
        <v>0</v>
      </c>
    </row>
    <row r="1607" spans="1:5" thickBot="1" x14ac:dyDescent="0.3">
      <c r="A1607" s="15" t="s">
        <v>823</v>
      </c>
      <c r="B1607" s="14">
        <f>IFERROR(VLOOKUP(A1607,Tabla3[],2,FALSE),0)</f>
        <v>0</v>
      </c>
      <c r="C1607" s="33"/>
      <c r="D1607" s="119" t="s">
        <v>680</v>
      </c>
      <c r="E1607" s="33">
        <f>B1607*150</f>
        <v>0</v>
      </c>
    </row>
    <row r="1608" spans="1:5" thickBot="1" x14ac:dyDescent="0.3">
      <c r="A1608" s="15" t="s">
        <v>825</v>
      </c>
      <c r="B1608" s="14">
        <f>IFERROR(VLOOKUP(A1608,Tabla3[],2,FALSE),0)</f>
        <v>0</v>
      </c>
      <c r="C1608" s="33"/>
      <c r="D1608" s="249" t="s">
        <v>820</v>
      </c>
      <c r="E1608" s="33">
        <f>B1608*75</f>
        <v>0</v>
      </c>
    </row>
    <row r="1609" spans="1:5" thickBot="1" x14ac:dyDescent="0.3">
      <c r="A1609" s="17" t="s">
        <v>826</v>
      </c>
      <c r="B1609" s="14">
        <f>IFERROR(VLOOKUP(A1609,Tabla3[],2,FALSE),0)</f>
        <v>0</v>
      </c>
      <c r="C1609" s="26"/>
      <c r="D1609" s="26" t="s">
        <v>7</v>
      </c>
      <c r="E1609" s="26">
        <f>B1609</f>
        <v>0</v>
      </c>
    </row>
    <row r="1610" spans="1:5" ht="16.5" thickBot="1" x14ac:dyDescent="0.3">
      <c r="B1610" s="14">
        <f>IFERROR(VLOOKUP(A1610,Tabla3[],2,FALSE),0)</f>
        <v>0</v>
      </c>
      <c r="C1610" s="35"/>
      <c r="D1610" s="35" t="s">
        <v>74</v>
      </c>
      <c r="E1610" s="35">
        <f>B1609</f>
        <v>0</v>
      </c>
    </row>
    <row r="1611" spans="1:5" ht="16.5" thickBot="1" x14ac:dyDescent="0.3">
      <c r="B1611" s="14">
        <f>IFERROR(VLOOKUP(A1611,Tabla3[],2,FALSE),0)</f>
        <v>0</v>
      </c>
      <c r="C1611" s="35"/>
      <c r="D1611" s="35" t="s">
        <v>35</v>
      </c>
      <c r="E1611" s="35">
        <f>B1609*40</f>
        <v>0</v>
      </c>
    </row>
    <row r="1612" spans="1:5" ht="16.5" thickBot="1" x14ac:dyDescent="0.3">
      <c r="B1612" s="14">
        <f>IFERROR(VLOOKUP(A1612,Tabla3[],2,FALSE),0)</f>
        <v>0</v>
      </c>
      <c r="C1612" s="35"/>
      <c r="D1612" s="35" t="s">
        <v>8</v>
      </c>
      <c r="E1612" s="35">
        <f>B1609</f>
        <v>0</v>
      </c>
    </row>
    <row r="1613" spans="1:5" ht="16.5" thickBot="1" x14ac:dyDescent="0.3">
      <c r="B1613" s="14">
        <f>IFERROR(VLOOKUP(A1613,Tabla3[],2,FALSE),0)</f>
        <v>0</v>
      </c>
      <c r="C1613" s="35"/>
      <c r="D1613" s="35" t="s">
        <v>9</v>
      </c>
      <c r="E1613" s="35">
        <f>B1609*80</f>
        <v>0</v>
      </c>
    </row>
    <row r="1614" spans="1:5" ht="16.5" thickBot="1" x14ac:dyDescent="0.3">
      <c r="B1614" s="14">
        <f>IFERROR(VLOOKUP(A1614,Tabla3[],2,FALSE),0)</f>
        <v>0</v>
      </c>
      <c r="C1614" s="35"/>
      <c r="D1614" s="35" t="s">
        <v>7</v>
      </c>
      <c r="E1614" s="35">
        <f>B1609</f>
        <v>0</v>
      </c>
    </row>
    <row r="1615" spans="1:5" ht="16.5" thickBot="1" x14ac:dyDescent="0.3">
      <c r="B1615" s="14">
        <f>IFERROR(VLOOKUP(A1615,Tabla3[],2,FALSE),0)</f>
        <v>0</v>
      </c>
      <c r="C1615" s="35"/>
      <c r="D1615" s="35" t="s">
        <v>35</v>
      </c>
      <c r="E1615" s="35">
        <f>B1609*40</f>
        <v>0</v>
      </c>
    </row>
    <row r="1616" spans="1:5" ht="16.5" thickBot="1" x14ac:dyDescent="0.3">
      <c r="B1616" s="14">
        <f>IFERROR(VLOOKUP(A1616,Tabla3[],2,FALSE),0)</f>
        <v>0</v>
      </c>
      <c r="C1616" s="35"/>
      <c r="D1616" s="35" t="s">
        <v>10</v>
      </c>
      <c r="E1616" s="35">
        <f>B1609</f>
        <v>0</v>
      </c>
    </row>
    <row r="1617" spans="1:5" ht="16.5" thickBot="1" x14ac:dyDescent="0.3">
      <c r="B1617" s="14">
        <f>IFERROR(VLOOKUP(A1617,Tabla3[],2,FALSE),0)</f>
        <v>0</v>
      </c>
      <c r="C1617" s="35"/>
      <c r="D1617" s="35" t="s">
        <v>9</v>
      </c>
      <c r="E1617" s="35">
        <f>B1609*80</f>
        <v>0</v>
      </c>
    </row>
    <row r="1618" spans="1:5" ht="16.5" thickBot="1" x14ac:dyDescent="0.3">
      <c r="B1618" s="14">
        <f>IFERROR(VLOOKUP(A1618,Tabla3[],2,FALSE),0)</f>
        <v>0</v>
      </c>
      <c r="C1618" s="35"/>
      <c r="D1618" s="35" t="s">
        <v>7</v>
      </c>
      <c r="E1618" s="35">
        <f>B1609</f>
        <v>0</v>
      </c>
    </row>
    <row r="1619" spans="1:5" ht="16.5" thickBot="1" x14ac:dyDescent="0.3">
      <c r="B1619" s="14">
        <f>IFERROR(VLOOKUP(A1619,Tabla3[],2,FALSE),0)</f>
        <v>0</v>
      </c>
      <c r="C1619" s="35"/>
      <c r="D1619" s="35" t="s">
        <v>35</v>
      </c>
      <c r="E1619" s="35">
        <f>B1609*40</f>
        <v>0</v>
      </c>
    </row>
    <row r="1620" spans="1:5" ht="16.5" thickBot="1" x14ac:dyDescent="0.3">
      <c r="B1620" s="14">
        <f>IFERROR(VLOOKUP(A1620,Tabla3[],2,FALSE),0)</f>
        <v>0</v>
      </c>
      <c r="C1620" s="35"/>
      <c r="D1620" s="35" t="s">
        <v>6</v>
      </c>
      <c r="E1620" s="35">
        <f>B1609</f>
        <v>0</v>
      </c>
    </row>
    <row r="1621" spans="1:5" ht="16.5" thickBot="1" x14ac:dyDescent="0.3">
      <c r="B1621" s="14">
        <f>IFERROR(VLOOKUP(A1621,Tabla3[],2,FALSE),0)</f>
        <v>0</v>
      </c>
      <c r="C1621" s="35"/>
      <c r="D1621" s="35" t="s">
        <v>9</v>
      </c>
      <c r="E1621" s="35">
        <f>B1609*80</f>
        <v>0</v>
      </c>
    </row>
    <row r="1622" spans="1:5" ht="16.5" thickBot="1" x14ac:dyDescent="0.3">
      <c r="B1622" s="14">
        <f>IFERROR(VLOOKUP(A1622,Tabla3[],2,FALSE),0)</f>
        <v>0</v>
      </c>
      <c r="C1622" s="35"/>
      <c r="D1622" s="35" t="s">
        <v>636</v>
      </c>
      <c r="E1622" s="35">
        <f>B1609*3</f>
        <v>0</v>
      </c>
    </row>
    <row r="1623" spans="1:5" ht="16.5" thickBot="1" x14ac:dyDescent="0.3">
      <c r="B1623" s="14">
        <f>IFERROR(VLOOKUP(A1623,Tabla3[],2,FALSE),0)</f>
        <v>0</v>
      </c>
      <c r="C1623" s="35"/>
      <c r="D1623" s="35" t="s">
        <v>97</v>
      </c>
      <c r="E1623" s="35">
        <f>B1609*5*3</f>
        <v>0</v>
      </c>
    </row>
    <row r="1624" spans="1:5" ht="16.5" thickBot="1" x14ac:dyDescent="0.3">
      <c r="B1624" s="14">
        <f>IFERROR(VLOOKUP(A1624,Tabla3[],2,FALSE),0)</f>
        <v>0</v>
      </c>
      <c r="C1624" s="35"/>
      <c r="D1624" s="35" t="s">
        <v>637</v>
      </c>
      <c r="E1624" s="35">
        <f>B1609*3</f>
        <v>0</v>
      </c>
    </row>
    <row r="1625" spans="1:5" ht="16.5" thickBot="1" x14ac:dyDescent="0.3">
      <c r="B1625" s="14">
        <f>IFERROR(VLOOKUP(A1625,Tabla3[],2,FALSE),0)</f>
        <v>0</v>
      </c>
      <c r="C1625" s="35" t="s">
        <v>133</v>
      </c>
      <c r="D1625" s="35" t="s">
        <v>51</v>
      </c>
      <c r="E1625" s="35">
        <f>B1609*20*3</f>
        <v>0</v>
      </c>
    </row>
    <row r="1626" spans="1:5" ht="16.5" thickBot="1" x14ac:dyDescent="0.3">
      <c r="B1626" s="14">
        <f>IFERROR(VLOOKUP(A1626,Tabla3[],2,FALSE),0)</f>
        <v>0</v>
      </c>
      <c r="C1626" s="35" t="s">
        <v>131</v>
      </c>
      <c r="D1626" s="35" t="s">
        <v>106</v>
      </c>
      <c r="E1626" s="35">
        <f>B1609*20*3</f>
        <v>0</v>
      </c>
    </row>
    <row r="1627" spans="1:5" ht="16.5" thickBot="1" x14ac:dyDescent="0.3">
      <c r="B1627" s="14">
        <f>IFERROR(VLOOKUP(A1627,Tabla3[],2,FALSE),0)</f>
        <v>0</v>
      </c>
      <c r="C1627" s="28" t="s">
        <v>131</v>
      </c>
      <c r="D1627" s="28" t="s">
        <v>116</v>
      </c>
      <c r="E1627" s="28">
        <f>B1609*75*3</f>
        <v>0</v>
      </c>
    </row>
    <row r="1628" spans="1:5" thickBot="1" x14ac:dyDescent="0.3">
      <c r="A1628" s="15" t="s">
        <v>827</v>
      </c>
      <c r="B1628" s="14">
        <f>IFERROR(VLOOKUP(A1628,Tabla3[],2,FALSE),0)</f>
        <v>0</v>
      </c>
      <c r="C1628" s="26"/>
      <c r="D1628" s="26" t="s">
        <v>7</v>
      </c>
      <c r="E1628" s="26">
        <f>B1628</f>
        <v>0</v>
      </c>
    </row>
    <row r="1629" spans="1:5" ht="16.5" thickBot="1" x14ac:dyDescent="0.3">
      <c r="B1629" s="14">
        <f>IFERROR(VLOOKUP(A1629,Tabla3[],2,FALSE),0)</f>
        <v>0</v>
      </c>
      <c r="C1629" s="35"/>
      <c r="D1629" s="35" t="s">
        <v>35</v>
      </c>
      <c r="E1629" s="35">
        <f>B1628*50</f>
        <v>0</v>
      </c>
    </row>
    <row r="1630" spans="1:5" ht="16.5" thickBot="1" x14ac:dyDescent="0.3">
      <c r="B1630" s="14">
        <f>IFERROR(VLOOKUP(A1630,Tabla3[],2,FALSE),0)</f>
        <v>0</v>
      </c>
      <c r="C1630" s="35"/>
      <c r="D1630" s="35" t="s">
        <v>10</v>
      </c>
      <c r="E1630" s="35">
        <f>B1628</f>
        <v>0</v>
      </c>
    </row>
    <row r="1631" spans="1:5" ht="16.5" thickBot="1" x14ac:dyDescent="0.3">
      <c r="B1631" s="14">
        <f>IFERROR(VLOOKUP(A1631,Tabla3[],2,FALSE),0)</f>
        <v>0</v>
      </c>
      <c r="C1631" s="35"/>
      <c r="D1631" s="35" t="s">
        <v>9</v>
      </c>
      <c r="E1631" s="35">
        <f>B1628*90</f>
        <v>0</v>
      </c>
    </row>
    <row r="1632" spans="1:5" ht="16.5" thickBot="1" x14ac:dyDescent="0.3">
      <c r="B1632" s="14">
        <f>IFERROR(VLOOKUP(A1632,Tabla3[],2,FALSE),0)</f>
        <v>0</v>
      </c>
      <c r="C1632" s="33"/>
      <c r="D1632" s="33" t="s">
        <v>16</v>
      </c>
      <c r="E1632" s="33">
        <f>B1628*50</f>
        <v>0</v>
      </c>
    </row>
    <row r="1633" spans="1:5" thickBot="1" x14ac:dyDescent="0.3">
      <c r="A1633" s="15" t="s">
        <v>829</v>
      </c>
      <c r="B1633" s="14">
        <f>IFERROR(VLOOKUP(A1633,Tabla3[],2,FALSE),0)</f>
        <v>0</v>
      </c>
      <c r="C1633" s="33"/>
      <c r="D1633" s="249" t="s">
        <v>820</v>
      </c>
      <c r="E1633" s="33">
        <f>B1633*75</f>
        <v>0</v>
      </c>
    </row>
    <row r="1634" spans="1:5" thickBot="1" x14ac:dyDescent="0.3">
      <c r="A1634" s="15" t="s">
        <v>828</v>
      </c>
      <c r="B1634" s="14">
        <f>IFERROR(VLOOKUP(A1634,Tabla3[],2,FALSE),0)</f>
        <v>0</v>
      </c>
      <c r="C1634" s="33"/>
      <c r="D1634" s="26" t="s">
        <v>26</v>
      </c>
      <c r="E1634" s="33">
        <f>B1634</f>
        <v>0</v>
      </c>
    </row>
    <row r="1635" spans="1:5" thickBot="1" x14ac:dyDescent="0.3">
      <c r="A1635" s="15" t="s">
        <v>830</v>
      </c>
      <c r="B1635" s="14">
        <f>IFERROR(VLOOKUP(A1635,Tabla3[],2,FALSE),0)</f>
        <v>0</v>
      </c>
      <c r="C1635" s="37"/>
      <c r="D1635" s="37" t="s">
        <v>637</v>
      </c>
      <c r="E1635" s="37">
        <f>3*B1635</f>
        <v>0</v>
      </c>
    </row>
    <row r="1636" spans="1:5" ht="16.5" thickBot="1" x14ac:dyDescent="0.3">
      <c r="B1636" s="14">
        <f>IFERROR(VLOOKUP(A1636,Tabla3[],2,FALSE),0)</f>
        <v>0</v>
      </c>
      <c r="C1636" s="38"/>
      <c r="D1636" s="38" t="s">
        <v>636</v>
      </c>
      <c r="E1636" s="38">
        <f>3*B1635</f>
        <v>0</v>
      </c>
    </row>
    <row r="1637" spans="1:5" ht="16.5" thickBot="1" x14ac:dyDescent="0.3">
      <c r="B1637" s="14">
        <f>IFERROR(VLOOKUP(A1637,Tabla3[],2,FALSE),0)</f>
        <v>0</v>
      </c>
      <c r="C1637" s="38"/>
      <c r="D1637" s="38" t="s">
        <v>97</v>
      </c>
      <c r="E1637" s="38">
        <f>15*B1635</f>
        <v>0</v>
      </c>
    </row>
    <row r="1638" spans="1:5" ht="16.5" thickBot="1" x14ac:dyDescent="0.3">
      <c r="B1638" s="14">
        <f>IFERROR(VLOOKUP(A1638,Tabla3[],2,FALSE),0)</f>
        <v>0</v>
      </c>
      <c r="C1638" s="38" t="s">
        <v>133</v>
      </c>
      <c r="D1638" s="38" t="s">
        <v>51</v>
      </c>
      <c r="E1638" s="38">
        <f>60*B1635</f>
        <v>0</v>
      </c>
    </row>
    <row r="1639" spans="1:5" ht="16.5" thickBot="1" x14ac:dyDescent="0.3">
      <c r="B1639" s="14">
        <f>IFERROR(VLOOKUP(A1639,Tabla3[],2,FALSE),0)</f>
        <v>0</v>
      </c>
      <c r="C1639" s="38" t="s">
        <v>131</v>
      </c>
      <c r="D1639" s="38" t="s">
        <v>106</v>
      </c>
      <c r="E1639" s="38">
        <f>60*B1635</f>
        <v>0</v>
      </c>
    </row>
    <row r="1640" spans="1:5" ht="16.5" thickBot="1" x14ac:dyDescent="0.3">
      <c r="B1640" s="14">
        <f>IFERROR(VLOOKUP(A1640,Tabla3[],2,FALSE),0)</f>
        <v>0</v>
      </c>
      <c r="C1640" s="38" t="s">
        <v>131</v>
      </c>
      <c r="D1640" s="38" t="s">
        <v>116</v>
      </c>
      <c r="E1640" s="38">
        <f>225*B1635</f>
        <v>0</v>
      </c>
    </row>
    <row r="1641" spans="1:5" ht="16.5" thickBot="1" x14ac:dyDescent="0.3">
      <c r="B1641" s="14">
        <f>IFERROR(VLOOKUP(A1641,Tabla3[],2,FALSE),0)</f>
        <v>0</v>
      </c>
      <c r="C1641" s="41"/>
      <c r="D1641" s="41" t="s">
        <v>65</v>
      </c>
      <c r="E1641" s="41">
        <f>6*B1635</f>
        <v>0</v>
      </c>
    </row>
    <row r="1642" spans="1:5" thickBot="1" x14ac:dyDescent="0.3">
      <c r="A1642" s="17" t="s">
        <v>831</v>
      </c>
      <c r="B1642" s="14">
        <f>IFERROR(VLOOKUP(A1642,Tabla3[],2,FALSE),0)</f>
        <v>0</v>
      </c>
      <c r="C1642" s="26"/>
      <c r="D1642" s="26" t="s">
        <v>14</v>
      </c>
      <c r="E1642" s="26">
        <f>B1642</f>
        <v>0</v>
      </c>
    </row>
    <row r="1643" spans="1:5" ht="16.5" thickBot="1" x14ac:dyDescent="0.3">
      <c r="B1643" s="14">
        <f>IFERROR(VLOOKUP(A1643,Tabla3[],2,FALSE),0)</f>
        <v>0</v>
      </c>
      <c r="C1643" s="33"/>
      <c r="D1643" s="33" t="s">
        <v>311</v>
      </c>
      <c r="E1643" s="33">
        <f>B1642*2</f>
        <v>0</v>
      </c>
    </row>
    <row r="1644" spans="1:5" thickBot="1" x14ac:dyDescent="0.3">
      <c r="A1644" s="17" t="s">
        <v>832</v>
      </c>
      <c r="B1644" s="14">
        <f>IFERROR(VLOOKUP(A1644,Tabla3[],2,FALSE),0)</f>
        <v>0</v>
      </c>
      <c r="D1644" s="47" t="s">
        <v>275</v>
      </c>
      <c r="E1644" s="7">
        <f>B1644</f>
        <v>0</v>
      </c>
    </row>
    <row r="1645" spans="1:5" ht="16.5" thickBot="1" x14ac:dyDescent="0.3">
      <c r="B1645" s="14">
        <f>IFERROR(VLOOKUP(A1645,Tabla3[],2,FALSE),0)</f>
        <v>0</v>
      </c>
      <c r="D1645" s="47" t="s">
        <v>111</v>
      </c>
      <c r="E1645" s="7">
        <f>B1644</f>
        <v>0</v>
      </c>
    </row>
    <row r="1646" spans="1:5" thickBot="1" x14ac:dyDescent="0.3">
      <c r="A1646" s="17" t="s">
        <v>833</v>
      </c>
      <c r="B1646" s="14">
        <f>IFERROR(VLOOKUP(A1646,Tabla3[],2,FALSE),0)</f>
        <v>0</v>
      </c>
      <c r="C1646" s="37"/>
      <c r="D1646" s="37" t="s">
        <v>65</v>
      </c>
      <c r="E1646" s="37">
        <f>B1646*6</f>
        <v>0</v>
      </c>
    </row>
    <row r="1647" spans="1:5" ht="16.5" thickBot="1" x14ac:dyDescent="0.3">
      <c r="B1647" s="14">
        <f>IFERROR(VLOOKUP(A1647,Tabla3[],2,FALSE),0)</f>
        <v>0</v>
      </c>
      <c r="C1647" s="38"/>
      <c r="D1647" s="35" t="s">
        <v>4</v>
      </c>
      <c r="E1647" s="35">
        <f>B1646*6</f>
        <v>0</v>
      </c>
    </row>
    <row r="1648" spans="1:5" ht="16.5" thickBot="1" x14ac:dyDescent="0.3">
      <c r="B1648" s="14">
        <f>IFERROR(VLOOKUP(A1648,Tabla3[],2,FALSE),0)</f>
        <v>0</v>
      </c>
      <c r="C1648" s="38"/>
      <c r="D1648" s="35" t="s">
        <v>11</v>
      </c>
      <c r="E1648" s="35">
        <f>B1646</f>
        <v>0</v>
      </c>
    </row>
    <row r="1649" spans="1:5" ht="16.5" thickBot="1" x14ac:dyDescent="0.3">
      <c r="B1649" s="14">
        <f>IFERROR(VLOOKUP(A1649,Tabla3[],2,FALSE),0)</f>
        <v>0</v>
      </c>
      <c r="C1649" s="38"/>
      <c r="D1649" s="35" t="s">
        <v>5</v>
      </c>
      <c r="E1649" s="35">
        <f>B1646</f>
        <v>0</v>
      </c>
    </row>
    <row r="1650" spans="1:5" ht="16.5" thickBot="1" x14ac:dyDescent="0.3">
      <c r="B1650" s="14">
        <f>IFERROR(VLOOKUP(A1650,Tabla3[],2,FALSE),0)</f>
        <v>0</v>
      </c>
      <c r="C1650" s="38"/>
      <c r="D1650" s="35" t="s">
        <v>8</v>
      </c>
      <c r="E1650" s="35">
        <f>B1646</f>
        <v>0</v>
      </c>
    </row>
    <row r="1651" spans="1:5" ht="16.5" thickBot="1" x14ac:dyDescent="0.3">
      <c r="B1651" s="14">
        <f>IFERROR(VLOOKUP(A1651,Tabla3[],2,FALSE),0)</f>
        <v>0</v>
      </c>
      <c r="C1651" s="38"/>
      <c r="D1651" s="35" t="s">
        <v>35</v>
      </c>
      <c r="E1651" s="35">
        <f>B1646*50</f>
        <v>0</v>
      </c>
    </row>
    <row r="1652" spans="1:5" ht="16.5" thickBot="1" x14ac:dyDescent="0.3">
      <c r="B1652" s="14">
        <f>IFERROR(VLOOKUP(A1652,Tabla3[],2,FALSE),0)</f>
        <v>0</v>
      </c>
      <c r="C1652" s="38"/>
      <c r="D1652" s="35" t="s">
        <v>9</v>
      </c>
      <c r="E1652" s="35">
        <f>B1646*80</f>
        <v>0</v>
      </c>
    </row>
    <row r="1653" spans="1:5" ht="16.5" thickBot="1" x14ac:dyDescent="0.3">
      <c r="B1653" s="14">
        <f>IFERROR(VLOOKUP(A1653,Tabla3[],2,FALSE),0)</f>
        <v>0</v>
      </c>
      <c r="C1653" s="38"/>
      <c r="D1653" s="35" t="s">
        <v>34</v>
      </c>
      <c r="E1653" s="35">
        <f>B1646*0.5</f>
        <v>0</v>
      </c>
    </row>
    <row r="1654" spans="1:5" ht="16.5" thickBot="1" x14ac:dyDescent="0.3">
      <c r="B1654" s="14">
        <f>IFERROR(VLOOKUP(A1654,Tabla3[],2,FALSE),0)</f>
        <v>0</v>
      </c>
      <c r="C1654" s="38"/>
      <c r="D1654" s="35" t="s">
        <v>6</v>
      </c>
      <c r="E1654" s="35">
        <f>B1646</f>
        <v>0</v>
      </c>
    </row>
    <row r="1655" spans="1:5" ht="16.5" thickBot="1" x14ac:dyDescent="0.3">
      <c r="B1655" s="14">
        <f>IFERROR(VLOOKUP(A1655,Tabla3[],2,FALSE),0)</f>
        <v>0</v>
      </c>
      <c r="C1655" s="41"/>
      <c r="D1655" s="28" t="s">
        <v>16</v>
      </c>
      <c r="E1655" s="28">
        <f>B1646*100</f>
        <v>0</v>
      </c>
    </row>
    <row r="1656" spans="1:5" ht="15" x14ac:dyDescent="0.25">
      <c r="A1656" s="15"/>
    </row>
  </sheetData>
  <conditionalFormatting sqref="E580:E1243 E261:E564">
    <cfRule type="cellIs" dxfId="234" priority="184" operator="equal">
      <formula>0</formula>
    </cfRule>
  </conditionalFormatting>
  <conditionalFormatting sqref="E565:E566">
    <cfRule type="cellIs" dxfId="233" priority="176" operator="equal">
      <formula>0</formula>
    </cfRule>
  </conditionalFormatting>
  <conditionalFormatting sqref="E567:E569">
    <cfRule type="cellIs" dxfId="232" priority="174" operator="equal">
      <formula>0</formula>
    </cfRule>
  </conditionalFormatting>
  <conditionalFormatting sqref="E570:E572">
    <cfRule type="cellIs" dxfId="231" priority="172" operator="equal">
      <formula>0</formula>
    </cfRule>
  </conditionalFormatting>
  <conditionalFormatting sqref="E573:E575">
    <cfRule type="cellIs" dxfId="230" priority="170" operator="equal">
      <formula>0</formula>
    </cfRule>
  </conditionalFormatting>
  <conditionalFormatting sqref="E576:E578">
    <cfRule type="cellIs" dxfId="229" priority="168" operator="equal">
      <formula>0</formula>
    </cfRule>
  </conditionalFormatting>
  <conditionalFormatting sqref="E579">
    <cfRule type="cellIs" dxfId="228" priority="166" operator="equal">
      <formula>0</formula>
    </cfRule>
  </conditionalFormatting>
  <conditionalFormatting sqref="E1277">
    <cfRule type="cellIs" dxfId="227" priority="123" operator="equal">
      <formula>0</formula>
    </cfRule>
  </conditionalFormatting>
  <conditionalFormatting sqref="E1279">
    <cfRule type="cellIs" dxfId="226" priority="122" operator="equal">
      <formula>0</formula>
    </cfRule>
  </conditionalFormatting>
  <conditionalFormatting sqref="E1281">
    <cfRule type="cellIs" dxfId="225" priority="121" operator="equal">
      <formula>0</formula>
    </cfRule>
  </conditionalFormatting>
  <conditionalFormatting sqref="E1282:E1283">
    <cfRule type="cellIs" dxfId="224" priority="120" operator="equal">
      <formula>0</formula>
    </cfRule>
  </conditionalFormatting>
  <conditionalFormatting sqref="E1290">
    <cfRule type="cellIs" dxfId="223" priority="118" operator="equal">
      <formula>0</formula>
    </cfRule>
  </conditionalFormatting>
  <conditionalFormatting sqref="E1297">
    <cfRule type="cellIs" dxfId="222" priority="116" operator="equal">
      <formula>0</formula>
    </cfRule>
  </conditionalFormatting>
  <conditionalFormatting sqref="E1305:E1306">
    <cfRule type="cellIs" dxfId="221" priority="114" operator="equal">
      <formula>0</formula>
    </cfRule>
  </conditionalFormatting>
  <conditionalFormatting sqref="E1313">
    <cfRule type="cellIs" dxfId="220" priority="112" operator="equal">
      <formula>0</formula>
    </cfRule>
  </conditionalFormatting>
  <conditionalFormatting sqref="E1320">
    <cfRule type="cellIs" dxfId="219" priority="110" operator="equal">
      <formula>0</formula>
    </cfRule>
  </conditionalFormatting>
  <conditionalFormatting sqref="E1362">
    <cfRule type="cellIs" dxfId="218" priority="102" operator="equal">
      <formula>0</formula>
    </cfRule>
  </conditionalFormatting>
  <conditionalFormatting sqref="E1376">
    <cfRule type="cellIs" dxfId="217" priority="100" operator="equal">
      <formula>0</formula>
    </cfRule>
  </conditionalFormatting>
  <conditionalFormatting sqref="E1379">
    <cfRule type="cellIs" dxfId="216" priority="97" operator="equal">
      <formula>0</formula>
    </cfRule>
  </conditionalFormatting>
  <conditionalFormatting sqref="E1381">
    <cfRule type="cellIs" dxfId="215" priority="94" operator="equal">
      <formula>0</formula>
    </cfRule>
  </conditionalFormatting>
  <conditionalFormatting sqref="E1417:E1422">
    <cfRule type="cellIs" dxfId="214" priority="49" operator="equal">
      <formula>0</formula>
    </cfRule>
  </conditionalFormatting>
  <conditionalFormatting sqref="E1284:E1289">
    <cfRule type="cellIs" dxfId="213" priority="48" operator="equal">
      <formula>0</formula>
    </cfRule>
  </conditionalFormatting>
  <conditionalFormatting sqref="E1291:E1296">
    <cfRule type="cellIs" dxfId="212" priority="47" operator="equal">
      <formula>0</formula>
    </cfRule>
  </conditionalFormatting>
  <conditionalFormatting sqref="E1298:E1303">
    <cfRule type="cellIs" dxfId="211" priority="46" operator="equal">
      <formula>0</formula>
    </cfRule>
  </conditionalFormatting>
  <conditionalFormatting sqref="E1307:E1312">
    <cfRule type="cellIs" dxfId="210" priority="45" operator="equal">
      <formula>0</formula>
    </cfRule>
  </conditionalFormatting>
  <conditionalFormatting sqref="E1314:E1319">
    <cfRule type="cellIs" dxfId="209" priority="44" operator="equal">
      <formula>0</formula>
    </cfRule>
  </conditionalFormatting>
  <conditionalFormatting sqref="E1321:E1326">
    <cfRule type="cellIs" dxfId="208" priority="43" operator="equal">
      <formula>0</formula>
    </cfRule>
  </conditionalFormatting>
  <conditionalFormatting sqref="E1327">
    <cfRule type="cellIs" dxfId="207" priority="42" operator="equal">
      <formula>0</formula>
    </cfRule>
  </conditionalFormatting>
  <conditionalFormatting sqref="E1428:E1433">
    <cfRule type="cellIs" dxfId="206" priority="41" operator="equal">
      <formula>0</formula>
    </cfRule>
  </conditionalFormatting>
  <conditionalFormatting sqref="E1434">
    <cfRule type="cellIs" dxfId="205" priority="40" operator="equal">
      <formula>0</formula>
    </cfRule>
  </conditionalFormatting>
  <conditionalFormatting sqref="E1447">
    <cfRule type="cellIs" dxfId="204" priority="39" operator="equal">
      <formula>0</formula>
    </cfRule>
  </conditionalFormatting>
  <conditionalFormatting sqref="E1441:E1446">
    <cfRule type="cellIs" dxfId="203" priority="38" operator="equal">
      <formula>0</formula>
    </cfRule>
  </conditionalFormatting>
  <conditionalFormatting sqref="E1448:E1453">
    <cfRule type="cellIs" dxfId="202" priority="37" operator="equal">
      <formula>0</formula>
    </cfRule>
  </conditionalFormatting>
  <conditionalFormatting sqref="E1460">
    <cfRule type="cellIs" dxfId="201" priority="36" operator="equal">
      <formula>0</formula>
    </cfRule>
  </conditionalFormatting>
  <conditionalFormatting sqref="E1454:E1459">
    <cfRule type="cellIs" dxfId="200" priority="35" operator="equal">
      <formula>0</formula>
    </cfRule>
  </conditionalFormatting>
  <conditionalFormatting sqref="E1461:E1467">
    <cfRule type="cellIs" dxfId="199" priority="34" operator="equal">
      <formula>0</formula>
    </cfRule>
  </conditionalFormatting>
  <conditionalFormatting sqref="E1474">
    <cfRule type="cellIs" dxfId="198" priority="33" operator="equal">
      <formula>0</formula>
    </cfRule>
  </conditionalFormatting>
  <conditionalFormatting sqref="E1488">
    <cfRule type="cellIs" dxfId="197" priority="32" operator="equal">
      <formula>0</formula>
    </cfRule>
  </conditionalFormatting>
  <conditionalFormatting sqref="E1482:E1487">
    <cfRule type="cellIs" dxfId="196" priority="31" operator="equal">
      <formula>0</formula>
    </cfRule>
  </conditionalFormatting>
  <conditionalFormatting sqref="E1489">
    <cfRule type="cellIs" dxfId="195" priority="30" operator="equal">
      <formula>0</formula>
    </cfRule>
  </conditionalFormatting>
  <conditionalFormatting sqref="E1495:E1500">
    <cfRule type="cellIs" dxfId="194" priority="29" operator="equal">
      <formula>0</formula>
    </cfRule>
  </conditionalFormatting>
  <conditionalFormatting sqref="E1501">
    <cfRule type="cellIs" dxfId="193" priority="28" operator="equal">
      <formula>0</formula>
    </cfRule>
  </conditionalFormatting>
  <conditionalFormatting sqref="E1505">
    <cfRule type="cellIs" dxfId="192" priority="27" operator="equal">
      <formula>0</formula>
    </cfRule>
  </conditionalFormatting>
  <conditionalFormatting sqref="E1509:E1511">
    <cfRule type="cellIs" dxfId="191" priority="26" operator="equal">
      <formula>0</formula>
    </cfRule>
  </conditionalFormatting>
  <conditionalFormatting sqref="E1512:E1515">
    <cfRule type="cellIs" dxfId="190" priority="25" operator="equal">
      <formula>0</formula>
    </cfRule>
  </conditionalFormatting>
  <conditionalFormatting sqref="E1516:E1521">
    <cfRule type="cellIs" dxfId="189" priority="24" operator="equal">
      <formula>0</formula>
    </cfRule>
  </conditionalFormatting>
  <conditionalFormatting sqref="E1528">
    <cfRule type="cellIs" dxfId="188" priority="23" operator="equal">
      <formula>0</formula>
    </cfRule>
  </conditionalFormatting>
  <conditionalFormatting sqref="E1522:E1527">
    <cfRule type="cellIs" dxfId="187" priority="22" operator="equal">
      <formula>0</formula>
    </cfRule>
  </conditionalFormatting>
  <conditionalFormatting sqref="E1529:E1535">
    <cfRule type="cellIs" dxfId="186" priority="21" operator="equal">
      <formula>0</formula>
    </cfRule>
  </conditionalFormatting>
  <conditionalFormatting sqref="E1542">
    <cfRule type="cellIs" dxfId="185" priority="20" operator="equal">
      <formula>0</formula>
    </cfRule>
  </conditionalFormatting>
  <conditionalFormatting sqref="E1536:E1541">
    <cfRule type="cellIs" dxfId="184" priority="19" operator="equal">
      <formula>0</formula>
    </cfRule>
  </conditionalFormatting>
  <conditionalFormatting sqref="E1543:E1548">
    <cfRule type="cellIs" dxfId="183" priority="18" operator="equal">
      <formula>0</formula>
    </cfRule>
  </conditionalFormatting>
  <conditionalFormatting sqref="E1550">
    <cfRule type="cellIs" dxfId="182" priority="17" operator="equal">
      <formula>0</formula>
    </cfRule>
  </conditionalFormatting>
  <conditionalFormatting sqref="E1551">
    <cfRule type="cellIs" dxfId="181" priority="16" operator="equal">
      <formula>0</formula>
    </cfRule>
  </conditionalFormatting>
  <conditionalFormatting sqref="E1552">
    <cfRule type="cellIs" dxfId="180" priority="15" operator="equal">
      <formula>0</formula>
    </cfRule>
  </conditionalFormatting>
  <conditionalFormatting sqref="E1553">
    <cfRule type="cellIs" dxfId="179" priority="14" operator="equal">
      <formula>0</formula>
    </cfRule>
  </conditionalFormatting>
  <conditionalFormatting sqref="E1554">
    <cfRule type="cellIs" dxfId="178" priority="13" operator="equal">
      <formula>0</formula>
    </cfRule>
  </conditionalFormatting>
  <conditionalFormatting sqref="E1555">
    <cfRule type="cellIs" dxfId="177" priority="12" operator="equal">
      <formula>0</formula>
    </cfRule>
  </conditionalFormatting>
  <conditionalFormatting sqref="E1556">
    <cfRule type="cellIs" dxfId="176" priority="11" operator="equal">
      <formula>0</formula>
    </cfRule>
  </conditionalFormatting>
  <conditionalFormatting sqref="E1557">
    <cfRule type="cellIs" dxfId="175" priority="10" operator="equal">
      <formula>0</formula>
    </cfRule>
  </conditionalFormatting>
  <conditionalFormatting sqref="E1563:E1566">
    <cfRule type="cellIs" dxfId="174" priority="9" operator="equal">
      <formula>0</formula>
    </cfRule>
  </conditionalFormatting>
  <conditionalFormatting sqref="E1582:E1588">
    <cfRule type="cellIs" dxfId="173" priority="8" operator="equal">
      <formula>0</formula>
    </cfRule>
  </conditionalFormatting>
  <conditionalFormatting sqref="E1590">
    <cfRule type="cellIs" dxfId="172" priority="7" operator="equal">
      <formula>0</formula>
    </cfRule>
  </conditionalFormatting>
  <conditionalFormatting sqref="E1593:E1596">
    <cfRule type="cellIs" dxfId="171" priority="6" operator="equal">
      <formula>0</formula>
    </cfRule>
  </conditionalFormatting>
  <conditionalFormatting sqref="E1597">
    <cfRule type="cellIs" dxfId="170" priority="5" operator="equal">
      <formula>0</formula>
    </cfRule>
  </conditionalFormatting>
  <conditionalFormatting sqref="E1598:E1601">
    <cfRule type="cellIs" dxfId="169" priority="4" operator="equal">
      <formula>0</formula>
    </cfRule>
  </conditionalFormatting>
  <conditionalFormatting sqref="E1609:E1627">
    <cfRule type="cellIs" dxfId="168" priority="3" operator="equal">
      <formula>0</formula>
    </cfRule>
  </conditionalFormatting>
  <conditionalFormatting sqref="E1635:E1641">
    <cfRule type="cellIs" dxfId="167" priority="2" operator="equal">
      <formula>0</formula>
    </cfRule>
  </conditionalFormatting>
  <conditionalFormatting sqref="E1646:E1655">
    <cfRule type="cellIs" dxfId="166" priority="1" operator="equal">
      <formula>0</formula>
    </cfRule>
  </conditionalFormatting>
  <pageMargins left="0.25" right="0.25" top="0.75" bottom="0.75" header="0.3" footer="0.3"/>
  <pageSetup paperSize="14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C400"/>
  <sheetViews>
    <sheetView topLeftCell="A3" zoomScale="90" zoomScaleNormal="90" workbookViewId="0">
      <selection activeCell="B3" sqref="B3:C400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1</v>
      </c>
      <c r="B3" t="str">
        <f>TRANSPOSE(T1_[Etiquetas de fila])</f>
        <v>2 Shot Tequila Jimador</v>
      </c>
      <c r="C3">
        <f>TRANSPOSE(T1_[Recuento de T1 CODIGO])</f>
        <v>11</v>
      </c>
    </row>
    <row r="4" spans="1:3" x14ac:dyDescent="0.25">
      <c r="A4" t="b">
        <f>IFERROR(IF(MATCH(B4,RECETAS!$A$2:$A$1700,0) &lt;&gt; "", TRUE,""),FALSE)</f>
        <v>1</v>
      </c>
      <c r="B4" t="str">
        <f>TRANSPOSE(T1_[Etiquetas de fila])</f>
        <v>4 Shot Jagermeister</v>
      </c>
      <c r="C4">
        <f>TRANSPOSE(T1_[Recuento de T1 CODIGO])</f>
        <v>1</v>
      </c>
    </row>
    <row r="5" spans="1:3" x14ac:dyDescent="0.25">
      <c r="A5" t="b">
        <f>IFERROR(IF(MATCH(B5,RECETAS!$A$2:$A$1700,0) &lt;&gt; "", TRUE,""),FALSE)</f>
        <v>1</v>
      </c>
      <c r="B5" t="str">
        <f>TRANSPOSE(T1_[Etiquetas de fila])</f>
        <v>Absolut Blue</v>
      </c>
      <c r="C5">
        <f>TRANSPOSE(T1_[Recuento de T1 CODIGO])</f>
        <v>1</v>
      </c>
    </row>
    <row r="6" spans="1:3" x14ac:dyDescent="0.25">
      <c r="A6" t="b">
        <f>IFERROR(IF(MATCH(B6,RECETAS!$A$2:$A$1700,0) &lt;&gt; "", TRUE,""),FALSE)</f>
        <v>1</v>
      </c>
      <c r="B6" t="str">
        <f>TRANSPOSE(T1_[Etiquetas de fila])</f>
        <v>Alto 40° Transparente</v>
      </c>
      <c r="C6">
        <f>TRANSPOSE(T1_[Recuento de T1 CODIGO])</f>
        <v>7</v>
      </c>
    </row>
    <row r="7" spans="1:3" x14ac:dyDescent="0.25">
      <c r="A7" t="b">
        <f>IFERROR(IF(MATCH(B7,RECETAS!$A$2:$A$1700,0) &lt;&gt; "", TRUE,""),FALSE)</f>
        <v>1</v>
      </c>
      <c r="B7" t="str">
        <f>TRANSPOSE(T1_[Etiquetas de fila])</f>
        <v>Alto del Carmen 35°</v>
      </c>
      <c r="C7">
        <f>TRANSPOSE(T1_[Recuento de T1 CODIGO])</f>
        <v>24</v>
      </c>
    </row>
    <row r="8" spans="1:3" x14ac:dyDescent="0.25">
      <c r="A8" t="b">
        <f>IFERROR(IF(MATCH(B8,RECETAS!$A$2:$A$1700,0) &lt;&gt; "", TRUE,""),FALSE)</f>
        <v>1</v>
      </c>
      <c r="B8" t="str">
        <f>TRANSPOSE(T1_[Etiquetas de fila])</f>
        <v>Alto del Carmen 40°</v>
      </c>
      <c r="C8">
        <f>TRANSPOSE(T1_[Recuento de T1 CODIGO])</f>
        <v>1</v>
      </c>
    </row>
    <row r="9" spans="1:3" x14ac:dyDescent="0.25">
      <c r="A9" t="b">
        <f>IFERROR(IF(MATCH(B9,RECETAS!$A$2:$A$1700,0) &lt;&gt; "", TRUE,""),FALSE)</f>
        <v>1</v>
      </c>
      <c r="B9" t="str">
        <f>TRANSPOSE(T1_[Etiquetas de fila])</f>
        <v>Aperol Spritz</v>
      </c>
      <c r="C9">
        <f>TRANSPOSE(T1_[Recuento de T1 CODIGO])</f>
        <v>18</v>
      </c>
    </row>
    <row r="10" spans="1:3" x14ac:dyDescent="0.25">
      <c r="A10" t="b">
        <f>IFERROR(IF(MATCH(B10,RECETAS!$A$2:$A$1700,0) &lt;&gt; "", TRUE,""),FALSE)</f>
        <v>0</v>
      </c>
      <c r="B10" t="str">
        <f>TRANSPOSE(T1_[Etiquetas de fila])</f>
        <v>AROS DE CEBOLLA APANADO</v>
      </c>
      <c r="C10">
        <f>TRANSPOSE(T1_[Recuento de T1 CODIGO])</f>
        <v>3</v>
      </c>
    </row>
    <row r="11" spans="1:3" x14ac:dyDescent="0.25">
      <c r="A11" t="b">
        <f>IFERROR(IF(MATCH(B11,RECETAS!$A$2:$A$1700,0) &lt;&gt; "", TRUE,""),FALSE)</f>
        <v>1</v>
      </c>
      <c r="B11" t="str">
        <f>TRANSPOSE(T1_[Etiquetas de fila])</f>
        <v>Atardecer de Plata</v>
      </c>
      <c r="C11">
        <f>TRANSPOSE(T1_[Recuento de T1 CODIGO])</f>
        <v>1</v>
      </c>
    </row>
    <row r="12" spans="1:3" x14ac:dyDescent="0.25">
      <c r="A12" t="b">
        <f>IFERROR(IF(MATCH(B12,RECETAS!$A$2:$A$1700,0) &lt;&gt; "", TRUE,""),FALSE)</f>
        <v>1</v>
      </c>
      <c r="B12" t="str">
        <f>TRANSPOSE(T1_[Etiquetas de fila])</f>
        <v>Beach Boys</v>
      </c>
      <c r="C12">
        <f>TRANSPOSE(T1_[Recuento de T1 CODIGO])</f>
        <v>3</v>
      </c>
    </row>
    <row r="13" spans="1:3" x14ac:dyDescent="0.25">
      <c r="A13" t="b">
        <f>IFERROR(IF(MATCH(B13,RECETAS!$A$2:$A$1700,0) &lt;&gt; "", TRUE,""),FALSE)</f>
        <v>1</v>
      </c>
      <c r="B13" t="str">
        <f>TRANSPOSE(T1_[Etiquetas de fila])</f>
        <v>Beefeater</v>
      </c>
      <c r="C13">
        <f>TRANSPOSE(T1_[Recuento de T1 CODIGO])</f>
        <v>1</v>
      </c>
    </row>
    <row r="14" spans="1:3" x14ac:dyDescent="0.25">
      <c r="A14" t="b">
        <f>IFERROR(IF(MATCH(B14,RECETAS!$A$2:$A$1700,0) &lt;&gt; "", TRUE,""),FALSE)</f>
        <v>1</v>
      </c>
      <c r="B14" t="str">
        <f>TRANSPOSE(T1_[Etiquetas de fila])</f>
        <v>Berlin Mule</v>
      </c>
      <c r="C14">
        <f>TRANSPOSE(T1_[Recuento de T1 CODIGO])</f>
        <v>3</v>
      </c>
    </row>
    <row r="15" spans="1:3" x14ac:dyDescent="0.25">
      <c r="A15" t="b">
        <f>IFERROR(IF(MATCH(B15,RECETAS!$A$2:$A$1700,0) &lt;&gt; "", TRUE,""),FALSE)</f>
        <v>1</v>
      </c>
      <c r="B15" t="str">
        <f>TRANSPOSE(T1_[Etiquetas de fila])</f>
        <v>Big Mechada</v>
      </c>
      <c r="C15">
        <f>TRANSPOSE(T1_[Recuento de T1 CODIGO])</f>
        <v>16</v>
      </c>
    </row>
    <row r="16" spans="1:3" x14ac:dyDescent="0.25">
      <c r="A16" t="b">
        <f>IFERROR(IF(MATCH(B16,RECETAS!$A$2:$A$1700,0) &lt;&gt; "", TRUE,""),FALSE)</f>
        <v>1</v>
      </c>
      <c r="B16" t="str">
        <f>TRANSPOSE(T1_[Etiquetas de fila])</f>
        <v>Black Russian</v>
      </c>
      <c r="C16">
        <f>TRANSPOSE(T1_[Recuento de T1 CODIGO])</f>
        <v>1</v>
      </c>
    </row>
    <row r="17" spans="1:3" x14ac:dyDescent="0.25">
      <c r="A17" t="b">
        <f>IFERROR(IF(MATCH(B17,RECETAS!$A$2:$A$1700,0) &lt;&gt; "", TRUE,""),FALSE)</f>
        <v>1</v>
      </c>
      <c r="B17" t="str">
        <f>TRANSPOSE(T1_[Etiquetas de fila])</f>
        <v>Bloody Mary</v>
      </c>
      <c r="C17">
        <f>TRANSPOSE(T1_[Recuento de T1 CODIGO])</f>
        <v>3</v>
      </c>
    </row>
    <row r="18" spans="1:3" x14ac:dyDescent="0.25">
      <c r="A18" t="b">
        <f>IFERROR(IF(MATCH(B18,RECETAS!$A$2:$A$1700,0) &lt;&gt; "", TRUE,""),FALSE)</f>
        <v>0</v>
      </c>
      <c r="B18" t="str">
        <f>TRANSPOSE(T1_[Etiquetas de fila])</f>
        <v>Blue</v>
      </c>
      <c r="C18">
        <f>TRANSPOSE(T1_[Recuento de T1 CODIGO])</f>
        <v>1</v>
      </c>
    </row>
    <row r="19" spans="1:3" x14ac:dyDescent="0.25">
      <c r="A19" t="b">
        <f>IFERROR(IF(MATCH(B19,RECETAS!$A$2:$A$1700,0) &lt;&gt; "", TRUE,""),FALSE)</f>
        <v>1</v>
      </c>
      <c r="B19" t="str">
        <f>TRANSPOSE(T1_[Etiquetas de fila])</f>
        <v>Brownie con Helado</v>
      </c>
      <c r="C19">
        <f>TRANSPOSE(T1_[Recuento de T1 CODIGO])</f>
        <v>9</v>
      </c>
    </row>
    <row r="20" spans="1:3" x14ac:dyDescent="0.25">
      <c r="A20" t="b">
        <f>IFERROR(IF(MATCH(B20,RECETAS!$A$2:$A$1700,0) &lt;&gt; "", TRUE,""),FALSE)</f>
        <v>1</v>
      </c>
      <c r="B20" t="str">
        <f>TRANSPOSE(T1_[Etiquetas de fila])</f>
        <v>Brujas de Salamanca 40°</v>
      </c>
      <c r="C20">
        <f>TRANSPOSE(T1_[Recuento de T1 CODIGO])</f>
        <v>1</v>
      </c>
    </row>
    <row r="21" spans="1:3" x14ac:dyDescent="0.25">
      <c r="A21" t="b">
        <f>IFERROR(IF(MATCH(B21,RECETAS!$A$2:$A$1700,0) &lt;&gt; "", TRUE,""),FALSE)</f>
        <v>1</v>
      </c>
      <c r="B21" t="str">
        <f>TRANSPOSE(T1_[Etiquetas de fila])</f>
        <v>Budweiser</v>
      </c>
      <c r="C21">
        <f>TRANSPOSE(T1_[Recuento de T1 CODIGO])</f>
        <v>2</v>
      </c>
    </row>
    <row r="22" spans="1:3" x14ac:dyDescent="0.25">
      <c r="A22" t="b">
        <f>IFERROR(IF(MATCH(B22,RECETAS!$A$2:$A$1700,0) &lt;&gt; "", TRUE,""),FALSE)</f>
        <v>0</v>
      </c>
      <c r="B22" t="str">
        <f>TRANSPOSE(T1_[Etiquetas de fila])</f>
        <v>Cafe Americano</v>
      </c>
      <c r="C22">
        <f>TRANSPOSE(T1_[Recuento de T1 CODIGO])</f>
        <v>1</v>
      </c>
    </row>
    <row r="23" spans="1:3" x14ac:dyDescent="0.25">
      <c r="A23" t="b">
        <f>IFERROR(IF(MATCH(B23,RECETAS!$A$2:$A$1700,0) &lt;&gt; "", TRUE,""),FALSE)</f>
        <v>1</v>
      </c>
      <c r="B23" t="str">
        <f>TRANSPOSE(T1_[Etiquetas de fila])</f>
        <v>Cafe Simple</v>
      </c>
      <c r="C23">
        <f>TRANSPOSE(T1_[Recuento de T1 CODIGO])</f>
        <v>1</v>
      </c>
    </row>
    <row r="24" spans="1:3" x14ac:dyDescent="0.25">
      <c r="A24" t="b">
        <f>IFERROR(IF(MATCH(B24,RECETAS!$A$2:$A$1700,0) &lt;&gt; "", TRUE,""),FALSE)</f>
        <v>1</v>
      </c>
      <c r="B24" t="str">
        <f>TRANSPOSE(T1_[Etiquetas de fila])</f>
        <v>Caipirinha Frambuesa</v>
      </c>
      <c r="C24">
        <f>TRANSPOSE(T1_[Recuento de T1 CODIGO])</f>
        <v>1</v>
      </c>
    </row>
    <row r="25" spans="1:3" x14ac:dyDescent="0.25">
      <c r="A25" t="b">
        <f>IFERROR(IF(MATCH(B25,RECETAS!$A$2:$A$1700,0) &lt;&gt; "", TRUE,""),FALSE)</f>
        <v>0</v>
      </c>
      <c r="B25" t="str">
        <f>TRANSPOSE(T1_[Etiquetas de fila])</f>
        <v>Caipirinha Sabores 2X</v>
      </c>
      <c r="C25">
        <f>TRANSPOSE(T1_[Recuento de T1 CODIGO])</f>
        <v>3</v>
      </c>
    </row>
    <row r="26" spans="1:3" x14ac:dyDescent="0.25">
      <c r="A26" t="b">
        <f>IFERROR(IF(MATCH(B26,RECETAS!$A$2:$A$1700,0) &lt;&gt; "", TRUE,""),FALSE)</f>
        <v>1</v>
      </c>
      <c r="B26" t="str">
        <f>TRANSPOSE(T1_[Etiquetas de fila])</f>
        <v>Caipirinha Tradicional</v>
      </c>
      <c r="C26">
        <f>TRANSPOSE(T1_[Recuento de T1 CODIGO])</f>
        <v>5</v>
      </c>
    </row>
    <row r="27" spans="1:3" x14ac:dyDescent="0.25">
      <c r="A27" t="b">
        <f>IFERROR(IF(MATCH(B27,RECETAS!$A$2:$A$1700,0) &lt;&gt; "", TRUE,""),FALSE)</f>
        <v>1</v>
      </c>
      <c r="B27" t="str">
        <f>TRANSPOSE(T1_[Etiquetas de fila])</f>
        <v>Caiproska Frambuesa</v>
      </c>
      <c r="C27">
        <f>TRANSPOSE(T1_[Recuento de T1 CODIGO])</f>
        <v>1</v>
      </c>
    </row>
    <row r="28" spans="1:3" x14ac:dyDescent="0.25">
      <c r="A28" t="b">
        <f>IFERROR(IF(MATCH(B28,RECETAS!$A$2:$A$1700,0) &lt;&gt; "", TRUE,""),FALSE)</f>
        <v>0</v>
      </c>
      <c r="B28" t="str">
        <f>TRANSPOSE(T1_[Etiquetas de fila])</f>
        <v>Camarones al Pil Pil</v>
      </c>
      <c r="C28">
        <f>TRANSPOSE(T1_[Recuento de T1 CODIGO])</f>
        <v>9</v>
      </c>
    </row>
    <row r="29" spans="1:3" x14ac:dyDescent="0.25">
      <c r="A29" t="b">
        <f>IFERROR(IF(MATCH(B29,RECETAS!$A$2:$A$1700,0) &lt;&gt; "", TRUE,""),FALSE)</f>
        <v>0</v>
      </c>
      <c r="B29" t="str">
        <f>TRANSPOSE(T1_[Etiquetas de fila])</f>
        <v>CARIÑOSITO</v>
      </c>
      <c r="C29">
        <f>TRANSPOSE(T1_[Recuento de T1 CODIGO])</f>
        <v>1</v>
      </c>
    </row>
    <row r="30" spans="1:3" x14ac:dyDescent="0.25">
      <c r="A30" t="b">
        <f>IFERROR(IF(MATCH(B30,RECETAS!$A$2:$A$1700,0) &lt;&gt; "", TRUE,""),FALSE)</f>
        <v>1</v>
      </c>
      <c r="B30" t="str">
        <f>TRANSPOSE(T1_[Etiquetas de fila])</f>
        <v>Ceviche Mixto</v>
      </c>
      <c r="C30">
        <f>TRANSPOSE(T1_[Recuento de T1 CODIGO])</f>
        <v>17</v>
      </c>
    </row>
    <row r="31" spans="1:3" x14ac:dyDescent="0.25">
      <c r="A31" t="b">
        <f>IFERROR(IF(MATCH(B31,RECETAS!$A$2:$A$1700,0) &lt;&gt; "", TRUE,""),FALSE)</f>
        <v>0</v>
      </c>
      <c r="B31" t="str">
        <f>TRANSPOSE(T1_[Etiquetas de fila])</f>
        <v>CHARDONAY SOUR</v>
      </c>
      <c r="C31">
        <f>TRANSPOSE(T1_[Recuento de T1 CODIGO])</f>
        <v>5</v>
      </c>
    </row>
    <row r="32" spans="1:3" x14ac:dyDescent="0.25">
      <c r="A32" t="b">
        <f>IFERROR(IF(MATCH(B32,RECETAS!$A$2:$A$1700,0) &lt;&gt; "", TRUE,""),FALSE)</f>
        <v>0</v>
      </c>
      <c r="B32" t="str">
        <f>TRANSPOSE(T1_[Etiquetas de fila])</f>
        <v>Chardonnay Sour X2</v>
      </c>
      <c r="C32">
        <f>TRANSPOSE(T1_[Recuento de T1 CODIGO])</f>
        <v>1</v>
      </c>
    </row>
    <row r="33" spans="1:3" x14ac:dyDescent="0.25">
      <c r="A33" t="b">
        <f>IFERROR(IF(MATCH(B33,RECETAS!$A$2:$A$1700,0) &lt;&gt; "", TRUE,""),FALSE)</f>
        <v>1</v>
      </c>
      <c r="B33" t="str">
        <f>TRANSPOSE(T1_[Etiquetas de fila])</f>
        <v>Cheese Camarones</v>
      </c>
      <c r="C33">
        <f>TRANSPOSE(T1_[Recuento de T1 CODIGO])</f>
        <v>22</v>
      </c>
    </row>
    <row r="34" spans="1:3" x14ac:dyDescent="0.25">
      <c r="A34" t="b">
        <f>IFERROR(IF(MATCH(B34,RECETAS!$A$2:$A$1700,0) &lt;&gt; "", TRUE,""),FALSE)</f>
        <v>1</v>
      </c>
      <c r="B34" t="str">
        <f>TRANSPOSE(T1_[Etiquetas de fila])</f>
        <v>Cheese Champiñones</v>
      </c>
      <c r="C34">
        <f>TRANSPOSE(T1_[Recuento de T1 CODIGO])</f>
        <v>33</v>
      </c>
    </row>
    <row r="35" spans="1:3" x14ac:dyDescent="0.25">
      <c r="A35" t="b">
        <f>IFERROR(IF(MATCH(B35,RECETAS!$A$2:$A$1700,0) &lt;&gt; "", TRUE,""),FALSE)</f>
        <v>1</v>
      </c>
      <c r="B35" t="str">
        <f>TRANSPOSE(T1_[Etiquetas de fila])</f>
        <v>Cheese Fritas Grandes</v>
      </c>
      <c r="C35">
        <f>TRANSPOSE(T1_[Recuento de T1 CODIGO])</f>
        <v>23</v>
      </c>
    </row>
    <row r="36" spans="1:3" x14ac:dyDescent="0.25">
      <c r="A36" t="b">
        <f>IFERROR(IF(MATCH(B36,RECETAS!$A$2:$A$1700,0) &lt;&gt; "", TRUE,""),FALSE)</f>
        <v>1</v>
      </c>
      <c r="B36" t="str">
        <f>TRANSPOSE(T1_[Etiquetas de fila])</f>
        <v>Cheese Mechada</v>
      </c>
      <c r="C36">
        <f>TRANSPOSE(T1_[Recuento de T1 CODIGO])</f>
        <v>35</v>
      </c>
    </row>
    <row r="37" spans="1:3" x14ac:dyDescent="0.25">
      <c r="A37" t="b">
        <f>IFERROR(IF(MATCH(B37,RECETAS!$A$2:$A$1700,0) &lt;&gt; "", TRUE,""),FALSE)</f>
        <v>1</v>
      </c>
      <c r="B37" t="str">
        <f>TRANSPOSE(T1_[Etiquetas de fila])</f>
        <v>Cheese Teclados</v>
      </c>
      <c r="C37">
        <f>TRANSPOSE(T1_[Recuento de T1 CODIGO])</f>
        <v>138</v>
      </c>
    </row>
    <row r="38" spans="1:3" x14ac:dyDescent="0.25">
      <c r="A38" t="b">
        <f>IFERROR(IF(MATCH(B38,RECETAS!$A$2:$A$1700,0) &lt;&gt; "", TRUE,""),FALSE)</f>
        <v>1</v>
      </c>
      <c r="B38" t="str">
        <f>TRANSPOSE(T1_[Etiquetas de fila])</f>
        <v>Chicken Finger</v>
      </c>
      <c r="C38">
        <f>TRANSPOSE(T1_[Recuento de T1 CODIGO])</f>
        <v>11</v>
      </c>
    </row>
    <row r="39" spans="1:3" x14ac:dyDescent="0.25">
      <c r="A39" t="b">
        <f>IFERROR(IF(MATCH(B39,RECETAS!$A$2:$A$1700,0) &lt;&gt; "", TRUE,""),FALSE)</f>
        <v>0</v>
      </c>
      <c r="B39" t="str">
        <f>TRANSPOSE(T1_[Etiquetas de fila])</f>
        <v>CHURRASCO MARINO</v>
      </c>
      <c r="C39">
        <f>TRANSPOSE(T1_[Recuento de T1 CODIGO])</f>
        <v>2</v>
      </c>
    </row>
    <row r="40" spans="1:3" x14ac:dyDescent="0.25">
      <c r="A40" t="b">
        <f>IFERROR(IF(MATCH(B40,RECETAS!$A$2:$A$1700,0) &lt;&gt; "", TRUE,""),FALSE)</f>
        <v>0</v>
      </c>
      <c r="B40" t="str">
        <f>TRANSPOSE(T1_[Etiquetas de fila])</f>
        <v>clasico</v>
      </c>
      <c r="C40">
        <f>TRANSPOSE(T1_[Recuento de T1 CODIGO])</f>
        <v>17</v>
      </c>
    </row>
    <row r="41" spans="1:3" x14ac:dyDescent="0.25">
      <c r="A41" t="b">
        <f>IFERROR(IF(MATCH(B41,RECETAS!$A$2:$A$1700,0) &lt;&gt; "", TRUE,""),FALSE)</f>
        <v>1</v>
      </c>
      <c r="B41" t="str">
        <f>TRANSPOSE(T1_[Etiquetas de fila])</f>
        <v>Clavo Oxidado</v>
      </c>
      <c r="C41">
        <f>TRANSPOSE(T1_[Recuento de T1 CODIGO])</f>
        <v>2</v>
      </c>
    </row>
    <row r="42" spans="1:3" x14ac:dyDescent="0.25">
      <c r="A42" t="b">
        <f>IFERROR(IF(MATCH(B42,RECETAS!$A$2:$A$1700,0) &lt;&gt; "", TRUE,""),FALSE)</f>
        <v>1</v>
      </c>
      <c r="B42" t="str">
        <f>TRANSPOSE(T1_[Etiquetas de fila])</f>
        <v>Coca Cola 350cc</v>
      </c>
      <c r="C42">
        <f>TRANSPOSE(T1_[Recuento de T1 CODIGO])</f>
        <v>39</v>
      </c>
    </row>
    <row r="43" spans="1:3" x14ac:dyDescent="0.25">
      <c r="A43" t="b">
        <f>IFERROR(IF(MATCH(B43,RECETAS!$A$2:$A$1700,0) &lt;&gt; "", TRUE,""),FALSE)</f>
        <v>1</v>
      </c>
      <c r="B43" t="str">
        <f>TRANSPOSE(T1_[Etiquetas de fila])</f>
        <v>Coca Cola Light 350cc</v>
      </c>
      <c r="C43">
        <f>TRANSPOSE(T1_[Recuento de T1 CODIGO])</f>
        <v>27</v>
      </c>
    </row>
    <row r="44" spans="1:3" x14ac:dyDescent="0.25">
      <c r="A44" t="b">
        <f>IFERROR(IF(MATCH(B44,RECETAS!$A$2:$A$1700,0) &lt;&gt; "", TRUE,""),FALSE)</f>
        <v>1</v>
      </c>
      <c r="B44" t="str">
        <f>TRANSPOSE(T1_[Etiquetas de fila])</f>
        <v>Coca Cola Zero  350cc</v>
      </c>
      <c r="C44">
        <f>TRANSPOSE(T1_[Recuento de T1 CODIGO])</f>
        <v>67</v>
      </c>
    </row>
    <row r="45" spans="1:3" x14ac:dyDescent="0.25">
      <c r="A45" t="b">
        <f>IFERROR(IF(MATCH(B45,RECETAS!$A$2:$A$1700,0) &lt;&gt; "", TRUE,""),FALSE)</f>
        <v>1</v>
      </c>
      <c r="B45" t="str">
        <f>TRANSPOSE(T1_[Etiquetas de fila])</f>
        <v>Corona</v>
      </c>
      <c r="C45">
        <f>TRANSPOSE(T1_[Recuento de T1 CODIGO])</f>
        <v>11</v>
      </c>
    </row>
    <row r="46" spans="1:3" x14ac:dyDescent="0.25">
      <c r="A46" t="b">
        <f>IFERROR(IF(MATCH(B46,RECETAS!$A$2:$A$1700,0) &lt;&gt; "", TRUE,""),FALSE)</f>
        <v>0</v>
      </c>
      <c r="B46" t="str">
        <f>TRANSPOSE(T1_[Etiquetas de fila])</f>
        <v>CORONA 0.0</v>
      </c>
      <c r="C46">
        <f>TRANSPOSE(T1_[Recuento de T1 CODIGO])</f>
        <v>3</v>
      </c>
    </row>
    <row r="47" spans="1:3" x14ac:dyDescent="0.25">
      <c r="A47" t="b">
        <f>IFERROR(IF(MATCH(B47,RECETAS!$A$2:$A$1700,0) &lt;&gt; "", TRUE,""),FALSE)</f>
        <v>0</v>
      </c>
      <c r="B47" t="str">
        <f>TRANSPOSE(T1_[Etiquetas de fila])</f>
        <v>CORONA DEEP BLUE</v>
      </c>
      <c r="C47">
        <f>TRANSPOSE(T1_[Recuento de T1 CODIGO])</f>
        <v>3</v>
      </c>
    </row>
    <row r="48" spans="1:3" x14ac:dyDescent="0.25">
      <c r="A48" t="b">
        <f>IFERROR(IF(MATCH(B48,RECETAS!$A$2:$A$1700,0) &lt;&gt; "", TRUE,""),FALSE)</f>
        <v>0</v>
      </c>
      <c r="B48" t="str">
        <f>TRANSPOSE(T1_[Etiquetas de fila])</f>
        <v>CORONA SUNRISE</v>
      </c>
      <c r="C48">
        <f>TRANSPOSE(T1_[Recuento de T1 CODIGO])</f>
        <v>3</v>
      </c>
    </row>
    <row r="49" spans="1:3" x14ac:dyDescent="0.25">
      <c r="A49" t="b">
        <f>IFERROR(IF(MATCH(B49,RECETAS!$A$2:$A$1700,0) &lt;&gt; "", TRUE,""),FALSE)</f>
        <v>1</v>
      </c>
      <c r="B49" t="str">
        <f>TRANSPOSE(T1_[Etiquetas de fila])</f>
        <v>Cosmopolitan</v>
      </c>
      <c r="C49">
        <f>TRANSPOSE(T1_[Recuento de T1 CODIGO])</f>
        <v>10</v>
      </c>
    </row>
    <row r="50" spans="1:3" x14ac:dyDescent="0.25">
      <c r="A50" t="b">
        <f>IFERROR(IF(MATCH(B50,RECETAS!$A$2:$A$1700,0) &lt;&gt; "", TRUE,""),FALSE)</f>
        <v>0</v>
      </c>
      <c r="B50" t="str">
        <f>TRANSPOSE(T1_[Etiquetas de fila])</f>
        <v>Cosmopolitan 2X</v>
      </c>
      <c r="C50">
        <f>TRANSPOSE(T1_[Recuento de T1 CODIGO])</f>
        <v>5</v>
      </c>
    </row>
    <row r="51" spans="1:3" x14ac:dyDescent="0.25">
      <c r="A51" t="b">
        <f>IFERROR(IF(MATCH(B51,RECETAS!$A$2:$A$1700,0) &lt;&gt; "", TRUE,""),FALSE)</f>
        <v>1</v>
      </c>
      <c r="B51" t="str">
        <f>TRANSPOSE(T1_[Etiquetas de fila])</f>
        <v>Crudo</v>
      </c>
      <c r="C51">
        <f>TRANSPOSE(T1_[Recuento de T1 CODIGO])</f>
        <v>21</v>
      </c>
    </row>
    <row r="52" spans="1:3" x14ac:dyDescent="0.25">
      <c r="A52" t="b">
        <f>IFERROR(IF(MATCH(B52,RECETAS!$A$2:$A$1700,0) &lt;&gt; "", TRUE,""),FALSE)</f>
        <v>1</v>
      </c>
      <c r="B52" t="str">
        <f>TRANSPOSE(T1_[Etiquetas de fila])</f>
        <v>Cusqueña Golden Lager</v>
      </c>
      <c r="C52">
        <f>TRANSPOSE(T1_[Recuento de T1 CODIGO])</f>
        <v>1</v>
      </c>
    </row>
    <row r="53" spans="1:3" x14ac:dyDescent="0.25">
      <c r="A53" t="b">
        <f>IFERROR(IF(MATCH(B53,RECETAS!$A$2:$A$1700,0) &lt;&gt; "", TRUE,""),FALSE)</f>
        <v>1</v>
      </c>
      <c r="B53" t="str">
        <f>TRANSPOSE(T1_[Etiquetas de fila])</f>
        <v>D.CHEESE CAMARON</v>
      </c>
      <c r="C53">
        <f>TRANSPOSE(T1_[Recuento de T1 CODIGO])</f>
        <v>1</v>
      </c>
    </row>
    <row r="54" spans="1:3" x14ac:dyDescent="0.25">
      <c r="A54" t="b">
        <f>IFERROR(IF(MATCH(B54,RECETAS!$A$2:$A$1700,0) &lt;&gt; "", TRUE,""),FALSE)</f>
        <v>1</v>
      </c>
      <c r="B54" t="str">
        <f>TRANSPOSE(T1_[Etiquetas de fila])</f>
        <v>D.CHEESE CHAMPIGNON</v>
      </c>
      <c r="C54">
        <f>TRANSPOSE(T1_[Recuento de T1 CODIGO])</f>
        <v>4</v>
      </c>
    </row>
    <row r="55" spans="1:3" x14ac:dyDescent="0.25">
      <c r="A55" t="b">
        <f>IFERROR(IF(MATCH(B55,RECETAS!$A$2:$A$1700,0) &lt;&gt; "", TRUE,""),FALSE)</f>
        <v>1</v>
      </c>
      <c r="B55" t="str">
        <f>TRANSPOSE(T1_[Etiquetas de fila])</f>
        <v>D.CHEESE FRITAS GRANDES</v>
      </c>
      <c r="C55">
        <f>TRANSPOSE(T1_[Recuento de T1 CODIGO])</f>
        <v>5</v>
      </c>
    </row>
    <row r="56" spans="1:3" x14ac:dyDescent="0.25">
      <c r="A56" t="b">
        <f>IFERROR(IF(MATCH(B56,RECETAS!$A$2:$A$1700,0) &lt;&gt; "", TRUE,""),FALSE)</f>
        <v>1</v>
      </c>
      <c r="B56" t="str">
        <f>TRANSPOSE(T1_[Etiquetas de fila])</f>
        <v>D.CHEESE MECHADA</v>
      </c>
      <c r="C56">
        <f>TRANSPOSE(T1_[Recuento de T1 CODIGO])</f>
        <v>4</v>
      </c>
    </row>
    <row r="57" spans="1:3" x14ac:dyDescent="0.25">
      <c r="A57" t="b">
        <f>IFERROR(IF(MATCH(B57,RECETAS!$A$2:$A$1700,0) &lt;&gt; "", TRUE,""),FALSE)</f>
        <v>1</v>
      </c>
      <c r="B57" t="str">
        <f>TRANSPOSE(T1_[Etiquetas de fila])</f>
        <v>D.CHEESE TECLADOS</v>
      </c>
      <c r="C57">
        <f>TRANSPOSE(T1_[Recuento de T1 CODIGO])</f>
        <v>15</v>
      </c>
    </row>
    <row r="58" spans="1:3" x14ac:dyDescent="0.25">
      <c r="A58" t="b">
        <f>IFERROR(IF(MATCH(B58,RECETAS!$A$2:$A$1700,0) &lt;&gt; "", TRUE,""),FALSE)</f>
        <v>1</v>
      </c>
      <c r="B58" t="str">
        <f>TRANSPOSE(T1_[Etiquetas de fila])</f>
        <v>D.COCA ZERO 1.5</v>
      </c>
      <c r="C58">
        <f>TRANSPOSE(T1_[Recuento de T1 CODIGO])</f>
        <v>2</v>
      </c>
    </row>
    <row r="59" spans="1:3" x14ac:dyDescent="0.25">
      <c r="A59" t="b">
        <f>IFERROR(IF(MATCH(B59,RECETAS!$A$2:$A$1700,0) &lt;&gt; "", TRUE,""),FALSE)</f>
        <v>1</v>
      </c>
      <c r="B59" t="str">
        <f>TRANSPOSE(T1_[Etiquetas de fila])</f>
        <v>D.CORONA</v>
      </c>
      <c r="C59">
        <f>TRANSPOSE(T1_[Recuento de T1 CODIGO])</f>
        <v>1</v>
      </c>
    </row>
    <row r="60" spans="1:3" x14ac:dyDescent="0.25">
      <c r="A60" t="b">
        <f>IFERROR(IF(MATCH(B60,RECETAS!$A$2:$A$1700,0) &lt;&gt; "", TRUE,""),FALSE)</f>
        <v>1</v>
      </c>
      <c r="B60" t="str">
        <f>TRANSPOSE(T1_[Etiquetas de fila])</f>
        <v>D.CRUDO TECLADOS</v>
      </c>
      <c r="C60">
        <f>TRANSPOSE(T1_[Recuento de T1 CODIGO])</f>
        <v>2</v>
      </c>
    </row>
    <row r="61" spans="1:3" x14ac:dyDescent="0.25">
      <c r="A61" t="b">
        <f>IFERROR(IF(MATCH(B61,RECETAS!$A$2:$A$1700,0) &lt;&gt; "", TRUE,""),FALSE)</f>
        <v>1</v>
      </c>
      <c r="B61" t="str">
        <f>TRANSPOSE(T1_[Etiquetas de fila])</f>
        <v>D.DOBLE CHEESE BURGER</v>
      </c>
      <c r="C61">
        <f>TRANSPOSE(T1_[Recuento de T1 CODIGO])</f>
        <v>1</v>
      </c>
    </row>
    <row r="62" spans="1:3" x14ac:dyDescent="0.25">
      <c r="A62" t="b">
        <f>IFERROR(IF(MATCH(B62,RECETAS!$A$2:$A$1700,0) &lt;&gt; "", TRUE,""),FALSE)</f>
        <v>1</v>
      </c>
      <c r="B62" t="str">
        <f>TRANSPOSE(T1_[Etiquetas de fila])</f>
        <v>D.EMPANADAS</v>
      </c>
      <c r="C62">
        <f>TRANSPOSE(T1_[Recuento de T1 CODIGO])</f>
        <v>1</v>
      </c>
    </row>
    <row r="63" spans="1:3" x14ac:dyDescent="0.25">
      <c r="A63" t="b">
        <f>IFERROR(IF(MATCH(B63,RECETAS!$A$2:$A$1700,0) &lt;&gt; "", TRUE,""),FALSE)</f>
        <v>1</v>
      </c>
      <c r="B63" t="str">
        <f>TRANSPOSE(T1_[Etiquetas de fila])</f>
        <v>D.GINGER ZERO 1.5</v>
      </c>
      <c r="C63">
        <f>TRANSPOSE(T1_[Recuento de T1 CODIGO])</f>
        <v>1</v>
      </c>
    </row>
    <row r="64" spans="1:3" x14ac:dyDescent="0.25">
      <c r="A64" t="b">
        <f>IFERROR(IF(MATCH(B64,RECETAS!$A$2:$A$1700,0) &lt;&gt; "", TRUE,""),FALSE)</f>
        <v>1</v>
      </c>
      <c r="B64" t="str">
        <f>TRANSPOSE(T1_[Etiquetas de fila])</f>
        <v>D.PALOS DE QUESO</v>
      </c>
      <c r="C64">
        <f>TRANSPOSE(T1_[Recuento de T1 CODIGO])</f>
        <v>1</v>
      </c>
    </row>
    <row r="65" spans="1:3" x14ac:dyDescent="0.25">
      <c r="A65" t="b">
        <f>IFERROR(IF(MATCH(B65,RECETAS!$A$2:$A$1700,0) &lt;&gt; "", TRUE,""),FALSE)</f>
        <v>1</v>
      </c>
      <c r="B65" t="str">
        <f>TRANSPOSE(T1_[Etiquetas de fila])</f>
        <v>D.PICNIC TECLADOS</v>
      </c>
      <c r="C65">
        <f>TRANSPOSE(T1_[Recuento de T1 CODIGO])</f>
        <v>2</v>
      </c>
    </row>
    <row r="66" spans="1:3" x14ac:dyDescent="0.25">
      <c r="A66" t="b">
        <f>IFERROR(IF(MATCH(B66,RECETAS!$A$2:$A$1700,0) &lt;&gt; "", TRUE,""),FALSE)</f>
        <v>0</v>
      </c>
      <c r="B66" t="str">
        <f>TRANSPOSE(T1_[Etiquetas de fila])</f>
        <v>D.PROMO LONG ISLAND</v>
      </c>
      <c r="C66">
        <f>TRANSPOSE(T1_[Recuento de T1 CODIGO])</f>
        <v>1</v>
      </c>
    </row>
    <row r="67" spans="1:3" x14ac:dyDescent="0.25">
      <c r="A67" t="b">
        <f>IFERROR(IF(MATCH(B67,RECETAS!$A$2:$A$1700,0) &lt;&gt; "", TRUE,""),FALSE)</f>
        <v>1</v>
      </c>
      <c r="B67" t="str">
        <f>TRANSPOSE(T1_[Etiquetas de fila])</f>
        <v>D.PROMO MOJ. FRAMBUESA CHEESE</v>
      </c>
      <c r="C67">
        <f>TRANSPOSE(T1_[Recuento de T1 CODIGO])</f>
        <v>2</v>
      </c>
    </row>
    <row r="68" spans="1:3" x14ac:dyDescent="0.25">
      <c r="A68" t="b">
        <f>IFERROR(IF(MATCH(B68,RECETAS!$A$2:$A$1700,0) &lt;&gt; "", TRUE,""),FALSE)</f>
        <v>1</v>
      </c>
      <c r="B68" t="str">
        <f>TRANSPOSE(T1_[Etiquetas de fila])</f>
        <v>D.PROMO MOJ. FRMABUESA</v>
      </c>
      <c r="C68">
        <f>TRANSPOSE(T1_[Recuento de T1 CODIGO])</f>
        <v>1</v>
      </c>
    </row>
    <row r="69" spans="1:3" x14ac:dyDescent="0.25">
      <c r="A69" t="b">
        <f>IFERROR(IF(MATCH(B69,RECETAS!$A$2:$A$1700,0) &lt;&gt; "", TRUE,""),FALSE)</f>
        <v>1</v>
      </c>
      <c r="B69" t="str">
        <f>TRANSPOSE(T1_[Etiquetas de fila])</f>
        <v>D.PROMO MOJ. MARACUYA CHEESE</v>
      </c>
      <c r="C69">
        <f>TRANSPOSE(T1_[Recuento de T1 CODIGO])</f>
        <v>1</v>
      </c>
    </row>
    <row r="70" spans="1:3" x14ac:dyDescent="0.25">
      <c r="A70" t="b">
        <f>IFERROR(IF(MATCH(B70,RECETAS!$A$2:$A$1700,0) &lt;&gt; "", TRUE,""),FALSE)</f>
        <v>1</v>
      </c>
      <c r="B70" t="str">
        <f>TRANSPOSE(T1_[Etiquetas de fila])</f>
        <v>D.PROMO MOJITO CHEESE</v>
      </c>
      <c r="C70">
        <f>TRANSPOSE(T1_[Recuento de T1 CODIGO])</f>
        <v>1</v>
      </c>
    </row>
    <row r="71" spans="1:3" x14ac:dyDescent="0.25">
      <c r="A71" t="b">
        <f>IFERROR(IF(MATCH(B71,RECETAS!$A$2:$A$1700,0) &lt;&gt; "", TRUE,""),FALSE)</f>
        <v>1</v>
      </c>
      <c r="B71" t="str">
        <f>TRANSPOSE(T1_[Etiquetas de fila])</f>
        <v>D.PROMO MOJITO MARACUYA</v>
      </c>
      <c r="C71">
        <f>TRANSPOSE(T1_[Recuento de T1 CODIGO])</f>
        <v>2</v>
      </c>
    </row>
    <row r="72" spans="1:3" x14ac:dyDescent="0.25">
      <c r="A72" t="b">
        <f>IFERROR(IF(MATCH(B72,RECETAS!$A$2:$A$1700,0) &lt;&gt; "", TRUE,""),FALSE)</f>
        <v>1</v>
      </c>
      <c r="B72" t="str">
        <f>TRANSPOSE(T1_[Etiquetas de fila])</f>
        <v>D.PROMO SANGRIA</v>
      </c>
      <c r="C72">
        <f>TRANSPOSE(T1_[Recuento de T1 CODIGO])</f>
        <v>1</v>
      </c>
    </row>
    <row r="73" spans="1:3" x14ac:dyDescent="0.25">
      <c r="A73" t="b">
        <f>IFERROR(IF(MATCH(B73,RECETAS!$A$2:$A$1700,0) &lt;&gt; "", TRUE,""),FALSE)</f>
        <v>1</v>
      </c>
      <c r="B73" t="str">
        <f>TRANSPOSE(T1_[Etiquetas de fila])</f>
        <v>D.QUESADILLA CAMARON</v>
      </c>
      <c r="C73">
        <f>TRANSPOSE(T1_[Recuento de T1 CODIGO])</f>
        <v>2</v>
      </c>
    </row>
    <row r="74" spans="1:3" x14ac:dyDescent="0.25">
      <c r="A74" t="b">
        <f>IFERROR(IF(MATCH(B74,RECETAS!$A$2:$A$1700,0) &lt;&gt; "", TRUE,""),FALSE)</f>
        <v>1</v>
      </c>
      <c r="B74" t="str">
        <f>TRANSPOSE(T1_[Etiquetas de fila])</f>
        <v>D.QUESADILLA CARNE</v>
      </c>
      <c r="C74">
        <f>TRANSPOSE(T1_[Recuento de T1 CODIGO])</f>
        <v>2</v>
      </c>
    </row>
    <row r="75" spans="1:3" x14ac:dyDescent="0.25">
      <c r="A75" t="b">
        <f>IFERROR(IF(MATCH(B75,RECETAS!$A$2:$A$1700,0) &lt;&gt; "", TRUE,""),FALSE)</f>
        <v>1</v>
      </c>
      <c r="B75" t="str">
        <f>TRANSPOSE(T1_[Etiquetas de fila])</f>
        <v>D.QUESADILLAS POLLO CHAMPIGNON</v>
      </c>
      <c r="C75">
        <f>TRANSPOSE(T1_[Recuento de T1 CODIGO])</f>
        <v>4</v>
      </c>
    </row>
    <row r="76" spans="1:3" x14ac:dyDescent="0.25">
      <c r="A76" t="b">
        <f>IFERROR(IF(MATCH(B76,RECETAS!$A$2:$A$1700,0) &lt;&gt; "", TRUE,""),FALSE)</f>
        <v>0</v>
      </c>
      <c r="B76" t="str">
        <f>TRANSPOSE(T1_[Etiquetas de fila])</f>
        <v>D.RED BULL</v>
      </c>
      <c r="C76">
        <f>TRANSPOSE(T1_[Recuento de T1 CODIGO])</f>
        <v>2</v>
      </c>
    </row>
    <row r="77" spans="1:3" x14ac:dyDescent="0.25">
      <c r="A77" t="b">
        <f>IFERROR(IF(MATCH(B77,RECETAS!$A$2:$A$1700,0) &lt;&gt; "", TRUE,""),FALSE)</f>
        <v>1</v>
      </c>
      <c r="B77" t="str">
        <f>TRANSPOSE(T1_[Etiquetas de fila])</f>
        <v>D.SONATA TECLADOS</v>
      </c>
      <c r="C77">
        <f>TRANSPOSE(T1_[Recuento de T1 CODIGO])</f>
        <v>1</v>
      </c>
    </row>
    <row r="78" spans="1:3" x14ac:dyDescent="0.25">
      <c r="A78" t="b">
        <f>IFERROR(IF(MATCH(B78,RECETAS!$A$2:$A$1700,0) &lt;&gt; "", TRUE,""),FALSE)</f>
        <v>1</v>
      </c>
      <c r="B78" t="str">
        <f>TRANSPOSE(T1_[Etiquetas de fila])</f>
        <v>D.SPRING ROLLS</v>
      </c>
      <c r="C78">
        <f>TRANSPOSE(T1_[Recuento de T1 CODIGO])</f>
        <v>1</v>
      </c>
    </row>
    <row r="79" spans="1:3" x14ac:dyDescent="0.25">
      <c r="A79" t="b">
        <f>IFERROR(IF(MATCH(B79,RECETAS!$A$2:$A$1700,0) &lt;&gt; "", TRUE,""),FALSE)</f>
        <v>1</v>
      </c>
      <c r="B79" t="str">
        <f>TRANSPOSE(T1_[Etiquetas de fila])</f>
        <v>D.TOTOPOS</v>
      </c>
      <c r="C79">
        <f>TRANSPOSE(T1_[Recuento de T1 CODIGO])</f>
        <v>1</v>
      </c>
    </row>
    <row r="80" spans="1:3" x14ac:dyDescent="0.25">
      <c r="A80" t="b">
        <f>IFERROR(IF(MATCH(B80,RECETAS!$A$2:$A$1700,0) &lt;&gt; "", TRUE,""),FALSE)</f>
        <v>0</v>
      </c>
      <c r="B80" t="str">
        <f>TRANSPOSE(T1_[Etiquetas de fila])</f>
        <v>Daiquiri 2X</v>
      </c>
      <c r="C80">
        <f>TRANSPOSE(T1_[Recuento de T1 CODIGO])</f>
        <v>18</v>
      </c>
    </row>
    <row r="81" spans="1:3" x14ac:dyDescent="0.25">
      <c r="A81" t="b">
        <f>IFERROR(IF(MATCH(B81,RECETAS!$A$2:$A$1700,0) &lt;&gt; "", TRUE,""),FALSE)</f>
        <v>1</v>
      </c>
      <c r="B81" t="str">
        <f>TRANSPOSE(T1_[Etiquetas de fila])</f>
        <v>Daiquiri Frambuesa</v>
      </c>
      <c r="C81">
        <f>TRANSPOSE(T1_[Recuento de T1 CODIGO])</f>
        <v>19</v>
      </c>
    </row>
    <row r="82" spans="1:3" x14ac:dyDescent="0.25">
      <c r="A82" t="b">
        <f>IFERROR(IF(MATCH(B82,RECETAS!$A$2:$A$1700,0) &lt;&gt; "", TRUE,""),FALSE)</f>
        <v>1</v>
      </c>
      <c r="B82" t="str">
        <f>TRANSPOSE(T1_[Etiquetas de fila])</f>
        <v>Daiquiri Futilla</v>
      </c>
      <c r="C82">
        <f>TRANSPOSE(T1_[Recuento de T1 CODIGO])</f>
        <v>12</v>
      </c>
    </row>
    <row r="83" spans="1:3" x14ac:dyDescent="0.25">
      <c r="A83" t="b">
        <f>IFERROR(IF(MATCH(B83,RECETAS!$A$2:$A$1700,0) &lt;&gt; "", TRUE,""),FALSE)</f>
        <v>1</v>
      </c>
      <c r="B83" t="str">
        <f>TRANSPOSE(T1_[Etiquetas de fila])</f>
        <v>Daiquiri Limón</v>
      </c>
      <c r="C83">
        <f>TRANSPOSE(T1_[Recuento de T1 CODIGO])</f>
        <v>1</v>
      </c>
    </row>
    <row r="84" spans="1:3" x14ac:dyDescent="0.25">
      <c r="A84" t="b">
        <f>IFERROR(IF(MATCH(B84,RECETAS!$A$2:$A$1700,0) &lt;&gt; "", TRUE,""),FALSE)</f>
        <v>1</v>
      </c>
      <c r="B84" t="str">
        <f>TRANSPOSE(T1_[Etiquetas de fila])</f>
        <v>Daiquiri Mango</v>
      </c>
      <c r="C84">
        <f>TRANSPOSE(T1_[Recuento de T1 CODIGO])</f>
        <v>6</v>
      </c>
    </row>
    <row r="85" spans="1:3" x14ac:dyDescent="0.25">
      <c r="A85" t="b">
        <f>IFERROR(IF(MATCH(B85,RECETAS!$A$2:$A$1700,0) &lt;&gt; "", TRUE,""),FALSE)</f>
        <v>1</v>
      </c>
      <c r="B85" t="str">
        <f>TRANSPOSE(T1_[Etiquetas de fila])</f>
        <v>Doble Cheese Burger</v>
      </c>
      <c r="C85">
        <f>TRANSPOSE(T1_[Recuento de T1 CODIGO])</f>
        <v>14</v>
      </c>
    </row>
    <row r="86" spans="1:3" x14ac:dyDescent="0.25">
      <c r="A86" t="b">
        <f>IFERROR(IF(MATCH(B86,RECETAS!$A$2:$A$1700,0) &lt;&gt; "", TRUE,""),FALSE)</f>
        <v>1</v>
      </c>
      <c r="B86" t="str">
        <f>TRANSPOSE(T1_[Etiquetas de fila])</f>
        <v>Doble Cheese NOT Burger</v>
      </c>
      <c r="C86">
        <f>TRANSPOSE(T1_[Recuento de T1 CODIGO])</f>
        <v>4</v>
      </c>
    </row>
    <row r="87" spans="1:3" x14ac:dyDescent="0.25">
      <c r="A87" t="b">
        <f>IFERROR(IF(MATCH(B87,RECETAS!$A$2:$A$1700,0) &lt;&gt; "", TRUE,""),FALSE)</f>
        <v>1</v>
      </c>
      <c r="B87" t="str">
        <f>TRANSPOSE(T1_[Etiquetas de fila])</f>
        <v>Empanadas Mixtas</v>
      </c>
      <c r="C87">
        <f>TRANSPOSE(T1_[Recuento de T1 CODIGO])</f>
        <v>16</v>
      </c>
    </row>
    <row r="88" spans="1:3" x14ac:dyDescent="0.25">
      <c r="A88" t="b">
        <f>IFERROR(IF(MATCH(B88,RECETAS!$A$2:$A$1700,0) &lt;&gt; "", TRUE,""),FALSE)</f>
        <v>1</v>
      </c>
      <c r="B88" t="str">
        <f>TRANSPOSE(T1_[Etiquetas de fila])</f>
        <v>Espumante de la casa</v>
      </c>
      <c r="C88">
        <f>TRANSPOSE(T1_[Recuento de T1 CODIGO])</f>
        <v>2</v>
      </c>
    </row>
    <row r="89" spans="1:3" x14ac:dyDescent="0.25">
      <c r="A89" t="b">
        <f>IFERROR(IF(MATCH(B89,RECETAS!$A$2:$A$1700,0) &lt;&gt; "", TRUE,""),FALSE)</f>
        <v>0</v>
      </c>
      <c r="B89" t="str">
        <f>TRANSPOSE(T1_[Etiquetas de fila])</f>
        <v>EXPRESO MARTINI</v>
      </c>
      <c r="C89">
        <f>TRANSPOSE(T1_[Recuento de T1 CODIGO])</f>
        <v>4</v>
      </c>
    </row>
    <row r="90" spans="1:3" x14ac:dyDescent="0.25">
      <c r="A90" t="b">
        <f>IFERROR(IF(MATCH(B90,RECETAS!$A$2:$A$1700,0) &lt;&gt; "", TRUE,""),FALSE)</f>
        <v>1</v>
      </c>
      <c r="B90" t="str">
        <f>TRANSPOSE(T1_[Etiquetas de fila])</f>
        <v>Extasis</v>
      </c>
      <c r="C90">
        <f>TRANSPOSE(T1_[Recuento de T1 CODIGO])</f>
        <v>4</v>
      </c>
    </row>
    <row r="91" spans="1:3" x14ac:dyDescent="0.25">
      <c r="A91" t="b">
        <f>IFERROR(IF(MATCH(B91,RECETAS!$A$2:$A$1700,0) &lt;&gt; "", TRUE,""),FALSE)</f>
        <v>1</v>
      </c>
      <c r="B91" t="str">
        <f>TRANSPOSE(T1_[Etiquetas de fila])</f>
        <v>Extra Camaron</v>
      </c>
      <c r="C91">
        <f>TRANSPOSE(T1_[Recuento de T1 CODIGO])</f>
        <v>2</v>
      </c>
    </row>
    <row r="92" spans="1:3" x14ac:dyDescent="0.25">
      <c r="A92" t="b">
        <f>IFERROR(IF(MATCH(B92,RECETAS!$A$2:$A$1700,0) &lt;&gt; "", TRUE,""),FALSE)</f>
        <v>1</v>
      </c>
      <c r="B92" t="str">
        <f>TRANSPOSE(T1_[Etiquetas de fila])</f>
        <v>Extra Champignon</v>
      </c>
      <c r="C92">
        <f>TRANSPOSE(T1_[Recuento de T1 CODIGO])</f>
        <v>1</v>
      </c>
    </row>
    <row r="93" spans="1:3" x14ac:dyDescent="0.25">
      <c r="A93" t="b">
        <f>IFERROR(IF(MATCH(B93,RECETAS!$A$2:$A$1700,0) &lt;&gt; "", TRUE,""),FALSE)</f>
        <v>1</v>
      </c>
      <c r="B93" t="str">
        <f>TRANSPOSE(T1_[Etiquetas de fila])</f>
        <v>Extra churrasco</v>
      </c>
      <c r="C93">
        <f>TRANSPOSE(T1_[Recuento de T1 CODIGO])</f>
        <v>4</v>
      </c>
    </row>
    <row r="94" spans="1:3" x14ac:dyDescent="0.25">
      <c r="A94" t="b">
        <f>IFERROR(IF(MATCH(B94,RECETAS!$A$2:$A$1700,0) &lt;&gt; "", TRUE,""),FALSE)</f>
        <v>1</v>
      </c>
      <c r="B94" t="str">
        <f>TRANSPOSE(T1_[Etiquetas de fila])</f>
        <v>EXTRA CREMA ACIDA</v>
      </c>
      <c r="C94">
        <f>TRANSPOSE(T1_[Recuento de T1 CODIGO])</f>
        <v>7</v>
      </c>
    </row>
    <row r="95" spans="1:3" x14ac:dyDescent="0.25">
      <c r="A95" t="b">
        <f>IFERROR(IF(MATCH(B95,RECETAS!$A$2:$A$1700,0) &lt;&gt; "", TRUE,""),FALSE)</f>
        <v>1</v>
      </c>
      <c r="B95" t="str">
        <f>TRANSPOSE(T1_[Etiquetas de fila])</f>
        <v>EXTRA GUACAMOLE</v>
      </c>
      <c r="C95">
        <f>TRANSPOSE(T1_[Recuento de T1 CODIGO])</f>
        <v>2</v>
      </c>
    </row>
    <row r="96" spans="1:3" x14ac:dyDescent="0.25">
      <c r="A96" t="b">
        <f>IFERROR(IF(MATCH(B96,RECETAS!$A$2:$A$1700,0) &lt;&gt; "", TRUE,""),FALSE)</f>
        <v>1</v>
      </c>
      <c r="B96" t="str">
        <f>TRANSPOSE(T1_[Etiquetas de fila])</f>
        <v>Extra Palta</v>
      </c>
      <c r="C96">
        <f>TRANSPOSE(T1_[Recuento de T1 CODIGO])</f>
        <v>2</v>
      </c>
    </row>
    <row r="97" spans="1:3" x14ac:dyDescent="0.25">
      <c r="A97" t="b">
        <f>IFERROR(IF(MATCH(B97,RECETAS!$A$2:$A$1700,0) &lt;&gt; "", TRUE,""),FALSE)</f>
        <v>1</v>
      </c>
      <c r="B97" t="str">
        <f>TRANSPOSE(T1_[Etiquetas de fila])</f>
        <v>Extra Pollo</v>
      </c>
      <c r="C97">
        <f>TRANSPOSE(T1_[Recuento de T1 CODIGO])</f>
        <v>1</v>
      </c>
    </row>
    <row r="98" spans="1:3" x14ac:dyDescent="0.25">
      <c r="A98" t="b">
        <f>IFERROR(IF(MATCH(B98,RECETAS!$A$2:$A$1700,0) &lt;&gt; "", TRUE,""),FALSE)</f>
        <v>1</v>
      </c>
      <c r="B98" t="str">
        <f>TRANSPOSE(T1_[Etiquetas de fila])</f>
        <v>EXTRA SALSA CHEDDAR</v>
      </c>
      <c r="C98">
        <f>TRANSPOSE(T1_[Recuento de T1 CODIGO])</f>
        <v>2</v>
      </c>
    </row>
    <row r="99" spans="1:3" x14ac:dyDescent="0.25">
      <c r="A99" t="b">
        <f>IFERROR(IF(MATCH(B99,RECETAS!$A$2:$A$1700,0) &lt;&gt; "", TRUE,""),FALSE)</f>
        <v>0</v>
      </c>
      <c r="B99" t="str">
        <f>TRANSPOSE(T1_[Etiquetas de fila])</f>
        <v>EXTRA SALSA de AJO</v>
      </c>
      <c r="C99">
        <f>TRANSPOSE(T1_[Recuento de T1 CODIGO])</f>
        <v>1</v>
      </c>
    </row>
    <row r="100" spans="1:3" x14ac:dyDescent="0.25">
      <c r="A100" t="b">
        <f>IFERROR(IF(MATCH(B100,RECETAS!$A$2:$A$1700,0) &lt;&gt; "", TRUE,""),FALSE)</f>
        <v>1</v>
      </c>
      <c r="B100" t="str">
        <f>TRANSPOSE(T1_[Etiquetas de fila])</f>
        <v>EXTRA TOCINO</v>
      </c>
      <c r="C100">
        <f>TRANSPOSE(T1_[Recuento de T1 CODIGO])</f>
        <v>2</v>
      </c>
    </row>
    <row r="101" spans="1:3" x14ac:dyDescent="0.25">
      <c r="A101" t="b">
        <f>IFERROR(IF(MATCH(B101,RECETAS!$A$2:$A$1700,0) &lt;&gt; "", TRUE,""),FALSE)</f>
        <v>1</v>
      </c>
      <c r="B101" t="str">
        <f>TRANSPOSE(T1_[Etiquetas de fila])</f>
        <v>EXTRA TORTILLA</v>
      </c>
      <c r="C101">
        <f>TRANSPOSE(T1_[Recuento de T1 CODIGO])</f>
        <v>1</v>
      </c>
    </row>
    <row r="102" spans="1:3" x14ac:dyDescent="0.25">
      <c r="A102" t="b">
        <f>IFERROR(IF(MATCH(B102,RECETAS!$A$2:$A$1700,0) &lt;&gt; "", TRUE,""),FALSE)</f>
        <v>1</v>
      </c>
      <c r="B102" t="str">
        <f>TRANSPOSE(T1_[Etiquetas de fila])</f>
        <v>EXTRA TOSTADAS</v>
      </c>
      <c r="C102">
        <f>TRANSPOSE(T1_[Recuento de T1 CODIGO])</f>
        <v>3</v>
      </c>
    </row>
    <row r="103" spans="1:3" x14ac:dyDescent="0.25">
      <c r="A103" t="b">
        <f>IFERROR(IF(MATCH(B103,RECETAS!$A$2:$A$1700,0) &lt;&gt; "", TRUE,""),FALSE)</f>
        <v>1</v>
      </c>
      <c r="B103" t="str">
        <f>TRANSPOSE(T1_[Etiquetas de fila])</f>
        <v>Fanta 350cc</v>
      </c>
      <c r="C103">
        <f>TRANSPOSE(T1_[Recuento de T1 CODIGO])</f>
        <v>5</v>
      </c>
    </row>
    <row r="104" spans="1:3" x14ac:dyDescent="0.25">
      <c r="A104" t="b">
        <f>IFERROR(IF(MATCH(B104,RECETAS!$A$2:$A$1700,0) &lt;&gt; "", TRUE,""),FALSE)</f>
        <v>1</v>
      </c>
      <c r="B104" t="str">
        <f>TRANSPOSE(T1_[Etiquetas de fila])</f>
        <v>Fentimans Ginger Beer</v>
      </c>
      <c r="C104">
        <f>TRANSPOSE(T1_[Recuento de T1 CODIGO])</f>
        <v>1</v>
      </c>
    </row>
    <row r="105" spans="1:3" x14ac:dyDescent="0.25">
      <c r="A105" t="b">
        <f>IFERROR(IF(MATCH(B105,RECETAS!$A$2:$A$1700,0) &lt;&gt; "", TRUE,""),FALSE)</f>
        <v>1</v>
      </c>
      <c r="B105" t="str">
        <f>TRANSPOSE(T1_[Etiquetas de fila])</f>
        <v>Fernet Branca</v>
      </c>
      <c r="C105">
        <f>TRANSPOSE(T1_[Recuento de T1 CODIGO])</f>
        <v>2</v>
      </c>
    </row>
    <row r="106" spans="1:3" x14ac:dyDescent="0.25">
      <c r="A106" t="b">
        <f>IFERROR(IF(MATCH(B106,RECETAS!$A$2:$A$1700,0) &lt;&gt; "", TRUE,""),FALSE)</f>
        <v>1</v>
      </c>
      <c r="B106" t="str">
        <f>TRANSPOSE(T1_[Etiquetas de fila])</f>
        <v>Festival Teclados</v>
      </c>
      <c r="C106">
        <f>TRANSPOSE(T1_[Recuento de T1 CODIGO])</f>
        <v>14</v>
      </c>
    </row>
    <row r="107" spans="1:3" x14ac:dyDescent="0.25">
      <c r="A107" t="b">
        <f>IFERROR(IF(MATCH(B107,RECETAS!$A$2:$A$1700,0) &lt;&gt; "", TRUE,""),FALSE)</f>
        <v>1</v>
      </c>
      <c r="B107" t="str">
        <f>TRANSPOSE(T1_[Etiquetas de fila])</f>
        <v>Florence Spritz</v>
      </c>
      <c r="C107">
        <f>TRANSPOSE(T1_[Recuento de T1 CODIGO])</f>
        <v>7</v>
      </c>
    </row>
    <row r="108" spans="1:3" x14ac:dyDescent="0.25">
      <c r="A108" t="b">
        <f>IFERROR(IF(MATCH(B108,RECETAS!$A$2:$A$1700,0) &lt;&gt; "", TRUE,""),FALSE)</f>
        <v>0</v>
      </c>
      <c r="B108" t="str">
        <f>TRANSPOSE(T1_[Etiquetas de fila])</f>
        <v>Frambuesa</v>
      </c>
      <c r="C108">
        <f>TRANSPOSE(T1_[Recuento de T1 CODIGO])</f>
        <v>43</v>
      </c>
    </row>
    <row r="109" spans="1:3" x14ac:dyDescent="0.25">
      <c r="A109" t="b">
        <f>IFERROR(IF(MATCH(B109,RECETAS!$A$2:$A$1700,0) &lt;&gt; "", TRUE,""),FALSE)</f>
        <v>0</v>
      </c>
      <c r="B109" t="str">
        <f>TRANSPOSE(T1_[Etiquetas de fila])</f>
        <v>Frutilla</v>
      </c>
      <c r="C109">
        <f>TRANSPOSE(T1_[Recuento de T1 CODIGO])</f>
        <v>31</v>
      </c>
    </row>
    <row r="110" spans="1:3" x14ac:dyDescent="0.25">
      <c r="A110" t="b">
        <f>IFERROR(IF(MATCH(B110,RECETAS!$A$2:$A$1700,0) &lt;&gt; "", TRUE,""),FALSE)</f>
        <v>0</v>
      </c>
      <c r="B110" t="str">
        <f>TRANSPOSE(T1_[Etiquetas de fila])</f>
        <v>GIN DE VERANO</v>
      </c>
      <c r="C110">
        <f>TRANSPOSE(T1_[Recuento de T1 CODIGO])</f>
        <v>723</v>
      </c>
    </row>
    <row r="111" spans="1:3" x14ac:dyDescent="0.25">
      <c r="A111" t="b">
        <f>IFERROR(IF(MATCH(B111,RECETAS!$A$2:$A$1700,0) &lt;&gt; "", TRUE,""),FALSE)</f>
        <v>1</v>
      </c>
      <c r="B111" t="str">
        <f>TRANSPOSE(T1_[Etiquetas de fila])</f>
        <v>God Father</v>
      </c>
      <c r="C111">
        <f>TRANSPOSE(T1_[Recuento de T1 CODIGO])</f>
        <v>2</v>
      </c>
    </row>
    <row r="112" spans="1:3" x14ac:dyDescent="0.25">
      <c r="A112" t="b">
        <f>IFERROR(IF(MATCH(B112,RECETAS!$A$2:$A$1700,0) &lt;&gt; "", TRUE,""),FALSE)</f>
        <v>1</v>
      </c>
      <c r="B112" t="str">
        <f>TRANSPOSE(T1_[Etiquetas de fila])</f>
        <v>Hendricks</v>
      </c>
      <c r="C112">
        <f>TRANSPOSE(T1_[Recuento de T1 CODIGO])</f>
        <v>6</v>
      </c>
    </row>
    <row r="113" spans="1:3" x14ac:dyDescent="0.25">
      <c r="A113" t="b">
        <f>IFERROR(IF(MATCH(B113,RECETAS!$A$2:$A$1700,0) &lt;&gt; "", TRUE,""),FALSE)</f>
        <v>1</v>
      </c>
      <c r="B113" t="str">
        <f>TRANSPOSE(T1_[Etiquetas de fila])</f>
        <v>HH Caipirinha</v>
      </c>
      <c r="C113">
        <f>TRANSPOSE(T1_[Recuento de T1 CODIGO])</f>
        <v>2</v>
      </c>
    </row>
    <row r="114" spans="1:3" x14ac:dyDescent="0.25">
      <c r="A114" t="b">
        <f>IFERROR(IF(MATCH(B114,RECETAS!$A$2:$A$1700,0) &lt;&gt; "", TRUE,""),FALSE)</f>
        <v>1</v>
      </c>
      <c r="B114" t="str">
        <f>TRANSPOSE(T1_[Etiquetas de fila])</f>
        <v>HH Caipirinha Frutilla</v>
      </c>
      <c r="C114">
        <f>TRANSPOSE(T1_[Recuento de T1 CODIGO])</f>
        <v>1</v>
      </c>
    </row>
    <row r="115" spans="1:3" x14ac:dyDescent="0.25">
      <c r="A115" t="b">
        <f>IFERROR(IF(MATCH(B115,RECETAS!$A$2:$A$1700,0) &lt;&gt; "", TRUE,""),FALSE)</f>
        <v>0</v>
      </c>
      <c r="B115" t="str">
        <f>TRANSPOSE(T1_[Etiquetas de fila])</f>
        <v>HH Chardonnay sour</v>
      </c>
      <c r="C115">
        <f>TRANSPOSE(T1_[Recuento de T1 CODIGO])</f>
        <v>2</v>
      </c>
    </row>
    <row r="116" spans="1:3" x14ac:dyDescent="0.25">
      <c r="A116" t="b">
        <f>IFERROR(IF(MATCH(B116,RECETAS!$A$2:$A$1700,0) &lt;&gt; "", TRUE,""),FALSE)</f>
        <v>0</v>
      </c>
      <c r="B116" t="str">
        <f>TRANSPOSE(T1_[Etiquetas de fila])</f>
        <v>HH Crudo</v>
      </c>
      <c r="C116">
        <f>TRANSPOSE(T1_[Recuento de T1 CODIGO])</f>
        <v>9</v>
      </c>
    </row>
    <row r="117" spans="1:3" x14ac:dyDescent="0.25">
      <c r="A117" t="b">
        <f>IFERROR(IF(MATCH(B117,RECETAS!$A$2:$A$1700,0) &lt;&gt; "", TRUE,""),FALSE)</f>
        <v>1</v>
      </c>
      <c r="B117" t="str">
        <f>TRANSPOSE(T1_[Etiquetas de fila])</f>
        <v>HH Daiquiri Frambuesa</v>
      </c>
      <c r="C117">
        <f>TRANSPOSE(T1_[Recuento de T1 CODIGO])</f>
        <v>4</v>
      </c>
    </row>
    <row r="118" spans="1:3" x14ac:dyDescent="0.25">
      <c r="A118" t="b">
        <f>IFERROR(IF(MATCH(B118,RECETAS!$A$2:$A$1700,0) &lt;&gt; "", TRUE,""),FALSE)</f>
        <v>1</v>
      </c>
      <c r="B118" t="str">
        <f>TRANSPOSE(T1_[Etiquetas de fila])</f>
        <v>HH Daiquiri Frutilla</v>
      </c>
      <c r="C118">
        <f>TRANSPOSE(T1_[Recuento de T1 CODIGO])</f>
        <v>7</v>
      </c>
    </row>
    <row r="119" spans="1:3" x14ac:dyDescent="0.25">
      <c r="A119" t="b">
        <f>IFERROR(IF(MATCH(B119,RECETAS!$A$2:$A$1700,0) &lt;&gt; "", TRUE,""),FALSE)</f>
        <v>1</v>
      </c>
      <c r="B119" t="str">
        <f>TRANSPOSE(T1_[Etiquetas de fila])</f>
        <v>HH Daiquiri Mango</v>
      </c>
      <c r="C119">
        <f>TRANSPOSE(T1_[Recuento de T1 CODIGO])</f>
        <v>3</v>
      </c>
    </row>
    <row r="120" spans="1:3" x14ac:dyDescent="0.25">
      <c r="A120" t="b">
        <f>IFERROR(IF(MATCH(B120,RECETAS!$A$2:$A$1700,0) &lt;&gt; "", TRUE,""),FALSE)</f>
        <v>0</v>
      </c>
      <c r="B120" t="str">
        <f>TRANSPOSE(T1_[Etiquetas de fila])</f>
        <v>HH Doble Cheese Bruger</v>
      </c>
      <c r="C120">
        <f>TRANSPOSE(T1_[Recuento de T1 CODIGO])</f>
        <v>8</v>
      </c>
    </row>
    <row r="121" spans="1:3" x14ac:dyDescent="0.25">
      <c r="A121" t="b">
        <f>IFERROR(IF(MATCH(B121,RECETAS!$A$2:$A$1700,0) &lt;&gt; "", TRUE,""),FALSE)</f>
        <v>0</v>
      </c>
      <c r="B121" t="str">
        <f>TRANSPOSE(T1_[Etiquetas de fila])</f>
        <v>HH JOHNNIE ROJO FRUITY</v>
      </c>
      <c r="C121">
        <f>TRANSPOSE(T1_[Recuento de T1 CODIGO])</f>
        <v>4</v>
      </c>
    </row>
    <row r="122" spans="1:3" x14ac:dyDescent="0.25">
      <c r="A122" t="b">
        <f>IFERROR(IF(MATCH(B122,RECETAS!$A$2:$A$1700,0) &lt;&gt; "", TRUE,""),FALSE)</f>
        <v>0</v>
      </c>
      <c r="B122" t="str">
        <f>TRANSPOSE(T1_[Etiquetas de fila])</f>
        <v>HH JOHNNIE ROJO GINGER</v>
      </c>
      <c r="C122">
        <f>TRANSPOSE(T1_[Recuento de T1 CODIGO])</f>
        <v>1</v>
      </c>
    </row>
    <row r="123" spans="1:3" x14ac:dyDescent="0.25">
      <c r="A123" t="b">
        <f>IFERROR(IF(MATCH(B123,RECETAS!$A$2:$A$1700,0) &lt;&gt; "", TRUE,""),FALSE)</f>
        <v>0</v>
      </c>
      <c r="B123" t="str">
        <f>TRANSPOSE(T1_[Etiquetas de fila])</f>
        <v>HH Laguna azul</v>
      </c>
      <c r="C123">
        <f>TRANSPOSE(T1_[Recuento de T1 CODIGO])</f>
        <v>5</v>
      </c>
    </row>
    <row r="124" spans="1:3" x14ac:dyDescent="0.25">
      <c r="A124" t="b">
        <f>IFERROR(IF(MATCH(B124,RECETAS!$A$2:$A$1700,0) &lt;&gt; "", TRUE,""),FALSE)</f>
        <v>1</v>
      </c>
      <c r="B124" t="str">
        <f>TRANSPOSE(T1_[Etiquetas de fila])</f>
        <v>HH Margarita</v>
      </c>
      <c r="C124">
        <f>TRANSPOSE(T1_[Recuento de T1 CODIGO])</f>
        <v>4</v>
      </c>
    </row>
    <row r="125" spans="1:3" x14ac:dyDescent="0.25">
      <c r="A125" t="b">
        <f>IFERROR(IF(MATCH(B125,RECETAS!$A$2:$A$1700,0) &lt;&gt; "", TRUE,""),FALSE)</f>
        <v>1</v>
      </c>
      <c r="B125" t="str">
        <f>TRANSPOSE(T1_[Etiquetas de fila])</f>
        <v>HH Margarita Blue</v>
      </c>
      <c r="C125">
        <f>TRANSPOSE(T1_[Recuento de T1 CODIGO])</f>
        <v>2</v>
      </c>
    </row>
    <row r="126" spans="1:3" x14ac:dyDescent="0.25">
      <c r="A126" t="b">
        <f>IFERROR(IF(MATCH(B126,RECETAS!$A$2:$A$1700,0) &lt;&gt; "", TRUE,""),FALSE)</f>
        <v>1</v>
      </c>
      <c r="B126" t="str">
        <f>TRANSPOSE(T1_[Etiquetas de fila])</f>
        <v>HH Margarita Frambuesa</v>
      </c>
      <c r="C126">
        <f>TRANSPOSE(T1_[Recuento de T1 CODIGO])</f>
        <v>1</v>
      </c>
    </row>
    <row r="127" spans="1:3" x14ac:dyDescent="0.25">
      <c r="A127" t="b">
        <f>IFERROR(IF(MATCH(B127,RECETAS!$A$2:$A$1700,0) &lt;&gt; "", TRUE,""),FALSE)</f>
        <v>1</v>
      </c>
      <c r="B127" t="str">
        <f>TRANSPOSE(T1_[Etiquetas de fila])</f>
        <v>HH MOJITO BERRIES</v>
      </c>
      <c r="C127">
        <f>TRANSPOSE(T1_[Recuento de T1 CODIGO])</f>
        <v>5</v>
      </c>
    </row>
    <row r="128" spans="1:3" x14ac:dyDescent="0.25">
      <c r="A128" t="b">
        <f>IFERROR(IF(MATCH(B128,RECETAS!$A$2:$A$1700,0) &lt;&gt; "", TRUE,""),FALSE)</f>
        <v>1</v>
      </c>
      <c r="B128" t="str">
        <f>TRANSPOSE(T1_[Etiquetas de fila])</f>
        <v>HH Mojito Clásico</v>
      </c>
      <c r="C128">
        <f>TRANSPOSE(T1_[Recuento de T1 CODIGO])</f>
        <v>5</v>
      </c>
    </row>
    <row r="129" spans="1:3" x14ac:dyDescent="0.25">
      <c r="A129" t="b">
        <f>IFERROR(IF(MATCH(B129,RECETAS!$A$2:$A$1700,0) &lt;&gt; "", TRUE,""),FALSE)</f>
        <v>1</v>
      </c>
      <c r="B129" t="str">
        <f>TRANSPOSE(T1_[Etiquetas de fila])</f>
        <v>HH Mojito Corona</v>
      </c>
      <c r="C129">
        <f>TRANSPOSE(T1_[Recuento de T1 CODIGO])</f>
        <v>7</v>
      </c>
    </row>
    <row r="130" spans="1:3" x14ac:dyDescent="0.25">
      <c r="A130" t="b">
        <f>IFERROR(IF(MATCH(B130,RECETAS!$A$2:$A$1700,0) &lt;&gt; "", TRUE,""),FALSE)</f>
        <v>1</v>
      </c>
      <c r="B130" t="str">
        <f>TRANSPOSE(T1_[Etiquetas de fila])</f>
        <v>HH MOJITO FRUTILLA</v>
      </c>
      <c r="C130">
        <f>TRANSPOSE(T1_[Recuento de T1 CODIGO])</f>
        <v>4</v>
      </c>
    </row>
    <row r="131" spans="1:3" x14ac:dyDescent="0.25">
      <c r="A131" t="b">
        <f>IFERROR(IF(MATCH(B131,RECETAS!$A$2:$A$1700,0) &lt;&gt; "", TRUE,""),FALSE)</f>
        <v>1</v>
      </c>
      <c r="B131" t="str">
        <f>TRANSPOSE(T1_[Etiquetas de fila])</f>
        <v>HH MOJITO MANGO</v>
      </c>
      <c r="C131">
        <f>TRANSPOSE(T1_[Recuento de T1 CODIGO])</f>
        <v>3</v>
      </c>
    </row>
    <row r="132" spans="1:3" x14ac:dyDescent="0.25">
      <c r="A132" t="b">
        <f>IFERROR(IF(MATCH(B132,RECETAS!$A$2:$A$1700,0) &lt;&gt; "", TRUE,""),FALSE)</f>
        <v>1</v>
      </c>
      <c r="B132" t="str">
        <f>TRANSPOSE(T1_[Etiquetas de fila])</f>
        <v>HH Mojito Maracuyá</v>
      </c>
      <c r="C132">
        <f>TRANSPOSE(T1_[Recuento de T1 CODIGO])</f>
        <v>9</v>
      </c>
    </row>
    <row r="133" spans="1:3" x14ac:dyDescent="0.25">
      <c r="A133" t="b">
        <f>IFERROR(IF(MATCH(B133,RECETAS!$A$2:$A$1700,0) &lt;&gt; "", TRUE,""),FALSE)</f>
        <v>1</v>
      </c>
      <c r="B133" t="str">
        <f>TRANSPOSE(T1_[Etiquetas de fila])</f>
        <v>HH Pisco Sour</v>
      </c>
      <c r="C133">
        <f>TRANSPOSE(T1_[Recuento de T1 CODIGO])</f>
        <v>4</v>
      </c>
    </row>
    <row r="134" spans="1:3" x14ac:dyDescent="0.25">
      <c r="A134" t="b">
        <f>IFERROR(IF(MATCH(B134,RECETAS!$A$2:$A$1700,0) &lt;&gt; "", TRUE,""),FALSE)</f>
        <v>1</v>
      </c>
      <c r="B134" t="str">
        <f>TRANSPOSE(T1_[Etiquetas de fila])</f>
        <v>HH Schop Becker</v>
      </c>
      <c r="C134">
        <f>TRANSPOSE(T1_[Recuento de T1 CODIGO])</f>
        <v>3</v>
      </c>
    </row>
    <row r="135" spans="1:3" x14ac:dyDescent="0.25">
      <c r="A135" t="b">
        <f>IFERROR(IF(MATCH(B135,RECETAS!$A$2:$A$1700,0) &lt;&gt; "", TRUE,""),FALSE)</f>
        <v>0</v>
      </c>
      <c r="B135" t="str">
        <f>TRANSPOSE(T1_[Etiquetas de fila])</f>
        <v>HH Totopos</v>
      </c>
      <c r="C135">
        <f>TRANSPOSE(T1_[Recuento de T1 CODIGO])</f>
        <v>4</v>
      </c>
    </row>
    <row r="136" spans="1:3" x14ac:dyDescent="0.25">
      <c r="A136" t="b">
        <f>IFERROR(IF(MATCH(B136,RECETAS!$A$2:$A$1700,0) &lt;&gt; "", TRUE,""),FALSE)</f>
        <v>1</v>
      </c>
      <c r="B136" t="str">
        <f>TRANSPOSE(T1_[Etiquetas de fila])</f>
        <v>Jack Daniels</v>
      </c>
      <c r="C136">
        <f>TRANSPOSE(T1_[Recuento de T1 CODIGO])</f>
        <v>6</v>
      </c>
    </row>
    <row r="137" spans="1:3" x14ac:dyDescent="0.25">
      <c r="A137" t="b">
        <f>IFERROR(IF(MATCH(B137,RECETAS!$A$2:$A$1700,0) &lt;&gt; "", TRUE,""),FALSE)</f>
        <v>1</v>
      </c>
      <c r="B137" t="str">
        <f>TRANSPOSE(T1_[Etiquetas de fila])</f>
        <v>Jack Daniels Honey</v>
      </c>
      <c r="C137">
        <f>TRANSPOSE(T1_[Recuento de T1 CODIGO])</f>
        <v>4</v>
      </c>
    </row>
    <row r="138" spans="1:3" x14ac:dyDescent="0.25">
      <c r="A138" t="b">
        <f>IFERROR(IF(MATCH(B138,RECETAS!$A$2:$A$1700,0) &lt;&gt; "", TRUE,""),FALSE)</f>
        <v>1</v>
      </c>
      <c r="B138" t="str">
        <f>TRANSPOSE(T1_[Etiquetas de fila])</f>
        <v>Jagermeister</v>
      </c>
      <c r="C138">
        <f>TRANSPOSE(T1_[Recuento de T1 CODIGO])</f>
        <v>3</v>
      </c>
    </row>
    <row r="139" spans="1:3" x14ac:dyDescent="0.25">
      <c r="A139" t="b">
        <f>IFERROR(IF(MATCH(B139,RECETAS!$A$2:$A$1700,0) &lt;&gt; "", TRUE,""),FALSE)</f>
        <v>1</v>
      </c>
      <c r="B139" t="str">
        <f>TRANSPOSE(T1_[Etiquetas de fila])</f>
        <v>Jagermeister Mojito</v>
      </c>
      <c r="C139">
        <f>TRANSPOSE(T1_[Recuento de T1 CODIGO])</f>
        <v>3</v>
      </c>
    </row>
    <row r="140" spans="1:3" x14ac:dyDescent="0.25">
      <c r="A140" t="b">
        <f>IFERROR(IF(MATCH(B140,RECETAS!$A$2:$A$1700,0) &lt;&gt; "", TRUE,""),FALSE)</f>
        <v>1</v>
      </c>
      <c r="B140" t="str">
        <f>TRANSPOSE(T1_[Etiquetas de fila])</f>
        <v>Jarro Sangria</v>
      </c>
      <c r="C140">
        <f>TRANSPOSE(T1_[Recuento de T1 CODIGO])</f>
        <v>14</v>
      </c>
    </row>
    <row r="141" spans="1:3" x14ac:dyDescent="0.25">
      <c r="A141" t="b">
        <f>IFERROR(IF(MATCH(B141,RECETAS!$A$2:$A$1700,0) &lt;&gt; "", TRUE,""),FALSE)</f>
        <v>0</v>
      </c>
      <c r="B141" t="str">
        <f>TRANSPOSE(T1_[Etiquetas de fila])</f>
        <v>Johnnie Fruity 2X</v>
      </c>
      <c r="C141">
        <f>TRANSPOSE(T1_[Recuento de T1 CODIGO])</f>
        <v>3</v>
      </c>
    </row>
    <row r="142" spans="1:3" x14ac:dyDescent="0.25">
      <c r="A142" t="b">
        <f>IFERROR(IF(MATCH(B142,RECETAS!$A$2:$A$1700,0) &lt;&gt; "", TRUE,""),FALSE)</f>
        <v>0</v>
      </c>
      <c r="B142" t="str">
        <f>TRANSPOSE(T1_[Etiquetas de fila])</f>
        <v>Johnnie Ginger 2X</v>
      </c>
      <c r="C142">
        <f>TRANSPOSE(T1_[Recuento de T1 CODIGO])</f>
        <v>2</v>
      </c>
    </row>
    <row r="143" spans="1:3" x14ac:dyDescent="0.25">
      <c r="A143" t="b">
        <f>IFERROR(IF(MATCH(B143,RECETAS!$A$2:$A$1700,0) &lt;&gt; "", TRUE,""),FALSE)</f>
        <v>1</v>
      </c>
      <c r="B143" t="str">
        <f>TRANSPOSE(T1_[Etiquetas de fila])</f>
        <v>Johnnie Walker Black</v>
      </c>
      <c r="C143">
        <f>TRANSPOSE(T1_[Recuento de T1 CODIGO])</f>
        <v>5</v>
      </c>
    </row>
    <row r="144" spans="1:3" x14ac:dyDescent="0.25">
      <c r="A144" t="b">
        <f>IFERROR(IF(MATCH(B144,RECETAS!$A$2:$A$1700,0) &lt;&gt; "", TRUE,""),FALSE)</f>
        <v>1</v>
      </c>
      <c r="B144" t="str">
        <f>TRANSPOSE(T1_[Etiquetas de fila])</f>
        <v>Johnnie Walker Red</v>
      </c>
      <c r="C144">
        <f>TRANSPOSE(T1_[Recuento de T1 CODIGO])</f>
        <v>1</v>
      </c>
    </row>
    <row r="145" spans="1:3" x14ac:dyDescent="0.25">
      <c r="A145" t="b">
        <f>IFERROR(IF(MATCH(B145,RECETAS!$A$2:$A$1700,0) &lt;&gt; "", TRUE,""),FALSE)</f>
        <v>1</v>
      </c>
      <c r="B145" t="str">
        <f>TRANSPOSE(T1_[Etiquetas de fila])</f>
        <v>Jugo Frambuesa</v>
      </c>
      <c r="C145">
        <f>TRANSPOSE(T1_[Recuento de T1 CODIGO])</f>
        <v>26</v>
      </c>
    </row>
    <row r="146" spans="1:3" x14ac:dyDescent="0.25">
      <c r="A146" t="b">
        <f>IFERROR(IF(MATCH(B146,RECETAS!$A$2:$A$1700,0) &lt;&gt; "", TRUE,""),FALSE)</f>
        <v>1</v>
      </c>
      <c r="B146" t="str">
        <f>TRANSPOSE(T1_[Etiquetas de fila])</f>
        <v>Jugo Frutilla</v>
      </c>
      <c r="C146">
        <f>TRANSPOSE(T1_[Recuento de T1 CODIGO])</f>
        <v>25</v>
      </c>
    </row>
    <row r="147" spans="1:3" x14ac:dyDescent="0.25">
      <c r="A147" t="b">
        <f>IFERROR(IF(MATCH(B147,RECETAS!$A$2:$A$1700,0) &lt;&gt; "", TRUE,""),FALSE)</f>
        <v>1</v>
      </c>
      <c r="B147" t="str">
        <f>TRANSPOSE(T1_[Etiquetas de fila])</f>
        <v>Jugo Mango</v>
      </c>
      <c r="C147">
        <f>TRANSPOSE(T1_[Recuento de T1 CODIGO])</f>
        <v>27</v>
      </c>
    </row>
    <row r="148" spans="1:3" x14ac:dyDescent="0.25">
      <c r="A148" t="b">
        <f>IFERROR(IF(MATCH(B148,RECETAS!$A$2:$A$1700,0) &lt;&gt; "", TRUE,""),FALSE)</f>
        <v>1</v>
      </c>
      <c r="B148" t="str">
        <f>TRANSPOSE(T1_[Etiquetas de fila])</f>
        <v>Kamikaze</v>
      </c>
      <c r="C148">
        <f>TRANSPOSE(T1_[Recuento de T1 CODIGO])</f>
        <v>1</v>
      </c>
    </row>
    <row r="149" spans="1:3" x14ac:dyDescent="0.25">
      <c r="A149" t="b">
        <f>IFERROR(IF(MATCH(B149,RECETAS!$A$2:$A$1700,0) &lt;&gt; "", TRUE,""),FALSE)</f>
        <v>0</v>
      </c>
      <c r="B149" t="str">
        <f>TRANSPOSE(T1_[Etiquetas de fila])</f>
        <v>KENTUCKY MULE</v>
      </c>
      <c r="C149">
        <f>TRANSPOSE(T1_[Recuento de T1 CODIGO])</f>
        <v>2</v>
      </c>
    </row>
    <row r="150" spans="1:3" x14ac:dyDescent="0.25">
      <c r="A150" t="b">
        <f>IFERROR(IF(MATCH(B150,RECETAS!$A$2:$A$1700,0) &lt;&gt; "", TRUE,""),FALSE)</f>
        <v>1</v>
      </c>
      <c r="B150" t="str">
        <f>TRANSPOSE(T1_[Etiquetas de fila])</f>
        <v>Laguna Azul</v>
      </c>
      <c r="C150">
        <f>TRANSPOSE(T1_[Recuento de T1 CODIGO])</f>
        <v>11</v>
      </c>
    </row>
    <row r="151" spans="1:3" x14ac:dyDescent="0.25">
      <c r="A151" t="b">
        <f>IFERROR(IF(MATCH(B151,RECETAS!$A$2:$A$1700,0) &lt;&gt; "", TRUE,""),FALSE)</f>
        <v>0</v>
      </c>
      <c r="B151" t="str">
        <f>TRANSPOSE(T1_[Etiquetas de fila])</f>
        <v>Laguna Azul 2X</v>
      </c>
      <c r="C151">
        <f>TRANSPOSE(T1_[Recuento de T1 CODIGO])</f>
        <v>5</v>
      </c>
    </row>
    <row r="152" spans="1:3" x14ac:dyDescent="0.25">
      <c r="A152" t="b">
        <f>IFERROR(IF(MATCH(B152,RECETAS!$A$2:$A$1700,0) &lt;&gt; "", TRUE,""),FALSE)</f>
        <v>1</v>
      </c>
      <c r="B152" t="str">
        <f>TRANSPOSE(T1_[Etiquetas de fila])</f>
        <v>Limonada</v>
      </c>
      <c r="C152">
        <f>TRANSPOSE(T1_[Recuento de T1 CODIGO])</f>
        <v>61</v>
      </c>
    </row>
    <row r="153" spans="1:3" x14ac:dyDescent="0.25">
      <c r="A153" t="b">
        <f>IFERROR(IF(MATCH(B153,RECETAS!$A$2:$A$1700,0) &lt;&gt; "", TRUE,""),FALSE)</f>
        <v>1</v>
      </c>
      <c r="B153" t="str">
        <f>TRANSPOSE(T1_[Etiquetas de fila])</f>
        <v>Lomo a lo Pobre</v>
      </c>
      <c r="C153">
        <f>TRANSPOSE(T1_[Recuento de T1 CODIGO])</f>
        <v>5</v>
      </c>
    </row>
    <row r="154" spans="1:3" x14ac:dyDescent="0.25">
      <c r="A154" t="b">
        <f>IFERROR(IF(MATCH(B154,RECETAS!$A$2:$A$1700,0) &lt;&gt; "", TRUE,""),FALSE)</f>
        <v>1</v>
      </c>
      <c r="B154" t="str">
        <f>TRANSPOSE(T1_[Etiquetas de fila])</f>
        <v>London Mule</v>
      </c>
      <c r="C154">
        <f>TRANSPOSE(T1_[Recuento de T1 CODIGO])</f>
        <v>13</v>
      </c>
    </row>
    <row r="155" spans="1:3" x14ac:dyDescent="0.25">
      <c r="A155" t="b">
        <f>IFERROR(IF(MATCH(B155,RECETAS!$A$2:$A$1700,0) &lt;&gt; "", TRUE,""),FALSE)</f>
        <v>1</v>
      </c>
      <c r="B155" t="str">
        <f>TRANSPOSE(T1_[Etiquetas de fila])</f>
        <v>Long Island Ice Tea</v>
      </c>
      <c r="C155">
        <f>TRANSPOSE(T1_[Recuento de T1 CODIGO])</f>
        <v>9</v>
      </c>
    </row>
    <row r="156" spans="1:3" x14ac:dyDescent="0.25">
      <c r="A156" t="b">
        <f>IFERROR(IF(MATCH(B156,RECETAS!$A$2:$A$1700,0) &lt;&gt; "", TRUE,""),FALSE)</f>
        <v>1</v>
      </c>
      <c r="B156" t="str">
        <f>TRANSPOSE(T1_[Etiquetas de fila])</f>
        <v>Maitai</v>
      </c>
      <c r="C156">
        <f>TRANSPOSE(T1_[Recuento de T1 CODIGO])</f>
        <v>2</v>
      </c>
    </row>
    <row r="157" spans="1:3" x14ac:dyDescent="0.25">
      <c r="A157" t="b">
        <f>IFERROR(IF(MATCH(B157,RECETAS!$A$2:$A$1700,0) &lt;&gt; "", TRUE,""),FALSE)</f>
        <v>0</v>
      </c>
      <c r="B157" t="str">
        <f>TRANSPOSE(T1_[Etiquetas de fila])</f>
        <v>Maitai 2X</v>
      </c>
      <c r="C157">
        <f>TRANSPOSE(T1_[Recuento de T1 CODIGO])</f>
        <v>1</v>
      </c>
    </row>
    <row r="158" spans="1:3" x14ac:dyDescent="0.25">
      <c r="A158" t="b">
        <f>IFERROR(IF(MATCH(B158,RECETAS!$A$2:$A$1700,0) &lt;&gt; "", TRUE,""),FALSE)</f>
        <v>1</v>
      </c>
      <c r="B158" t="str">
        <f>TRANSPOSE(T1_[Etiquetas de fila])</f>
        <v>Mamacita</v>
      </c>
      <c r="C158">
        <f>TRANSPOSE(T1_[Recuento de T1 CODIGO])</f>
        <v>7</v>
      </c>
    </row>
    <row r="159" spans="1:3" x14ac:dyDescent="0.25">
      <c r="A159" t="b">
        <f>IFERROR(IF(MATCH(B159,RECETAS!$A$2:$A$1700,0) &lt;&gt; "", TRUE,""),FALSE)</f>
        <v>0</v>
      </c>
      <c r="B159" t="str">
        <f>TRANSPOSE(T1_[Etiquetas de fila])</f>
        <v>Mango</v>
      </c>
      <c r="C159">
        <f>TRANSPOSE(T1_[Recuento de T1 CODIGO])</f>
        <v>44</v>
      </c>
    </row>
    <row r="160" spans="1:3" x14ac:dyDescent="0.25">
      <c r="A160" t="b">
        <f>IFERROR(IF(MATCH(B160,RECETAS!$A$2:$A$1700,0) &lt;&gt; "", TRUE,""),FALSE)</f>
        <v>1</v>
      </c>
      <c r="B160" t="str">
        <f>TRANSPOSE(T1_[Etiquetas de fila])</f>
        <v>Mango Colada</v>
      </c>
      <c r="C160">
        <f>TRANSPOSE(T1_[Recuento de T1 CODIGO])</f>
        <v>3</v>
      </c>
    </row>
    <row r="161" spans="1:3" x14ac:dyDescent="0.25">
      <c r="A161" t="b">
        <f>IFERROR(IF(MATCH(B161,RECETAS!$A$2:$A$1700,0) &lt;&gt; "", TRUE,""),FALSE)</f>
        <v>0</v>
      </c>
      <c r="B161" t="str">
        <f>TRANSPOSE(T1_[Etiquetas de fila])</f>
        <v>Maracuya</v>
      </c>
      <c r="C161">
        <f>TRANSPOSE(T1_[Recuento de T1 CODIGO])</f>
        <v>26</v>
      </c>
    </row>
    <row r="162" spans="1:3" x14ac:dyDescent="0.25">
      <c r="A162" t="b">
        <f>IFERROR(IF(MATCH(B162,RECETAS!$A$2:$A$1700,0) &lt;&gt; "", TRUE,""),FALSE)</f>
        <v>0</v>
      </c>
      <c r="B162" t="str">
        <f>TRANSPOSE(T1_[Etiquetas de fila])</f>
        <v>MARACUYA SOUR</v>
      </c>
      <c r="C162">
        <f>TRANSPOSE(T1_[Recuento de T1 CODIGO])</f>
        <v>1</v>
      </c>
    </row>
    <row r="163" spans="1:3" x14ac:dyDescent="0.25">
      <c r="A163" t="b">
        <f>IFERROR(IF(MATCH(B163,RECETAS!$A$2:$A$1700,0) &lt;&gt; "", TRUE,""),FALSE)</f>
        <v>1</v>
      </c>
      <c r="B163" t="str">
        <f>TRANSPOSE(T1_[Etiquetas de fila])</f>
        <v>Margarita</v>
      </c>
      <c r="C163">
        <f>TRANSPOSE(T1_[Recuento de T1 CODIGO])</f>
        <v>9</v>
      </c>
    </row>
    <row r="164" spans="1:3" x14ac:dyDescent="0.25">
      <c r="A164" t="b">
        <f>IFERROR(IF(MATCH(B164,RECETAS!$A$2:$A$1700,0) &lt;&gt; "", TRUE,""),FALSE)</f>
        <v>1</v>
      </c>
      <c r="B164" t="str">
        <f>TRANSPOSE(T1_[Etiquetas de fila])</f>
        <v>Margarita Blue</v>
      </c>
      <c r="C164">
        <f>TRANSPOSE(T1_[Recuento de T1 CODIGO])</f>
        <v>4</v>
      </c>
    </row>
    <row r="165" spans="1:3" x14ac:dyDescent="0.25">
      <c r="A165" t="b">
        <f>IFERROR(IF(MATCH(B165,RECETAS!$A$2:$A$1700,0) &lt;&gt; "", TRUE,""),FALSE)</f>
        <v>0</v>
      </c>
      <c r="B165" t="str">
        <f>TRANSPOSE(T1_[Etiquetas de fila])</f>
        <v>margarita blue spicy</v>
      </c>
      <c r="C165">
        <f>TRANSPOSE(T1_[Recuento de T1 CODIGO])</f>
        <v>1</v>
      </c>
    </row>
    <row r="166" spans="1:3" x14ac:dyDescent="0.25">
      <c r="A166" t="b">
        <f>IFERROR(IF(MATCH(B166,RECETAS!$A$2:$A$1700,0) &lt;&gt; "", TRUE,""),FALSE)</f>
        <v>1</v>
      </c>
      <c r="B166" t="str">
        <f>TRANSPOSE(T1_[Etiquetas de fila])</f>
        <v>Margarita Frutilla</v>
      </c>
      <c r="C166">
        <f>TRANSPOSE(T1_[Recuento de T1 CODIGO])</f>
        <v>3</v>
      </c>
    </row>
    <row r="167" spans="1:3" x14ac:dyDescent="0.25">
      <c r="A167" t="b">
        <f>IFERROR(IF(MATCH(B167,RECETAS!$A$2:$A$1700,0) &lt;&gt; "", TRUE,""),FALSE)</f>
        <v>0</v>
      </c>
      <c r="B167" t="str">
        <f>TRANSPOSE(T1_[Etiquetas de fila])</f>
        <v>Margarita Sabores 2X</v>
      </c>
      <c r="C167">
        <f>TRANSPOSE(T1_[Recuento de T1 CODIGO])</f>
        <v>5</v>
      </c>
    </row>
    <row r="168" spans="1:3" x14ac:dyDescent="0.25">
      <c r="A168" t="b">
        <f>IFERROR(IF(MATCH(B168,RECETAS!$A$2:$A$1700,0) &lt;&gt; "", TRUE,""),FALSE)</f>
        <v>1</v>
      </c>
      <c r="B168" t="str">
        <f>TRANSPOSE(T1_[Etiquetas de fila])</f>
        <v>Martini Dry</v>
      </c>
      <c r="C168">
        <f>TRANSPOSE(T1_[Recuento de T1 CODIGO])</f>
        <v>1</v>
      </c>
    </row>
    <row r="169" spans="1:3" x14ac:dyDescent="0.25">
      <c r="A169" t="b">
        <f>IFERROR(IF(MATCH(B169,RECETAS!$A$2:$A$1700,0) &lt;&gt; "", TRUE,""),FALSE)</f>
        <v>1</v>
      </c>
      <c r="B169" t="str">
        <f>TRANSPOSE(T1_[Etiquetas de fila])</f>
        <v>Menu Ceviche Salmon</v>
      </c>
      <c r="C169">
        <f>TRANSPOSE(T1_[Recuento de T1 CODIGO])</f>
        <v>1</v>
      </c>
    </row>
    <row r="170" spans="1:3" x14ac:dyDescent="0.25">
      <c r="A170" t="b">
        <f>IFERROR(IF(MATCH(B170,RECETAS!$A$2:$A$1700,0) &lt;&gt; "", TRUE,""),FALSE)</f>
        <v>1</v>
      </c>
      <c r="B170" t="str">
        <f>TRANSPOSE(T1_[Etiquetas de fila])</f>
        <v>Menu Coca cola 350cc</v>
      </c>
      <c r="C170">
        <f>TRANSPOSE(T1_[Recuento de T1 CODIGO])</f>
        <v>9</v>
      </c>
    </row>
    <row r="171" spans="1:3" x14ac:dyDescent="0.25">
      <c r="A171" t="b">
        <f>IFERROR(IF(MATCH(B171,RECETAS!$A$2:$A$1700,0) &lt;&gt; "", TRUE,""),FALSE)</f>
        <v>1</v>
      </c>
      <c r="B171" t="str">
        <f>TRANSPOSE(T1_[Etiquetas de fila])</f>
        <v>Menu coca cola light 350cc</v>
      </c>
      <c r="C171">
        <f>TRANSPOSE(T1_[Recuento de T1 CODIGO])</f>
        <v>6</v>
      </c>
    </row>
    <row r="172" spans="1:3" x14ac:dyDescent="0.25">
      <c r="A172" t="b">
        <f>IFERROR(IF(MATCH(B172,RECETAS!$A$2:$A$1700,0) &lt;&gt; "", TRUE,""),FALSE)</f>
        <v>1</v>
      </c>
      <c r="B172" t="str">
        <f>TRANSPOSE(T1_[Etiquetas de fila])</f>
        <v>Menu Coca cola zero 350cc</v>
      </c>
      <c r="C172">
        <f>TRANSPOSE(T1_[Recuento de T1 CODIGO])</f>
        <v>16</v>
      </c>
    </row>
    <row r="173" spans="1:3" x14ac:dyDescent="0.25">
      <c r="A173" t="b">
        <f>IFERROR(IF(MATCH(B173,RECETAS!$A$2:$A$1700,0) &lt;&gt; "", TRUE,""),FALSE)</f>
        <v>1</v>
      </c>
      <c r="B173" t="str">
        <f>TRANSPOSE(T1_[Etiquetas de fila])</f>
        <v>Menu copa de vino tinto</v>
      </c>
      <c r="C173">
        <f>TRANSPOSE(T1_[Recuento de T1 CODIGO])</f>
        <v>1</v>
      </c>
    </row>
    <row r="174" spans="1:3" x14ac:dyDescent="0.25">
      <c r="A174" t="b">
        <f>IFERROR(IF(MATCH(B174,RECETAS!$A$2:$A$1700,0) &lt;&gt; "", TRUE,""),FALSE)</f>
        <v>1</v>
      </c>
      <c r="B174" t="str">
        <f>TRANSPOSE(T1_[Etiquetas de fila])</f>
        <v>MENU CRUDO</v>
      </c>
      <c r="C174">
        <f>TRANSPOSE(T1_[Recuento de T1 CODIGO])</f>
        <v>2</v>
      </c>
    </row>
    <row r="175" spans="1:3" x14ac:dyDescent="0.25">
      <c r="A175" t="b">
        <f>IFERROR(IF(MATCH(B175,RECETAS!$A$2:$A$1700,0) &lt;&gt; "", TRUE,""),FALSE)</f>
        <v>1</v>
      </c>
      <c r="B175" t="str">
        <f>TRANSPOSE(T1_[Etiquetas de fila])</f>
        <v>Menu Fanta 350cc</v>
      </c>
      <c r="C175">
        <f>TRANSPOSE(T1_[Recuento de T1 CODIGO])</f>
        <v>1</v>
      </c>
    </row>
    <row r="176" spans="1:3" x14ac:dyDescent="0.25">
      <c r="A176" t="b">
        <f>IFERROR(IF(MATCH(B176,RECETAS!$A$2:$A$1700,0) &lt;&gt; "", TRUE,""),FALSE)</f>
        <v>1</v>
      </c>
      <c r="B176" t="str">
        <f>TRANSPOSE(T1_[Etiquetas de fila])</f>
        <v>Menu Lomo a lo pobre</v>
      </c>
      <c r="C176">
        <f>TRANSPOSE(T1_[Recuento de T1 CODIGO])</f>
        <v>7</v>
      </c>
    </row>
    <row r="177" spans="1:3" x14ac:dyDescent="0.25">
      <c r="A177" t="b">
        <f>IFERROR(IF(MATCH(B177,RECETAS!$A$2:$A$1700,0) &lt;&gt; "", TRUE,""),FALSE)</f>
        <v>1</v>
      </c>
      <c r="B177" t="str">
        <f>TRANSPOSE(T1_[Etiquetas de fila])</f>
        <v>Menu Lomo Saltado</v>
      </c>
      <c r="C177">
        <f>TRANSPOSE(T1_[Recuento de T1 CODIGO])</f>
        <v>12</v>
      </c>
    </row>
    <row r="178" spans="1:3" x14ac:dyDescent="0.25">
      <c r="A178" t="b">
        <f>IFERROR(IF(MATCH(B178,RECETAS!$A$2:$A$1700,0) &lt;&gt; "", TRUE,""),FALSE)</f>
        <v>1</v>
      </c>
      <c r="B178" t="str">
        <f>TRANSPOSE(T1_[Etiquetas de fila])</f>
        <v>Menu Mineral con gas</v>
      </c>
      <c r="C178">
        <f>TRANSPOSE(T1_[Recuento de T1 CODIGO])</f>
        <v>4</v>
      </c>
    </row>
    <row r="179" spans="1:3" x14ac:dyDescent="0.25">
      <c r="A179" t="b">
        <f>IFERROR(IF(MATCH(B179,RECETAS!$A$2:$A$1700,0) &lt;&gt; "", TRUE,""),FALSE)</f>
        <v>1</v>
      </c>
      <c r="B179" t="str">
        <f>TRANSPOSE(T1_[Etiquetas de fila])</f>
        <v>Menu Mineral sin gas</v>
      </c>
      <c r="C179">
        <f>TRANSPOSE(T1_[Recuento de T1 CODIGO])</f>
        <v>11</v>
      </c>
    </row>
    <row r="180" spans="1:3" x14ac:dyDescent="0.25">
      <c r="A180" t="b">
        <f>IFERROR(IF(MATCH(B180,RECETAS!$A$2:$A$1700,0) &lt;&gt; "", TRUE,""),FALSE)</f>
        <v>1</v>
      </c>
      <c r="B180" t="str">
        <f>TRANSPOSE(T1_[Etiquetas de fila])</f>
        <v>Menu Pasta con Camarones</v>
      </c>
      <c r="C180">
        <f>TRANSPOSE(T1_[Recuento de T1 CODIGO])</f>
        <v>3</v>
      </c>
    </row>
    <row r="181" spans="1:3" x14ac:dyDescent="0.25">
      <c r="A181" t="b">
        <f>IFERROR(IF(MATCH(B181,RECETAS!$A$2:$A$1700,0) &lt;&gt; "", TRUE,""),FALSE)</f>
        <v>1</v>
      </c>
      <c r="B181" t="str">
        <f>TRANSPOSE(T1_[Etiquetas de fila])</f>
        <v>Menu Pollo a lo pobre</v>
      </c>
      <c r="C181">
        <f>TRANSPOSE(T1_[Recuento de T1 CODIGO])</f>
        <v>3</v>
      </c>
    </row>
    <row r="182" spans="1:3" x14ac:dyDescent="0.25">
      <c r="A182" t="b">
        <f>IFERROR(IF(MATCH(B182,RECETAS!$A$2:$A$1700,0) &lt;&gt; "", TRUE,""),FALSE)</f>
        <v>1</v>
      </c>
      <c r="B182" t="str">
        <f>TRANSPOSE(T1_[Etiquetas de fila])</f>
        <v>Menu Pollo al Curry</v>
      </c>
      <c r="C182">
        <f>TRANSPOSE(T1_[Recuento de T1 CODIGO])</f>
        <v>3</v>
      </c>
    </row>
    <row r="183" spans="1:3" x14ac:dyDescent="0.25">
      <c r="A183" t="b">
        <f>IFERROR(IF(MATCH(B183,RECETAS!$A$2:$A$1700,0) &lt;&gt; "", TRUE,""),FALSE)</f>
        <v>1</v>
      </c>
      <c r="B183" t="str">
        <f>TRANSPOSE(T1_[Etiquetas de fila])</f>
        <v>Menu Pollo al Limon</v>
      </c>
      <c r="C183">
        <f>TRANSPOSE(T1_[Recuento de T1 CODIGO])</f>
        <v>4</v>
      </c>
    </row>
    <row r="184" spans="1:3" x14ac:dyDescent="0.25">
      <c r="A184" t="b">
        <f>IFERROR(IF(MATCH(B184,RECETAS!$A$2:$A$1700,0) &lt;&gt; "", TRUE,""),FALSE)</f>
        <v>1</v>
      </c>
      <c r="B184" t="str">
        <f>TRANSPOSE(T1_[Etiquetas de fila])</f>
        <v>Menu Salmon a la plancha</v>
      </c>
      <c r="C184">
        <f>TRANSPOSE(T1_[Recuento de T1 CODIGO])</f>
        <v>11</v>
      </c>
    </row>
    <row r="185" spans="1:3" x14ac:dyDescent="0.25">
      <c r="A185" t="b">
        <f>IFERROR(IF(MATCH(B185,RECETAS!$A$2:$A$1700,0) &lt;&gt; "", TRUE,""),FALSE)</f>
        <v>1</v>
      </c>
      <c r="B185" t="str">
        <f>TRANSPOSE(T1_[Etiquetas de fila])</f>
        <v>Menu Salmon a lo Pobre</v>
      </c>
      <c r="C185">
        <f>TRANSPOSE(T1_[Recuento de T1 CODIGO])</f>
        <v>5</v>
      </c>
    </row>
    <row r="186" spans="1:3" x14ac:dyDescent="0.25">
      <c r="A186" t="b">
        <f>IFERROR(IF(MATCH(B186,RECETAS!$A$2:$A$1700,0) &lt;&gt; "", TRUE,""),FALSE)</f>
        <v>1</v>
      </c>
      <c r="B186" t="str">
        <f>TRANSPOSE(T1_[Etiquetas de fila])</f>
        <v>Menu Schop Stella</v>
      </c>
      <c r="C186">
        <f>TRANSPOSE(T1_[Recuento de T1 CODIGO])</f>
        <v>1</v>
      </c>
    </row>
    <row r="187" spans="1:3" x14ac:dyDescent="0.25">
      <c r="A187" t="b">
        <f>IFERROR(IF(MATCH(B187,RECETAS!$A$2:$A$1700,0) &lt;&gt; "", TRUE,""),FALSE)</f>
        <v>1</v>
      </c>
      <c r="B187" t="str">
        <f>TRANSPOSE(T1_[Etiquetas de fila])</f>
        <v>Menu Schweppes Ginger zero 350cc</v>
      </c>
      <c r="C187">
        <f>TRANSPOSE(T1_[Recuento de T1 CODIGO])</f>
        <v>3</v>
      </c>
    </row>
    <row r="188" spans="1:3" x14ac:dyDescent="0.25">
      <c r="A188" t="b">
        <f>IFERROR(IF(MATCH(B188,RECETAS!$A$2:$A$1700,0) &lt;&gt; "", TRUE,""),FALSE)</f>
        <v>1</v>
      </c>
      <c r="B188" t="str">
        <f>TRANSPOSE(T1_[Etiquetas de fila])</f>
        <v>Menu Sprite 350cc</v>
      </c>
      <c r="C188">
        <f>TRANSPOSE(T1_[Recuento de T1 CODIGO])</f>
        <v>1</v>
      </c>
    </row>
    <row r="189" spans="1:3" x14ac:dyDescent="0.25">
      <c r="A189" t="b">
        <f>IFERROR(IF(MATCH(B189,RECETAS!$A$2:$A$1700,0) &lt;&gt; "", TRUE,""),FALSE)</f>
        <v>1</v>
      </c>
      <c r="B189" t="str">
        <f>TRANSPOSE(T1_[Etiquetas de fila])</f>
        <v>Menu Sprite Zero 350cc</v>
      </c>
      <c r="C189">
        <f>TRANSPOSE(T1_[Recuento de T1 CODIGO])</f>
        <v>4</v>
      </c>
    </row>
    <row r="190" spans="1:3" x14ac:dyDescent="0.25">
      <c r="A190" t="b">
        <f>IFERROR(IF(MATCH(B190,RECETAS!$A$2:$A$1700,0) &lt;&gt; "", TRUE,""),FALSE)</f>
        <v>0</v>
      </c>
      <c r="B190" t="str">
        <f>TRANSPOSE(T1_[Etiquetas de fila])</f>
        <v>MERLUZA A LO POBRE</v>
      </c>
      <c r="C190">
        <f>TRANSPOSE(T1_[Recuento de T1 CODIGO])</f>
        <v>1</v>
      </c>
    </row>
    <row r="191" spans="1:3" x14ac:dyDescent="0.25">
      <c r="A191" t="b">
        <f>IFERROR(IF(MATCH(B191,RECETAS!$A$2:$A$1700,0) &lt;&gt; "", TRUE,""),FALSE)</f>
        <v>1</v>
      </c>
      <c r="B191" t="str">
        <f>TRANSPOSE(T1_[Etiquetas de fila])</f>
        <v>Michelada</v>
      </c>
      <c r="C191">
        <f>TRANSPOSE(T1_[Recuento de T1 CODIGO])</f>
        <v>75</v>
      </c>
    </row>
    <row r="192" spans="1:3" x14ac:dyDescent="0.25">
      <c r="A192" t="b">
        <f>IFERROR(IF(MATCH(B192,RECETAS!$A$2:$A$1700,0) &lt;&gt; "", TRUE,""),FALSE)</f>
        <v>1</v>
      </c>
      <c r="B192" t="str">
        <f>TRANSPOSE(T1_[Etiquetas de fila])</f>
        <v>Michelada Full</v>
      </c>
      <c r="C192">
        <f>TRANSPOSE(T1_[Recuento de T1 CODIGO])</f>
        <v>58</v>
      </c>
    </row>
    <row r="193" spans="1:3" x14ac:dyDescent="0.25">
      <c r="A193" t="b">
        <f>IFERROR(IF(MATCH(B193,RECETAS!$A$2:$A$1700,0) &lt;&gt; "", TRUE,""),FALSE)</f>
        <v>1</v>
      </c>
      <c r="B193" t="str">
        <f>TRANSPOSE(T1_[Etiquetas de fila])</f>
        <v>Mineral con gas</v>
      </c>
      <c r="C193">
        <f>TRANSPOSE(T1_[Recuento de T1 CODIGO])</f>
        <v>11</v>
      </c>
    </row>
    <row r="194" spans="1:3" x14ac:dyDescent="0.25">
      <c r="A194" t="b">
        <f>IFERROR(IF(MATCH(B194,RECETAS!$A$2:$A$1700,0) &lt;&gt; "", TRUE,""),FALSE)</f>
        <v>1</v>
      </c>
      <c r="B194" t="str">
        <f>TRANSPOSE(T1_[Etiquetas de fila])</f>
        <v>Mineral sin gas</v>
      </c>
      <c r="C194">
        <f>TRANSPOSE(T1_[Recuento de T1 CODIGO])</f>
        <v>19</v>
      </c>
    </row>
    <row r="195" spans="1:3" x14ac:dyDescent="0.25">
      <c r="A195" t="b">
        <f>IFERROR(IF(MATCH(B195,RECETAS!$A$2:$A$1700,0) &lt;&gt; "", TRUE,""),FALSE)</f>
        <v>1</v>
      </c>
      <c r="B195" t="str">
        <f>TRANSPOSE(T1_[Etiquetas de fila])</f>
        <v>Mistral 35°</v>
      </c>
      <c r="C195">
        <f>TRANSPOSE(T1_[Recuento de T1 CODIGO])</f>
        <v>4</v>
      </c>
    </row>
    <row r="196" spans="1:3" x14ac:dyDescent="0.25">
      <c r="A196" t="b">
        <f>IFERROR(IF(MATCH(B196,RECETAS!$A$2:$A$1700,0) &lt;&gt; "", TRUE,""),FALSE)</f>
        <v>1</v>
      </c>
      <c r="B196" t="str">
        <f>TRANSPOSE(T1_[Etiquetas de fila])</f>
        <v>Mistral Nobel 40°</v>
      </c>
      <c r="C196">
        <f>TRANSPOSE(T1_[Recuento de T1 CODIGO])</f>
        <v>8</v>
      </c>
    </row>
    <row r="197" spans="1:3" x14ac:dyDescent="0.25">
      <c r="A197" t="b">
        <f>IFERROR(IF(MATCH(B197,RECETAS!$A$2:$A$1700,0) &lt;&gt; "", TRUE,""),FALSE)</f>
        <v>1</v>
      </c>
      <c r="B197" t="str">
        <f>TRANSPOSE(T1_[Etiquetas de fila])</f>
        <v>Mojito Absolut</v>
      </c>
      <c r="C197">
        <f>TRANSPOSE(T1_[Recuento de T1 CODIGO])</f>
        <v>1</v>
      </c>
    </row>
    <row r="198" spans="1:3" x14ac:dyDescent="0.25">
      <c r="A198" t="b">
        <f>IFERROR(IF(MATCH(B198,RECETAS!$A$2:$A$1700,0) &lt;&gt; "", TRUE,""),FALSE)</f>
        <v>1</v>
      </c>
      <c r="B198" t="str">
        <f>TRANSPOSE(T1_[Etiquetas de fila])</f>
        <v>Mojito Absolut Mango</v>
      </c>
      <c r="C198">
        <f>TRANSPOSE(T1_[Recuento de T1 CODIGO])</f>
        <v>2</v>
      </c>
    </row>
    <row r="199" spans="1:3" x14ac:dyDescent="0.25">
      <c r="A199" t="b">
        <f>IFERROR(IF(MATCH(B199,RECETAS!$A$2:$A$1700,0) &lt;&gt; "", TRUE,""),FALSE)</f>
        <v>1</v>
      </c>
      <c r="B199" t="str">
        <f>TRANSPOSE(T1_[Etiquetas de fila])</f>
        <v>Mojito Absolut Razz</v>
      </c>
      <c r="C199">
        <f>TRANSPOSE(T1_[Recuento de T1 CODIGO])</f>
        <v>1</v>
      </c>
    </row>
    <row r="200" spans="1:3" x14ac:dyDescent="0.25">
      <c r="A200" t="b">
        <f>IFERROR(IF(MATCH(B200,RECETAS!$A$2:$A$1700,0) &lt;&gt; "", TRUE,""),FALSE)</f>
        <v>1</v>
      </c>
      <c r="B200" t="str">
        <f>TRANSPOSE(T1_[Etiquetas de fila])</f>
        <v>Mojito Absolut Vainilla</v>
      </c>
      <c r="C200">
        <f>TRANSPOSE(T1_[Recuento de T1 CODIGO])</f>
        <v>1</v>
      </c>
    </row>
    <row r="201" spans="1:3" x14ac:dyDescent="0.25">
      <c r="A201" t="b">
        <f>IFERROR(IF(MATCH(B201,RECETAS!$A$2:$A$1700,0) &lt;&gt; "", TRUE,""),FALSE)</f>
        <v>1</v>
      </c>
      <c r="B201" t="str">
        <f>TRANSPOSE(T1_[Etiquetas de fila])</f>
        <v>MOJITO BERRIES</v>
      </c>
      <c r="C201">
        <f>TRANSPOSE(T1_[Recuento de T1 CODIGO])</f>
        <v>21</v>
      </c>
    </row>
    <row r="202" spans="1:3" x14ac:dyDescent="0.25">
      <c r="A202" t="b">
        <f>IFERROR(IF(MATCH(B202,RECETAS!$A$2:$A$1700,0) &lt;&gt; "", TRUE,""),FALSE)</f>
        <v>1</v>
      </c>
      <c r="B202" t="str">
        <f>TRANSPOSE(T1_[Etiquetas de fila])</f>
        <v>Mojito Clásico</v>
      </c>
      <c r="C202">
        <f>TRANSPOSE(T1_[Recuento de T1 CODIGO])</f>
        <v>36</v>
      </c>
    </row>
    <row r="203" spans="1:3" x14ac:dyDescent="0.25">
      <c r="A203" t="b">
        <f>IFERROR(IF(MATCH(B203,RECETAS!$A$2:$A$1700,0) &lt;&gt; "", TRUE,""),FALSE)</f>
        <v>1</v>
      </c>
      <c r="B203" t="str">
        <f>TRANSPOSE(T1_[Etiquetas de fila])</f>
        <v>Mojito Corona</v>
      </c>
      <c r="C203">
        <f>TRANSPOSE(T1_[Recuento de T1 CODIGO])</f>
        <v>42</v>
      </c>
    </row>
    <row r="204" spans="1:3" x14ac:dyDescent="0.25">
      <c r="A204" t="b">
        <f>IFERROR(IF(MATCH(B204,RECETAS!$A$2:$A$1700,0) &lt;&gt; "", TRUE,""),FALSE)</f>
        <v>0</v>
      </c>
      <c r="B204" t="str">
        <f>TRANSPOSE(T1_[Etiquetas de fila])</f>
        <v>MOJITO CORONA 0.0</v>
      </c>
      <c r="C204">
        <f>TRANSPOSE(T1_[Recuento de T1 CODIGO])</f>
        <v>5</v>
      </c>
    </row>
    <row r="205" spans="1:3" x14ac:dyDescent="0.25">
      <c r="A205" t="b">
        <f>IFERROR(IF(MATCH(B205,RECETAS!$A$2:$A$1700,0) &lt;&gt; "", TRUE,""),FALSE)</f>
        <v>0</v>
      </c>
      <c r="B205" t="str">
        <f>TRANSPOSE(T1_[Etiquetas de fila])</f>
        <v>Mojito Corona 2X</v>
      </c>
      <c r="C205">
        <f>TRANSPOSE(T1_[Recuento de T1 CODIGO])</f>
        <v>24</v>
      </c>
    </row>
    <row r="206" spans="1:3" x14ac:dyDescent="0.25">
      <c r="A206" t="b">
        <f>IFERROR(IF(MATCH(B206,RECETAS!$A$2:$A$1700,0) &lt;&gt; "", TRUE,""),FALSE)</f>
        <v>1</v>
      </c>
      <c r="B206" t="str">
        <f>TRANSPOSE(T1_[Etiquetas de fila])</f>
        <v>MOJITO FRUTILLA</v>
      </c>
      <c r="C206">
        <f>TRANSPOSE(T1_[Recuento de T1 CODIGO])</f>
        <v>168</v>
      </c>
    </row>
    <row r="207" spans="1:3" x14ac:dyDescent="0.25">
      <c r="A207" t="b">
        <f>IFERROR(IF(MATCH(B207,RECETAS!$A$2:$A$1700,0) &lt;&gt; "", TRUE,""),FALSE)</f>
        <v>1</v>
      </c>
      <c r="B207" t="str">
        <f>TRANSPOSE(T1_[Etiquetas de fila])</f>
        <v>Mojito Jack Daniels</v>
      </c>
      <c r="C207">
        <f>TRANSPOSE(T1_[Recuento de T1 CODIGO])</f>
        <v>2</v>
      </c>
    </row>
    <row r="208" spans="1:3" x14ac:dyDescent="0.25">
      <c r="A208" t="b">
        <f>IFERROR(IF(MATCH(B208,RECETAS!$A$2:$A$1700,0) &lt;&gt; "", TRUE,""),FALSE)</f>
        <v>1</v>
      </c>
      <c r="B208" t="str">
        <f>TRANSPOSE(T1_[Etiquetas de fila])</f>
        <v>MOJITO MANGO</v>
      </c>
      <c r="C208">
        <f>TRANSPOSE(T1_[Recuento de T1 CODIGO])</f>
        <v>23</v>
      </c>
    </row>
    <row r="209" spans="1:3" x14ac:dyDescent="0.25">
      <c r="A209" t="b">
        <f>IFERROR(IF(MATCH(B209,RECETAS!$A$2:$A$1700,0) &lt;&gt; "", TRUE,""),FALSE)</f>
        <v>1</v>
      </c>
      <c r="B209" t="str">
        <f>TRANSPOSE(T1_[Etiquetas de fila])</f>
        <v>Mojito Maracuyá</v>
      </c>
      <c r="C209">
        <f>TRANSPOSE(T1_[Recuento de T1 CODIGO])</f>
        <v>36</v>
      </c>
    </row>
    <row r="210" spans="1:3" x14ac:dyDescent="0.25">
      <c r="A210" t="b">
        <f>IFERROR(IF(MATCH(B210,RECETAS!$A$2:$A$1700,0) &lt;&gt; "", TRUE,""),FALSE)</f>
        <v>0</v>
      </c>
      <c r="B210" t="str">
        <f>TRANSPOSE(T1_[Etiquetas de fila])</f>
        <v>Mojito Sabores 2X</v>
      </c>
      <c r="C210">
        <f>TRANSPOSE(T1_[Recuento de T1 CODIGO])</f>
        <v>58</v>
      </c>
    </row>
    <row r="211" spans="1:3" x14ac:dyDescent="0.25">
      <c r="A211" t="b">
        <f>IFERROR(IF(MATCH(B211,RECETAS!$A$2:$A$1700,0) &lt;&gt; "", TRUE,""),FALSE)</f>
        <v>1</v>
      </c>
      <c r="B211" t="str">
        <f>TRANSPOSE(T1_[Etiquetas de fila])</f>
        <v>Mojito Sin Alcohol</v>
      </c>
      <c r="C211">
        <f>TRANSPOSE(T1_[Recuento de T1 CODIGO])</f>
        <v>30</v>
      </c>
    </row>
    <row r="212" spans="1:3" x14ac:dyDescent="0.25">
      <c r="A212" t="b">
        <f>IFERROR(IF(MATCH(B212,RECETAS!$A$2:$A$1700,0) &lt;&gt; "", TRUE,""),FALSE)</f>
        <v>0</v>
      </c>
      <c r="B212" t="str">
        <f>TRANSPOSE(T1_[Etiquetas de fila])</f>
        <v>Mojito Tanqueray Sevilla</v>
      </c>
      <c r="C212">
        <f>TRANSPOSE(T1_[Recuento de T1 CODIGO])</f>
        <v>2</v>
      </c>
    </row>
    <row r="213" spans="1:3" x14ac:dyDescent="0.25">
      <c r="A213" t="b">
        <f>IFERROR(IF(MATCH(B213,RECETAS!$A$2:$A$1700,0) &lt;&gt; "", TRUE,""),FALSE)</f>
        <v>1</v>
      </c>
      <c r="B213" t="str">
        <f>TRANSPOSE(T1_[Etiquetas de fila])</f>
        <v>Mojito Xl</v>
      </c>
      <c r="C213">
        <f>TRANSPOSE(T1_[Recuento de T1 CODIGO])</f>
        <v>7</v>
      </c>
    </row>
    <row r="214" spans="1:3" x14ac:dyDescent="0.25">
      <c r="A214" t="b">
        <f>IFERROR(IF(MATCH(B214,RECETAS!$A$2:$A$1700,0) &lt;&gt; "", TRUE,""),FALSE)</f>
        <v>1</v>
      </c>
      <c r="B214" t="str">
        <f>TRANSPOSE(T1_[Etiquetas de fila])</f>
        <v>Moscow Mule</v>
      </c>
      <c r="C214">
        <f>TRANSPOSE(T1_[Recuento de T1 CODIGO])</f>
        <v>26</v>
      </c>
    </row>
    <row r="215" spans="1:3" x14ac:dyDescent="0.25">
      <c r="A215" t="b">
        <f>IFERROR(IF(MATCH(B215,RECETAS!$A$2:$A$1700,0) &lt;&gt; "", TRUE,""),FALSE)</f>
        <v>1</v>
      </c>
      <c r="B215" t="str">
        <f>TRANSPOSE(T1_[Etiquetas de fila])</f>
        <v>Negroni</v>
      </c>
      <c r="C215">
        <f>TRANSPOSE(T1_[Recuento de T1 CODIGO])</f>
        <v>3</v>
      </c>
    </row>
    <row r="216" spans="1:3" x14ac:dyDescent="0.25">
      <c r="A216" t="b">
        <f>IFERROR(IF(MATCH(B216,RECETAS!$A$2:$A$1700,0) &lt;&gt; "", TRUE,""),FALSE)</f>
        <v>1</v>
      </c>
      <c r="B216" t="str">
        <f>TRANSPOSE(T1_[Etiquetas de fila])</f>
        <v>P.CHEESE TECLADOS</v>
      </c>
      <c r="C216">
        <f>TRANSPOSE(T1_[Recuento de T1 CODIGO])</f>
        <v>4</v>
      </c>
    </row>
    <row r="217" spans="1:3" x14ac:dyDescent="0.25">
      <c r="A217" t="b">
        <f>IFERROR(IF(MATCH(B217,RECETAS!$A$2:$A$1700,0) &lt;&gt; "", TRUE,""),FALSE)</f>
        <v>1</v>
      </c>
      <c r="B217" t="str">
        <f>TRANSPOSE(T1_[Etiquetas de fila])</f>
        <v>Palos de Queso</v>
      </c>
      <c r="C217">
        <f>TRANSPOSE(T1_[Recuento de T1 CODIGO])</f>
        <v>6</v>
      </c>
    </row>
    <row r="218" spans="1:3" x14ac:dyDescent="0.25">
      <c r="A218" t="b">
        <f>IFERROR(IF(MATCH(B218,RECETAS!$A$2:$A$1700,0) &lt;&gt; "", TRUE,""),FALSE)</f>
        <v>1</v>
      </c>
      <c r="B218" t="str">
        <f>TRANSPOSE(T1_[Etiquetas de fila])</f>
        <v>Pampero Aniversario</v>
      </c>
      <c r="C218">
        <f>TRANSPOSE(T1_[Recuento de T1 CODIGO])</f>
        <v>1</v>
      </c>
    </row>
    <row r="219" spans="1:3" x14ac:dyDescent="0.25">
      <c r="A219" t="b">
        <f>IFERROR(IF(MATCH(B219,RECETAS!$A$2:$A$1700,0) &lt;&gt; "", TRUE,""),FALSE)</f>
        <v>1</v>
      </c>
      <c r="B219" t="str">
        <f>TRANSPOSE(T1_[Etiquetas de fila])</f>
        <v>Pampero Especial</v>
      </c>
      <c r="C219">
        <f>TRANSPOSE(T1_[Recuento de T1 CODIGO])</f>
        <v>1</v>
      </c>
    </row>
    <row r="220" spans="1:3" x14ac:dyDescent="0.25">
      <c r="A220" t="b">
        <f>IFERROR(IF(MATCH(B220,RECETAS!$A$2:$A$1700,0) &lt;&gt; "", TRUE,""),FALSE)</f>
        <v>1</v>
      </c>
      <c r="B220" t="str">
        <f>TRANSPOSE(T1_[Etiquetas de fila])</f>
        <v>Papas Fritas Grandes</v>
      </c>
      <c r="C220">
        <f>TRANSPOSE(T1_[Recuento de T1 CODIGO])</f>
        <v>11</v>
      </c>
    </row>
    <row r="221" spans="1:3" x14ac:dyDescent="0.25">
      <c r="A221" t="b">
        <f>IFERROR(IF(MATCH(B221,RECETAS!$A$2:$A$1700,0) &lt;&gt; "", TRUE,""),FALSE)</f>
        <v>1</v>
      </c>
      <c r="B221" t="str">
        <f>TRANSPOSE(T1_[Etiquetas de fila])</f>
        <v>Picnic Teclados</v>
      </c>
      <c r="C221">
        <f>TRANSPOSE(T1_[Recuento de T1 CODIGO])</f>
        <v>38</v>
      </c>
    </row>
    <row r="222" spans="1:3" x14ac:dyDescent="0.25">
      <c r="A222" t="b">
        <f>IFERROR(IF(MATCH(B222,RECETAS!$A$2:$A$1700,0) &lt;&gt; "", TRUE,""),FALSE)</f>
        <v>1</v>
      </c>
      <c r="B222" t="str">
        <f>TRANSPOSE(T1_[Etiquetas de fila])</f>
        <v>Piña Colada</v>
      </c>
      <c r="C222">
        <f>TRANSPOSE(T1_[Recuento de T1 CODIGO])</f>
        <v>17</v>
      </c>
    </row>
    <row r="223" spans="1:3" x14ac:dyDescent="0.25">
      <c r="A223" t="b">
        <f>IFERROR(IF(MATCH(B223,RECETAS!$A$2:$A$1700,0) &lt;&gt; "", TRUE,""),FALSE)</f>
        <v>1</v>
      </c>
      <c r="B223" t="str">
        <f>TRANSPOSE(T1_[Etiquetas de fila])</f>
        <v>Piña Colada Sin Alcohol</v>
      </c>
      <c r="C223">
        <f>TRANSPOSE(T1_[Recuento de T1 CODIGO])</f>
        <v>12</v>
      </c>
    </row>
    <row r="224" spans="1:3" x14ac:dyDescent="0.25">
      <c r="A224" t="b">
        <f>IFERROR(IF(MATCH(B224,RECETAS!$A$2:$A$1700,0) &lt;&gt; "", TRUE,""),FALSE)</f>
        <v>1</v>
      </c>
      <c r="B224" t="str">
        <f>TRANSPOSE(T1_[Etiquetas de fila])</f>
        <v>Pisco Sour</v>
      </c>
      <c r="C224">
        <f>TRANSPOSE(T1_[Recuento de T1 CODIGO])</f>
        <v>3</v>
      </c>
    </row>
    <row r="225" spans="1:3" x14ac:dyDescent="0.25">
      <c r="A225" t="b">
        <f>IFERROR(IF(MATCH(B225,RECETAS!$A$2:$A$1700,0) &lt;&gt; "", TRUE,""),FALSE)</f>
        <v>0</v>
      </c>
      <c r="B225" t="str">
        <f>TRANSPOSE(T1_[Etiquetas de fila])</f>
        <v>Pisco Sour 2X</v>
      </c>
      <c r="C225">
        <f>TRANSPOSE(T1_[Recuento de T1 CODIGO])</f>
        <v>14</v>
      </c>
    </row>
    <row r="226" spans="1:3" x14ac:dyDescent="0.25">
      <c r="A226" t="b">
        <f>IFERROR(IF(MATCH(B226,RECETAS!$A$2:$A$1700,0) &lt;&gt; "", TRUE,""),FALSE)</f>
        <v>1</v>
      </c>
      <c r="B226" t="str">
        <f>TRANSPOSE(T1_[Etiquetas de fila])</f>
        <v>Pisco Sour Alto 35°</v>
      </c>
      <c r="C226">
        <f>TRANSPOSE(T1_[Recuento de T1 CODIGO])</f>
        <v>12</v>
      </c>
    </row>
    <row r="227" spans="1:3" x14ac:dyDescent="0.25">
      <c r="A227" t="b">
        <f>IFERROR(IF(MATCH(B227,RECETAS!$A$2:$A$1700,0) &lt;&gt; "", TRUE,""),FALSE)</f>
        <v>1</v>
      </c>
      <c r="B227" t="str">
        <f>TRANSPOSE(T1_[Etiquetas de fila])</f>
        <v>Pisco Sour Mistral 35°</v>
      </c>
      <c r="C227">
        <f>TRANSPOSE(T1_[Recuento de T1 CODIGO])</f>
        <v>3</v>
      </c>
    </row>
    <row r="228" spans="1:3" x14ac:dyDescent="0.25">
      <c r="A228" t="b">
        <f>IFERROR(IF(MATCH(B228,RECETAS!$A$2:$A$1700,0) &lt;&gt; "", TRUE,""),FALSE)</f>
        <v>1</v>
      </c>
      <c r="B228" t="str">
        <f>TRANSPOSE(T1_[Etiquetas de fila])</f>
        <v>Promo Alto 35°</v>
      </c>
      <c r="C228">
        <f>TRANSPOSE(T1_[Recuento de T1 CODIGO])</f>
        <v>52</v>
      </c>
    </row>
    <row r="229" spans="1:3" x14ac:dyDescent="0.25">
      <c r="A229" t="b">
        <f>IFERROR(IF(MATCH(B229,RECETAS!$A$2:$A$1700,0) &lt;&gt; "", TRUE,""),FALSE)</f>
        <v>1</v>
      </c>
      <c r="B229" t="str">
        <f>TRANSPOSE(T1_[Etiquetas de fila])</f>
        <v>Promo Alto 35° + Redbull</v>
      </c>
      <c r="C229">
        <f>TRANSPOSE(T1_[Recuento de T1 CODIGO])</f>
        <v>20</v>
      </c>
    </row>
    <row r="230" spans="1:3" x14ac:dyDescent="0.25">
      <c r="A230" t="b">
        <f>IFERROR(IF(MATCH(B230,RECETAS!$A$2:$A$1700,0) &lt;&gt; "", TRUE,""),FALSE)</f>
        <v>1</v>
      </c>
      <c r="B230" t="str">
        <f>TRANSPOSE(T1_[Etiquetas de fila])</f>
        <v>Promo Brujas de Salamanca 35</v>
      </c>
      <c r="C230">
        <f>TRANSPOSE(T1_[Recuento de T1 CODIGO])</f>
        <v>5</v>
      </c>
    </row>
    <row r="231" spans="1:3" x14ac:dyDescent="0.25">
      <c r="A231" t="b">
        <f>IFERROR(IF(MATCH(B231,RECETAS!$A$2:$A$1700,0) &lt;&gt; "", TRUE,""),FALSE)</f>
        <v>1</v>
      </c>
      <c r="B231" t="str">
        <f>TRANSPOSE(T1_[Etiquetas de fila])</f>
        <v>Promo coca cola 237cc</v>
      </c>
      <c r="C231">
        <f>TRANSPOSE(T1_[Recuento de T1 CODIGO])</f>
        <v>12</v>
      </c>
    </row>
    <row r="232" spans="1:3" x14ac:dyDescent="0.25">
      <c r="A232" t="b">
        <f>IFERROR(IF(MATCH(B232,RECETAS!$A$2:$A$1700,0) &lt;&gt; "", TRUE,""),FALSE)</f>
        <v>1</v>
      </c>
      <c r="B232" t="str">
        <f>TRANSPOSE(T1_[Etiquetas de fila])</f>
        <v>Promo Coca cola 350cc</v>
      </c>
      <c r="C232">
        <f>TRANSPOSE(T1_[Recuento de T1 CODIGO])</f>
        <v>10</v>
      </c>
    </row>
    <row r="233" spans="1:3" x14ac:dyDescent="0.25">
      <c r="A233" t="b">
        <f>IFERROR(IF(MATCH(B233,RECETAS!$A$2:$A$1700,0) &lt;&gt; "", TRUE,""),FALSE)</f>
        <v>1</v>
      </c>
      <c r="B233" t="str">
        <f>TRANSPOSE(T1_[Etiquetas de fila])</f>
        <v>Promo Coca cola Light 350cc</v>
      </c>
      <c r="C233">
        <f>TRANSPOSE(T1_[Recuento de T1 CODIGO])</f>
        <v>1</v>
      </c>
    </row>
    <row r="234" spans="1:3" x14ac:dyDescent="0.25">
      <c r="A234" t="b">
        <f>IFERROR(IF(MATCH(B234,RECETAS!$A$2:$A$1700,0) &lt;&gt; "", TRUE,""),FALSE)</f>
        <v>1</v>
      </c>
      <c r="B234" t="str">
        <f>TRANSPOSE(T1_[Etiquetas de fila])</f>
        <v>Promo coca cola zero 237cc</v>
      </c>
      <c r="C234">
        <f>TRANSPOSE(T1_[Recuento de T1 CODIGO])</f>
        <v>37</v>
      </c>
    </row>
    <row r="235" spans="1:3" x14ac:dyDescent="0.25">
      <c r="A235" t="b">
        <f>IFERROR(IF(MATCH(B235,RECETAS!$A$2:$A$1700,0) &lt;&gt; "", TRUE,""),FALSE)</f>
        <v>1</v>
      </c>
      <c r="B235" t="str">
        <f>TRANSPOSE(T1_[Etiquetas de fila])</f>
        <v>Promo coca cola zero 350cc</v>
      </c>
      <c r="C235">
        <f>TRANSPOSE(T1_[Recuento de T1 CODIGO])</f>
        <v>24</v>
      </c>
    </row>
    <row r="236" spans="1:3" x14ac:dyDescent="0.25">
      <c r="A236" t="b">
        <f>IFERROR(IF(MATCH(B236,RECETAS!$A$2:$A$1700,0) &lt;&gt; "", TRUE,""),FALSE)</f>
        <v>0</v>
      </c>
      <c r="B236" t="str">
        <f>TRANSPOSE(T1_[Etiquetas de fila])</f>
        <v>Promo Fentimans Tónica Light</v>
      </c>
      <c r="C236">
        <f>TRANSPOSE(T1_[Recuento de T1 CODIGO])</f>
        <v>1</v>
      </c>
    </row>
    <row r="237" spans="1:3" x14ac:dyDescent="0.25">
      <c r="A237" t="b">
        <f>IFERROR(IF(MATCH(B237,RECETAS!$A$2:$A$1700,0) &lt;&gt; "", TRUE,""),FALSE)</f>
        <v>1</v>
      </c>
      <c r="B237" t="str">
        <f>TRANSPOSE(T1_[Etiquetas de fila])</f>
        <v>Promo Mistral 35° + Redbull</v>
      </c>
      <c r="C237">
        <f>TRANSPOSE(T1_[Recuento de T1 CODIGO])</f>
        <v>2</v>
      </c>
    </row>
    <row r="238" spans="1:3" x14ac:dyDescent="0.25">
      <c r="A238" t="b">
        <f>IFERROR(IF(MATCH(B238,RECETAS!$A$2:$A$1700,0) &lt;&gt; "", TRUE,""),FALSE)</f>
        <v>1</v>
      </c>
      <c r="B238" t="str">
        <f>TRANSPOSE(T1_[Etiquetas de fila])</f>
        <v>Promo pisco Sour</v>
      </c>
      <c r="C238">
        <f>TRANSPOSE(T1_[Recuento de T1 CODIGO])</f>
        <v>1</v>
      </c>
    </row>
    <row r="239" spans="1:3" x14ac:dyDescent="0.25">
      <c r="A239" t="b">
        <f>IFERROR(IF(MATCH(B239,RECETAS!$A$2:$A$1700,0) &lt;&gt; "", TRUE,""),FALSE)</f>
        <v>1</v>
      </c>
      <c r="B239" t="str">
        <f>TRANSPOSE(T1_[Etiquetas de fila])</f>
        <v>Promo Red Bull Light</v>
      </c>
      <c r="C239">
        <f>TRANSPOSE(T1_[Recuento de T1 CODIGO])</f>
        <v>6</v>
      </c>
    </row>
    <row r="240" spans="1:3" x14ac:dyDescent="0.25">
      <c r="A240" t="b">
        <f>IFERROR(IF(MATCH(B240,RECETAS!$A$2:$A$1700,0) &lt;&gt; "", TRUE,""),FALSE)</f>
        <v>1</v>
      </c>
      <c r="B240" t="str">
        <f>TRANSPOSE(T1_[Etiquetas de fila])</f>
        <v>Promo Redbull</v>
      </c>
      <c r="C240">
        <f>TRANSPOSE(T1_[Recuento de T1 CODIGO])</f>
        <v>17</v>
      </c>
    </row>
    <row r="241" spans="1:3" x14ac:dyDescent="0.25">
      <c r="A241" t="b">
        <f>IFERROR(IF(MATCH(B241,RECETAS!$A$2:$A$1700,0) &lt;&gt; "", TRUE,""),FALSE)</f>
        <v>1</v>
      </c>
      <c r="B241" t="str">
        <f>TRANSPOSE(T1_[Etiquetas de fila])</f>
        <v>Promo Schweppes Ginger zero 350cc</v>
      </c>
      <c r="C241">
        <f>TRANSPOSE(T1_[Recuento de T1 CODIGO])</f>
        <v>7</v>
      </c>
    </row>
    <row r="242" spans="1:3" x14ac:dyDescent="0.25">
      <c r="A242" t="b">
        <f>IFERROR(IF(MATCH(B242,RECETAS!$A$2:$A$1700,0) &lt;&gt; "", TRUE,""),FALSE)</f>
        <v>1</v>
      </c>
      <c r="B242" t="str">
        <f>TRANSPOSE(T1_[Etiquetas de fila])</f>
        <v>Promo Schweppes Tonica 350cc</v>
      </c>
      <c r="C242">
        <f>TRANSPOSE(T1_[Recuento de T1 CODIGO])</f>
        <v>23</v>
      </c>
    </row>
    <row r="243" spans="1:3" x14ac:dyDescent="0.25">
      <c r="A243" t="b">
        <f>IFERROR(IF(MATCH(B243,RECETAS!$A$2:$A$1700,0) &lt;&gt; "", TRUE,""),FALSE)</f>
        <v>1</v>
      </c>
      <c r="B243" t="str">
        <f>TRANSPOSE(T1_[Etiquetas de fila])</f>
        <v>Promo Sprite 237cc</v>
      </c>
      <c r="C243">
        <f>TRANSPOSE(T1_[Recuento de T1 CODIGO])</f>
        <v>3</v>
      </c>
    </row>
    <row r="244" spans="1:3" x14ac:dyDescent="0.25">
      <c r="A244" t="b">
        <f>IFERROR(IF(MATCH(B244,RECETAS!$A$2:$A$1700,0) &lt;&gt; "", TRUE,""),FALSE)</f>
        <v>0</v>
      </c>
      <c r="B244" t="str">
        <f>TRANSPOSE(T1_[Etiquetas de fila])</f>
        <v>Pumpkin</v>
      </c>
      <c r="C244">
        <f>TRANSPOSE(T1_[Recuento de T1 CODIGO])</f>
        <v>1</v>
      </c>
    </row>
    <row r="245" spans="1:3" x14ac:dyDescent="0.25">
      <c r="A245" t="b">
        <f>IFERROR(IF(MATCH(B245,RECETAS!$A$2:$A$1700,0) &lt;&gt; "", TRUE,""),FALSE)</f>
        <v>1</v>
      </c>
      <c r="B245" t="str">
        <f>TRANSPOSE(T1_[Etiquetas de fila])</f>
        <v>Quesadilla Camaron</v>
      </c>
      <c r="C245">
        <f>TRANSPOSE(T1_[Recuento de T1 CODIGO])</f>
        <v>19</v>
      </c>
    </row>
    <row r="246" spans="1:3" x14ac:dyDescent="0.25">
      <c r="A246" t="b">
        <f>IFERROR(IF(MATCH(B246,RECETAS!$A$2:$A$1700,0) &lt;&gt; "", TRUE,""),FALSE)</f>
        <v>1</v>
      </c>
      <c r="B246" t="str">
        <f>TRANSPOSE(T1_[Etiquetas de fila])</f>
        <v>Quesadilla Carne</v>
      </c>
      <c r="C246">
        <f>TRANSPOSE(T1_[Recuento de T1 CODIGO])</f>
        <v>20</v>
      </c>
    </row>
    <row r="247" spans="1:3" x14ac:dyDescent="0.25">
      <c r="A247" t="b">
        <f>IFERROR(IF(MATCH(B247,RECETAS!$A$2:$A$1700,0) &lt;&gt; "", TRUE,""),FALSE)</f>
        <v>0</v>
      </c>
      <c r="B247" t="str">
        <f>TRANSPOSE(T1_[Etiquetas de fila])</f>
        <v>QUESADILLA CHAMPIÑON</v>
      </c>
      <c r="C247">
        <f>TRANSPOSE(T1_[Recuento de T1 CODIGO])</f>
        <v>5</v>
      </c>
    </row>
    <row r="248" spans="1:3" x14ac:dyDescent="0.25">
      <c r="A248" t="b">
        <f>IFERROR(IF(MATCH(B248,RECETAS!$A$2:$A$1700,0) &lt;&gt; "", TRUE,""),FALSE)</f>
        <v>1</v>
      </c>
      <c r="B248" t="str">
        <f>TRANSPOSE(T1_[Etiquetas de fila])</f>
        <v>Quesadilla Pollo - Champignon</v>
      </c>
      <c r="C248">
        <f>TRANSPOSE(T1_[Recuento de T1 CODIGO])</f>
        <v>33</v>
      </c>
    </row>
    <row r="249" spans="1:3" x14ac:dyDescent="0.25">
      <c r="A249" t="b">
        <f>IFERROR(IF(MATCH(B249,RECETAS!$A$2:$A$1700,0) &lt;&gt; "", TRUE,""),FALSE)</f>
        <v>1</v>
      </c>
      <c r="B249" t="str">
        <f>TRANSPOSE(T1_[Etiquetas de fila])</f>
        <v>Ramazzotti</v>
      </c>
      <c r="C249">
        <f>TRANSPOSE(T1_[Recuento de T1 CODIGO])</f>
        <v>38</v>
      </c>
    </row>
    <row r="250" spans="1:3" x14ac:dyDescent="0.25">
      <c r="A250" t="b">
        <f>IFERROR(IF(MATCH(B250,RECETAS!$A$2:$A$1700,0) &lt;&gt; "", TRUE,""),FALSE)</f>
        <v>1</v>
      </c>
      <c r="B250" t="str">
        <f>TRANSPOSE(T1_[Etiquetas de fila])</f>
        <v>Red Bull normal</v>
      </c>
      <c r="C250">
        <f>TRANSPOSE(T1_[Recuento de T1 CODIGO])</f>
        <v>5</v>
      </c>
    </row>
    <row r="251" spans="1:3" x14ac:dyDescent="0.25">
      <c r="A251" t="b">
        <f>IFERROR(IF(MATCH(B251,RECETAS!$A$2:$A$1700,0) &lt;&gt; "", TRUE,""),FALSE)</f>
        <v>1</v>
      </c>
      <c r="B251" t="str">
        <f>TRANSPOSE(T1_[Etiquetas de fila])</f>
        <v>Red Bull sugar free</v>
      </c>
      <c r="C251">
        <f>TRANSPOSE(T1_[Recuento de T1 CODIGO])</f>
        <v>5</v>
      </c>
    </row>
    <row r="252" spans="1:3" x14ac:dyDescent="0.25">
      <c r="A252" t="b">
        <f>IFERROR(IF(MATCH(B252,RECETAS!$A$2:$A$1700,0) &lt;&gt; "", TRUE,""),FALSE)</f>
        <v>1</v>
      </c>
      <c r="B252" t="str">
        <f>TRANSPOSE(T1_[Etiquetas de fila])</f>
        <v>Red Bull yellow</v>
      </c>
      <c r="C252">
        <f>TRANSPOSE(T1_[Recuento de T1 CODIGO])</f>
        <v>2</v>
      </c>
    </row>
    <row r="253" spans="1:3" x14ac:dyDescent="0.25">
      <c r="A253" t="b">
        <f>IFERROR(IF(MATCH(B253,RECETAS!$A$2:$A$1700,0) &lt;&gt; "", TRUE,""),FALSE)</f>
        <v>1</v>
      </c>
      <c r="B253" t="str">
        <f>TRANSPOSE(T1_[Etiquetas de fila])</f>
        <v>Schop Becker</v>
      </c>
      <c r="C253">
        <f>TRANSPOSE(T1_[Recuento de T1 CODIGO])</f>
        <v>39</v>
      </c>
    </row>
    <row r="254" spans="1:3" x14ac:dyDescent="0.25">
      <c r="A254" t="b">
        <f>IFERROR(IF(MATCH(B254,RECETAS!$A$2:$A$1700,0) &lt;&gt; "", TRUE,""),FALSE)</f>
        <v>0</v>
      </c>
      <c r="B254" t="str">
        <f>TRANSPOSE(T1_[Etiquetas de fila])</f>
        <v>Schop Becker 2X</v>
      </c>
      <c r="C254">
        <f>TRANSPOSE(T1_[Recuento de T1 CODIGO])</f>
        <v>16</v>
      </c>
    </row>
    <row r="255" spans="1:3" x14ac:dyDescent="0.25">
      <c r="A255" t="b">
        <f>IFERROR(IF(MATCH(B255,RECETAS!$A$2:$A$1700,0) &lt;&gt; "", TRUE,""),FALSE)</f>
        <v>0</v>
      </c>
      <c r="B255" t="str">
        <f>TRANSPOSE(T1_[Etiquetas de fila])</f>
        <v>Schop Becker Michelado 2X</v>
      </c>
      <c r="C255">
        <f>TRANSPOSE(T1_[Recuento de T1 CODIGO])</f>
        <v>23</v>
      </c>
    </row>
    <row r="256" spans="1:3" x14ac:dyDescent="0.25">
      <c r="A256" t="b">
        <f>IFERROR(IF(MATCH(B256,RECETAS!$A$2:$A$1700,0) &lt;&gt; "", TRUE,""),FALSE)</f>
        <v>1</v>
      </c>
      <c r="B256" t="str">
        <f>TRANSPOSE(T1_[Etiquetas de fila])</f>
        <v>Schop Stella Artois</v>
      </c>
      <c r="C256">
        <f>TRANSPOSE(T1_[Recuento de T1 CODIGO])</f>
        <v>127</v>
      </c>
    </row>
    <row r="257" spans="1:3" x14ac:dyDescent="0.25">
      <c r="A257" t="b">
        <f>IFERROR(IF(MATCH(B257,RECETAS!$A$2:$A$1700,0) &lt;&gt; "", TRUE,""),FALSE)</f>
        <v>1</v>
      </c>
      <c r="B257" t="str">
        <f>TRANSPOSE(T1_[Etiquetas de fila])</f>
        <v>Schweppes Ginger Zero 350cc</v>
      </c>
      <c r="C257">
        <f>TRANSPOSE(T1_[Recuento de T1 CODIGO])</f>
        <v>7</v>
      </c>
    </row>
    <row r="258" spans="1:3" x14ac:dyDescent="0.25">
      <c r="A258" t="b">
        <f>IFERROR(IF(MATCH(B258,RECETAS!$A$2:$A$1700,0) &lt;&gt; "", TRUE,""),FALSE)</f>
        <v>1</v>
      </c>
      <c r="B258" t="str">
        <f>TRANSPOSE(T1_[Etiquetas de fila])</f>
        <v>Sex on The beach</v>
      </c>
      <c r="C258">
        <f>TRANSPOSE(T1_[Recuento de T1 CODIGO])</f>
        <v>15</v>
      </c>
    </row>
    <row r="259" spans="1:3" x14ac:dyDescent="0.25">
      <c r="A259" t="b">
        <f>IFERROR(IF(MATCH(B259,RECETAS!$A$2:$A$1700,0) &lt;&gt; "", TRUE,""),FALSE)</f>
        <v>1</v>
      </c>
      <c r="B259" t="str">
        <f>TRANSPOSE(T1_[Etiquetas de fila])</f>
        <v>Shot Jack Daniels Fire</v>
      </c>
      <c r="C259">
        <f>TRANSPOSE(T1_[Recuento de T1 CODIGO])</f>
        <v>1</v>
      </c>
    </row>
    <row r="260" spans="1:3" x14ac:dyDescent="0.25">
      <c r="A260" t="b">
        <f>IFERROR(IF(MATCH(B260,RECETAS!$A$2:$A$1700,0) &lt;&gt; "", TRUE,""),FALSE)</f>
        <v>1</v>
      </c>
      <c r="B260" t="str">
        <f>TRANSPOSE(T1_[Etiquetas de fila])</f>
        <v>Shot Tequila Jimador</v>
      </c>
      <c r="C260">
        <f>TRANSPOSE(T1_[Recuento de T1 CODIGO])</f>
        <v>9</v>
      </c>
    </row>
    <row r="261" spans="1:3" x14ac:dyDescent="0.25">
      <c r="A261" t="b">
        <f>IFERROR(IF(MATCH(B261,RECETAS!$A$2:$A$1700,0) &lt;&gt; "", TRUE,""),FALSE)</f>
        <v>1</v>
      </c>
      <c r="B261" t="str">
        <f>TRANSPOSE(T1_[Etiquetas de fila])</f>
        <v>Sonata Teclados</v>
      </c>
      <c r="C261">
        <f>TRANSPOSE(T1_[Recuento de T1 CODIGO])</f>
        <v>10</v>
      </c>
    </row>
    <row r="262" spans="1:3" x14ac:dyDescent="0.25">
      <c r="A262" t="b">
        <f>IFERROR(IF(MATCH(B262,RECETAS!$A$2:$A$1700,0) &lt;&gt; "", TRUE,""),FALSE)</f>
        <v>1</v>
      </c>
      <c r="B262" t="str">
        <f>TRANSPOSE(T1_[Etiquetas de fila])</f>
        <v>Spring Rolls</v>
      </c>
      <c r="C262">
        <f>TRANSPOSE(T1_[Recuento de T1 CODIGO])</f>
        <v>1</v>
      </c>
    </row>
    <row r="263" spans="1:3" x14ac:dyDescent="0.25">
      <c r="A263" t="b">
        <f>IFERROR(IF(MATCH(B263,RECETAS!$A$2:$A$1700,0) &lt;&gt; "", TRUE,""),FALSE)</f>
        <v>1</v>
      </c>
      <c r="B263" t="str">
        <f>TRANSPOSE(T1_[Etiquetas de fila])</f>
        <v>Sprite 350cc</v>
      </c>
      <c r="C263">
        <f>TRANSPOSE(T1_[Recuento de T1 CODIGO])</f>
        <v>8</v>
      </c>
    </row>
    <row r="264" spans="1:3" x14ac:dyDescent="0.25">
      <c r="A264" t="b">
        <f>IFERROR(IF(MATCH(B264,RECETAS!$A$2:$A$1700,0) &lt;&gt; "", TRUE,""),FALSE)</f>
        <v>1</v>
      </c>
      <c r="B264" t="str">
        <f>TRANSPOSE(T1_[Etiquetas de fila])</f>
        <v>Sprite Zero 350cc</v>
      </c>
      <c r="C264">
        <f>TRANSPOSE(T1_[Recuento de T1 CODIGO])</f>
        <v>20</v>
      </c>
    </row>
    <row r="265" spans="1:3" x14ac:dyDescent="0.25">
      <c r="A265" t="b">
        <f>IFERROR(IF(MATCH(B265,RECETAS!$A$2:$A$1700,0) &lt;&gt; "", TRUE,""),FALSE)</f>
        <v>1</v>
      </c>
      <c r="B265" t="str">
        <f>TRANSPOSE(T1_[Etiquetas de fila])</f>
        <v>Stella Artois</v>
      </c>
      <c r="C265">
        <f>TRANSPOSE(T1_[Recuento de T1 CODIGO])</f>
        <v>4</v>
      </c>
    </row>
    <row r="266" spans="1:3" x14ac:dyDescent="0.25">
      <c r="A266" t="b">
        <f>IFERROR(IF(MATCH(B266,RECETAS!$A$2:$A$1700,0) &lt;&gt; "", TRUE,""),FALSE)</f>
        <v>1</v>
      </c>
      <c r="B266" t="str">
        <f>TRANSPOSE(T1_[Etiquetas de fila])</f>
        <v>Stella Artois Sin Alcohol</v>
      </c>
      <c r="C266">
        <f>TRANSPOSE(T1_[Recuento de T1 CODIGO])</f>
        <v>25</v>
      </c>
    </row>
    <row r="267" spans="1:3" x14ac:dyDescent="0.25">
      <c r="A267" t="b">
        <f>IFERROR(IF(MATCH(B267,RECETAS!$A$2:$A$1700,0) &lt;&gt; "", TRUE,""),FALSE)</f>
        <v>1</v>
      </c>
      <c r="B267" t="str">
        <f>TRANSPOSE(T1_[Etiquetas de fila])</f>
        <v>Stolichnaya Premium</v>
      </c>
      <c r="C267">
        <f>TRANSPOSE(T1_[Recuento de T1 CODIGO])</f>
        <v>3</v>
      </c>
    </row>
    <row r="268" spans="1:3" x14ac:dyDescent="0.25">
      <c r="A268" t="b">
        <f>IFERROR(IF(MATCH(B268,RECETAS!$A$2:$A$1700,0) &lt;&gt; "", TRUE,""),FALSE)</f>
        <v>1</v>
      </c>
      <c r="B268" t="str">
        <f>TRANSPOSE(T1_[Etiquetas de fila])</f>
        <v>Tanqueray London</v>
      </c>
      <c r="C268">
        <f>TRANSPOSE(T1_[Recuento de T1 CODIGO])</f>
        <v>10</v>
      </c>
    </row>
    <row r="269" spans="1:3" x14ac:dyDescent="0.25">
      <c r="A269" t="b">
        <f>IFERROR(IF(MATCH(B269,RECETAS!$A$2:$A$1700,0) &lt;&gt; "", TRUE,""),FALSE)</f>
        <v>1</v>
      </c>
      <c r="B269" t="str">
        <f>TRANSPOSE(T1_[Etiquetas de fila])</f>
        <v>Tanqueray Sevilla</v>
      </c>
      <c r="C269">
        <f>TRANSPOSE(T1_[Recuento de T1 CODIGO])</f>
        <v>1</v>
      </c>
    </row>
    <row r="270" spans="1:3" x14ac:dyDescent="0.25">
      <c r="A270" t="b">
        <f>IFERROR(IF(MATCH(B270,RECETAS!$A$2:$A$1700,0) &lt;&gt; "", TRUE,""),FALSE)</f>
        <v>1</v>
      </c>
      <c r="B270" t="str">
        <f>TRANSPOSE(T1_[Etiquetas de fila])</f>
        <v>Tartaro de Salmón</v>
      </c>
      <c r="C270">
        <f>TRANSPOSE(T1_[Recuento de T1 CODIGO])</f>
        <v>4</v>
      </c>
    </row>
    <row r="271" spans="1:3" x14ac:dyDescent="0.25">
      <c r="A271" t="b">
        <f>IFERROR(IF(MATCH(B271,RECETAS!$A$2:$A$1700,0) &lt;&gt; "", TRUE,""),FALSE)</f>
        <v>0</v>
      </c>
      <c r="B271" t="str">
        <f>TRANSPOSE(T1_[Etiquetas de fila])</f>
        <v>Teclados  NOT Burger</v>
      </c>
      <c r="C271">
        <f>TRANSPOSE(T1_[Recuento de T1 CODIGO])</f>
        <v>3</v>
      </c>
    </row>
    <row r="272" spans="1:3" x14ac:dyDescent="0.25">
      <c r="A272" t="b">
        <f>IFERROR(IF(MATCH(B272,RECETAS!$A$2:$A$1700,0) &lt;&gt; "", TRUE,""),FALSE)</f>
        <v>1</v>
      </c>
      <c r="B272" t="str">
        <f>TRANSPOSE(T1_[Etiquetas de fila])</f>
        <v>Teclados Burger</v>
      </c>
      <c r="C272">
        <f>TRANSPOSE(T1_[Recuento de T1 CODIGO])</f>
        <v>20</v>
      </c>
    </row>
    <row r="273" spans="1:3" x14ac:dyDescent="0.25">
      <c r="A273" t="b">
        <f>IFERROR(IF(MATCH(B273,RECETAS!$A$2:$A$1700,0) &lt;&gt; "", TRUE,""),FALSE)</f>
        <v>0</v>
      </c>
      <c r="B273" t="str">
        <f>TRANSPOSE(T1_[Etiquetas de fila])</f>
        <v>TECLADOS SMOKED</v>
      </c>
      <c r="C273">
        <f>TRANSPOSE(T1_[Recuento de T1 CODIGO])</f>
        <v>11</v>
      </c>
    </row>
    <row r="274" spans="1:3" x14ac:dyDescent="0.25">
      <c r="A274" t="b">
        <f>IFERROR(IF(MATCH(B274,RECETAS!$A$2:$A$1700,0) &lt;&gt; "", TRUE,""),FALSE)</f>
        <v>1</v>
      </c>
      <c r="B274" t="str">
        <f>TRANSPOSE(T1_[Etiquetas de fila])</f>
        <v>Tennesse Mule</v>
      </c>
      <c r="C274">
        <f>TRANSPOSE(T1_[Recuento de T1 CODIGO])</f>
        <v>1</v>
      </c>
    </row>
    <row r="275" spans="1:3" x14ac:dyDescent="0.25">
      <c r="A275" t="b">
        <f>IFERROR(IF(MATCH(B275,RECETAS!$A$2:$A$1700,0) &lt;&gt; "", TRUE,""),FALSE)</f>
        <v>1</v>
      </c>
      <c r="B275" t="str">
        <f>TRANSPOSE(T1_[Etiquetas de fila])</f>
        <v>Tequila Sunrise</v>
      </c>
      <c r="C275">
        <f>TRANSPOSE(T1_[Recuento de T1 CODIGO])</f>
        <v>1</v>
      </c>
    </row>
    <row r="276" spans="1:3" x14ac:dyDescent="0.25">
      <c r="A276" t="b">
        <f>IFERROR(IF(MATCH(B276,RECETAS!$A$2:$A$1700,0) &lt;&gt; "", TRUE,""),FALSE)</f>
        <v>1</v>
      </c>
      <c r="B276" t="str">
        <f>TRANSPOSE(T1_[Etiquetas de fila])</f>
        <v>The Singleton 12</v>
      </c>
      <c r="C276">
        <f>TRANSPOSE(T1_[Recuento de T1 CODIGO])</f>
        <v>1</v>
      </c>
    </row>
    <row r="277" spans="1:3" x14ac:dyDescent="0.25">
      <c r="A277" t="b">
        <f>IFERROR(IF(MATCH(B277,RECETAS!$A$2:$A$1700,0) &lt;&gt; "", TRUE,""),FALSE)</f>
        <v>1</v>
      </c>
      <c r="B277" t="str">
        <f>TRANSPOSE(T1_[Etiquetas de fila])</f>
        <v>Totopos</v>
      </c>
      <c r="C277">
        <f>TRANSPOSE(T1_[Recuento de T1 CODIGO])</f>
        <v>11</v>
      </c>
    </row>
    <row r="278" spans="1:3" x14ac:dyDescent="0.25">
      <c r="A278" t="b">
        <f>IFERROR(IF(MATCH(B278,RECETAS!$A$2:$A$1700,0) &lt;&gt; "", TRUE,""),FALSE)</f>
        <v>1</v>
      </c>
      <c r="B278" t="str">
        <f>TRANSPOSE(T1_[Etiquetas de fila])</f>
        <v>Tropical Gin</v>
      </c>
      <c r="C278">
        <f>TRANSPOSE(T1_[Recuento de T1 CODIGO])</f>
        <v>50</v>
      </c>
    </row>
    <row r="279" spans="1:3" x14ac:dyDescent="0.25">
      <c r="A279" t="b">
        <f>IFERROR(IF(MATCH(B279,RECETAS!$A$2:$A$1700,0) &lt;&gt; "", TRUE,""),FALSE)</f>
        <v>1</v>
      </c>
      <c r="B279" t="str">
        <f>TRANSPOSE(T1_[Etiquetas de fila])</f>
        <v>Vaso Sangria</v>
      </c>
      <c r="C279">
        <f>TRANSPOSE(T1_[Recuento de T1 CODIGO])</f>
        <v>7</v>
      </c>
    </row>
    <row r="280" spans="1:3" x14ac:dyDescent="0.25">
      <c r="A280" t="b">
        <f>IFERROR(IF(MATCH(B280,RECETAS!$A$2:$A$1700,0) &lt;&gt; "", TRUE,""),FALSE)</f>
        <v>0</v>
      </c>
      <c r="B280" t="str">
        <f>TRANSPOSE(T1_[Etiquetas de fila])</f>
        <v>Whiskey Sour 2X</v>
      </c>
      <c r="C280">
        <f>TRANSPOSE(T1_[Recuento de T1 CODIGO])</f>
        <v>1</v>
      </c>
    </row>
    <row r="281" spans="1:3" x14ac:dyDescent="0.25">
      <c r="A281" t="b">
        <f>IFERROR(IF(MATCH(B281,RECETAS!$A$2:$A$1700,0) &lt;&gt; "", TRUE,""),FALSE)</f>
        <v>1</v>
      </c>
      <c r="B281" t="str">
        <f>TRANSPOSE(T1_[Etiquetas de fila])</f>
        <v>White Russian</v>
      </c>
      <c r="C281">
        <f>TRANSPOSE(T1_[Recuento de T1 CODIGO])</f>
        <v>7</v>
      </c>
    </row>
    <row r="282" spans="1:3" x14ac:dyDescent="0.25">
      <c r="A282" t="b">
        <f>IFERROR(IF(MATCH(B282,RECETAS!$A$2:$A$1700,0) &lt;&gt; "", TRUE,""),FALSE)</f>
        <v>0</v>
      </c>
      <c r="B282" t="str">
        <f>TRANSPOSE(T1_[Etiquetas de fila])</f>
        <v>WRAP ACEVICHADO</v>
      </c>
      <c r="C282">
        <f>TRANSPOSE(T1_[Recuento de T1 CODIGO])</f>
        <v>13</v>
      </c>
    </row>
    <row r="283" spans="1:3" x14ac:dyDescent="0.25">
      <c r="A283" t="b">
        <f>IFERROR(IF(MATCH(B283,RECETAS!$A$2:$A$1700,0) &lt;&gt; "", TRUE,""),FALSE)</f>
        <v>0</v>
      </c>
      <c r="B283" t="str">
        <f>TRANSPOSE(T1_[Etiquetas de fila])</f>
        <v>WRAP DE MECHADA</v>
      </c>
      <c r="C283">
        <f>TRANSPOSE(T1_[Recuento de T1 CODIGO])</f>
        <v>3</v>
      </c>
    </row>
    <row r="284" spans="1:3" x14ac:dyDescent="0.25">
      <c r="A284" t="b">
        <f>IFERROR(IF(MATCH(B284,RECETAS!$A$2:$A$1700,0) &lt;&gt; "", TRUE,""),FALSE)</f>
        <v>0</v>
      </c>
      <c r="B284" t="str">
        <f>TRANSPOSE(T1_[Etiquetas de fila])</f>
        <v>WRAP DE POLLO</v>
      </c>
      <c r="C284">
        <f>TRANSPOSE(T1_[Recuento de T1 CODIGO])</f>
        <v>5</v>
      </c>
    </row>
    <row r="285" spans="1:3" x14ac:dyDescent="0.25">
      <c r="A285" t="b">
        <f>IFERROR(IF(MATCH(B285,RECETAS!$A$2:$A$1700,0) &lt;&gt; "", TRUE,""),FALSE)</f>
        <v>0</v>
      </c>
      <c r="B285" t="str">
        <f>TRANSPOSE(T1_[Etiquetas de fila])</f>
        <v>WRAP VEGGIE</v>
      </c>
      <c r="C285">
        <f>TRANSPOSE(T1_[Recuento de T1 CODIGO])</f>
        <v>3</v>
      </c>
    </row>
    <row r="286" spans="1:3" x14ac:dyDescent="0.25">
      <c r="A286" t="b">
        <f>IFERROR(IF(MATCH(B286,RECETAS!$A$2:$A$1700,0) &lt;&gt; "", TRUE,""),FALSE)</f>
        <v>0</v>
      </c>
      <c r="B286" t="str">
        <f>TRANSPOSE(T1_[Etiquetas de fila])</f>
        <v>Total general</v>
      </c>
      <c r="C286">
        <f>TRANSPOSE(T1_[Recuento de T1 CODIGO])</f>
        <v>3783</v>
      </c>
    </row>
    <row r="287" spans="1:3" x14ac:dyDescent="0.25">
      <c r="A287" t="b">
        <f>IFERROR(IF(MATCH(B287,RECETAS!$A$2:$A$1700,0) &lt;&gt; "", TRUE,""),FALSE)</f>
        <v>0</v>
      </c>
      <c r="B287" t="e">
        <f>TRANSPOSE(T1_[Etiquetas de fila])</f>
        <v>#VALUE!</v>
      </c>
      <c r="C287" t="e">
        <f>TRANSPOSE(T1_[Recuento de T1 CODIGO])</f>
        <v>#VALUE!</v>
      </c>
    </row>
    <row r="288" spans="1:3" x14ac:dyDescent="0.25">
      <c r="A288" t="b">
        <f>IFERROR(IF(MATCH(B288,RECETAS!$A$2:$A$1700,0) &lt;&gt; "", TRUE,""),FALSE)</f>
        <v>0</v>
      </c>
      <c r="B288" t="e">
        <f>TRANSPOSE(T1_[Etiquetas de fila])</f>
        <v>#VALUE!</v>
      </c>
      <c r="C288" t="e">
        <f>TRANSPOSE(T1_[Recuento de T1 CODIGO])</f>
        <v>#VALUE!</v>
      </c>
    </row>
    <row r="289" spans="1:3" x14ac:dyDescent="0.25">
      <c r="A289" t="b">
        <f>IFERROR(IF(MATCH(B289,RECETAS!$A$2:$A$1700,0) &lt;&gt; "", TRUE,""),FALSE)</f>
        <v>0</v>
      </c>
      <c r="B289" t="e">
        <f>TRANSPOSE(T1_[Etiquetas de fila])</f>
        <v>#VALUE!</v>
      </c>
      <c r="C289" t="e">
        <f>TRANSPOSE(T1_[Recuento de T1 CODIGO])</f>
        <v>#VALUE!</v>
      </c>
    </row>
    <row r="290" spans="1:3" x14ac:dyDescent="0.25">
      <c r="A290" t="b">
        <f>IFERROR(IF(MATCH(B290,RECETAS!$A$2:$A$1700,0) &lt;&gt; "", TRUE,""),FALSE)</f>
        <v>0</v>
      </c>
      <c r="B290" t="e">
        <f>TRANSPOSE(T1_[Etiquetas de fila])</f>
        <v>#VALUE!</v>
      </c>
      <c r="C290" t="e">
        <f>TRANSPOSE(T1_[Recuento de T1 CODIGO])</f>
        <v>#VALUE!</v>
      </c>
    </row>
    <row r="291" spans="1:3" x14ac:dyDescent="0.25">
      <c r="A291" t="b">
        <f>IFERROR(IF(MATCH(B291,RECETAS!$A$2:$A$1700,0) &lt;&gt; "", TRUE,""),FALSE)</f>
        <v>0</v>
      </c>
      <c r="B291" t="e">
        <f>TRANSPOSE(T1_[Etiquetas de fila])</f>
        <v>#VALUE!</v>
      </c>
      <c r="C291" t="e">
        <f>TRANSPOSE(T1_[Recuento de T1 CODIGO])</f>
        <v>#VALUE!</v>
      </c>
    </row>
    <row r="292" spans="1:3" x14ac:dyDescent="0.25">
      <c r="A292" t="b">
        <f>IFERROR(IF(MATCH(B292,RECETAS!$A$2:$A$1700,0) &lt;&gt; "", TRUE,""),FALSE)</f>
        <v>0</v>
      </c>
      <c r="B292" t="e">
        <f>TRANSPOSE(T1_[Etiquetas de fila])</f>
        <v>#VALUE!</v>
      </c>
      <c r="C292" t="e">
        <f>TRANSPOSE(T1_[Recuento de T1 CODIGO])</f>
        <v>#VALUE!</v>
      </c>
    </row>
    <row r="293" spans="1:3" x14ac:dyDescent="0.25">
      <c r="A293" t="b">
        <f>IFERROR(IF(MATCH(B293,RECETAS!$A$2:$A$1700,0) &lt;&gt; "", TRUE,""),FALSE)</f>
        <v>0</v>
      </c>
      <c r="B293" t="e">
        <f>TRANSPOSE(T1_[Etiquetas de fila])</f>
        <v>#VALUE!</v>
      </c>
      <c r="C293" t="e">
        <f>TRANSPOSE(T1_[Recuento de T1 CODIGO])</f>
        <v>#VALUE!</v>
      </c>
    </row>
    <row r="294" spans="1:3" x14ac:dyDescent="0.25">
      <c r="A294" t="b">
        <f>IFERROR(IF(MATCH(B294,RECETAS!$A$2:$A$1700,0) &lt;&gt; "", TRUE,""),FALSE)</f>
        <v>0</v>
      </c>
      <c r="B294" t="e">
        <f>TRANSPOSE(T1_[Etiquetas de fila])</f>
        <v>#VALUE!</v>
      </c>
      <c r="C294" t="e">
        <f>TRANSPOSE(T1_[Recuento de T1 CODIGO])</f>
        <v>#VALUE!</v>
      </c>
    </row>
    <row r="295" spans="1:3" x14ac:dyDescent="0.25">
      <c r="A295" t="b">
        <f>IFERROR(IF(MATCH(B295,RECETAS!$A$2:$A$1700,0) &lt;&gt; "", TRUE,""),FALSE)</f>
        <v>0</v>
      </c>
      <c r="B295" t="e">
        <f>TRANSPOSE(T1_[Etiquetas de fila])</f>
        <v>#VALUE!</v>
      </c>
      <c r="C295" t="e">
        <f>TRANSPOSE(T1_[Recuento de T1 CODIGO])</f>
        <v>#VALUE!</v>
      </c>
    </row>
    <row r="296" spans="1:3" x14ac:dyDescent="0.25">
      <c r="A296" t="b">
        <f>IFERROR(IF(MATCH(B296,RECETAS!$A$2:$A$1700,0) &lt;&gt; "", TRUE,""),FALSE)</f>
        <v>0</v>
      </c>
      <c r="B296" t="e">
        <f>TRANSPOSE(T1_[Etiquetas de fila])</f>
        <v>#VALUE!</v>
      </c>
      <c r="C296" t="e">
        <f>TRANSPOSE(T1_[Recuento de T1 CODIGO])</f>
        <v>#VALUE!</v>
      </c>
    </row>
    <row r="297" spans="1:3" x14ac:dyDescent="0.25">
      <c r="A297" t="b">
        <f>IFERROR(IF(MATCH(B297,RECETAS!$A$2:$A$1700,0) &lt;&gt; "", TRUE,""),FALSE)</f>
        <v>0</v>
      </c>
      <c r="B297" t="e">
        <f>TRANSPOSE(T1_[Etiquetas de fila])</f>
        <v>#VALUE!</v>
      </c>
      <c r="C297" t="e">
        <f>TRANSPOSE(T1_[Recuento de T1 CODIGO])</f>
        <v>#VALUE!</v>
      </c>
    </row>
    <row r="298" spans="1:3" x14ac:dyDescent="0.25">
      <c r="A298" t="b">
        <f>IFERROR(IF(MATCH(B298,RECETAS!$A$2:$A$1700,0) &lt;&gt; "", TRUE,""),FALSE)</f>
        <v>0</v>
      </c>
      <c r="B298" t="e">
        <f>TRANSPOSE(T1_[Etiquetas de fila])</f>
        <v>#VALUE!</v>
      </c>
      <c r="C298" t="e">
        <f>TRANSPOSE(T1_[Recuento de T1 CODIGO])</f>
        <v>#VALUE!</v>
      </c>
    </row>
    <row r="299" spans="1:3" x14ac:dyDescent="0.25">
      <c r="A299" t="b">
        <f>IFERROR(IF(MATCH(B299,RECETAS!$A$2:$A$1700,0) &lt;&gt; "", TRUE,""),FALSE)</f>
        <v>0</v>
      </c>
      <c r="B299" t="e">
        <f>TRANSPOSE(T1_[Etiquetas de fila])</f>
        <v>#VALUE!</v>
      </c>
      <c r="C299" t="e">
        <f>TRANSPOSE(T1_[Recuento de T1 CODIGO])</f>
        <v>#VALUE!</v>
      </c>
    </row>
    <row r="300" spans="1:3" x14ac:dyDescent="0.25">
      <c r="A300" t="b">
        <f>IFERROR(IF(MATCH(B300,RECETAS!$A$2:$A$1700,0) &lt;&gt; "", TRUE,""),FALSE)</f>
        <v>0</v>
      </c>
      <c r="B300" t="e">
        <f>TRANSPOSE(T1_[Etiquetas de fila])</f>
        <v>#VALUE!</v>
      </c>
      <c r="C300" t="e">
        <f>TRANSPOSE(T1_[Recuento de T1 CODIGO])</f>
        <v>#VALUE!</v>
      </c>
    </row>
    <row r="301" spans="1:3" x14ac:dyDescent="0.25">
      <c r="A301" t="b">
        <f>IFERROR(IF(MATCH(B301,RECETAS!$A$2:$A$1700,0) &lt;&gt; "", TRUE,""),FALSE)</f>
        <v>0</v>
      </c>
      <c r="B301" t="e">
        <f>TRANSPOSE(T1_[Etiquetas de fila])</f>
        <v>#VALUE!</v>
      </c>
      <c r="C301" t="e">
        <f>TRANSPOSE(T1_[Recuento de T1 CODIGO])</f>
        <v>#VALUE!</v>
      </c>
    </row>
    <row r="302" spans="1:3" x14ac:dyDescent="0.25">
      <c r="A302" t="b">
        <f>IFERROR(IF(MATCH(B302,RECETAS!$A$2:$A$1700,0) &lt;&gt; "", TRUE,""),FALSE)</f>
        <v>0</v>
      </c>
      <c r="B302" t="e">
        <f>TRANSPOSE(T1_[Etiquetas de fila])</f>
        <v>#VALUE!</v>
      </c>
      <c r="C302" t="e">
        <f>TRANSPOSE(T1_[Recuento de T1 CODIGO])</f>
        <v>#VALUE!</v>
      </c>
    </row>
    <row r="303" spans="1:3" x14ac:dyDescent="0.25">
      <c r="A303" t="b">
        <f>IFERROR(IF(MATCH(B303,RECETAS!$A$2:$A$1700,0) &lt;&gt; "", TRUE,""),FALSE)</f>
        <v>0</v>
      </c>
      <c r="B303" t="e">
        <f>TRANSPOSE(T1_[Etiquetas de fila])</f>
        <v>#VALUE!</v>
      </c>
      <c r="C303" t="e">
        <f>TRANSPOSE(T1_[Recuento de T1 CODIGO])</f>
        <v>#VALUE!</v>
      </c>
    </row>
    <row r="304" spans="1:3" x14ac:dyDescent="0.25">
      <c r="A304" t="b">
        <f>IFERROR(IF(MATCH(B304,RECETAS!$A$2:$A$1700,0) &lt;&gt; "", TRUE,""),FALSE)</f>
        <v>0</v>
      </c>
      <c r="B304" t="e">
        <f>TRANSPOSE(T1_[Etiquetas de fila])</f>
        <v>#VALUE!</v>
      </c>
      <c r="C304" t="e">
        <f>TRANSPOSE(T1_[Recuento de T1 CODIGO])</f>
        <v>#VALUE!</v>
      </c>
    </row>
    <row r="305" spans="1:3" x14ac:dyDescent="0.25">
      <c r="A305" t="b">
        <f>IFERROR(IF(MATCH(B305,RECETAS!$A$2:$A$1700,0) &lt;&gt; "", TRUE,""),FALSE)</f>
        <v>0</v>
      </c>
      <c r="B305" t="e">
        <f>TRANSPOSE(T1_[Etiquetas de fila])</f>
        <v>#VALUE!</v>
      </c>
      <c r="C305" t="e">
        <f>TRANSPOSE(T1_[Recuento de T1 CODIGO])</f>
        <v>#VALUE!</v>
      </c>
    </row>
    <row r="306" spans="1:3" x14ac:dyDescent="0.25">
      <c r="A306" t="b">
        <f>IFERROR(IF(MATCH(B306,RECETAS!$A$2:$A$1700,0) &lt;&gt; "", TRUE,""),FALSE)</f>
        <v>0</v>
      </c>
      <c r="B306" t="e">
        <f>TRANSPOSE(T1_[Etiquetas de fila])</f>
        <v>#VALUE!</v>
      </c>
      <c r="C306" t="e">
        <f>TRANSPOSE(T1_[Recuento de T1 CODIGO])</f>
        <v>#VALUE!</v>
      </c>
    </row>
    <row r="307" spans="1:3" x14ac:dyDescent="0.25">
      <c r="A307" t="b">
        <f>IFERROR(IF(MATCH(B307,RECETAS!$A$2:$A$1700,0) &lt;&gt; "", TRUE,""),FALSE)</f>
        <v>0</v>
      </c>
      <c r="B307" t="e">
        <f>TRANSPOSE(T1_[Etiquetas de fila])</f>
        <v>#VALUE!</v>
      </c>
      <c r="C307" t="e">
        <f>TRANSPOSE(T1_[Recuento de T1 CODIGO])</f>
        <v>#VALUE!</v>
      </c>
    </row>
    <row r="308" spans="1:3" x14ac:dyDescent="0.25">
      <c r="A308" t="b">
        <f>IFERROR(IF(MATCH(B308,RECETAS!$A$2:$A$1700,0) &lt;&gt; "", TRUE,""),FALSE)</f>
        <v>0</v>
      </c>
      <c r="B308" t="e">
        <f>TRANSPOSE(T1_[Etiquetas de fila])</f>
        <v>#VALUE!</v>
      </c>
      <c r="C308" t="e">
        <f>TRANSPOSE(T1_[Recuento de T1 CODIGO])</f>
        <v>#VALUE!</v>
      </c>
    </row>
    <row r="309" spans="1:3" x14ac:dyDescent="0.25">
      <c r="A309" t="b">
        <f>IFERROR(IF(MATCH(B309,RECETAS!$A$2:$A$1700,0) &lt;&gt; "", TRUE,""),FALSE)</f>
        <v>0</v>
      </c>
      <c r="B309" t="e">
        <f>TRANSPOSE(T1_[Etiquetas de fila])</f>
        <v>#VALUE!</v>
      </c>
      <c r="C309" t="e">
        <f>TRANSPOSE(T1_[Recuento de T1 CODIGO])</f>
        <v>#VALUE!</v>
      </c>
    </row>
    <row r="310" spans="1:3" x14ac:dyDescent="0.25">
      <c r="A310" t="b">
        <f>IFERROR(IF(MATCH(B310,RECETAS!$A$2:$A$1700,0) &lt;&gt; "", TRUE,""),FALSE)</f>
        <v>0</v>
      </c>
      <c r="B310" t="e">
        <f>TRANSPOSE(T1_[Etiquetas de fila])</f>
        <v>#VALUE!</v>
      </c>
      <c r="C310" t="e">
        <f>TRANSPOSE(T1_[Recuento de T1 CODIGO])</f>
        <v>#VALUE!</v>
      </c>
    </row>
    <row r="311" spans="1:3" x14ac:dyDescent="0.25">
      <c r="A311" t="b">
        <f>IFERROR(IF(MATCH(B311,RECETAS!$A$2:$A$1700,0) &lt;&gt; "", TRUE,""),FALSE)</f>
        <v>0</v>
      </c>
      <c r="B311" t="e">
        <f>TRANSPOSE(T1_[Etiquetas de fila])</f>
        <v>#VALUE!</v>
      </c>
      <c r="C311" t="e">
        <f>TRANSPOSE(T1_[Recuento de T1 CODIGO])</f>
        <v>#VALUE!</v>
      </c>
    </row>
    <row r="312" spans="1:3" x14ac:dyDescent="0.25">
      <c r="A312" t="b">
        <f>IFERROR(IF(MATCH(B312,RECETAS!$A$2:$A$1700,0) &lt;&gt; "", TRUE,""),FALSE)</f>
        <v>0</v>
      </c>
      <c r="B312" t="e">
        <f>TRANSPOSE(T1_[Etiquetas de fila])</f>
        <v>#VALUE!</v>
      </c>
      <c r="C312" t="e">
        <f>TRANSPOSE(T1_[Recuento de T1 CODIGO])</f>
        <v>#VALUE!</v>
      </c>
    </row>
    <row r="313" spans="1:3" x14ac:dyDescent="0.25">
      <c r="A313" t="b">
        <f>IFERROR(IF(MATCH(B313,RECETAS!$A$2:$A$1700,0) &lt;&gt; "", TRUE,""),FALSE)</f>
        <v>0</v>
      </c>
      <c r="B313" t="e">
        <f>TRANSPOSE(T1_[Etiquetas de fila])</f>
        <v>#VALUE!</v>
      </c>
      <c r="C313" t="e">
        <f>TRANSPOSE(T1_[Recuento de T1 CODIGO])</f>
        <v>#VALUE!</v>
      </c>
    </row>
    <row r="314" spans="1:3" x14ac:dyDescent="0.25">
      <c r="A314" t="b">
        <f>IFERROR(IF(MATCH(B314,RECETAS!$A$2:$A$1700,0) &lt;&gt; "", TRUE,""),FALSE)</f>
        <v>0</v>
      </c>
      <c r="B314" t="e">
        <f>TRANSPOSE(T1_[Etiquetas de fila])</f>
        <v>#VALUE!</v>
      </c>
      <c r="C314" t="e">
        <f>TRANSPOSE(T1_[Recuento de T1 CODIGO])</f>
        <v>#VALUE!</v>
      </c>
    </row>
    <row r="315" spans="1:3" x14ac:dyDescent="0.25">
      <c r="A315" t="b">
        <f>IFERROR(IF(MATCH(B315,RECETAS!$A$2:$A$1700,0) &lt;&gt; "", TRUE,""),FALSE)</f>
        <v>0</v>
      </c>
      <c r="B315" t="e">
        <f>TRANSPOSE(T1_[Etiquetas de fila])</f>
        <v>#VALUE!</v>
      </c>
      <c r="C315" t="e">
        <f>TRANSPOSE(T1_[Recuento de T1 CODIGO])</f>
        <v>#VALUE!</v>
      </c>
    </row>
    <row r="316" spans="1:3" x14ac:dyDescent="0.25">
      <c r="A316" t="b">
        <f>IFERROR(IF(MATCH(B316,RECETAS!$A$2:$A$1700,0) &lt;&gt; "", TRUE,""),FALSE)</f>
        <v>0</v>
      </c>
      <c r="B316" t="e">
        <f>TRANSPOSE(T1_[Etiquetas de fila])</f>
        <v>#VALUE!</v>
      </c>
      <c r="C316" t="e">
        <f>TRANSPOSE(T1_[Recuento de T1 CODIGO])</f>
        <v>#VALUE!</v>
      </c>
    </row>
    <row r="317" spans="1:3" x14ac:dyDescent="0.25">
      <c r="A317" t="b">
        <f>IFERROR(IF(MATCH(B317,RECETAS!$A$2:$A$1700,0) &lt;&gt; "", TRUE,""),FALSE)</f>
        <v>0</v>
      </c>
      <c r="B317" t="e">
        <f>TRANSPOSE(T1_[Etiquetas de fila])</f>
        <v>#VALUE!</v>
      </c>
      <c r="C317" t="e">
        <f>TRANSPOSE(T1_[Recuento de T1 CODIGO])</f>
        <v>#VALUE!</v>
      </c>
    </row>
    <row r="318" spans="1:3" x14ac:dyDescent="0.25">
      <c r="A318" t="b">
        <f>IFERROR(IF(MATCH(B318,RECETAS!$A$2:$A$1700,0) &lt;&gt; "", TRUE,""),FALSE)</f>
        <v>0</v>
      </c>
      <c r="B318" t="e">
        <f>TRANSPOSE(T1_[Etiquetas de fila])</f>
        <v>#VALUE!</v>
      </c>
      <c r="C318" t="e">
        <f>TRANSPOSE(T1_[Recuento de T1 CODIGO])</f>
        <v>#VALUE!</v>
      </c>
    </row>
    <row r="319" spans="1:3" x14ac:dyDescent="0.25">
      <c r="A319" t="b">
        <f>IFERROR(IF(MATCH(B319,RECETAS!$A$2:$A$1700,0) &lt;&gt; "", TRUE,""),FALSE)</f>
        <v>0</v>
      </c>
      <c r="B319" t="e">
        <f>TRANSPOSE(T1_[Etiquetas de fila])</f>
        <v>#VALUE!</v>
      </c>
      <c r="C319" t="e">
        <f>TRANSPOSE(T1_[Recuento de T1 CODIGO])</f>
        <v>#VALUE!</v>
      </c>
    </row>
    <row r="320" spans="1:3" x14ac:dyDescent="0.25">
      <c r="A320" t="b">
        <f>IFERROR(IF(MATCH(B320,RECETAS!$A$2:$A$1700,0) &lt;&gt; "", TRUE,""),FALSE)</f>
        <v>0</v>
      </c>
      <c r="B320" t="e">
        <f>TRANSPOSE(T1_[Etiquetas de fila])</f>
        <v>#VALUE!</v>
      </c>
      <c r="C320" t="e">
        <f>TRANSPOSE(T1_[Recuento de T1 CODIGO])</f>
        <v>#VALUE!</v>
      </c>
    </row>
    <row r="321" spans="1:3" x14ac:dyDescent="0.25">
      <c r="A321" t="b">
        <f>IFERROR(IF(MATCH(B321,RECETAS!$A$2:$A$1700,0) &lt;&gt; "", TRUE,""),FALSE)</f>
        <v>0</v>
      </c>
      <c r="B321" t="e">
        <f>TRANSPOSE(T1_[Etiquetas de fila])</f>
        <v>#VALUE!</v>
      </c>
      <c r="C321" t="e">
        <f>TRANSPOSE(T1_[Recuento de T1 CODIGO])</f>
        <v>#VALUE!</v>
      </c>
    </row>
    <row r="322" spans="1:3" x14ac:dyDescent="0.25">
      <c r="A322" t="b">
        <f>IFERROR(IF(MATCH(B322,RECETAS!$A$2:$A$1700,0) &lt;&gt; "", TRUE,""),FALSE)</f>
        <v>0</v>
      </c>
      <c r="B322" t="e">
        <f>TRANSPOSE(T1_[Etiquetas de fila])</f>
        <v>#VALUE!</v>
      </c>
      <c r="C322" t="e">
        <f>TRANSPOSE(T1_[Recuento de T1 CODIGO])</f>
        <v>#VALUE!</v>
      </c>
    </row>
    <row r="323" spans="1:3" x14ac:dyDescent="0.25">
      <c r="A323" t="b">
        <f>IFERROR(IF(MATCH(B323,RECETAS!$A$2:$A$1700,0) &lt;&gt; "", TRUE,""),FALSE)</f>
        <v>0</v>
      </c>
      <c r="B323" t="e">
        <f>TRANSPOSE(T1_[Etiquetas de fila])</f>
        <v>#VALUE!</v>
      </c>
      <c r="C323" t="e">
        <f>TRANSPOSE(T1_[Recuento de T1 CODIGO])</f>
        <v>#VALUE!</v>
      </c>
    </row>
    <row r="324" spans="1:3" x14ac:dyDescent="0.25">
      <c r="A324" t="b">
        <f>IFERROR(IF(MATCH(B324,RECETAS!$A$2:$A$1700,0) &lt;&gt; "", TRUE,""),FALSE)</f>
        <v>0</v>
      </c>
      <c r="B324" t="e">
        <f>TRANSPOSE(T1_[Etiquetas de fila])</f>
        <v>#VALUE!</v>
      </c>
      <c r="C324" t="e">
        <f>TRANSPOSE(T1_[Recuento de T1 CODIGO])</f>
        <v>#VALUE!</v>
      </c>
    </row>
    <row r="325" spans="1:3" x14ac:dyDescent="0.25">
      <c r="A325" t="b">
        <f>IFERROR(IF(MATCH(B325,RECETAS!$A$2:$A$1700,0) &lt;&gt; "", TRUE,""),FALSE)</f>
        <v>0</v>
      </c>
      <c r="B325" t="e">
        <f>TRANSPOSE(T1_[Etiquetas de fila])</f>
        <v>#VALUE!</v>
      </c>
      <c r="C325" t="e">
        <f>TRANSPOSE(T1_[Recuento de T1 CODIGO])</f>
        <v>#VALUE!</v>
      </c>
    </row>
    <row r="326" spans="1:3" x14ac:dyDescent="0.25">
      <c r="A326" t="b">
        <f>IFERROR(IF(MATCH(B326,RECETAS!$A$2:$A$1700,0) &lt;&gt; "", TRUE,""),FALSE)</f>
        <v>0</v>
      </c>
      <c r="B326" t="e">
        <f>TRANSPOSE(T1_[Etiquetas de fila])</f>
        <v>#VALUE!</v>
      </c>
      <c r="C326" t="e">
        <f>TRANSPOSE(T1_[Recuento de T1 CODIGO])</f>
        <v>#VALUE!</v>
      </c>
    </row>
    <row r="327" spans="1:3" x14ac:dyDescent="0.25">
      <c r="A327" t="b">
        <f>IFERROR(IF(MATCH(B327,RECETAS!$A$2:$A$1700,0) &lt;&gt; "", TRUE,""),FALSE)</f>
        <v>0</v>
      </c>
      <c r="B327" t="e">
        <f>TRANSPOSE(T1_[Etiquetas de fila])</f>
        <v>#VALUE!</v>
      </c>
      <c r="C327" t="e">
        <f>TRANSPOSE(T1_[Recuento de T1 CODIGO])</f>
        <v>#VALUE!</v>
      </c>
    </row>
    <row r="328" spans="1:3" x14ac:dyDescent="0.25">
      <c r="A328" t="b">
        <f>IFERROR(IF(MATCH(B328,RECETAS!$A$2:$A$1700,0) &lt;&gt; "", TRUE,""),FALSE)</f>
        <v>0</v>
      </c>
      <c r="B328" t="e">
        <f>TRANSPOSE(T1_[Etiquetas de fila])</f>
        <v>#VALUE!</v>
      </c>
      <c r="C328" t="e">
        <f>TRANSPOSE(T1_[Recuento de T1 CODIGO])</f>
        <v>#VALUE!</v>
      </c>
    </row>
    <row r="329" spans="1:3" x14ac:dyDescent="0.25">
      <c r="A329" t="b">
        <f>IFERROR(IF(MATCH(B329,RECETAS!$A$2:$A$1700,0) &lt;&gt; "", TRUE,""),FALSE)</f>
        <v>0</v>
      </c>
      <c r="B329" t="e">
        <f>TRANSPOSE(T1_[Etiquetas de fila])</f>
        <v>#VALUE!</v>
      </c>
      <c r="C329" t="e">
        <f>TRANSPOSE(T1_[Recuento de T1 CODIGO])</f>
        <v>#VALUE!</v>
      </c>
    </row>
    <row r="330" spans="1:3" x14ac:dyDescent="0.25">
      <c r="A330" t="b">
        <f>IFERROR(IF(MATCH(B330,RECETAS!$A$2:$A$1700,0) &lt;&gt; "", TRUE,""),FALSE)</f>
        <v>0</v>
      </c>
      <c r="B330" t="e">
        <f>TRANSPOSE(T1_[Etiquetas de fila])</f>
        <v>#VALUE!</v>
      </c>
      <c r="C330" t="e">
        <f>TRANSPOSE(T1_[Recuento de T1 CODIGO])</f>
        <v>#VALUE!</v>
      </c>
    </row>
    <row r="331" spans="1:3" x14ac:dyDescent="0.25">
      <c r="A331" t="b">
        <f>IFERROR(IF(MATCH(B331,RECETAS!$A$2:$A$1700,0) &lt;&gt; "", TRUE,""),FALSE)</f>
        <v>0</v>
      </c>
      <c r="B331" t="e">
        <f>TRANSPOSE(T1_[Etiquetas de fila])</f>
        <v>#VALUE!</v>
      </c>
      <c r="C331" t="e">
        <f>TRANSPOSE(T1_[Recuento de T1 CODIGO])</f>
        <v>#VALUE!</v>
      </c>
    </row>
    <row r="332" spans="1:3" x14ac:dyDescent="0.25">
      <c r="A332" t="b">
        <f>IFERROR(IF(MATCH(B332,RECETAS!$A$2:$A$1700,0) &lt;&gt; "", TRUE,""),FALSE)</f>
        <v>0</v>
      </c>
      <c r="B332" t="e">
        <f>TRANSPOSE(T1_[Etiquetas de fila])</f>
        <v>#VALUE!</v>
      </c>
      <c r="C332" t="e">
        <f>TRANSPOSE(T1_[Recuento de T1 CODIGO])</f>
        <v>#VALUE!</v>
      </c>
    </row>
    <row r="333" spans="1:3" x14ac:dyDescent="0.25">
      <c r="A333" t="b">
        <f>IFERROR(IF(MATCH(B333,RECETAS!$A$2:$A$1700,0) &lt;&gt; "", TRUE,""),FALSE)</f>
        <v>0</v>
      </c>
      <c r="B333" t="e">
        <f>TRANSPOSE(T1_[Etiquetas de fila])</f>
        <v>#VALUE!</v>
      </c>
      <c r="C333" t="e">
        <f>TRANSPOSE(T1_[Recuento de T1 CODIGO])</f>
        <v>#VALUE!</v>
      </c>
    </row>
    <row r="334" spans="1:3" x14ac:dyDescent="0.25">
      <c r="A334" t="b">
        <f>IFERROR(IF(MATCH(B334,RECETAS!$A$2:$A$1700,0) &lt;&gt; "", TRUE,""),FALSE)</f>
        <v>0</v>
      </c>
      <c r="B334" t="e">
        <f>TRANSPOSE(T1_[Etiquetas de fila])</f>
        <v>#VALUE!</v>
      </c>
      <c r="C334" t="e">
        <f>TRANSPOSE(T1_[Recuento de T1 CODIGO])</f>
        <v>#VALUE!</v>
      </c>
    </row>
    <row r="335" spans="1:3" x14ac:dyDescent="0.25">
      <c r="A335" t="b">
        <f>IFERROR(IF(MATCH(B335,RECETAS!$A$2:$A$1700,0) &lt;&gt; "", TRUE,""),FALSE)</f>
        <v>0</v>
      </c>
      <c r="B335" t="e">
        <f>TRANSPOSE(T1_[Etiquetas de fila])</f>
        <v>#VALUE!</v>
      </c>
      <c r="C335" t="e">
        <f>TRANSPOSE(T1_[Recuento de T1 CODIGO])</f>
        <v>#VALUE!</v>
      </c>
    </row>
    <row r="336" spans="1:3" x14ac:dyDescent="0.25">
      <c r="A336" t="b">
        <f>IFERROR(IF(MATCH(B336,RECETAS!$A$2:$A$1700,0) &lt;&gt; "", TRUE,""),FALSE)</f>
        <v>0</v>
      </c>
      <c r="B336" t="e">
        <f>TRANSPOSE(T1_[Etiquetas de fila])</f>
        <v>#VALUE!</v>
      </c>
      <c r="C336" t="e">
        <f>TRANSPOSE(T1_[Recuento de T1 CODIGO])</f>
        <v>#VALUE!</v>
      </c>
    </row>
    <row r="337" spans="1:3" x14ac:dyDescent="0.25">
      <c r="A337" t="b">
        <f>IFERROR(IF(MATCH(B337,RECETAS!$A$2:$A$1700,0) &lt;&gt; "", TRUE,""),FALSE)</f>
        <v>0</v>
      </c>
      <c r="B337" t="e">
        <f>TRANSPOSE(T1_[Etiquetas de fila])</f>
        <v>#VALUE!</v>
      </c>
      <c r="C337" t="e">
        <f>TRANSPOSE(T1_[Recuento de T1 CODIGO])</f>
        <v>#VALUE!</v>
      </c>
    </row>
    <row r="338" spans="1:3" x14ac:dyDescent="0.25">
      <c r="A338" t="b">
        <f>IFERROR(IF(MATCH(B338,RECETAS!$A$2:$A$1700,0) &lt;&gt; "", TRUE,""),FALSE)</f>
        <v>0</v>
      </c>
      <c r="B338" t="e">
        <f>TRANSPOSE(T1_[Etiquetas de fila])</f>
        <v>#VALUE!</v>
      </c>
      <c r="C338" t="e">
        <f>TRANSPOSE(T1_[Recuento de T1 CODIGO])</f>
        <v>#VALUE!</v>
      </c>
    </row>
    <row r="339" spans="1:3" x14ac:dyDescent="0.25">
      <c r="A339" t="b">
        <f>IFERROR(IF(MATCH(B339,RECETAS!$A$2:$A$1700,0) &lt;&gt; "", TRUE,""),FALSE)</f>
        <v>0</v>
      </c>
      <c r="B339" t="e">
        <f>TRANSPOSE(T1_[Etiquetas de fila])</f>
        <v>#VALUE!</v>
      </c>
      <c r="C339" t="e">
        <f>TRANSPOSE(T1_[Recuento de T1 CODIGO])</f>
        <v>#VALUE!</v>
      </c>
    </row>
    <row r="340" spans="1:3" x14ac:dyDescent="0.25">
      <c r="A340" t="b">
        <f>IFERROR(IF(MATCH(B340,RECETAS!$A$2:$A$1700,0) &lt;&gt; "", TRUE,""),FALSE)</f>
        <v>0</v>
      </c>
      <c r="B340" t="e">
        <f>TRANSPOSE(T1_[Etiquetas de fila])</f>
        <v>#VALUE!</v>
      </c>
      <c r="C340" t="e">
        <f>TRANSPOSE(T1_[Recuento de T1 CODIGO])</f>
        <v>#VALUE!</v>
      </c>
    </row>
    <row r="341" spans="1:3" x14ac:dyDescent="0.25">
      <c r="A341" t="b">
        <f>IFERROR(IF(MATCH(B341,RECETAS!$A$2:$A$1700,0) &lt;&gt; "", TRUE,""),FALSE)</f>
        <v>0</v>
      </c>
      <c r="B341" t="e">
        <f>TRANSPOSE(T1_[Etiquetas de fila])</f>
        <v>#VALUE!</v>
      </c>
      <c r="C341" t="e">
        <f>TRANSPOSE(T1_[Recuento de T1 CODIGO])</f>
        <v>#VALUE!</v>
      </c>
    </row>
    <row r="342" spans="1:3" x14ac:dyDescent="0.25">
      <c r="A342" t="b">
        <f>IFERROR(IF(MATCH(B342,RECETAS!$A$2:$A$1700,0) &lt;&gt; "", TRUE,""),FALSE)</f>
        <v>0</v>
      </c>
      <c r="B342" t="e">
        <f>TRANSPOSE(T1_[Etiquetas de fila])</f>
        <v>#VALUE!</v>
      </c>
      <c r="C342" t="e">
        <f>TRANSPOSE(T1_[Recuento de T1 CODIGO])</f>
        <v>#VALUE!</v>
      </c>
    </row>
    <row r="343" spans="1:3" x14ac:dyDescent="0.25">
      <c r="A343" t="b">
        <f>IFERROR(IF(MATCH(B343,RECETAS!$A$2:$A$1700,0) &lt;&gt; "", TRUE,""),FALSE)</f>
        <v>0</v>
      </c>
      <c r="B343" t="e">
        <f>TRANSPOSE(T1_[Etiquetas de fila])</f>
        <v>#VALUE!</v>
      </c>
      <c r="C343" t="e">
        <f>TRANSPOSE(T1_[Recuento de T1 CODIGO])</f>
        <v>#VALUE!</v>
      </c>
    </row>
    <row r="344" spans="1:3" x14ac:dyDescent="0.25">
      <c r="A344" t="b">
        <f>IFERROR(IF(MATCH(B344,RECETAS!$A$2:$A$1700,0) &lt;&gt; "", TRUE,""),FALSE)</f>
        <v>0</v>
      </c>
      <c r="B344" t="e">
        <f>TRANSPOSE(T1_[Etiquetas de fila])</f>
        <v>#VALUE!</v>
      </c>
      <c r="C344" t="e">
        <f>TRANSPOSE(T1_[Recuento de T1 CODIGO])</f>
        <v>#VALUE!</v>
      </c>
    </row>
    <row r="345" spans="1:3" x14ac:dyDescent="0.25">
      <c r="A345" t="b">
        <f>IFERROR(IF(MATCH(B345,RECETAS!$A$2:$A$1700,0) &lt;&gt; "", TRUE,""),FALSE)</f>
        <v>0</v>
      </c>
      <c r="B345" t="e">
        <f>TRANSPOSE(T1_[Etiquetas de fila])</f>
        <v>#VALUE!</v>
      </c>
      <c r="C345" t="e">
        <f>TRANSPOSE(T1_[Recuento de T1 CODIGO])</f>
        <v>#VALUE!</v>
      </c>
    </row>
    <row r="346" spans="1:3" x14ac:dyDescent="0.25">
      <c r="A346" t="b">
        <f>IFERROR(IF(MATCH(B346,RECETAS!$A$2:$A$1700,0) &lt;&gt; "", TRUE,""),FALSE)</f>
        <v>0</v>
      </c>
      <c r="B346" t="e">
        <f>TRANSPOSE(T1_[Etiquetas de fila])</f>
        <v>#VALUE!</v>
      </c>
      <c r="C346" t="e">
        <f>TRANSPOSE(T1_[Recuento de T1 CODIGO])</f>
        <v>#VALUE!</v>
      </c>
    </row>
    <row r="347" spans="1:3" x14ac:dyDescent="0.25">
      <c r="A347" t="b">
        <f>IFERROR(IF(MATCH(B347,RECETAS!$A$2:$A$1700,0) &lt;&gt; "", TRUE,""),FALSE)</f>
        <v>0</v>
      </c>
      <c r="B347" t="e">
        <f>TRANSPOSE(T1_[Etiquetas de fila])</f>
        <v>#VALUE!</v>
      </c>
      <c r="C347" t="e">
        <f>TRANSPOSE(T1_[Recuento de T1 CODIGO])</f>
        <v>#VALUE!</v>
      </c>
    </row>
    <row r="348" spans="1:3" x14ac:dyDescent="0.25">
      <c r="A348" t="b">
        <f>IFERROR(IF(MATCH(B348,RECETAS!$A$2:$A$1700,0) &lt;&gt; "", TRUE,""),FALSE)</f>
        <v>0</v>
      </c>
      <c r="B348" t="e">
        <f>TRANSPOSE(T1_[Etiquetas de fila])</f>
        <v>#VALUE!</v>
      </c>
      <c r="C348" t="e">
        <f>TRANSPOSE(T1_[Recuento de T1 CODIGO])</f>
        <v>#VALUE!</v>
      </c>
    </row>
    <row r="349" spans="1:3" x14ac:dyDescent="0.25">
      <c r="A349" t="b">
        <f>IFERROR(IF(MATCH(B349,RECETAS!$A$2:$A$1700,0) &lt;&gt; "", TRUE,""),FALSE)</f>
        <v>0</v>
      </c>
      <c r="B349" t="e">
        <f>TRANSPOSE(T1_[Etiquetas de fila])</f>
        <v>#VALUE!</v>
      </c>
      <c r="C349" t="e">
        <f>TRANSPOSE(T1_[Recuento de T1 CODIGO])</f>
        <v>#VALUE!</v>
      </c>
    </row>
    <row r="350" spans="1:3" x14ac:dyDescent="0.25">
      <c r="A350" t="b">
        <f>IFERROR(IF(MATCH(B350,RECETAS!$A$2:$A$1700,0) &lt;&gt; "", TRUE,""),FALSE)</f>
        <v>0</v>
      </c>
      <c r="B350" t="e">
        <f>TRANSPOSE(T1_[Etiquetas de fila])</f>
        <v>#VALUE!</v>
      </c>
      <c r="C350" t="e">
        <f>TRANSPOSE(T1_[Recuento de T1 CODIGO])</f>
        <v>#VALUE!</v>
      </c>
    </row>
    <row r="351" spans="1:3" x14ac:dyDescent="0.25">
      <c r="A351" t="b">
        <f>IFERROR(IF(MATCH(B351,RECETAS!$A$2:$A$1700,0) &lt;&gt; "", TRUE,""),FALSE)</f>
        <v>0</v>
      </c>
      <c r="B351" t="e">
        <f>TRANSPOSE(T1_[Etiquetas de fila])</f>
        <v>#VALUE!</v>
      </c>
      <c r="C351" t="e">
        <f>TRANSPOSE(T1_[Recuento de T1 CODIGO])</f>
        <v>#VALUE!</v>
      </c>
    </row>
    <row r="352" spans="1:3" x14ac:dyDescent="0.25">
      <c r="A352" t="b">
        <f>IFERROR(IF(MATCH(B352,RECETAS!$A$2:$A$1700,0) &lt;&gt; "", TRUE,""),FALSE)</f>
        <v>0</v>
      </c>
      <c r="B352" t="e">
        <f>TRANSPOSE(T1_[Etiquetas de fila])</f>
        <v>#VALUE!</v>
      </c>
      <c r="C352" t="e">
        <f>TRANSPOSE(T1_[Recuento de T1 CODIGO])</f>
        <v>#VALUE!</v>
      </c>
    </row>
    <row r="353" spans="1:3" x14ac:dyDescent="0.25">
      <c r="A353" t="b">
        <f>IFERROR(IF(MATCH(B353,RECETAS!$A$2:$A$1700,0) &lt;&gt; "", TRUE,""),FALSE)</f>
        <v>0</v>
      </c>
      <c r="B353" t="e">
        <f>TRANSPOSE(T1_[Etiquetas de fila])</f>
        <v>#VALUE!</v>
      </c>
      <c r="C353" t="e">
        <f>TRANSPOSE(T1_[Recuento de T1 CODIGO])</f>
        <v>#VALUE!</v>
      </c>
    </row>
    <row r="354" spans="1:3" x14ac:dyDescent="0.25">
      <c r="A354" t="b">
        <f>IFERROR(IF(MATCH(B354,RECETAS!$A$2:$A$1700,0) &lt;&gt; "", TRUE,""),FALSE)</f>
        <v>0</v>
      </c>
      <c r="B354" t="e">
        <f>TRANSPOSE(T1_[Etiquetas de fila])</f>
        <v>#VALUE!</v>
      </c>
      <c r="C354" t="e">
        <f>TRANSPOSE(T1_[Recuento de T1 CODIGO])</f>
        <v>#VALUE!</v>
      </c>
    </row>
    <row r="355" spans="1:3" x14ac:dyDescent="0.25">
      <c r="A355" t="b">
        <f>IFERROR(IF(MATCH(B355,RECETAS!$A$2:$A$1700,0) &lt;&gt; "", TRUE,""),FALSE)</f>
        <v>0</v>
      </c>
      <c r="B355" t="e">
        <f>TRANSPOSE(T1_[Etiquetas de fila])</f>
        <v>#VALUE!</v>
      </c>
      <c r="C355" t="e">
        <f>TRANSPOSE(T1_[Recuento de T1 CODIGO])</f>
        <v>#VALUE!</v>
      </c>
    </row>
    <row r="356" spans="1:3" x14ac:dyDescent="0.25">
      <c r="A356" t="b">
        <f>IFERROR(IF(MATCH(B356,RECETAS!$A$2:$A$1700,0) &lt;&gt; "", TRUE,""),FALSE)</f>
        <v>0</v>
      </c>
      <c r="B356" t="e">
        <f>TRANSPOSE(T1_[Etiquetas de fila])</f>
        <v>#VALUE!</v>
      </c>
      <c r="C356" t="e">
        <f>TRANSPOSE(T1_[Recuento de T1 CODIGO])</f>
        <v>#VALUE!</v>
      </c>
    </row>
    <row r="357" spans="1:3" x14ac:dyDescent="0.25">
      <c r="A357" t="b">
        <f>IFERROR(IF(MATCH(B357,RECETAS!$A$2:$A$1700,0) &lt;&gt; "", TRUE,""),FALSE)</f>
        <v>0</v>
      </c>
      <c r="B357" t="e">
        <f>TRANSPOSE(T1_[Etiquetas de fila])</f>
        <v>#VALUE!</v>
      </c>
      <c r="C357" t="e">
        <f>TRANSPOSE(T1_[Recuento de T1 CODIGO])</f>
        <v>#VALUE!</v>
      </c>
    </row>
    <row r="358" spans="1:3" x14ac:dyDescent="0.25">
      <c r="A358" t="b">
        <f>IFERROR(IF(MATCH(B358,RECETAS!$A$2:$A$1700,0) &lt;&gt; "", TRUE,""),FALSE)</f>
        <v>0</v>
      </c>
      <c r="B358" t="e">
        <f>TRANSPOSE(T1_[Etiquetas de fila])</f>
        <v>#VALUE!</v>
      </c>
      <c r="C358" t="e">
        <f>TRANSPOSE(T1_[Recuento de T1 CODIGO])</f>
        <v>#VALUE!</v>
      </c>
    </row>
    <row r="359" spans="1:3" x14ac:dyDescent="0.25">
      <c r="A359" t="b">
        <f>IFERROR(IF(MATCH(B359,RECETAS!$A$2:$A$1700,0) &lt;&gt; "", TRUE,""),FALSE)</f>
        <v>0</v>
      </c>
      <c r="B359" t="e">
        <f>TRANSPOSE(T1_[Etiquetas de fila])</f>
        <v>#VALUE!</v>
      </c>
      <c r="C359" t="e">
        <f>TRANSPOSE(T1_[Recuento de T1 CODIGO])</f>
        <v>#VALUE!</v>
      </c>
    </row>
    <row r="360" spans="1:3" x14ac:dyDescent="0.25">
      <c r="A360" t="b">
        <f>IFERROR(IF(MATCH(B360,RECETAS!$A$2:$A$1700,0) &lt;&gt; "", TRUE,""),FALSE)</f>
        <v>0</v>
      </c>
      <c r="B360" t="e">
        <f>TRANSPOSE(T1_[Etiquetas de fila])</f>
        <v>#VALUE!</v>
      </c>
      <c r="C360" t="e">
        <f>TRANSPOSE(T1_[Recuento de T1 CODIGO])</f>
        <v>#VALUE!</v>
      </c>
    </row>
    <row r="361" spans="1:3" x14ac:dyDescent="0.25">
      <c r="A361" t="b">
        <f>IFERROR(IF(MATCH(B361,RECETAS!$A$2:$A$1700,0) &lt;&gt; "", TRUE,""),FALSE)</f>
        <v>0</v>
      </c>
      <c r="B361" t="e">
        <f>TRANSPOSE(T1_[Etiquetas de fila])</f>
        <v>#VALUE!</v>
      </c>
      <c r="C361" t="e">
        <f>TRANSPOSE(T1_[Recuento de T1 CODIGO])</f>
        <v>#VALUE!</v>
      </c>
    </row>
    <row r="362" spans="1:3" x14ac:dyDescent="0.25">
      <c r="A362" t="b">
        <f>IFERROR(IF(MATCH(B362,RECETAS!$A$2:$A$1700,0) &lt;&gt; "", TRUE,""),FALSE)</f>
        <v>0</v>
      </c>
      <c r="B362" t="e">
        <f>TRANSPOSE(T1_[Etiquetas de fila])</f>
        <v>#VALUE!</v>
      </c>
      <c r="C362" t="e">
        <f>TRANSPOSE(T1_[Recuento de T1 CODIGO])</f>
        <v>#VALUE!</v>
      </c>
    </row>
    <row r="363" spans="1:3" x14ac:dyDescent="0.25">
      <c r="A363" t="b">
        <f>IFERROR(IF(MATCH(B363,RECETAS!$A$2:$A$1700,0) &lt;&gt; "", TRUE,""),FALSE)</f>
        <v>0</v>
      </c>
      <c r="B363" t="e">
        <f>TRANSPOSE(T1_[Etiquetas de fila])</f>
        <v>#VALUE!</v>
      </c>
      <c r="C363" t="e">
        <f>TRANSPOSE(T1_[Recuento de T1 CODIGO])</f>
        <v>#VALUE!</v>
      </c>
    </row>
    <row r="364" spans="1:3" x14ac:dyDescent="0.25">
      <c r="A364" t="b">
        <f>IFERROR(IF(MATCH(B364,RECETAS!$A$2:$A$1700,0) &lt;&gt; "", TRUE,""),FALSE)</f>
        <v>0</v>
      </c>
      <c r="B364" t="e">
        <f>TRANSPOSE(T1_[Etiquetas de fila])</f>
        <v>#VALUE!</v>
      </c>
      <c r="C364" t="e">
        <f>TRANSPOSE(T1_[Recuento de T1 CODIGO])</f>
        <v>#VALUE!</v>
      </c>
    </row>
    <row r="365" spans="1:3" x14ac:dyDescent="0.25">
      <c r="A365" t="b">
        <f>IFERROR(IF(MATCH(B365,RECETAS!$A$2:$A$1700,0) &lt;&gt; "", TRUE,""),FALSE)</f>
        <v>0</v>
      </c>
      <c r="B365" t="e">
        <f>TRANSPOSE(T1_[Etiquetas de fila])</f>
        <v>#VALUE!</v>
      </c>
      <c r="C365" t="e">
        <f>TRANSPOSE(T1_[Recuento de T1 CODIGO])</f>
        <v>#VALUE!</v>
      </c>
    </row>
    <row r="366" spans="1:3" x14ac:dyDescent="0.25">
      <c r="A366" t="b">
        <f>IFERROR(IF(MATCH(B366,RECETAS!$A$2:$A$1700,0) &lt;&gt; "", TRUE,""),FALSE)</f>
        <v>0</v>
      </c>
      <c r="B366" t="e">
        <f>TRANSPOSE(T1_[Etiquetas de fila])</f>
        <v>#VALUE!</v>
      </c>
      <c r="C366" t="e">
        <f>TRANSPOSE(T1_[Recuento de T1 CODIGO])</f>
        <v>#VALUE!</v>
      </c>
    </row>
    <row r="367" spans="1:3" x14ac:dyDescent="0.25">
      <c r="A367" t="b">
        <f>IFERROR(IF(MATCH(B367,RECETAS!$A$2:$A$1700,0) &lt;&gt; "", TRUE,""),FALSE)</f>
        <v>0</v>
      </c>
      <c r="B367" t="e">
        <f>TRANSPOSE(T1_[Etiquetas de fila])</f>
        <v>#VALUE!</v>
      </c>
      <c r="C367" t="e">
        <f>TRANSPOSE(T1_[Recuento de T1 CODIGO])</f>
        <v>#VALUE!</v>
      </c>
    </row>
    <row r="368" spans="1:3" x14ac:dyDescent="0.25">
      <c r="A368" t="b">
        <f>IFERROR(IF(MATCH(B368,RECETAS!$A$2:$A$1700,0) &lt;&gt; "", TRUE,""),FALSE)</f>
        <v>0</v>
      </c>
      <c r="B368" t="e">
        <f>TRANSPOSE(T1_[Etiquetas de fila])</f>
        <v>#VALUE!</v>
      </c>
      <c r="C368" t="e">
        <f>TRANSPOSE(T1_[Recuento de T1 CODIGO])</f>
        <v>#VALUE!</v>
      </c>
    </row>
    <row r="369" spans="1:3" x14ac:dyDescent="0.25">
      <c r="A369" t="b">
        <f>IFERROR(IF(MATCH(B369,RECETAS!$A$2:$A$1700,0) &lt;&gt; "", TRUE,""),FALSE)</f>
        <v>0</v>
      </c>
      <c r="B369" t="e">
        <f>TRANSPOSE(T1_[Etiquetas de fila])</f>
        <v>#VALUE!</v>
      </c>
      <c r="C369" t="e">
        <f>TRANSPOSE(T1_[Recuento de T1 CODIGO])</f>
        <v>#VALUE!</v>
      </c>
    </row>
    <row r="370" spans="1:3" x14ac:dyDescent="0.25">
      <c r="A370" t="b">
        <f>IFERROR(IF(MATCH(B370,RECETAS!$A$2:$A$1700,0) &lt;&gt; "", TRUE,""),FALSE)</f>
        <v>0</v>
      </c>
      <c r="B370" t="e">
        <f>TRANSPOSE(T1_[Etiquetas de fila])</f>
        <v>#VALUE!</v>
      </c>
      <c r="C370" t="e">
        <f>TRANSPOSE(T1_[Recuento de T1 CODIGO])</f>
        <v>#VALUE!</v>
      </c>
    </row>
    <row r="371" spans="1:3" x14ac:dyDescent="0.25">
      <c r="A371" t="b">
        <f>IFERROR(IF(MATCH(B371,RECETAS!$A$2:$A$1700,0) &lt;&gt; "", TRUE,""),FALSE)</f>
        <v>0</v>
      </c>
      <c r="B371" t="e">
        <f>TRANSPOSE(T1_[Etiquetas de fila])</f>
        <v>#VALUE!</v>
      </c>
      <c r="C371" t="e">
        <f>TRANSPOSE(T1_[Recuento de T1 CODIGO])</f>
        <v>#VALUE!</v>
      </c>
    </row>
    <row r="372" spans="1:3" x14ac:dyDescent="0.25">
      <c r="A372" t="b">
        <f>IFERROR(IF(MATCH(B372,RECETAS!$A$2:$A$1700,0) &lt;&gt; "", TRUE,""),FALSE)</f>
        <v>0</v>
      </c>
      <c r="B372" t="e">
        <f>TRANSPOSE(T1_[Etiquetas de fila])</f>
        <v>#VALUE!</v>
      </c>
      <c r="C372" t="e">
        <f>TRANSPOSE(T1_[Recuento de T1 CODIGO])</f>
        <v>#VALUE!</v>
      </c>
    </row>
    <row r="373" spans="1:3" x14ac:dyDescent="0.25">
      <c r="A373" t="b">
        <f>IFERROR(IF(MATCH(B373,RECETAS!$A$2:$A$1700,0) &lt;&gt; "", TRUE,""),FALSE)</f>
        <v>0</v>
      </c>
      <c r="B373" t="e">
        <f>TRANSPOSE(T1_[Etiquetas de fila])</f>
        <v>#VALUE!</v>
      </c>
      <c r="C373" t="e">
        <f>TRANSPOSE(T1_[Recuento de T1 CODIGO])</f>
        <v>#VALUE!</v>
      </c>
    </row>
    <row r="374" spans="1:3" x14ac:dyDescent="0.25">
      <c r="A374" t="b">
        <f>IFERROR(IF(MATCH(B374,RECETAS!$A$2:$A$1700,0) &lt;&gt; "", TRUE,""),FALSE)</f>
        <v>0</v>
      </c>
      <c r="B374" t="e">
        <f>TRANSPOSE(T1_[Etiquetas de fila])</f>
        <v>#VALUE!</v>
      </c>
      <c r="C374" t="e">
        <f>TRANSPOSE(T1_[Recuento de T1 CODIGO])</f>
        <v>#VALUE!</v>
      </c>
    </row>
    <row r="375" spans="1:3" x14ac:dyDescent="0.25">
      <c r="A375" t="b">
        <f>IFERROR(IF(MATCH(B375,RECETAS!$A$2:$A$1700,0) &lt;&gt; "", TRUE,""),FALSE)</f>
        <v>0</v>
      </c>
      <c r="B375" t="e">
        <f>TRANSPOSE(T1_[Etiquetas de fila])</f>
        <v>#VALUE!</v>
      </c>
      <c r="C375" t="e">
        <f>TRANSPOSE(T1_[Recuento de T1 CODIGO])</f>
        <v>#VALUE!</v>
      </c>
    </row>
    <row r="376" spans="1:3" x14ac:dyDescent="0.25">
      <c r="A376" t="b">
        <f>IFERROR(IF(MATCH(B376,RECETAS!$A$2:$A$1700,0) &lt;&gt; "", TRUE,""),FALSE)</f>
        <v>0</v>
      </c>
      <c r="B376" t="e">
        <f>TRANSPOSE(T1_[Etiquetas de fila])</f>
        <v>#VALUE!</v>
      </c>
      <c r="C376" t="e">
        <f>TRANSPOSE(T1_[Recuento de T1 CODIGO])</f>
        <v>#VALUE!</v>
      </c>
    </row>
    <row r="377" spans="1:3" x14ac:dyDescent="0.25">
      <c r="A377" t="b">
        <f>IFERROR(IF(MATCH(B377,RECETAS!$A$2:$A$1700,0) &lt;&gt; "", TRUE,""),FALSE)</f>
        <v>0</v>
      </c>
      <c r="B377" t="e">
        <f>TRANSPOSE(T1_[Etiquetas de fila])</f>
        <v>#VALUE!</v>
      </c>
      <c r="C377" t="e">
        <f>TRANSPOSE(T1_[Recuento de T1 CODIGO])</f>
        <v>#VALUE!</v>
      </c>
    </row>
    <row r="378" spans="1:3" x14ac:dyDescent="0.25">
      <c r="A378" t="b">
        <f>IFERROR(IF(MATCH(B378,RECETAS!$A$2:$A$1700,0) &lt;&gt; "", TRUE,""),FALSE)</f>
        <v>0</v>
      </c>
      <c r="B378" t="e">
        <f>TRANSPOSE(T1_[Etiquetas de fila])</f>
        <v>#VALUE!</v>
      </c>
      <c r="C378" t="e">
        <f>TRANSPOSE(T1_[Recuento de T1 CODIGO])</f>
        <v>#VALUE!</v>
      </c>
    </row>
    <row r="379" spans="1:3" x14ac:dyDescent="0.25">
      <c r="A379" t="b">
        <f>IFERROR(IF(MATCH(B379,RECETAS!$A$2:$A$1700,0) &lt;&gt; "", TRUE,""),FALSE)</f>
        <v>0</v>
      </c>
      <c r="B379" t="e">
        <f>TRANSPOSE(T1_[Etiquetas de fila])</f>
        <v>#VALUE!</v>
      </c>
      <c r="C379" t="e">
        <f>TRANSPOSE(T1_[Recuento de T1 CODIGO])</f>
        <v>#VALUE!</v>
      </c>
    </row>
    <row r="380" spans="1:3" x14ac:dyDescent="0.25">
      <c r="A380" t="b">
        <f>IFERROR(IF(MATCH(B380,RECETAS!$A$2:$A$1700,0) &lt;&gt; "", TRUE,""),FALSE)</f>
        <v>0</v>
      </c>
      <c r="B380" t="e">
        <f>TRANSPOSE(T1_[Etiquetas de fila])</f>
        <v>#VALUE!</v>
      </c>
      <c r="C380" t="e">
        <f>TRANSPOSE(T1_[Recuento de T1 CODIGO])</f>
        <v>#VALUE!</v>
      </c>
    </row>
    <row r="381" spans="1:3" x14ac:dyDescent="0.25">
      <c r="A381" t="b">
        <f>IFERROR(IF(MATCH(B381,RECETAS!$A$2:$A$1700,0) &lt;&gt; "", TRUE,""),FALSE)</f>
        <v>0</v>
      </c>
      <c r="B381" t="e">
        <f>TRANSPOSE(T1_[Etiquetas de fila])</f>
        <v>#VALUE!</v>
      </c>
      <c r="C381" t="e">
        <f>TRANSPOSE(T1_[Recuento de T1 CODIGO])</f>
        <v>#VALUE!</v>
      </c>
    </row>
    <row r="382" spans="1:3" x14ac:dyDescent="0.25">
      <c r="A382" t="b">
        <f>IFERROR(IF(MATCH(B382,RECETAS!$A$2:$A$1700,0) &lt;&gt; "", TRUE,""),FALSE)</f>
        <v>0</v>
      </c>
      <c r="B382" t="e">
        <f>TRANSPOSE(T1_[Etiquetas de fila])</f>
        <v>#VALUE!</v>
      </c>
      <c r="C382" t="e">
        <f>TRANSPOSE(T1_[Recuento de T1 CODIGO])</f>
        <v>#VALUE!</v>
      </c>
    </row>
    <row r="383" spans="1:3" x14ac:dyDescent="0.25">
      <c r="A383" t="b">
        <f>IFERROR(IF(MATCH(B383,RECETAS!$A$2:$A$1700,0) &lt;&gt; "", TRUE,""),FALSE)</f>
        <v>0</v>
      </c>
      <c r="B383" t="e">
        <f>TRANSPOSE(T1_[Etiquetas de fila])</f>
        <v>#VALUE!</v>
      </c>
      <c r="C383" t="e">
        <f>TRANSPOSE(T1_[Recuento de T1 CODIGO])</f>
        <v>#VALUE!</v>
      </c>
    </row>
    <row r="384" spans="1:3" x14ac:dyDescent="0.25">
      <c r="A384" t="b">
        <f>IFERROR(IF(MATCH(B384,RECETAS!$A$2:$A$1700,0) &lt;&gt; "", TRUE,""),FALSE)</f>
        <v>0</v>
      </c>
      <c r="B384" t="e">
        <f>TRANSPOSE(T1_[Etiquetas de fila])</f>
        <v>#VALUE!</v>
      </c>
      <c r="C384" t="e">
        <f>TRANSPOSE(T1_[Recuento de T1 CODIGO])</f>
        <v>#VALUE!</v>
      </c>
    </row>
    <row r="385" spans="1:3" x14ac:dyDescent="0.25">
      <c r="A385" t="b">
        <f>IFERROR(IF(MATCH(B385,RECETAS!$A$2:$A$1700,0) &lt;&gt; "", TRUE,""),FALSE)</f>
        <v>0</v>
      </c>
      <c r="B385" t="e">
        <f>TRANSPOSE(T1_[Etiquetas de fila])</f>
        <v>#VALUE!</v>
      </c>
      <c r="C385" t="e">
        <f>TRANSPOSE(T1_[Recuento de T1 CODIGO])</f>
        <v>#VALUE!</v>
      </c>
    </row>
    <row r="386" spans="1:3" x14ac:dyDescent="0.25">
      <c r="A386" t="b">
        <f>IFERROR(IF(MATCH(B386,RECETAS!$A$2:$A$1700,0) &lt;&gt; "", TRUE,""),FALSE)</f>
        <v>0</v>
      </c>
      <c r="B386" t="e">
        <f>TRANSPOSE(T1_[Etiquetas de fila])</f>
        <v>#VALUE!</v>
      </c>
      <c r="C386" t="e">
        <f>TRANSPOSE(T1_[Recuento de T1 CODIGO])</f>
        <v>#VALUE!</v>
      </c>
    </row>
    <row r="387" spans="1:3" x14ac:dyDescent="0.25">
      <c r="A387" t="b">
        <f>IFERROR(IF(MATCH(B387,RECETAS!$A$2:$A$1700,0) &lt;&gt; "", TRUE,""),FALSE)</f>
        <v>0</v>
      </c>
      <c r="B387" t="e">
        <f>TRANSPOSE(T1_[Etiquetas de fila])</f>
        <v>#VALUE!</v>
      </c>
      <c r="C387" t="e">
        <f>TRANSPOSE(T1_[Recuento de T1 CODIGO])</f>
        <v>#VALUE!</v>
      </c>
    </row>
    <row r="388" spans="1:3" x14ac:dyDescent="0.25">
      <c r="A388" t="b">
        <f>IFERROR(IF(MATCH(B388,RECETAS!$A$2:$A$1700,0) &lt;&gt; "", TRUE,""),FALSE)</f>
        <v>0</v>
      </c>
      <c r="B388" t="e">
        <f>TRANSPOSE(T1_[Etiquetas de fila])</f>
        <v>#VALUE!</v>
      </c>
      <c r="C388" t="e">
        <f>TRANSPOSE(T1_[Recuento de T1 CODIGO])</f>
        <v>#VALUE!</v>
      </c>
    </row>
    <row r="389" spans="1:3" x14ac:dyDescent="0.25">
      <c r="A389" t="b">
        <f>IFERROR(IF(MATCH(B389,RECETAS!$A$2:$A$1700,0) &lt;&gt; "", TRUE,""),FALSE)</f>
        <v>0</v>
      </c>
      <c r="B389" t="e">
        <f>TRANSPOSE(T1_[Etiquetas de fila])</f>
        <v>#VALUE!</v>
      </c>
      <c r="C389" t="e">
        <f>TRANSPOSE(T1_[Recuento de T1 CODIGO])</f>
        <v>#VALUE!</v>
      </c>
    </row>
    <row r="390" spans="1:3" x14ac:dyDescent="0.25">
      <c r="A390" t="b">
        <f>IFERROR(IF(MATCH(B390,RECETAS!$A$2:$A$1700,0) &lt;&gt; "", TRUE,""),FALSE)</f>
        <v>0</v>
      </c>
      <c r="B390" t="e">
        <f>TRANSPOSE(T1_[Etiquetas de fila])</f>
        <v>#VALUE!</v>
      </c>
      <c r="C390" t="e">
        <f>TRANSPOSE(T1_[Recuento de T1 CODIGO])</f>
        <v>#VALUE!</v>
      </c>
    </row>
    <row r="391" spans="1:3" x14ac:dyDescent="0.25">
      <c r="A391" t="b">
        <f>IFERROR(IF(MATCH(B391,RECETAS!$A$2:$A$1700,0) &lt;&gt; "", TRUE,""),FALSE)</f>
        <v>0</v>
      </c>
      <c r="B391" t="e">
        <f>TRANSPOSE(T1_[Etiquetas de fila])</f>
        <v>#VALUE!</v>
      </c>
      <c r="C391" t="e">
        <f>TRANSPOSE(T1_[Recuento de T1 CODIGO])</f>
        <v>#VALUE!</v>
      </c>
    </row>
    <row r="392" spans="1:3" x14ac:dyDescent="0.25">
      <c r="A392" t="b">
        <f>IFERROR(IF(MATCH(B392,RECETAS!$A$2:$A$1700,0) &lt;&gt; "", TRUE,""),FALSE)</f>
        <v>0</v>
      </c>
      <c r="B392" t="e">
        <f>TRANSPOSE(T1_[Etiquetas de fila])</f>
        <v>#VALUE!</v>
      </c>
      <c r="C392" t="e">
        <f>TRANSPOSE(T1_[Recuento de T1 CODIGO])</f>
        <v>#VALUE!</v>
      </c>
    </row>
    <row r="393" spans="1:3" x14ac:dyDescent="0.25">
      <c r="A393" t="b">
        <f>IFERROR(IF(MATCH(B393,RECETAS!$A$2:$A$1700,0) &lt;&gt; "", TRUE,""),FALSE)</f>
        <v>0</v>
      </c>
      <c r="B393" t="e">
        <f>TRANSPOSE(T1_[Etiquetas de fila])</f>
        <v>#VALUE!</v>
      </c>
      <c r="C393" t="e">
        <f>TRANSPOSE(T1_[Recuento de T1 CODIGO])</f>
        <v>#VALUE!</v>
      </c>
    </row>
    <row r="394" spans="1:3" x14ac:dyDescent="0.25">
      <c r="A394" t="b">
        <f>IFERROR(IF(MATCH(B394,RECETAS!$A$2:$A$1700,0) &lt;&gt; "", TRUE,""),FALSE)</f>
        <v>0</v>
      </c>
      <c r="B394" t="e">
        <f>TRANSPOSE(T1_[Etiquetas de fila])</f>
        <v>#VALUE!</v>
      </c>
      <c r="C394" t="e">
        <f>TRANSPOSE(T1_[Recuento de T1 CODIGO])</f>
        <v>#VALUE!</v>
      </c>
    </row>
    <row r="395" spans="1:3" x14ac:dyDescent="0.25">
      <c r="A395" t="b">
        <f>IFERROR(IF(MATCH(B395,RECETAS!$A$2:$A$1700,0) &lt;&gt; "", TRUE,""),FALSE)</f>
        <v>0</v>
      </c>
      <c r="B395" t="e">
        <f>TRANSPOSE(T1_[Etiquetas de fila])</f>
        <v>#VALUE!</v>
      </c>
      <c r="C395" t="e">
        <f>TRANSPOSE(T1_[Recuento de T1 CODIGO])</f>
        <v>#VALUE!</v>
      </c>
    </row>
    <row r="396" spans="1:3" x14ac:dyDescent="0.25">
      <c r="A396" t="b">
        <f>IFERROR(IF(MATCH(B396,RECETAS!$A$2:$A$1700,0) &lt;&gt; "", TRUE,""),FALSE)</f>
        <v>0</v>
      </c>
      <c r="B396" t="e">
        <f>TRANSPOSE(T1_[Etiquetas de fila])</f>
        <v>#VALUE!</v>
      </c>
      <c r="C396" t="e">
        <f>TRANSPOSE(T1_[Recuento de T1 CODIGO])</f>
        <v>#VALUE!</v>
      </c>
    </row>
    <row r="397" spans="1:3" x14ac:dyDescent="0.25">
      <c r="A397" t="b">
        <f>IFERROR(IF(MATCH(B397,RECETAS!$A$2:$A$1700,0) &lt;&gt; "", TRUE,""),FALSE)</f>
        <v>0</v>
      </c>
      <c r="B397" t="e">
        <f>TRANSPOSE(T1_[Etiquetas de fila])</f>
        <v>#VALUE!</v>
      </c>
      <c r="C397" t="e">
        <f>TRANSPOSE(T1_[Recuento de T1 CODIGO])</f>
        <v>#VALUE!</v>
      </c>
    </row>
    <row r="398" spans="1:3" x14ac:dyDescent="0.25">
      <c r="A398" t="b">
        <f>IFERROR(IF(MATCH(B398,RECETAS!$A$2:$A$1700,0) &lt;&gt; "", TRUE,""),FALSE)</f>
        <v>0</v>
      </c>
      <c r="B398" t="e">
        <f>TRANSPOSE(T1_[Etiquetas de fila])</f>
        <v>#VALUE!</v>
      </c>
      <c r="C398" t="e">
        <f>TRANSPOSE(T1_[Recuento de T1 CODIGO])</f>
        <v>#VALUE!</v>
      </c>
    </row>
    <row r="399" spans="1:3" x14ac:dyDescent="0.25">
      <c r="A399" t="b">
        <f>IFERROR(IF(MATCH(B399,RECETAS!$A$2:$A$1700,0) &lt;&gt; "", TRUE,""),FALSE)</f>
        <v>0</v>
      </c>
      <c r="B399" t="e">
        <f>TRANSPOSE(T1_[Etiquetas de fila])</f>
        <v>#VALUE!</v>
      </c>
      <c r="C399" t="e">
        <f>TRANSPOSE(T1_[Recuento de T1 CODIGO])</f>
        <v>#VALUE!</v>
      </c>
    </row>
    <row r="400" spans="1:3" x14ac:dyDescent="0.25">
      <c r="A400" t="b">
        <f>IFERROR(IF(MATCH(B400,RECETAS!$A$2:$A$1700,0) &lt;&gt; "", TRUE,""),FALSE)</f>
        <v>0</v>
      </c>
      <c r="B400" t="e">
        <f>TRANSPOSE(T1_[Etiquetas de fila])</f>
        <v>#VALUE!</v>
      </c>
      <c r="C400" t="e">
        <f>TRANSPOSE(T1_[Recuento de T1 CODIGO])</f>
        <v>#VALUE!</v>
      </c>
    </row>
  </sheetData>
  <conditionalFormatting sqref="A3:A400">
    <cfRule type="cellIs" dxfId="235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1B317-F441-49D7-8D8C-CC2184156E0A}">
  <dimension ref="A1:D286"/>
  <sheetViews>
    <sheetView topLeftCell="A143" workbookViewId="0">
      <selection activeCell="C181" sqref="C181"/>
    </sheetView>
  </sheetViews>
  <sheetFormatPr baseColWidth="10" defaultRowHeight="15" x14ac:dyDescent="0.25"/>
  <cols>
    <col min="1" max="1" width="34.5703125" bestFit="1" customWidth="1"/>
    <col min="2" max="2" width="24.85546875" bestFit="1" customWidth="1"/>
    <col min="3" max="4" width="11.42578125" style="251"/>
  </cols>
  <sheetData>
    <row r="1" spans="1:4" x14ac:dyDescent="0.25">
      <c r="A1" t="s">
        <v>897</v>
      </c>
      <c r="B1" t="s">
        <v>898</v>
      </c>
      <c r="C1" s="251" t="s">
        <v>1083</v>
      </c>
      <c r="D1" s="251" t="s">
        <v>1086</v>
      </c>
    </row>
    <row r="2" spans="1:4" x14ac:dyDescent="0.25">
      <c r="A2" t="s">
        <v>405</v>
      </c>
      <c r="B2">
        <v>1</v>
      </c>
      <c r="C2" s="251">
        <f>LOOKUP(T1_[[#This Row],[Etiquetas de fila]],'VALORIZACION CARTA'!B:B,'VALORIZACION CARTA'!C:C)</f>
        <v>311.02222499999999</v>
      </c>
      <c r="D2" s="251">
        <f>SUM(T1_[[#This Row],[Recuento de T1 CODIGO]]*T1_[[#This Row],[Columna1]])</f>
        <v>311.02222499999999</v>
      </c>
    </row>
    <row r="3" spans="1:4" x14ac:dyDescent="0.25">
      <c r="A3" s="250" t="s">
        <v>899</v>
      </c>
      <c r="B3">
        <v>11</v>
      </c>
      <c r="C3" s="251">
        <f>LOOKUP(T1_[[#This Row],[Etiquetas de fila]],'VALORIZACION CARTA'!B:B,'VALORIZACION CARTA'!C:C)</f>
        <v>2963.8265999999999</v>
      </c>
      <c r="D3" s="251">
        <f>SUM(T1_[[#This Row],[Recuento de T1 CODIGO]]*T1_[[#This Row],[Columna1]])</f>
        <v>32602.0926</v>
      </c>
    </row>
    <row r="4" spans="1:4" x14ac:dyDescent="0.25">
      <c r="A4" s="250" t="s">
        <v>222</v>
      </c>
      <c r="B4">
        <v>1</v>
      </c>
      <c r="C4" s="251">
        <f>LOOKUP(T1_[[#This Row],[Etiquetas de fila]],'VALORIZACION CARTA'!B:B,'VALORIZACION CARTA'!C:C)</f>
        <v>4416.8310000000001</v>
      </c>
      <c r="D4" s="251">
        <f>SUM(T1_[[#This Row],[Recuento de T1 CODIGO]]*T1_[[#This Row],[Columna1]])</f>
        <v>4416.8310000000001</v>
      </c>
    </row>
    <row r="5" spans="1:4" x14ac:dyDescent="0.25">
      <c r="A5" s="250" t="s">
        <v>900</v>
      </c>
      <c r="B5">
        <v>1</v>
      </c>
      <c r="C5" s="251">
        <f>LOOKUP(T1_[[#This Row],[Etiquetas de fila]],'VALORIZACION CARTA'!B:B,'VALORIZACION CARTA'!C:C)</f>
        <v>1330.5275000000001</v>
      </c>
      <c r="D5" s="251">
        <f>SUM(T1_[[#This Row],[Recuento de T1 CODIGO]]*T1_[[#This Row],[Columna1]])</f>
        <v>1330.5275000000001</v>
      </c>
    </row>
    <row r="6" spans="1:4" x14ac:dyDescent="0.25">
      <c r="A6" s="250" t="s">
        <v>314</v>
      </c>
      <c r="B6">
        <v>7</v>
      </c>
      <c r="C6" s="251">
        <f>LOOKUP(T1_[[#This Row],[Etiquetas de fila]],'VALORIZACION CARTA'!B:B,'VALORIZACION CARTA'!C:C)</f>
        <v>1023.3517325</v>
      </c>
      <c r="D6" s="251">
        <f>SUM(T1_[[#This Row],[Recuento de T1 CODIGO]]*T1_[[#This Row],[Columna1]])</f>
        <v>7163.4621275</v>
      </c>
    </row>
    <row r="7" spans="1:4" x14ac:dyDescent="0.25">
      <c r="A7" s="250" t="s">
        <v>315</v>
      </c>
      <c r="B7">
        <v>24</v>
      </c>
      <c r="C7" s="251">
        <f>LOOKUP(T1_[[#This Row],[Etiquetas de fila]],'VALORIZACION CARTA'!B:B,'VALORIZACION CARTA'!C:C)</f>
        <v>735.52575000000002</v>
      </c>
      <c r="D7" s="251">
        <f>SUM(T1_[[#This Row],[Recuento de T1 CODIGO]]*T1_[[#This Row],[Columna1]])</f>
        <v>17652.618000000002</v>
      </c>
    </row>
    <row r="8" spans="1:4" x14ac:dyDescent="0.25">
      <c r="A8" s="250" t="s">
        <v>534</v>
      </c>
      <c r="B8">
        <v>1</v>
      </c>
      <c r="C8" s="251">
        <f>LOOKUP(T1_[[#This Row],[Etiquetas de fila]],'VALORIZACION CARTA'!B:B,'VALORIZACION CARTA'!C:C)</f>
        <v>908.22450000000003</v>
      </c>
      <c r="D8" s="251">
        <f>SUM(T1_[[#This Row],[Recuento de T1 CODIGO]]*T1_[[#This Row],[Columna1]])</f>
        <v>908.22450000000003</v>
      </c>
    </row>
    <row r="9" spans="1:4" x14ac:dyDescent="0.25">
      <c r="A9" s="250" t="s">
        <v>844</v>
      </c>
      <c r="B9">
        <v>18</v>
      </c>
      <c r="C9" s="251">
        <f>LOOKUP(T1_[[#This Row],[Etiquetas de fila]],'VALORIZACION CARTA'!B:B,'VALORIZACION CARTA'!C:C)</f>
        <v>1640.1064499999998</v>
      </c>
      <c r="D9" s="251">
        <f>SUM(T1_[[#This Row],[Recuento de T1 CODIGO]]*T1_[[#This Row],[Columna1]])</f>
        <v>29521.916099999995</v>
      </c>
    </row>
    <row r="10" spans="1:4" x14ac:dyDescent="0.25">
      <c r="A10" s="250" t="s">
        <v>901</v>
      </c>
      <c r="B10">
        <v>3</v>
      </c>
      <c r="C10" s="251">
        <f>LOOKUP(T1_[[#This Row],[Etiquetas de fila]],'VALORIZACION CARTA'!B:B,'VALORIZACION CARTA'!C:C)</f>
        <v>1640.1064499999998</v>
      </c>
      <c r="D10" s="251">
        <f>SUM(T1_[[#This Row],[Recuento de T1 CODIGO]]*T1_[[#This Row],[Columna1]])</f>
        <v>4920.3193499999998</v>
      </c>
    </row>
    <row r="11" spans="1:4" x14ac:dyDescent="0.25">
      <c r="A11" s="250" t="s">
        <v>902</v>
      </c>
      <c r="B11">
        <v>1</v>
      </c>
      <c r="C11" s="251">
        <f>LOOKUP(T1_[[#This Row],[Etiquetas de fila]],'VALORIZACION CARTA'!B:B,'VALORIZACION CARTA'!C:C)</f>
        <v>783.2898275</v>
      </c>
      <c r="D11" s="251">
        <f>SUM(T1_[[#This Row],[Recuento de T1 CODIGO]]*T1_[[#This Row],[Columna1]])</f>
        <v>783.2898275</v>
      </c>
    </row>
    <row r="12" spans="1:4" x14ac:dyDescent="0.25">
      <c r="A12" s="250" t="s">
        <v>903</v>
      </c>
      <c r="B12">
        <v>3</v>
      </c>
      <c r="C12" s="251">
        <f>LOOKUP(T1_[[#This Row],[Etiquetas de fila]],'VALORIZACION CARTA'!B:B,'VALORIZACION CARTA'!C:C)</f>
        <v>2109.2086250000002</v>
      </c>
      <c r="D12" s="251">
        <f>SUM(T1_[[#This Row],[Recuento de T1 CODIGO]]*T1_[[#This Row],[Columna1]])</f>
        <v>6327.6258750000006</v>
      </c>
    </row>
    <row r="13" spans="1:4" x14ac:dyDescent="0.25">
      <c r="A13" s="250" t="s">
        <v>904</v>
      </c>
      <c r="B13">
        <v>1</v>
      </c>
      <c r="C13" s="251">
        <f>LOOKUP(T1_[[#This Row],[Etiquetas de fila]],'VALORIZACION CARTA'!B:B,'VALORIZACION CARTA'!C:C)</f>
        <v>1143.8172</v>
      </c>
      <c r="D13" s="251">
        <f>SUM(T1_[[#This Row],[Recuento de T1 CODIGO]]*T1_[[#This Row],[Columna1]])</f>
        <v>1143.8172</v>
      </c>
    </row>
    <row r="14" spans="1:4" x14ac:dyDescent="0.25">
      <c r="A14" s="250" t="s">
        <v>905</v>
      </c>
      <c r="B14">
        <v>3</v>
      </c>
      <c r="C14" s="251">
        <f>LOOKUP(T1_[[#This Row],[Etiquetas de fila]],'VALORIZACION CARTA'!B:B,'VALORIZACION CARTA'!C:C)</f>
        <v>2403.2813750000005</v>
      </c>
      <c r="D14" s="251">
        <f>SUM(T1_[[#This Row],[Recuento de T1 CODIGO]]*T1_[[#This Row],[Columna1]])</f>
        <v>7209.8441250000014</v>
      </c>
    </row>
    <row r="15" spans="1:4" x14ac:dyDescent="0.25">
      <c r="A15" s="250" t="s">
        <v>863</v>
      </c>
      <c r="B15">
        <v>16</v>
      </c>
      <c r="C15" s="251">
        <f>LOOKUP(T1_[[#This Row],[Etiquetas de fila]],'VALORIZACION CARTA'!B:B,'VALORIZACION CARTA'!C:C)</f>
        <v>1472.6250000000002</v>
      </c>
      <c r="D15" s="251">
        <f>SUM(T1_[[#This Row],[Recuento de T1 CODIGO]]*T1_[[#This Row],[Columna1]])</f>
        <v>23562.000000000004</v>
      </c>
    </row>
    <row r="16" spans="1:4" x14ac:dyDescent="0.25">
      <c r="A16" s="250" t="s">
        <v>906</v>
      </c>
      <c r="B16">
        <v>1</v>
      </c>
      <c r="C16" s="251">
        <f>LOOKUP(T1_[[#This Row],[Etiquetas de fila]],'VALORIZACION CARTA'!B:B,'VALORIZACION CARTA'!C:C)</f>
        <v>469.48409666666663</v>
      </c>
      <c r="D16" s="251">
        <f>SUM(T1_[[#This Row],[Recuento de T1 CODIGO]]*T1_[[#This Row],[Columna1]])</f>
        <v>469.48409666666663</v>
      </c>
    </row>
    <row r="17" spans="1:4" x14ac:dyDescent="0.25">
      <c r="A17" s="250" t="s">
        <v>907</v>
      </c>
      <c r="B17">
        <v>3</v>
      </c>
      <c r="C17" s="251">
        <f>LOOKUP(T1_[[#This Row],[Etiquetas de fila]],'VALORIZACION CARTA'!B:B,'VALORIZACION CARTA'!C:C)</f>
        <v>730.20718749999992</v>
      </c>
      <c r="D17" s="251">
        <f>SUM(T1_[[#This Row],[Recuento de T1 CODIGO]]*T1_[[#This Row],[Columna1]])</f>
        <v>2190.6215624999995</v>
      </c>
    </row>
    <row r="18" spans="1:4" x14ac:dyDescent="0.25">
      <c r="A18" s="250" t="s">
        <v>908</v>
      </c>
      <c r="B18">
        <v>1</v>
      </c>
      <c r="C18" s="251">
        <f>LOOKUP(T1_[[#This Row],[Etiquetas de fila]],'VALORIZACION CARTA'!B:B,'VALORIZACION CARTA'!C:C)</f>
        <v>730.20718749999992</v>
      </c>
      <c r="D18" s="251">
        <f>SUM(T1_[[#This Row],[Recuento de T1 CODIGO]]*T1_[[#This Row],[Columna1]])</f>
        <v>730.20718749999992</v>
      </c>
    </row>
    <row r="19" spans="1:4" x14ac:dyDescent="0.25">
      <c r="A19" s="250" t="s">
        <v>606</v>
      </c>
      <c r="B19">
        <v>9</v>
      </c>
      <c r="C19" s="251">
        <f>LOOKUP(T1_[[#This Row],[Etiquetas de fila]],'VALORIZACION CARTA'!B:B,'VALORIZACION CARTA'!C:C)</f>
        <v>452.69583333333333</v>
      </c>
      <c r="D19" s="251">
        <f>SUM(T1_[[#This Row],[Recuento de T1 CODIGO]]*T1_[[#This Row],[Columna1]])</f>
        <v>4074.2624999999998</v>
      </c>
    </row>
    <row r="20" spans="1:4" x14ac:dyDescent="0.25">
      <c r="A20" s="250" t="s">
        <v>536</v>
      </c>
      <c r="B20">
        <v>1</v>
      </c>
      <c r="C20" s="251">
        <f>LOOKUP(T1_[[#This Row],[Etiquetas de fila]],'VALORIZACION CARTA'!B:B,'VALORIZACION CARTA'!C:C)</f>
        <v>930.67007000000012</v>
      </c>
      <c r="D20" s="251">
        <f>SUM(T1_[[#This Row],[Recuento de T1 CODIGO]]*T1_[[#This Row],[Columna1]])</f>
        <v>930.67007000000012</v>
      </c>
    </row>
    <row r="21" spans="1:4" x14ac:dyDescent="0.25">
      <c r="A21" s="250" t="s">
        <v>878</v>
      </c>
      <c r="B21">
        <v>2</v>
      </c>
      <c r="C21" s="251">
        <f>LOOKUP(T1_[[#This Row],[Etiquetas de fila]],'VALORIZACION CARTA'!B:B,'VALORIZACION CARTA'!C:C)</f>
        <v>824.44499999999994</v>
      </c>
      <c r="D21" s="251">
        <f>SUM(T1_[[#This Row],[Recuento de T1 CODIGO]]*T1_[[#This Row],[Columna1]])</f>
        <v>1648.8899999999999</v>
      </c>
    </row>
    <row r="22" spans="1:4" x14ac:dyDescent="0.25">
      <c r="A22" s="250" t="s">
        <v>909</v>
      </c>
      <c r="B22">
        <v>1</v>
      </c>
      <c r="C22" s="251">
        <f>LOOKUP(T1_[[#This Row],[Etiquetas de fila]],'VALORIZACION CARTA'!B:B,'VALORIZACION CARTA'!C:C)</f>
        <v>824.44499999999994</v>
      </c>
      <c r="D22" s="251">
        <f>SUM(T1_[[#This Row],[Recuento de T1 CODIGO]]*T1_[[#This Row],[Columna1]])</f>
        <v>824.44499999999994</v>
      </c>
    </row>
    <row r="23" spans="1:4" x14ac:dyDescent="0.25">
      <c r="A23" s="250" t="s">
        <v>715</v>
      </c>
      <c r="B23">
        <v>1</v>
      </c>
      <c r="C23" s="251">
        <f>LOOKUP(T1_[[#This Row],[Etiquetas de fila]],'VALORIZACION CARTA'!B:B,'VALORIZACION CARTA'!C:C)</f>
        <v>824.44499999999994</v>
      </c>
      <c r="D23" s="251">
        <f>SUM(T1_[[#This Row],[Recuento de T1 CODIGO]]*T1_[[#This Row],[Columna1]])</f>
        <v>824.44499999999994</v>
      </c>
    </row>
    <row r="24" spans="1:4" x14ac:dyDescent="0.25">
      <c r="A24" s="250" t="s">
        <v>910</v>
      </c>
      <c r="B24">
        <v>1</v>
      </c>
      <c r="C24" s="251">
        <f>LOOKUP(T1_[[#This Row],[Etiquetas de fila]],'VALORIZACION CARTA'!B:B,'VALORIZACION CARTA'!C:C)</f>
        <v>557.9765625</v>
      </c>
      <c r="D24" s="251">
        <f>SUM(T1_[[#This Row],[Recuento de T1 CODIGO]]*T1_[[#This Row],[Columna1]])</f>
        <v>557.9765625</v>
      </c>
    </row>
    <row r="25" spans="1:4" x14ac:dyDescent="0.25">
      <c r="A25" s="250" t="s">
        <v>911</v>
      </c>
      <c r="B25">
        <v>3</v>
      </c>
      <c r="C25" s="251">
        <f>LOOKUP(T1_[[#This Row],[Etiquetas de fila]],'VALORIZACION CARTA'!B:B,'VALORIZACION CARTA'!C:C)</f>
        <v>560.41606249999995</v>
      </c>
      <c r="D25" s="251">
        <f>SUM(T1_[[#This Row],[Recuento de T1 CODIGO]]*T1_[[#This Row],[Columna1]])</f>
        <v>1681.2481874999999</v>
      </c>
    </row>
    <row r="26" spans="1:4" x14ac:dyDescent="0.25">
      <c r="A26" s="250" t="s">
        <v>888</v>
      </c>
      <c r="B26">
        <v>5</v>
      </c>
      <c r="C26" s="251">
        <f>LOOKUP(T1_[[#This Row],[Etiquetas de fila]],'VALORIZACION CARTA'!B:B,'VALORIZACION CARTA'!C:C)</f>
        <v>536.40037499999994</v>
      </c>
      <c r="D26" s="251">
        <f>SUM(T1_[[#This Row],[Recuento de T1 CODIGO]]*T1_[[#This Row],[Columna1]])</f>
        <v>2682.0018749999999</v>
      </c>
    </row>
    <row r="27" spans="1:4" x14ac:dyDescent="0.25">
      <c r="A27" s="250" t="s">
        <v>608</v>
      </c>
      <c r="B27">
        <v>1</v>
      </c>
      <c r="C27" s="251">
        <f>LOOKUP(T1_[[#This Row],[Etiquetas de fila]],'VALORIZACION CARTA'!B:B,'VALORIZACION CARTA'!C:C)</f>
        <v>385.9550625</v>
      </c>
      <c r="D27" s="251">
        <f>SUM(T1_[[#This Row],[Recuento de T1 CODIGO]]*T1_[[#This Row],[Columna1]])</f>
        <v>385.9550625</v>
      </c>
    </row>
    <row r="28" spans="1:4" x14ac:dyDescent="0.25">
      <c r="A28" s="250" t="s">
        <v>912</v>
      </c>
      <c r="B28">
        <v>9</v>
      </c>
      <c r="C28" s="251">
        <f>LOOKUP(T1_[[#This Row],[Etiquetas de fila]],'VALORIZACION CARTA'!B:B,'VALORIZACION CARTA'!C:C)</f>
        <v>385.9550625</v>
      </c>
      <c r="D28" s="251">
        <f>SUM(T1_[[#This Row],[Recuento de T1 CODIGO]]*T1_[[#This Row],[Columna1]])</f>
        <v>3473.5955625000001</v>
      </c>
    </row>
    <row r="29" spans="1:4" x14ac:dyDescent="0.25">
      <c r="A29" s="250" t="s">
        <v>913</v>
      </c>
      <c r="B29">
        <v>1</v>
      </c>
      <c r="C29" s="251">
        <f>LOOKUP(T1_[[#This Row],[Etiquetas de fila]],'VALORIZACION CARTA'!B:B,'VALORIZACION CARTA'!C:C)</f>
        <v>1291.4972599999999</v>
      </c>
      <c r="D29" s="251">
        <f>SUM(T1_[[#This Row],[Recuento de T1 CODIGO]]*T1_[[#This Row],[Columna1]])</f>
        <v>1291.4972599999999</v>
      </c>
    </row>
    <row r="30" spans="1:4" x14ac:dyDescent="0.25">
      <c r="A30" s="250" t="s">
        <v>609</v>
      </c>
      <c r="B30">
        <v>17</v>
      </c>
      <c r="C30" s="251">
        <f>LOOKUP(T1_[[#This Row],[Etiquetas de fila]],'VALORIZACION CARTA'!B:B,'VALORIZACION CARTA'!C:C)</f>
        <v>5020.5566775956286</v>
      </c>
      <c r="D30" s="251">
        <f>SUM(T1_[[#This Row],[Recuento de T1 CODIGO]]*T1_[[#This Row],[Columna1]])</f>
        <v>85349.463519125682</v>
      </c>
    </row>
    <row r="31" spans="1:4" x14ac:dyDescent="0.25">
      <c r="A31" s="250" t="s">
        <v>914</v>
      </c>
      <c r="B31">
        <v>5</v>
      </c>
      <c r="C31" s="251">
        <f>LOOKUP(T1_[[#This Row],[Etiquetas de fila]],'VALORIZACION CARTA'!B:B,'VALORIZACION CARTA'!C:C)</f>
        <v>5020.5566775956286</v>
      </c>
      <c r="D31" s="251">
        <f>SUM(T1_[[#This Row],[Recuento de T1 CODIGO]]*T1_[[#This Row],[Columna1]])</f>
        <v>25102.783387978143</v>
      </c>
    </row>
    <row r="32" spans="1:4" x14ac:dyDescent="0.25">
      <c r="A32" s="250" t="s">
        <v>915</v>
      </c>
      <c r="B32">
        <v>1</v>
      </c>
      <c r="C32" s="251">
        <f>LOOKUP(T1_[[#This Row],[Etiquetas de fila]],'VALORIZACION CARTA'!B:B,'VALORIZACION CARTA'!C:C)</f>
        <v>5020.5566775956286</v>
      </c>
      <c r="D32" s="251">
        <f>SUM(T1_[[#This Row],[Recuento de T1 CODIGO]]*T1_[[#This Row],[Columna1]])</f>
        <v>5020.5566775956286</v>
      </c>
    </row>
    <row r="33" spans="1:4" x14ac:dyDescent="0.25">
      <c r="A33" s="250" t="s">
        <v>876</v>
      </c>
      <c r="B33">
        <v>22</v>
      </c>
      <c r="C33" s="251">
        <f>LOOKUP(T1_[[#This Row],[Etiquetas de fila]],'VALORIZACION CARTA'!B:B,'VALORIZACION CARTA'!C:C)</f>
        <v>5736.3950000000004</v>
      </c>
      <c r="D33" s="251">
        <f>SUM(T1_[[#This Row],[Recuento de T1 CODIGO]]*T1_[[#This Row],[Columna1]])</f>
        <v>126200.69</v>
      </c>
    </row>
    <row r="34" spans="1:4" x14ac:dyDescent="0.25">
      <c r="A34" s="250" t="s">
        <v>916</v>
      </c>
      <c r="B34">
        <v>33</v>
      </c>
      <c r="C34" s="251">
        <f>LOOKUP(T1_[[#This Row],[Etiquetas de fila]],'VALORIZACION CARTA'!B:B,'VALORIZACION CARTA'!C:C)</f>
        <v>3519.4250000000002</v>
      </c>
      <c r="D34" s="251">
        <f>SUM(T1_[[#This Row],[Recuento de T1 CODIGO]]*T1_[[#This Row],[Columna1]])</f>
        <v>116141.02500000001</v>
      </c>
    </row>
    <row r="35" spans="1:4" x14ac:dyDescent="0.25">
      <c r="A35" s="250" t="s">
        <v>917</v>
      </c>
      <c r="B35">
        <v>23</v>
      </c>
      <c r="C35" s="251">
        <f>LOOKUP(T1_[[#This Row],[Etiquetas de fila]],'VALORIZACION CARTA'!B:B,'VALORIZACION CARTA'!C:C)</f>
        <v>2751.875</v>
      </c>
      <c r="D35" s="251">
        <f>SUM(T1_[[#This Row],[Recuento de T1 CODIGO]]*T1_[[#This Row],[Columna1]])</f>
        <v>63293.125</v>
      </c>
    </row>
    <row r="36" spans="1:4" x14ac:dyDescent="0.25">
      <c r="A36" s="250" t="s">
        <v>853</v>
      </c>
      <c r="B36">
        <v>35</v>
      </c>
      <c r="C36" s="251">
        <f>LOOKUP(T1_[[#This Row],[Etiquetas de fila]],'VALORIZACION CARTA'!B:B,'VALORIZACION CARTA'!C:C)</f>
        <v>3628.0124999999998</v>
      </c>
      <c r="D36" s="251">
        <f>SUM(T1_[[#This Row],[Recuento de T1 CODIGO]]*T1_[[#This Row],[Columna1]])</f>
        <v>126980.4375</v>
      </c>
    </row>
    <row r="37" spans="1:4" x14ac:dyDescent="0.25">
      <c r="A37" s="250" t="s">
        <v>610</v>
      </c>
      <c r="B37">
        <v>138</v>
      </c>
      <c r="C37" s="251">
        <f>LOOKUP(T1_[[#This Row],[Etiquetas de fila]],'VALORIZACION CARTA'!B:B,'VALORIZACION CARTA'!C:C)</f>
        <v>3943.0650000000001</v>
      </c>
      <c r="D37" s="251">
        <f>SUM(T1_[[#This Row],[Recuento de T1 CODIGO]]*T1_[[#This Row],[Columna1]])</f>
        <v>544142.97</v>
      </c>
    </row>
    <row r="38" spans="1:4" x14ac:dyDescent="0.25">
      <c r="A38" s="250" t="s">
        <v>724</v>
      </c>
      <c r="B38">
        <v>11</v>
      </c>
      <c r="C38" s="251">
        <f>LOOKUP(T1_[[#This Row],[Etiquetas de fila]],'VALORIZACION CARTA'!B:B,'VALORIZACION CARTA'!C:C)</f>
        <v>1087.0650000000001</v>
      </c>
      <c r="D38" s="251">
        <f>SUM(T1_[[#This Row],[Recuento de T1 CODIGO]]*T1_[[#This Row],[Columna1]])</f>
        <v>11957.715</v>
      </c>
    </row>
    <row r="39" spans="1:4" x14ac:dyDescent="0.25">
      <c r="A39" s="250" t="s">
        <v>892</v>
      </c>
      <c r="B39">
        <v>2</v>
      </c>
      <c r="C39" s="251">
        <f>LOOKUP(T1_[[#This Row],[Etiquetas de fila]],'VALORIZACION CARTA'!B:B,'VALORIZACION CARTA'!C:C)</f>
        <v>1087.0650000000001</v>
      </c>
      <c r="D39" s="251">
        <f>SUM(T1_[[#This Row],[Recuento de T1 CODIGO]]*T1_[[#This Row],[Columna1]])</f>
        <v>2174.13</v>
      </c>
    </row>
    <row r="40" spans="1:4" x14ac:dyDescent="0.25">
      <c r="A40" s="250" t="s">
        <v>918</v>
      </c>
      <c r="B40">
        <v>17</v>
      </c>
      <c r="C40" s="251">
        <f>LOOKUP(T1_[[#This Row],[Etiquetas de fila]],'VALORIZACION CARTA'!B:B,'VALORIZACION CARTA'!C:C)</f>
        <v>1087.0650000000001</v>
      </c>
      <c r="D40" s="251">
        <f>SUM(T1_[[#This Row],[Recuento de T1 CODIGO]]*T1_[[#This Row],[Columna1]])</f>
        <v>18480.105</v>
      </c>
    </row>
    <row r="41" spans="1:4" x14ac:dyDescent="0.25">
      <c r="A41" s="250" t="s">
        <v>870</v>
      </c>
      <c r="B41">
        <v>2</v>
      </c>
      <c r="C41" s="251">
        <f>LOOKUP(T1_[[#This Row],[Etiquetas de fila]],'VALORIZACION CARTA'!B:B,'VALORIZACION CARTA'!C:C)</f>
        <v>1151.1932600000002</v>
      </c>
      <c r="D41" s="251">
        <f>SUM(T1_[[#This Row],[Recuento de T1 CODIGO]]*T1_[[#This Row],[Columna1]])</f>
        <v>2302.3865200000005</v>
      </c>
    </row>
    <row r="42" spans="1:4" x14ac:dyDescent="0.25">
      <c r="A42" s="250" t="s">
        <v>841</v>
      </c>
      <c r="B42">
        <v>39</v>
      </c>
      <c r="C42" s="251">
        <f>LOOKUP(T1_[[#This Row],[Etiquetas de fila]],'VALORIZACION CARTA'!B:B,'VALORIZACION CARTA'!C:C)</f>
        <v>664.35</v>
      </c>
      <c r="D42" s="251">
        <f>SUM(T1_[[#This Row],[Recuento de T1 CODIGO]]*T1_[[#This Row],[Columna1]])</f>
        <v>25909.65</v>
      </c>
    </row>
    <row r="43" spans="1:4" x14ac:dyDescent="0.25">
      <c r="A43" s="250" t="s">
        <v>869</v>
      </c>
      <c r="B43">
        <v>27</v>
      </c>
      <c r="C43" s="251">
        <f>LOOKUP(T1_[[#This Row],[Etiquetas de fila]],'VALORIZACION CARTA'!B:B,'VALORIZACION CARTA'!C:C)</f>
        <v>664.24679999999989</v>
      </c>
      <c r="D43" s="251">
        <f>SUM(T1_[[#This Row],[Recuento de T1 CODIGO]]*T1_[[#This Row],[Columna1]])</f>
        <v>17934.663599999996</v>
      </c>
    </row>
    <row r="44" spans="1:4" x14ac:dyDescent="0.25">
      <c r="A44" s="250" t="s">
        <v>316</v>
      </c>
      <c r="B44">
        <v>67</v>
      </c>
      <c r="C44" s="251">
        <f>LOOKUP(T1_[[#This Row],[Etiquetas de fila]],'VALORIZACION CARTA'!B:B,'VALORIZACION CARTA'!C:C)</f>
        <v>664.24679999999989</v>
      </c>
      <c r="D44" s="251">
        <f>SUM(T1_[[#This Row],[Recuento de T1 CODIGO]]*T1_[[#This Row],[Columna1]])</f>
        <v>44504.535599999996</v>
      </c>
    </row>
    <row r="45" spans="1:4" x14ac:dyDescent="0.25">
      <c r="A45" s="250" t="s">
        <v>859</v>
      </c>
      <c r="B45">
        <v>11</v>
      </c>
      <c r="C45" s="251">
        <f>LOOKUP(T1_[[#This Row],[Etiquetas de fila]],'VALORIZACION CARTA'!B:B,'VALORIZACION CARTA'!C:C)</f>
        <v>855.13499999999999</v>
      </c>
      <c r="D45" s="251">
        <f>SUM(T1_[[#This Row],[Recuento de T1 CODIGO]]*T1_[[#This Row],[Columna1]])</f>
        <v>9406.4850000000006</v>
      </c>
    </row>
    <row r="46" spans="1:4" x14ac:dyDescent="0.25">
      <c r="A46" s="250" t="s">
        <v>919</v>
      </c>
      <c r="B46">
        <v>3</v>
      </c>
      <c r="C46" s="251">
        <f>LOOKUP(T1_[[#This Row],[Etiquetas de fila]],'VALORIZACION CARTA'!B:B,'VALORIZACION CARTA'!C:C)</f>
        <v>855.13499999999999</v>
      </c>
      <c r="D46" s="251">
        <f>SUM(T1_[[#This Row],[Recuento de T1 CODIGO]]*T1_[[#This Row],[Columna1]])</f>
        <v>2565.4049999999997</v>
      </c>
    </row>
    <row r="47" spans="1:4" x14ac:dyDescent="0.25">
      <c r="A47" s="250" t="s">
        <v>920</v>
      </c>
      <c r="B47">
        <v>3</v>
      </c>
      <c r="C47" s="251">
        <f>LOOKUP(T1_[[#This Row],[Etiquetas de fila]],'VALORIZACION CARTA'!B:B,'VALORIZACION CARTA'!C:C)</f>
        <v>855.13499999999999</v>
      </c>
      <c r="D47" s="251">
        <f>SUM(T1_[[#This Row],[Recuento de T1 CODIGO]]*T1_[[#This Row],[Columna1]])</f>
        <v>2565.4049999999997</v>
      </c>
    </row>
    <row r="48" spans="1:4" x14ac:dyDescent="0.25">
      <c r="A48" s="250" t="s">
        <v>886</v>
      </c>
      <c r="B48">
        <v>3</v>
      </c>
      <c r="C48" s="251">
        <f>LOOKUP(T1_[[#This Row],[Etiquetas de fila]],'VALORIZACION CARTA'!B:B,'VALORIZACION CARTA'!C:C)</f>
        <v>855.13499999999999</v>
      </c>
      <c r="D48" s="251">
        <f>SUM(T1_[[#This Row],[Recuento de T1 CODIGO]]*T1_[[#This Row],[Columna1]])</f>
        <v>2565.4049999999997</v>
      </c>
    </row>
    <row r="49" spans="1:4" x14ac:dyDescent="0.25">
      <c r="A49" s="250" t="s">
        <v>921</v>
      </c>
      <c r="B49">
        <v>10</v>
      </c>
      <c r="C49" s="251">
        <f>LOOKUP(T1_[[#This Row],[Etiquetas de fila]],'VALORIZACION CARTA'!B:B,'VALORIZACION CARTA'!C:C)</f>
        <v>427.84008749999998</v>
      </c>
      <c r="D49" s="251">
        <f>SUM(T1_[[#This Row],[Recuento de T1 CODIGO]]*T1_[[#This Row],[Columna1]])</f>
        <v>4278.4008749999994</v>
      </c>
    </row>
    <row r="50" spans="1:4" x14ac:dyDescent="0.25">
      <c r="A50" s="250" t="s">
        <v>922</v>
      </c>
      <c r="B50">
        <v>5</v>
      </c>
      <c r="C50" s="251">
        <f>LOOKUP(T1_[[#This Row],[Etiquetas de fila]],'VALORIZACION CARTA'!B:B,'VALORIZACION CARTA'!C:C)</f>
        <v>427.84008749999998</v>
      </c>
      <c r="D50" s="251">
        <f>SUM(T1_[[#This Row],[Recuento de T1 CODIGO]]*T1_[[#This Row],[Columna1]])</f>
        <v>2139.2004374999997</v>
      </c>
    </row>
    <row r="51" spans="1:4" x14ac:dyDescent="0.25">
      <c r="A51" s="250" t="s">
        <v>843</v>
      </c>
      <c r="B51">
        <v>21</v>
      </c>
      <c r="C51" s="251">
        <f>LOOKUP(T1_[[#This Row],[Etiquetas de fila]],'VALORIZACION CARTA'!B:B,'VALORIZACION CARTA'!C:C)</f>
        <v>2207.8986885245899</v>
      </c>
      <c r="D51" s="251">
        <f>SUM(T1_[[#This Row],[Recuento de T1 CODIGO]]*T1_[[#This Row],[Columna1]])</f>
        <v>46365.872459016391</v>
      </c>
    </row>
    <row r="52" spans="1:4" x14ac:dyDescent="0.25">
      <c r="A52" s="250" t="s">
        <v>923</v>
      </c>
      <c r="B52">
        <v>1</v>
      </c>
      <c r="C52" s="251">
        <f>LOOKUP(T1_[[#This Row],[Etiquetas de fila]],'VALORIZACION CARTA'!B:B,'VALORIZACION CARTA'!C:C)</f>
        <v>940.42529999999999</v>
      </c>
      <c r="D52" s="251">
        <f>SUM(T1_[[#This Row],[Recuento de T1 CODIGO]]*T1_[[#This Row],[Columna1]])</f>
        <v>940.42529999999999</v>
      </c>
    </row>
    <row r="53" spans="1:4" x14ac:dyDescent="0.25">
      <c r="A53" s="250" t="s">
        <v>540</v>
      </c>
      <c r="B53">
        <v>1</v>
      </c>
      <c r="C53" s="251">
        <f>LOOKUP(T1_[[#This Row],[Etiquetas de fila]],'VALORIZACION CARTA'!B:B,'VALORIZACION CARTA'!C:C)</f>
        <v>5736.3950000000004</v>
      </c>
      <c r="D53" s="251">
        <f>SUM(T1_[[#This Row],[Recuento de T1 CODIGO]]*T1_[[#This Row],[Columna1]])</f>
        <v>5736.3950000000004</v>
      </c>
    </row>
    <row r="54" spans="1:4" x14ac:dyDescent="0.25">
      <c r="A54" s="250" t="s">
        <v>531</v>
      </c>
      <c r="B54">
        <v>4</v>
      </c>
      <c r="C54" s="251">
        <f>LOOKUP(T1_[[#This Row],[Etiquetas de fila]],'VALORIZACION CARTA'!B:B,'VALORIZACION CARTA'!C:C)</f>
        <v>3519.4250000000002</v>
      </c>
      <c r="D54" s="251">
        <f>SUM(T1_[[#This Row],[Recuento de T1 CODIGO]]*T1_[[#This Row],[Columna1]])</f>
        <v>14077.7</v>
      </c>
    </row>
    <row r="55" spans="1:4" x14ac:dyDescent="0.25">
      <c r="A55" s="250" t="s">
        <v>532</v>
      </c>
      <c r="B55">
        <v>5</v>
      </c>
      <c r="C55" s="251">
        <f>LOOKUP(T1_[[#This Row],[Etiquetas de fila]],'VALORIZACION CARTA'!B:B,'VALORIZACION CARTA'!C:C)</f>
        <v>2751.875</v>
      </c>
      <c r="D55" s="251">
        <f>SUM(T1_[[#This Row],[Recuento de T1 CODIGO]]*T1_[[#This Row],[Columna1]])</f>
        <v>13759.375</v>
      </c>
    </row>
    <row r="56" spans="1:4" x14ac:dyDescent="0.25">
      <c r="A56" s="250" t="s">
        <v>612</v>
      </c>
      <c r="B56">
        <v>4</v>
      </c>
      <c r="C56" s="251">
        <f>LOOKUP(T1_[[#This Row],[Etiquetas de fila]],'VALORIZACION CARTA'!B:B,'VALORIZACION CARTA'!C:C)</f>
        <v>2751.875</v>
      </c>
      <c r="D56" s="251">
        <f>SUM(T1_[[#This Row],[Recuento de T1 CODIGO]]*T1_[[#This Row],[Columna1]])</f>
        <v>11007.5</v>
      </c>
    </row>
    <row r="57" spans="1:4" x14ac:dyDescent="0.25">
      <c r="A57" s="250" t="s">
        <v>524</v>
      </c>
      <c r="B57">
        <v>15</v>
      </c>
      <c r="C57" s="251">
        <f>LOOKUP(T1_[[#This Row],[Etiquetas de fila]],'VALORIZACION CARTA'!B:B,'VALORIZACION CARTA'!C:C)</f>
        <v>3717.6790000000005</v>
      </c>
      <c r="D57" s="251">
        <f>SUM(T1_[[#This Row],[Recuento de T1 CODIGO]]*T1_[[#This Row],[Columna1]])</f>
        <v>55765.185000000005</v>
      </c>
    </row>
    <row r="58" spans="1:4" x14ac:dyDescent="0.25">
      <c r="A58" s="250" t="s">
        <v>512</v>
      </c>
      <c r="B58">
        <v>2</v>
      </c>
      <c r="C58" s="251">
        <f>LOOKUP(T1_[[#This Row],[Etiquetas de fila]],'VALORIZACION CARTA'!B:B,'VALORIZACION CARTA'!C:C)</f>
        <v>3227.58</v>
      </c>
      <c r="D58" s="251">
        <f>SUM(T1_[[#This Row],[Recuento de T1 CODIGO]]*T1_[[#This Row],[Columna1]])</f>
        <v>6455.16</v>
      </c>
    </row>
    <row r="59" spans="1:4" x14ac:dyDescent="0.25">
      <c r="A59" s="250" t="s">
        <v>518</v>
      </c>
      <c r="B59">
        <v>1</v>
      </c>
      <c r="C59" s="251">
        <f>LOOKUP(T1_[[#This Row],[Etiquetas de fila]],'VALORIZACION CARTA'!B:B,'VALORIZACION CARTA'!C:C)</f>
        <v>1710.27</v>
      </c>
      <c r="D59" s="251">
        <f>SUM(T1_[[#This Row],[Recuento de T1 CODIGO]]*T1_[[#This Row],[Columna1]])</f>
        <v>1710.27</v>
      </c>
    </row>
    <row r="60" spans="1:4" x14ac:dyDescent="0.25">
      <c r="A60" s="250" t="s">
        <v>528</v>
      </c>
      <c r="B60">
        <v>2</v>
      </c>
      <c r="C60" s="251">
        <f>LOOKUP(T1_[[#This Row],[Etiquetas de fila]],'VALORIZACION CARTA'!B:B,'VALORIZACION CARTA'!C:C)</f>
        <v>2207.8986885245899</v>
      </c>
      <c r="D60" s="251">
        <f>SUM(T1_[[#This Row],[Recuento de T1 CODIGO]]*T1_[[#This Row],[Columna1]])</f>
        <v>4415.7973770491799</v>
      </c>
    </row>
    <row r="61" spans="1:4" x14ac:dyDescent="0.25">
      <c r="A61" s="250" t="s">
        <v>665</v>
      </c>
      <c r="B61">
        <v>1</v>
      </c>
      <c r="C61" s="251">
        <f>LOOKUP(T1_[[#This Row],[Etiquetas de fila]],'VALORIZACION CARTA'!B:B,'VALORIZACION CARTA'!C:C)</f>
        <v>3641.1716333333334</v>
      </c>
      <c r="D61" s="251">
        <f>SUM(T1_[[#This Row],[Recuento de T1 CODIGO]]*T1_[[#This Row],[Columna1]])</f>
        <v>3641.1716333333334</v>
      </c>
    </row>
    <row r="62" spans="1:4" x14ac:dyDescent="0.25">
      <c r="A62" s="250" t="s">
        <v>527</v>
      </c>
      <c r="B62">
        <v>1</v>
      </c>
      <c r="C62" s="251">
        <f>LOOKUP(T1_[[#This Row],[Etiquetas de fila]],'VALORIZACION CARTA'!B:B,'VALORIZACION CARTA'!C:C)</f>
        <v>4426.8</v>
      </c>
      <c r="D62" s="251">
        <f>SUM(T1_[[#This Row],[Recuento de T1 CODIGO]]*T1_[[#This Row],[Columna1]])</f>
        <v>4426.8</v>
      </c>
    </row>
    <row r="63" spans="1:4" x14ac:dyDescent="0.25">
      <c r="A63" s="250" t="s">
        <v>514</v>
      </c>
      <c r="B63">
        <v>1</v>
      </c>
      <c r="C63" s="251">
        <f>LOOKUP(T1_[[#This Row],[Etiquetas de fila]],'VALORIZACION CARTA'!B:B,'VALORIZACION CARTA'!C:C)</f>
        <v>3134.7</v>
      </c>
      <c r="D63" s="251">
        <f>SUM(T1_[[#This Row],[Recuento de T1 CODIGO]]*T1_[[#This Row],[Columna1]])</f>
        <v>3134.7</v>
      </c>
    </row>
    <row r="64" spans="1:4" x14ac:dyDescent="0.25">
      <c r="A64" s="250" t="s">
        <v>544</v>
      </c>
      <c r="B64">
        <v>1</v>
      </c>
      <c r="C64" s="251">
        <f>LOOKUP(T1_[[#This Row],[Etiquetas de fila]],'VALORIZACION CARTA'!B:B,'VALORIZACION CARTA'!C:C)</f>
        <v>3146.3599999999997</v>
      </c>
      <c r="D64" s="251">
        <f>SUM(T1_[[#This Row],[Recuento de T1 CODIGO]]*T1_[[#This Row],[Columna1]])</f>
        <v>3146.3599999999997</v>
      </c>
    </row>
    <row r="65" spans="1:4" x14ac:dyDescent="0.25">
      <c r="A65" s="250" t="s">
        <v>545</v>
      </c>
      <c r="B65">
        <v>2</v>
      </c>
      <c r="C65" s="251">
        <f>LOOKUP(T1_[[#This Row],[Etiquetas de fila]],'VALORIZACION CARTA'!B:B,'VALORIZACION CARTA'!C:C)</f>
        <v>7892.8534999999993</v>
      </c>
      <c r="D65" s="251">
        <f>SUM(T1_[[#This Row],[Recuento de T1 CODIGO]]*T1_[[#This Row],[Columna1]])</f>
        <v>15785.706999999999</v>
      </c>
    </row>
    <row r="66" spans="1:4" x14ac:dyDescent="0.25">
      <c r="A66" s="250" t="s">
        <v>924</v>
      </c>
      <c r="B66">
        <v>1</v>
      </c>
      <c r="C66" s="251">
        <f>LOOKUP(T1_[[#This Row],[Etiquetas de fila]],'VALORIZACION CARTA'!B:B,'VALORIZACION CARTA'!C:C)</f>
        <v>19450.154999999999</v>
      </c>
      <c r="D66" s="251">
        <f>SUM(T1_[[#This Row],[Recuento de T1 CODIGO]]*T1_[[#This Row],[Columna1]])</f>
        <v>19450.154999999999</v>
      </c>
    </row>
    <row r="67" spans="1:4" x14ac:dyDescent="0.25">
      <c r="A67" s="250" t="s">
        <v>506</v>
      </c>
      <c r="B67">
        <v>2</v>
      </c>
      <c r="C67" s="251">
        <f>LOOKUP(T1_[[#This Row],[Etiquetas de fila]],'VALORIZACION CARTA'!B:B,'VALORIZACION CARTA'!C:C)</f>
        <v>5675.4885468749999</v>
      </c>
      <c r="D67" s="251">
        <f>SUM(T1_[[#This Row],[Recuento de T1 CODIGO]]*T1_[[#This Row],[Columna1]])</f>
        <v>11350.97709375</v>
      </c>
    </row>
    <row r="68" spans="1:4" x14ac:dyDescent="0.25">
      <c r="A68" s="250" t="s">
        <v>761</v>
      </c>
      <c r="B68">
        <v>1</v>
      </c>
      <c r="C68" s="251">
        <f>LOOKUP(T1_[[#This Row],[Etiquetas de fila]],'VALORIZACION CARTA'!B:B,'VALORIZACION CARTA'!C:C)</f>
        <v>1732.4235468750001</v>
      </c>
      <c r="D68" s="251">
        <f>SUM(T1_[[#This Row],[Recuento de T1 CODIGO]]*T1_[[#This Row],[Columna1]])</f>
        <v>1732.4235468750001</v>
      </c>
    </row>
    <row r="69" spans="1:4" x14ac:dyDescent="0.25">
      <c r="A69" s="250" t="s">
        <v>504</v>
      </c>
      <c r="B69">
        <v>1</v>
      </c>
      <c r="C69" s="251">
        <f>LOOKUP(T1_[[#This Row],[Etiquetas de fila]],'VALORIZACION CARTA'!B:B,'VALORIZACION CARTA'!C:C)</f>
        <v>5797.9004999999997</v>
      </c>
      <c r="D69" s="251">
        <f>SUM(T1_[[#This Row],[Recuento de T1 CODIGO]]*T1_[[#This Row],[Columna1]])</f>
        <v>5797.9004999999997</v>
      </c>
    </row>
    <row r="70" spans="1:4" x14ac:dyDescent="0.25">
      <c r="A70" s="250" t="s">
        <v>479</v>
      </c>
      <c r="B70">
        <v>1</v>
      </c>
      <c r="C70" s="251">
        <f>LOOKUP(T1_[[#This Row],[Etiquetas de fila]],'VALORIZACION CARTA'!B:B,'VALORIZACION CARTA'!C:C)</f>
        <v>5433.2659062500006</v>
      </c>
      <c r="D70" s="251">
        <f>SUM(T1_[[#This Row],[Recuento de T1 CODIGO]]*T1_[[#This Row],[Columna1]])</f>
        <v>5433.2659062500006</v>
      </c>
    </row>
    <row r="71" spans="1:4" x14ac:dyDescent="0.25">
      <c r="A71" s="250" t="s">
        <v>503</v>
      </c>
      <c r="B71">
        <v>2</v>
      </c>
      <c r="C71" s="251">
        <f>LOOKUP(T1_[[#This Row],[Etiquetas de fila]],'VALORIZACION CARTA'!B:B,'VALORIZACION CARTA'!C:C)</f>
        <v>1854.8355000000001</v>
      </c>
      <c r="D71" s="251">
        <f>SUM(T1_[[#This Row],[Recuento de T1 CODIGO]]*T1_[[#This Row],[Columna1]])</f>
        <v>3709.6710000000003</v>
      </c>
    </row>
    <row r="72" spans="1:4" x14ac:dyDescent="0.25">
      <c r="A72" s="250" t="s">
        <v>669</v>
      </c>
      <c r="B72">
        <v>1</v>
      </c>
      <c r="C72" s="251">
        <f>LOOKUP(T1_[[#This Row],[Etiquetas de fila]],'VALORIZACION CARTA'!B:B,'VALORIZACION CARTA'!C:C)</f>
        <v>1163.4689039999998</v>
      </c>
      <c r="D72" s="251">
        <f>SUM(T1_[[#This Row],[Recuento de T1 CODIGO]]*T1_[[#This Row],[Columna1]])</f>
        <v>1163.4689039999998</v>
      </c>
    </row>
    <row r="73" spans="1:4" x14ac:dyDescent="0.25">
      <c r="A73" s="250" t="s">
        <v>529</v>
      </c>
      <c r="B73">
        <v>2</v>
      </c>
      <c r="C73" s="251">
        <f>LOOKUP(T1_[[#This Row],[Etiquetas de fila]],'VALORIZACION CARTA'!B:B,'VALORIZACION CARTA'!C:C)</f>
        <v>2202.8982500000002</v>
      </c>
      <c r="D73" s="251">
        <f>SUM(T1_[[#This Row],[Recuento de T1 CODIGO]]*T1_[[#This Row],[Columna1]])</f>
        <v>4405.7965000000004</v>
      </c>
    </row>
    <row r="74" spans="1:4" x14ac:dyDescent="0.25">
      <c r="A74" s="250" t="s">
        <v>530</v>
      </c>
      <c r="B74">
        <v>2</v>
      </c>
      <c r="C74" s="251">
        <f>LOOKUP(T1_[[#This Row],[Etiquetas de fila]],'VALORIZACION CARTA'!B:B,'VALORIZACION CARTA'!C:C)</f>
        <v>1804.2482499999999</v>
      </c>
      <c r="D74" s="251">
        <f>SUM(T1_[[#This Row],[Recuento de T1 CODIGO]]*T1_[[#This Row],[Columna1]])</f>
        <v>3608.4964999999997</v>
      </c>
    </row>
    <row r="75" spans="1:4" x14ac:dyDescent="0.25">
      <c r="A75" s="250" t="s">
        <v>616</v>
      </c>
      <c r="B75">
        <v>4</v>
      </c>
      <c r="C75" s="251">
        <f>LOOKUP(T1_[[#This Row],[Etiquetas de fila]],'VALORIZACION CARTA'!B:B,'VALORIZACION CARTA'!C:C)</f>
        <v>1744.7482500000001</v>
      </c>
      <c r="D75" s="251">
        <f>SUM(T1_[[#This Row],[Recuento de T1 CODIGO]]*T1_[[#This Row],[Columna1]])</f>
        <v>6978.9930000000004</v>
      </c>
    </row>
    <row r="76" spans="1:4" x14ac:dyDescent="0.25">
      <c r="A76" s="250" t="s">
        <v>925</v>
      </c>
      <c r="B76">
        <v>2</v>
      </c>
      <c r="C76" s="251">
        <f>LOOKUP(T1_[[#This Row],[Etiquetas de fila]],'VALORIZACION CARTA'!B:B,'VALORIZACION CARTA'!C:C)</f>
        <v>1744.7482500000001</v>
      </c>
      <c r="D76" s="251">
        <f>SUM(T1_[[#This Row],[Recuento de T1 CODIGO]]*T1_[[#This Row],[Columna1]])</f>
        <v>3489.4965000000002</v>
      </c>
    </row>
    <row r="77" spans="1:4" x14ac:dyDescent="0.25">
      <c r="A77" s="250" t="s">
        <v>533</v>
      </c>
      <c r="B77">
        <v>1</v>
      </c>
      <c r="C77" s="251">
        <f>LOOKUP(T1_[[#This Row],[Etiquetas de fila]],'VALORIZACION CARTA'!B:B,'VALORIZACION CARTA'!C:C)</f>
        <v>9038.2820499999998</v>
      </c>
      <c r="D77" s="251">
        <f>SUM(T1_[[#This Row],[Recuento de T1 CODIGO]]*T1_[[#This Row],[Columna1]])</f>
        <v>9038.2820499999998</v>
      </c>
    </row>
    <row r="78" spans="1:4" x14ac:dyDescent="0.25">
      <c r="A78" s="250" t="s">
        <v>547</v>
      </c>
      <c r="B78">
        <v>1</v>
      </c>
      <c r="C78" s="251">
        <f>LOOKUP(T1_[[#This Row],[Etiquetas de fila]],'VALORIZACION CARTA'!B:B,'VALORIZACION CARTA'!C:C)</f>
        <v>778.26</v>
      </c>
      <c r="D78" s="251">
        <f>SUM(T1_[[#This Row],[Recuento de T1 CODIGO]]*T1_[[#This Row],[Columna1]])</f>
        <v>778.26</v>
      </c>
    </row>
    <row r="79" spans="1:4" x14ac:dyDescent="0.25">
      <c r="A79" s="250" t="s">
        <v>526</v>
      </c>
      <c r="B79">
        <v>1</v>
      </c>
      <c r="C79" s="251">
        <f>LOOKUP(T1_[[#This Row],[Etiquetas de fila]],'VALORIZACION CARTA'!B:B,'VALORIZACION CARTA'!C:C)</f>
        <v>4263.1154999999999</v>
      </c>
      <c r="D79" s="251">
        <f>SUM(T1_[[#This Row],[Recuento de T1 CODIGO]]*T1_[[#This Row],[Columna1]])</f>
        <v>4263.1154999999999</v>
      </c>
    </row>
    <row r="80" spans="1:4" x14ac:dyDescent="0.25">
      <c r="A80" s="250" t="s">
        <v>926</v>
      </c>
      <c r="B80">
        <v>18</v>
      </c>
      <c r="C80" s="251">
        <f>LOOKUP(T1_[[#This Row],[Etiquetas de fila]],'VALORIZACION CARTA'!B:B,'VALORIZACION CARTA'!C:C)</f>
        <v>4263.1154999999999</v>
      </c>
      <c r="D80" s="251">
        <f>SUM(T1_[[#This Row],[Recuento de T1 CODIGO]]*T1_[[#This Row],[Columna1]])</f>
        <v>76736.078999999998</v>
      </c>
    </row>
    <row r="81" spans="1:4" x14ac:dyDescent="0.25">
      <c r="A81" s="250" t="s">
        <v>927</v>
      </c>
      <c r="B81">
        <v>19</v>
      </c>
      <c r="C81" s="251">
        <f>LOOKUP(T1_[[#This Row],[Etiquetas de fila]],'VALORIZACION CARTA'!B:B,'VALORIZACION CARTA'!C:C)</f>
        <v>573.38798125000005</v>
      </c>
      <c r="D81" s="251">
        <f>SUM(T1_[[#This Row],[Recuento de T1 CODIGO]]*T1_[[#This Row],[Columna1]])</f>
        <v>10894.371643750001</v>
      </c>
    </row>
    <row r="82" spans="1:4" x14ac:dyDescent="0.25">
      <c r="A82" s="250" t="s">
        <v>617</v>
      </c>
      <c r="B82">
        <v>12</v>
      </c>
      <c r="C82" s="251">
        <f>LOOKUP(T1_[[#This Row],[Etiquetas de fila]],'VALORIZACION CARTA'!B:B,'VALORIZACION CARTA'!C:C)</f>
        <v>529.87860624999996</v>
      </c>
      <c r="D82" s="251">
        <f>SUM(T1_[[#This Row],[Recuento de T1 CODIGO]]*T1_[[#This Row],[Columna1]])</f>
        <v>6358.543275</v>
      </c>
    </row>
    <row r="83" spans="1:4" x14ac:dyDescent="0.25">
      <c r="A83" s="250" t="s">
        <v>654</v>
      </c>
      <c r="B83">
        <v>1</v>
      </c>
      <c r="C83" s="251">
        <f>LOOKUP(T1_[[#This Row],[Etiquetas de fila]],'VALORIZACION CARTA'!B:B,'VALORIZACION CARTA'!C:C)</f>
        <v>386.74912499999999</v>
      </c>
      <c r="D83" s="251">
        <f>SUM(T1_[[#This Row],[Recuento de T1 CODIGO]]*T1_[[#This Row],[Columna1]])</f>
        <v>386.74912499999999</v>
      </c>
    </row>
    <row r="84" spans="1:4" x14ac:dyDescent="0.25">
      <c r="A84" s="250" t="s">
        <v>928</v>
      </c>
      <c r="B84">
        <v>6</v>
      </c>
      <c r="C84" s="251">
        <f>LOOKUP(T1_[[#This Row],[Etiquetas de fila]],'VALORIZACION CARTA'!B:B,'VALORIZACION CARTA'!C:C)</f>
        <v>591.68423125000004</v>
      </c>
      <c r="D84" s="251">
        <f>SUM(T1_[[#This Row],[Recuento de T1 CODIGO]]*T1_[[#This Row],[Columna1]])</f>
        <v>3550.1053875000002</v>
      </c>
    </row>
    <row r="85" spans="1:4" x14ac:dyDescent="0.25">
      <c r="A85" s="250" t="s">
        <v>873</v>
      </c>
      <c r="B85">
        <v>14</v>
      </c>
      <c r="C85" s="251">
        <f>LOOKUP(T1_[[#This Row],[Etiquetas de fila]],'VALORIZACION CARTA'!B:B,'VALORIZACION CARTA'!C:C)</f>
        <v>3667.1136333333334</v>
      </c>
      <c r="D85" s="251">
        <f>SUM(T1_[[#This Row],[Recuento de T1 CODIGO]]*T1_[[#This Row],[Columna1]])</f>
        <v>51339.590866666666</v>
      </c>
    </row>
    <row r="86" spans="1:4" x14ac:dyDescent="0.25">
      <c r="A86" s="250" t="s">
        <v>865</v>
      </c>
      <c r="B86">
        <v>4</v>
      </c>
      <c r="C86" s="251">
        <f>LOOKUP(T1_[[#This Row],[Etiquetas de fila]],'VALORIZACION CARTA'!B:B,'VALORIZACION CARTA'!C:C)</f>
        <v>3698.7449666666666</v>
      </c>
      <c r="D86" s="251">
        <f>SUM(T1_[[#This Row],[Recuento de T1 CODIGO]]*T1_[[#This Row],[Columna1]])</f>
        <v>14794.979866666667</v>
      </c>
    </row>
    <row r="87" spans="1:4" x14ac:dyDescent="0.25">
      <c r="A87" s="250" t="s">
        <v>872</v>
      </c>
      <c r="B87">
        <v>16</v>
      </c>
      <c r="C87" s="251">
        <f>LOOKUP(T1_[[#This Row],[Etiquetas de fila]],'VALORIZACION CARTA'!B:B,'VALORIZACION CARTA'!C:C)</f>
        <v>4426.8</v>
      </c>
      <c r="D87" s="251">
        <f>SUM(T1_[[#This Row],[Recuento de T1 CODIGO]]*T1_[[#This Row],[Columna1]])</f>
        <v>70828.800000000003</v>
      </c>
    </row>
    <row r="88" spans="1:4" x14ac:dyDescent="0.25">
      <c r="A88" s="250" t="s">
        <v>896</v>
      </c>
      <c r="B88">
        <v>2</v>
      </c>
      <c r="C88" s="251">
        <f>LOOKUP(T1_[[#This Row],[Etiquetas de fila]],'VALORIZACION CARTA'!B:B,'VALORIZACION CARTA'!C:C)</f>
        <v>3675.8249999999998</v>
      </c>
      <c r="D88" s="251">
        <f>SUM(T1_[[#This Row],[Recuento de T1 CODIGO]]*T1_[[#This Row],[Columna1]])</f>
        <v>7351.65</v>
      </c>
    </row>
    <row r="89" spans="1:4" x14ac:dyDescent="0.25">
      <c r="A89" s="250" t="s">
        <v>929</v>
      </c>
      <c r="B89">
        <v>4</v>
      </c>
      <c r="C89" s="251">
        <f>LOOKUP(T1_[[#This Row],[Etiquetas de fila]],'VALORIZACION CARTA'!B:B,'VALORIZACION CARTA'!C:C)</f>
        <v>3675.8249999999998</v>
      </c>
      <c r="D89" s="251">
        <f>SUM(T1_[[#This Row],[Recuento de T1 CODIGO]]*T1_[[#This Row],[Columna1]])</f>
        <v>14703.3</v>
      </c>
    </row>
    <row r="90" spans="1:4" x14ac:dyDescent="0.25">
      <c r="A90" s="250" t="s">
        <v>930</v>
      </c>
      <c r="B90">
        <v>4</v>
      </c>
      <c r="C90" s="251">
        <f>LOOKUP(T1_[[#This Row],[Etiquetas de fila]],'VALORIZACION CARTA'!B:B,'VALORIZACION CARTA'!C:C)</f>
        <v>745.45679833333338</v>
      </c>
      <c r="D90" s="251">
        <f>SUM(T1_[[#This Row],[Recuento de T1 CODIGO]]*T1_[[#This Row],[Columna1]])</f>
        <v>2981.8271933333335</v>
      </c>
    </row>
    <row r="91" spans="1:4" x14ac:dyDescent="0.25">
      <c r="A91" s="250" t="s">
        <v>707</v>
      </c>
      <c r="B91">
        <v>2</v>
      </c>
      <c r="C91" s="251">
        <f>LOOKUP(T1_[[#This Row],[Etiquetas de fila]],'VALORIZACION CARTA'!B:B,'VALORIZACION CARTA'!C:C)</f>
        <v>745.45679833333338</v>
      </c>
      <c r="D91" s="251">
        <f>SUM(T1_[[#This Row],[Recuento de T1 CODIGO]]*T1_[[#This Row],[Columna1]])</f>
        <v>1490.9135966666668</v>
      </c>
    </row>
    <row r="92" spans="1:4" x14ac:dyDescent="0.25">
      <c r="A92" s="250" t="s">
        <v>708</v>
      </c>
      <c r="B92">
        <v>1</v>
      </c>
      <c r="C92" s="251">
        <f>LOOKUP(T1_[[#This Row],[Etiquetas de fila]],'VALORIZACION CARTA'!B:B,'VALORIZACION CARTA'!C:C)</f>
        <v>745.45679833333338</v>
      </c>
      <c r="D92" s="251">
        <f>SUM(T1_[[#This Row],[Recuento de T1 CODIGO]]*T1_[[#This Row],[Columna1]])</f>
        <v>745.45679833333338</v>
      </c>
    </row>
    <row r="93" spans="1:4" x14ac:dyDescent="0.25">
      <c r="A93" s="250" t="s">
        <v>621</v>
      </c>
      <c r="B93">
        <v>4</v>
      </c>
      <c r="C93" s="251">
        <f>LOOKUP(T1_[[#This Row],[Etiquetas de fila]],'VALORIZACION CARTA'!B:B,'VALORIZACION CARTA'!C:C)</f>
        <v>745.45679833333338</v>
      </c>
      <c r="D93" s="251">
        <f>SUM(T1_[[#This Row],[Recuento de T1 CODIGO]]*T1_[[#This Row],[Columna1]])</f>
        <v>2981.8271933333335</v>
      </c>
    </row>
    <row r="94" spans="1:4" x14ac:dyDescent="0.25">
      <c r="A94" s="250" t="s">
        <v>931</v>
      </c>
      <c r="B94">
        <v>7</v>
      </c>
      <c r="C94" s="251">
        <f>LOOKUP(T1_[[#This Row],[Etiquetas de fila]],'VALORIZACION CARTA'!B:B,'VALORIZACION CARTA'!C:C)</f>
        <v>745.45679833333338</v>
      </c>
      <c r="D94" s="251">
        <f>SUM(T1_[[#This Row],[Recuento de T1 CODIGO]]*T1_[[#This Row],[Columna1]])</f>
        <v>5218.1975883333334</v>
      </c>
    </row>
    <row r="95" spans="1:4" x14ac:dyDescent="0.25">
      <c r="A95" s="250" t="s">
        <v>932</v>
      </c>
      <c r="B95">
        <v>2</v>
      </c>
      <c r="C95" s="251">
        <f>LOOKUP(T1_[[#This Row],[Etiquetas de fila]],'VALORIZACION CARTA'!B:B,'VALORIZACION CARTA'!C:C)</f>
        <v>745.45679833333338</v>
      </c>
      <c r="D95" s="251">
        <f>SUM(T1_[[#This Row],[Recuento de T1 CODIGO]]*T1_[[#This Row],[Columna1]])</f>
        <v>1490.9135966666668</v>
      </c>
    </row>
    <row r="96" spans="1:4" x14ac:dyDescent="0.25">
      <c r="A96" s="250" t="s">
        <v>620</v>
      </c>
      <c r="B96">
        <v>2</v>
      </c>
      <c r="C96" s="251">
        <f>LOOKUP(T1_[[#This Row],[Etiquetas de fila]],'VALORIZACION CARTA'!B:B,'VALORIZACION CARTA'!C:C)</f>
        <v>745.45679833333338</v>
      </c>
      <c r="D96" s="251">
        <f>SUM(T1_[[#This Row],[Recuento de T1 CODIGO]]*T1_[[#This Row],[Columna1]])</f>
        <v>1490.9135966666668</v>
      </c>
    </row>
    <row r="97" spans="1:4" x14ac:dyDescent="0.25">
      <c r="A97" s="250" t="s">
        <v>718</v>
      </c>
      <c r="B97">
        <v>1</v>
      </c>
      <c r="C97" s="251">
        <f>LOOKUP(T1_[[#This Row],[Etiquetas de fila]],'VALORIZACION CARTA'!B:B,'VALORIZACION CARTA'!C:C)</f>
        <v>745.45679833333338</v>
      </c>
      <c r="D97" s="251">
        <f>SUM(T1_[[#This Row],[Recuento de T1 CODIGO]]*T1_[[#This Row],[Columna1]])</f>
        <v>745.45679833333338</v>
      </c>
    </row>
    <row r="98" spans="1:4" x14ac:dyDescent="0.25">
      <c r="A98" s="250" t="s">
        <v>618</v>
      </c>
      <c r="B98">
        <v>2</v>
      </c>
      <c r="C98" s="251">
        <f>LOOKUP(T1_[[#This Row],[Etiquetas de fila]],'VALORIZACION CARTA'!B:B,'VALORIZACION CARTA'!C:C)</f>
        <v>745.45679833333338</v>
      </c>
      <c r="D98" s="251">
        <f>SUM(T1_[[#This Row],[Recuento de T1 CODIGO]]*T1_[[#This Row],[Columna1]])</f>
        <v>1490.9135966666668</v>
      </c>
    </row>
    <row r="99" spans="1:4" x14ac:dyDescent="0.25">
      <c r="A99" s="250" t="s">
        <v>933</v>
      </c>
      <c r="B99">
        <v>1</v>
      </c>
      <c r="C99" s="251">
        <f>LOOKUP(T1_[[#This Row],[Etiquetas de fila]],'VALORIZACION CARTA'!B:B,'VALORIZACION CARTA'!C:C)</f>
        <v>745.45679833333338</v>
      </c>
      <c r="D99" s="251">
        <f>SUM(T1_[[#This Row],[Recuento de T1 CODIGO]]*T1_[[#This Row],[Columna1]])</f>
        <v>745.45679833333338</v>
      </c>
    </row>
    <row r="100" spans="1:4" x14ac:dyDescent="0.25">
      <c r="A100" s="250" t="s">
        <v>934</v>
      </c>
      <c r="B100">
        <v>2</v>
      </c>
      <c r="C100" s="251">
        <f>LOOKUP(T1_[[#This Row],[Etiquetas de fila]],'VALORIZACION CARTA'!B:B,'VALORIZACION CARTA'!C:C)</f>
        <v>745.45679833333338</v>
      </c>
      <c r="D100" s="251">
        <f>SUM(T1_[[#This Row],[Recuento de T1 CODIGO]]*T1_[[#This Row],[Columna1]])</f>
        <v>1490.9135966666668</v>
      </c>
    </row>
    <row r="101" spans="1:4" x14ac:dyDescent="0.25">
      <c r="A101" s="250" t="s">
        <v>935</v>
      </c>
      <c r="B101">
        <v>1</v>
      </c>
      <c r="C101" s="251">
        <f>LOOKUP(T1_[[#This Row],[Etiquetas de fila]],'VALORIZACION CARTA'!B:B,'VALORIZACION CARTA'!C:C)</f>
        <v>745.45679833333338</v>
      </c>
      <c r="D101" s="251">
        <f>SUM(T1_[[#This Row],[Recuento de T1 CODIGO]]*T1_[[#This Row],[Columna1]])</f>
        <v>745.45679833333338</v>
      </c>
    </row>
    <row r="102" spans="1:4" x14ac:dyDescent="0.25">
      <c r="A102" s="250" t="s">
        <v>619</v>
      </c>
      <c r="B102">
        <v>3</v>
      </c>
      <c r="C102" s="251">
        <f>LOOKUP(T1_[[#This Row],[Etiquetas de fila]],'VALORIZACION CARTA'!B:B,'VALORIZACION CARTA'!C:C)</f>
        <v>745.45679833333338</v>
      </c>
      <c r="D102" s="251">
        <f>SUM(T1_[[#This Row],[Recuento de T1 CODIGO]]*T1_[[#This Row],[Columna1]])</f>
        <v>2236.3703949999999</v>
      </c>
    </row>
    <row r="103" spans="1:4" x14ac:dyDescent="0.25">
      <c r="A103" s="250" t="s">
        <v>936</v>
      </c>
      <c r="B103">
        <v>5</v>
      </c>
      <c r="C103" s="251">
        <f>LOOKUP(T1_[[#This Row],[Etiquetas de fila]],'VALORIZACION CARTA'!B:B,'VALORIZACION CARTA'!C:C)</f>
        <v>704.62379999999996</v>
      </c>
      <c r="D103" s="251">
        <f>SUM(T1_[[#This Row],[Recuento de T1 CODIGO]]*T1_[[#This Row],[Columna1]])</f>
        <v>3523.1189999999997</v>
      </c>
    </row>
    <row r="104" spans="1:4" x14ac:dyDescent="0.25">
      <c r="A104" s="250" t="s">
        <v>937</v>
      </c>
      <c r="B104">
        <v>1</v>
      </c>
      <c r="C104" s="251">
        <f>LOOKUP(T1_[[#This Row],[Etiquetas de fila]],'VALORIZACION CARTA'!B:B,'VALORIZACION CARTA'!C:C)</f>
        <v>1292.5800000000002</v>
      </c>
      <c r="D104" s="251">
        <f>SUM(T1_[[#This Row],[Recuento de T1 CODIGO]]*T1_[[#This Row],[Columna1]])</f>
        <v>1292.5800000000002</v>
      </c>
    </row>
    <row r="105" spans="1:4" x14ac:dyDescent="0.25">
      <c r="A105" s="250" t="s">
        <v>938</v>
      </c>
      <c r="B105">
        <v>2</v>
      </c>
      <c r="C105" s="251">
        <f>LOOKUP(T1_[[#This Row],[Etiquetas de fila]],'VALORIZACION CARTA'!B:B,'VALORIZACION CARTA'!C:C)</f>
        <v>661.29699999999991</v>
      </c>
      <c r="D105" s="251">
        <f>SUM(T1_[[#This Row],[Recuento de T1 CODIGO]]*T1_[[#This Row],[Columna1]])</f>
        <v>1322.5939999999998</v>
      </c>
    </row>
    <row r="106" spans="1:4" x14ac:dyDescent="0.25">
      <c r="A106" s="250" t="s">
        <v>834</v>
      </c>
      <c r="B106">
        <v>14</v>
      </c>
      <c r="C106" s="251">
        <f>LOOKUP(T1_[[#This Row],[Etiquetas de fila]],'VALORIZACION CARTA'!B:B,'VALORIZACION CARTA'!C:C)</f>
        <v>7062.8060655737709</v>
      </c>
      <c r="D106" s="251">
        <f>SUM(T1_[[#This Row],[Recuento de T1 CODIGO]]*T1_[[#This Row],[Columna1]])</f>
        <v>98879.28491803279</v>
      </c>
    </row>
    <row r="107" spans="1:4" x14ac:dyDescent="0.25">
      <c r="A107" s="250" t="s">
        <v>893</v>
      </c>
      <c r="B107">
        <v>7</v>
      </c>
      <c r="C107" s="251">
        <f>LOOKUP(T1_[[#This Row],[Etiquetas de fila]],'VALORIZACION CARTA'!B:B,'VALORIZACION CARTA'!C:C)</f>
        <v>2050.8890333333334</v>
      </c>
      <c r="D107" s="251">
        <f>SUM(T1_[[#This Row],[Recuento de T1 CODIGO]]*T1_[[#This Row],[Columna1]])</f>
        <v>14356.223233333334</v>
      </c>
    </row>
    <row r="108" spans="1:4" x14ac:dyDescent="0.25">
      <c r="A108" s="250" t="s">
        <v>939</v>
      </c>
      <c r="B108">
        <v>43</v>
      </c>
      <c r="C108" s="251">
        <f>LOOKUP(T1_[[#This Row],[Etiquetas de fila]],'VALORIZACION CARTA'!B:B,'VALORIZACION CARTA'!C:C)</f>
        <v>2050.8890333333334</v>
      </c>
      <c r="D108" s="251">
        <f>SUM(T1_[[#This Row],[Recuento de T1 CODIGO]]*T1_[[#This Row],[Columna1]])</f>
        <v>88188.228433333337</v>
      </c>
    </row>
    <row r="109" spans="1:4" x14ac:dyDescent="0.25">
      <c r="A109" s="250" t="s">
        <v>940</v>
      </c>
      <c r="B109">
        <v>31</v>
      </c>
      <c r="C109" s="251">
        <f>LOOKUP(T1_[[#This Row],[Etiquetas de fila]],'VALORIZACION CARTA'!B:B,'VALORIZACION CARTA'!C:C)</f>
        <v>638.72610374999999</v>
      </c>
      <c r="D109" s="251">
        <f>SUM(T1_[[#This Row],[Recuento de T1 CODIGO]]*T1_[[#This Row],[Columna1]])</f>
        <v>19800.50921625</v>
      </c>
    </row>
    <row r="110" spans="1:4" x14ac:dyDescent="0.25">
      <c r="A110" s="250" t="s">
        <v>941</v>
      </c>
      <c r="B110">
        <v>723</v>
      </c>
      <c r="C110" s="251">
        <f>LOOKUP(T1_[[#This Row],[Etiquetas de fila]],'VALORIZACION CARTA'!B:B,'VALORIZACION CARTA'!C:C)</f>
        <v>638.72610374999999</v>
      </c>
      <c r="D110" s="251">
        <f>SUM(T1_[[#This Row],[Recuento de T1 CODIGO]]*T1_[[#This Row],[Columna1]])</f>
        <v>461798.97301124997</v>
      </c>
    </row>
    <row r="111" spans="1:4" x14ac:dyDescent="0.25">
      <c r="A111" s="250" t="s">
        <v>877</v>
      </c>
      <c r="B111">
        <v>2</v>
      </c>
      <c r="C111" s="251">
        <f>LOOKUP(T1_[[#This Row],[Etiquetas de fila]],'VALORIZACION CARTA'!B:B,'VALORIZACION CARTA'!C:C)</f>
        <v>1321.691</v>
      </c>
      <c r="D111" s="251">
        <f>SUM(T1_[[#This Row],[Recuento de T1 CODIGO]]*T1_[[#This Row],[Columna1]])</f>
        <v>2643.3820000000001</v>
      </c>
    </row>
    <row r="112" spans="1:4" x14ac:dyDescent="0.25">
      <c r="A112" s="250" t="s">
        <v>879</v>
      </c>
      <c r="B112">
        <v>6</v>
      </c>
      <c r="C112" s="251">
        <f>LOOKUP(T1_[[#This Row],[Etiquetas de fila]],'VALORIZACION CARTA'!B:B,'VALORIZACION CARTA'!C:C)</f>
        <v>2383.69425</v>
      </c>
      <c r="D112" s="251">
        <f>SUM(T1_[[#This Row],[Recuento de T1 CODIGO]]*T1_[[#This Row],[Columna1]])</f>
        <v>14302.165499999999</v>
      </c>
    </row>
    <row r="113" spans="1:4" x14ac:dyDescent="0.25">
      <c r="A113" s="250" t="s">
        <v>591</v>
      </c>
      <c r="B113">
        <v>2</v>
      </c>
      <c r="C113" s="251">
        <f>LOOKUP(T1_[[#This Row],[Etiquetas de fila]],'VALORIZACION CARTA'!B:B,'VALORIZACION CARTA'!C:C)</f>
        <v>536.40037499999994</v>
      </c>
      <c r="D113" s="251">
        <f>SUM(T1_[[#This Row],[Recuento de T1 CODIGO]]*T1_[[#This Row],[Columna1]])</f>
        <v>1072.8007499999999</v>
      </c>
    </row>
    <row r="114" spans="1:4" x14ac:dyDescent="0.25">
      <c r="A114" s="250" t="s">
        <v>593</v>
      </c>
      <c r="B114">
        <v>1</v>
      </c>
      <c r="C114" s="251">
        <f>LOOKUP(T1_[[#This Row],[Etiquetas de fila]],'VALORIZACION CARTA'!B:B,'VALORIZACION CARTA'!C:C)</f>
        <v>552.1753124999999</v>
      </c>
      <c r="D114" s="251">
        <f>SUM(T1_[[#This Row],[Recuento de T1 CODIGO]]*T1_[[#This Row],[Columna1]])</f>
        <v>552.1753124999999</v>
      </c>
    </row>
    <row r="115" spans="1:4" x14ac:dyDescent="0.25">
      <c r="A115" s="250" t="s">
        <v>942</v>
      </c>
      <c r="B115">
        <v>2</v>
      </c>
      <c r="C115" s="251">
        <f>LOOKUP(T1_[[#This Row],[Etiquetas de fila]],'VALORIZACION CARTA'!B:B,'VALORIZACION CARTA'!C:C)</f>
        <v>560.41606249999995</v>
      </c>
      <c r="D115" s="251">
        <f>SUM(T1_[[#This Row],[Recuento de T1 CODIGO]]*T1_[[#This Row],[Columna1]])</f>
        <v>1120.8321249999999</v>
      </c>
    </row>
    <row r="116" spans="1:4" x14ac:dyDescent="0.25">
      <c r="A116" s="250" t="s">
        <v>943</v>
      </c>
      <c r="B116">
        <v>9</v>
      </c>
      <c r="C116" s="251">
        <f>LOOKUP(T1_[[#This Row],[Etiquetas de fila]],'VALORIZACION CARTA'!B:B,'VALORIZACION CARTA'!C:C)</f>
        <v>427.84008749999998</v>
      </c>
      <c r="D116" s="251">
        <f>SUM(T1_[[#This Row],[Recuento de T1 CODIGO]]*T1_[[#This Row],[Columna1]])</f>
        <v>3850.5607874999996</v>
      </c>
    </row>
    <row r="117" spans="1:4" x14ac:dyDescent="0.25">
      <c r="A117" s="250" t="s">
        <v>596</v>
      </c>
      <c r="B117">
        <v>4</v>
      </c>
      <c r="C117" s="251">
        <f>LOOKUP(T1_[[#This Row],[Etiquetas de fila]],'VALORIZACION CARTA'!B:B,'VALORIZACION CARTA'!C:C)</f>
        <v>573.38798125000005</v>
      </c>
      <c r="D117" s="251">
        <f>SUM(T1_[[#This Row],[Recuento de T1 CODIGO]]*T1_[[#This Row],[Columna1]])</f>
        <v>2293.5519250000002</v>
      </c>
    </row>
    <row r="118" spans="1:4" x14ac:dyDescent="0.25">
      <c r="A118" s="250" t="s">
        <v>597</v>
      </c>
      <c r="B118">
        <v>7</v>
      </c>
      <c r="C118" s="251">
        <f>LOOKUP(T1_[[#This Row],[Etiquetas de fila]],'VALORIZACION CARTA'!B:B,'VALORIZACION CARTA'!C:C)</f>
        <v>529.87860624999996</v>
      </c>
      <c r="D118" s="251">
        <f>SUM(T1_[[#This Row],[Recuento de T1 CODIGO]]*T1_[[#This Row],[Columna1]])</f>
        <v>3709.1502437499998</v>
      </c>
    </row>
    <row r="119" spans="1:4" x14ac:dyDescent="0.25">
      <c r="A119" s="250" t="s">
        <v>598</v>
      </c>
      <c r="B119">
        <v>3</v>
      </c>
      <c r="C119" s="251">
        <f>LOOKUP(T1_[[#This Row],[Etiquetas de fila]],'VALORIZACION CARTA'!B:B,'VALORIZACION CARTA'!C:C)</f>
        <v>591.68423125000004</v>
      </c>
      <c r="D119" s="251">
        <f>SUM(T1_[[#This Row],[Recuento de T1 CODIGO]]*T1_[[#This Row],[Columna1]])</f>
        <v>1775.0526937500001</v>
      </c>
    </row>
    <row r="120" spans="1:4" x14ac:dyDescent="0.25">
      <c r="A120" s="250" t="s">
        <v>944</v>
      </c>
      <c r="B120">
        <v>8</v>
      </c>
      <c r="C120" s="251">
        <f>LOOKUP(T1_[[#This Row],[Etiquetas de fila]],'VALORIZACION CARTA'!B:B,'VALORIZACION CARTA'!C:C)</f>
        <v>591.68423125000004</v>
      </c>
      <c r="D120" s="251">
        <f>SUM(T1_[[#This Row],[Recuento de T1 CODIGO]]*T1_[[#This Row],[Columna1]])</f>
        <v>4733.4738500000003</v>
      </c>
    </row>
    <row r="121" spans="1:4" x14ac:dyDescent="0.25">
      <c r="A121" s="250" t="s">
        <v>889</v>
      </c>
      <c r="B121">
        <v>4</v>
      </c>
      <c r="C121" s="251">
        <f>LOOKUP(T1_[[#This Row],[Etiquetas de fila]],'VALORIZACION CARTA'!B:B,'VALORIZACION CARTA'!C:C)</f>
        <v>591.68423125000004</v>
      </c>
      <c r="D121" s="251">
        <f>SUM(T1_[[#This Row],[Recuento de T1 CODIGO]]*T1_[[#This Row],[Columna1]])</f>
        <v>2366.7369250000002</v>
      </c>
    </row>
    <row r="122" spans="1:4" x14ac:dyDescent="0.25">
      <c r="A122" s="250" t="s">
        <v>890</v>
      </c>
      <c r="B122">
        <v>1</v>
      </c>
      <c r="C122" s="251">
        <f>LOOKUP(T1_[[#This Row],[Etiquetas de fila]],'VALORIZACION CARTA'!B:B,'VALORIZACION CARTA'!C:C)</f>
        <v>591.68423125000004</v>
      </c>
      <c r="D122" s="251">
        <f>SUM(T1_[[#This Row],[Recuento de T1 CODIGO]]*T1_[[#This Row],[Columna1]])</f>
        <v>591.68423125000004</v>
      </c>
    </row>
    <row r="123" spans="1:4" x14ac:dyDescent="0.25">
      <c r="A123" s="250" t="s">
        <v>945</v>
      </c>
      <c r="B123">
        <v>5</v>
      </c>
      <c r="C123" s="251">
        <f>LOOKUP(T1_[[#This Row],[Etiquetas de fila]],'VALORIZACION CARTA'!B:B,'VALORIZACION CARTA'!C:C)</f>
        <v>591.68423125000004</v>
      </c>
      <c r="D123" s="251">
        <f>SUM(T1_[[#This Row],[Recuento de T1 CODIGO]]*T1_[[#This Row],[Columna1]])</f>
        <v>2958.4211562500004</v>
      </c>
    </row>
    <row r="124" spans="1:4" x14ac:dyDescent="0.25">
      <c r="A124" s="250" t="s">
        <v>599</v>
      </c>
      <c r="B124">
        <v>4</v>
      </c>
      <c r="C124" s="251">
        <f>LOOKUP(T1_[[#This Row],[Etiquetas de fila]],'VALORIZACION CARTA'!B:B,'VALORIZACION CARTA'!C:C)</f>
        <v>915.41563749999989</v>
      </c>
      <c r="D124" s="251">
        <f>SUM(T1_[[#This Row],[Recuento de T1 CODIGO]]*T1_[[#This Row],[Columna1]])</f>
        <v>3661.6625499999996</v>
      </c>
    </row>
    <row r="125" spans="1:4" x14ac:dyDescent="0.25">
      <c r="A125" s="250" t="s">
        <v>600</v>
      </c>
      <c r="B125">
        <v>2</v>
      </c>
      <c r="C125" s="251">
        <f>LOOKUP(T1_[[#This Row],[Etiquetas de fila]],'VALORIZACION CARTA'!B:B,'VALORIZACION CARTA'!C:C)</f>
        <v>1049.9626625000001</v>
      </c>
      <c r="D125" s="251">
        <f>SUM(T1_[[#This Row],[Recuento de T1 CODIGO]]*T1_[[#This Row],[Columna1]])</f>
        <v>2099.9253250000002</v>
      </c>
    </row>
    <row r="126" spans="1:4" x14ac:dyDescent="0.25">
      <c r="A126" s="250" t="s">
        <v>601</v>
      </c>
      <c r="B126">
        <v>1</v>
      </c>
      <c r="C126" s="251">
        <f>LOOKUP(T1_[[#This Row],[Etiquetas de fila]],'VALORIZACION CARTA'!B:B,'VALORIZACION CARTA'!C:C)</f>
        <v>919.50254374999997</v>
      </c>
      <c r="D126" s="251">
        <f>SUM(T1_[[#This Row],[Recuento de T1 CODIGO]]*T1_[[#This Row],[Columna1]])</f>
        <v>919.50254374999997</v>
      </c>
    </row>
    <row r="127" spans="1:4" x14ac:dyDescent="0.25">
      <c r="A127" s="250" t="s">
        <v>946</v>
      </c>
      <c r="B127">
        <v>5</v>
      </c>
      <c r="C127" s="251">
        <f>LOOKUP(T1_[[#This Row],[Etiquetas de fila]],'VALORIZACION CARTA'!B:B,'VALORIZACION CARTA'!C:C)</f>
        <v>868.31766874999994</v>
      </c>
      <c r="D127" s="251">
        <f>SUM(T1_[[#This Row],[Recuento de T1 CODIGO]]*T1_[[#This Row],[Columna1]])</f>
        <v>4341.5883437499997</v>
      </c>
    </row>
    <row r="128" spans="1:4" x14ac:dyDescent="0.25">
      <c r="A128" s="250" t="s">
        <v>317</v>
      </c>
      <c r="B128">
        <v>5</v>
      </c>
      <c r="C128" s="251">
        <f>LOOKUP(T1_[[#This Row],[Etiquetas de fila]],'VALORIZACION CARTA'!B:B,'VALORIZACION CARTA'!C:C)</f>
        <v>496.56381249999998</v>
      </c>
      <c r="D128" s="251">
        <f>SUM(T1_[[#This Row],[Recuento de T1 CODIGO]]*T1_[[#This Row],[Columna1]])</f>
        <v>2482.8190624999997</v>
      </c>
    </row>
    <row r="129" spans="1:4" x14ac:dyDescent="0.25">
      <c r="A129" s="250" t="s">
        <v>552</v>
      </c>
      <c r="B129">
        <v>7</v>
      </c>
      <c r="C129" s="251">
        <f>LOOKUP(T1_[[#This Row],[Etiquetas de fila]],'VALORIZACION CARTA'!B:B,'VALORIZACION CARTA'!C:C)</f>
        <v>1351.6988125</v>
      </c>
      <c r="D129" s="251">
        <f>SUM(T1_[[#This Row],[Recuento de T1 CODIGO]]*T1_[[#This Row],[Columna1]])</f>
        <v>9461.8916874999995</v>
      </c>
    </row>
    <row r="130" spans="1:4" x14ac:dyDescent="0.25">
      <c r="A130" s="250" t="s">
        <v>947</v>
      </c>
      <c r="B130">
        <v>4</v>
      </c>
      <c r="C130" s="251">
        <f>LOOKUP(T1_[[#This Row],[Etiquetas de fila]],'VALORIZACION CARTA'!B:B,'VALORIZACION CARTA'!C:C)</f>
        <v>1351.6988125</v>
      </c>
      <c r="D130" s="251">
        <f>SUM(T1_[[#This Row],[Recuento de T1 CODIGO]]*T1_[[#This Row],[Columna1]])</f>
        <v>5406.7952500000001</v>
      </c>
    </row>
    <row r="131" spans="1:4" x14ac:dyDescent="0.25">
      <c r="A131" s="250" t="s">
        <v>948</v>
      </c>
      <c r="B131">
        <v>3</v>
      </c>
      <c r="C131" s="251">
        <f>LOOKUP(T1_[[#This Row],[Etiquetas de fila]],'VALORIZACION CARTA'!B:B,'VALORIZACION CARTA'!C:C)</f>
        <v>1351.6988125</v>
      </c>
      <c r="D131" s="251">
        <f>SUM(T1_[[#This Row],[Recuento de T1 CODIGO]]*T1_[[#This Row],[Columna1]])</f>
        <v>4055.0964375000003</v>
      </c>
    </row>
    <row r="132" spans="1:4" x14ac:dyDescent="0.25">
      <c r="A132" s="250" t="s">
        <v>318</v>
      </c>
      <c r="B132">
        <v>9</v>
      </c>
      <c r="C132" s="251">
        <f>LOOKUP(T1_[[#This Row],[Etiquetas de fila]],'VALORIZACION CARTA'!B:B,'VALORIZACION CARTA'!C:C)</f>
        <v>618.27850000000001</v>
      </c>
      <c r="D132" s="251">
        <f>SUM(T1_[[#This Row],[Recuento de T1 CODIGO]]*T1_[[#This Row],[Columna1]])</f>
        <v>5564.5065000000004</v>
      </c>
    </row>
    <row r="133" spans="1:4" x14ac:dyDescent="0.25">
      <c r="A133" s="250" t="s">
        <v>603</v>
      </c>
      <c r="B133">
        <v>4</v>
      </c>
      <c r="C133" s="251">
        <f>LOOKUP(T1_[[#This Row],[Etiquetas de fila]],'VALORIZACION CARTA'!B:B,'VALORIZACION CARTA'!C:C)</f>
        <v>627.93800999999996</v>
      </c>
      <c r="D133" s="251">
        <f>SUM(T1_[[#This Row],[Recuento de T1 CODIGO]]*T1_[[#This Row],[Columna1]])</f>
        <v>2511.7520399999999</v>
      </c>
    </row>
    <row r="134" spans="1:4" x14ac:dyDescent="0.25">
      <c r="A134" s="250" t="s">
        <v>693</v>
      </c>
      <c r="B134">
        <v>3</v>
      </c>
      <c r="C134" s="251">
        <f>LOOKUP(T1_[[#This Row],[Etiquetas de fila]],'VALORIZACION CARTA'!B:B,'VALORIZACION CARTA'!C:C)</f>
        <v>1674.93</v>
      </c>
      <c r="D134" s="251">
        <f>SUM(T1_[[#This Row],[Recuento de T1 CODIGO]]*T1_[[#This Row],[Columna1]])</f>
        <v>5024.79</v>
      </c>
    </row>
    <row r="135" spans="1:4" x14ac:dyDescent="0.25">
      <c r="A135" s="250" t="s">
        <v>949</v>
      </c>
      <c r="B135">
        <v>4</v>
      </c>
      <c r="C135" s="251">
        <f>LOOKUP(T1_[[#This Row],[Etiquetas de fila]],'VALORIZACION CARTA'!B:B,'VALORIZACION CARTA'!C:C)</f>
        <v>1674.93</v>
      </c>
      <c r="D135" s="251">
        <f>SUM(T1_[[#This Row],[Recuento de T1 CODIGO]]*T1_[[#This Row],[Columna1]])</f>
        <v>6699.72</v>
      </c>
    </row>
    <row r="136" spans="1:4" x14ac:dyDescent="0.25">
      <c r="A136" s="250" t="s">
        <v>854</v>
      </c>
      <c r="B136">
        <v>6</v>
      </c>
      <c r="C136" s="251">
        <f>LOOKUP(T1_[[#This Row],[Etiquetas de fila]],'VALORIZACION CARTA'!B:B,'VALORIZACION CARTA'!C:C)</f>
        <v>2204.0295000000001</v>
      </c>
      <c r="D136" s="251">
        <f>SUM(T1_[[#This Row],[Recuento de T1 CODIGO]]*T1_[[#This Row],[Columna1]])</f>
        <v>13224.177</v>
      </c>
    </row>
    <row r="137" spans="1:4" x14ac:dyDescent="0.25">
      <c r="A137" s="250" t="s">
        <v>950</v>
      </c>
      <c r="B137">
        <v>4</v>
      </c>
      <c r="C137" s="251">
        <f>LOOKUP(T1_[[#This Row],[Etiquetas de fila]],'VALORIZACION CARTA'!B:B,'VALORIZACION CARTA'!C:C)</f>
        <v>2392.3802500000002</v>
      </c>
      <c r="D137" s="251">
        <f>SUM(T1_[[#This Row],[Recuento de T1 CODIGO]]*T1_[[#This Row],[Columna1]])</f>
        <v>9569.5210000000006</v>
      </c>
    </row>
    <row r="138" spans="1:4" x14ac:dyDescent="0.25">
      <c r="A138" s="250" t="s">
        <v>623</v>
      </c>
      <c r="B138">
        <v>3</v>
      </c>
      <c r="C138" s="251">
        <f>LOOKUP(T1_[[#This Row],[Etiquetas de fila]],'VALORIZACION CARTA'!B:B,'VALORIZACION CARTA'!C:C)</f>
        <v>1331.2800000000002</v>
      </c>
      <c r="D138" s="251">
        <f>SUM(T1_[[#This Row],[Recuento de T1 CODIGO]]*T1_[[#This Row],[Columna1]])</f>
        <v>3993.8400000000006</v>
      </c>
    </row>
    <row r="139" spans="1:4" x14ac:dyDescent="0.25">
      <c r="A139" s="250" t="s">
        <v>742</v>
      </c>
      <c r="B139">
        <v>3</v>
      </c>
      <c r="C139" s="251">
        <f>LOOKUP(T1_[[#This Row],[Etiquetas de fila]],'VALORIZACION CARTA'!B:B,'VALORIZACION CARTA'!C:C)</f>
        <v>1358.70712</v>
      </c>
      <c r="D139" s="251">
        <f>SUM(T1_[[#This Row],[Recuento de T1 CODIGO]]*T1_[[#This Row],[Columna1]])</f>
        <v>4076.1213600000001</v>
      </c>
    </row>
    <row r="140" spans="1:4" x14ac:dyDescent="0.25">
      <c r="A140" s="250" t="s">
        <v>951</v>
      </c>
      <c r="B140">
        <v>14</v>
      </c>
      <c r="C140" s="251">
        <f>LOOKUP(T1_[[#This Row],[Etiquetas de fila]],'VALORIZACION CARTA'!B:B,'VALORIZACION CARTA'!C:C)</f>
        <v>1163.4689039999998</v>
      </c>
      <c r="D140" s="251">
        <f>SUM(T1_[[#This Row],[Recuento de T1 CODIGO]]*T1_[[#This Row],[Columna1]])</f>
        <v>16288.564655999999</v>
      </c>
    </row>
    <row r="141" spans="1:4" x14ac:dyDescent="0.25">
      <c r="A141" s="250" t="s">
        <v>952</v>
      </c>
      <c r="B141">
        <v>3</v>
      </c>
      <c r="C141" s="251">
        <f>LOOKUP(T1_[[#This Row],[Etiquetas de fila]],'VALORIZACION CARTA'!B:B,'VALORIZACION CARTA'!C:C)</f>
        <v>1163.4689039999998</v>
      </c>
      <c r="D141" s="251">
        <f>SUM(T1_[[#This Row],[Recuento de T1 CODIGO]]*T1_[[#This Row],[Columna1]])</f>
        <v>3490.4067119999995</v>
      </c>
    </row>
    <row r="142" spans="1:4" x14ac:dyDescent="0.25">
      <c r="A142" s="250" t="s">
        <v>953</v>
      </c>
      <c r="B142">
        <v>2</v>
      </c>
      <c r="C142" s="251">
        <f>LOOKUP(T1_[[#This Row],[Etiquetas de fila]],'VALORIZACION CARTA'!B:B,'VALORIZACION CARTA'!C:C)</f>
        <v>1163.4689039999998</v>
      </c>
      <c r="D142" s="251">
        <f>SUM(T1_[[#This Row],[Recuento de T1 CODIGO]]*T1_[[#This Row],[Columna1]])</f>
        <v>2326.9378079999997</v>
      </c>
    </row>
    <row r="143" spans="1:4" x14ac:dyDescent="0.25">
      <c r="A143" s="250" t="s">
        <v>624</v>
      </c>
      <c r="B143">
        <v>5</v>
      </c>
      <c r="C143" s="251">
        <f>LOOKUP(T1_[[#This Row],[Etiquetas de fila]],'VALORIZACION CARTA'!B:B,'VALORIZACION CARTA'!C:C)</f>
        <v>2952.4660000000003</v>
      </c>
      <c r="D143" s="251">
        <f>SUM(T1_[[#This Row],[Recuento de T1 CODIGO]]*T1_[[#This Row],[Columna1]])</f>
        <v>14762.330000000002</v>
      </c>
    </row>
    <row r="144" spans="1:4" x14ac:dyDescent="0.25">
      <c r="A144" s="250" t="s">
        <v>625</v>
      </c>
      <c r="B144">
        <v>1</v>
      </c>
      <c r="C144" s="251">
        <f>LOOKUP(T1_[[#This Row],[Etiquetas de fila]],'VALORIZACION CARTA'!B:B,'VALORIZACION CARTA'!C:C)</f>
        <v>1280.8248749999998</v>
      </c>
      <c r="D144" s="251">
        <f>SUM(T1_[[#This Row],[Recuento de T1 CODIGO]]*T1_[[#This Row],[Columna1]])</f>
        <v>1280.8248749999998</v>
      </c>
    </row>
    <row r="145" spans="1:4" x14ac:dyDescent="0.25">
      <c r="A145" s="250" t="s">
        <v>954</v>
      </c>
      <c r="B145">
        <v>26</v>
      </c>
      <c r="C145" s="251">
        <f>LOOKUP(T1_[[#This Row],[Etiquetas de fila]],'VALORIZACION CARTA'!B:B,'VALORIZACION CARTA'!C:C)</f>
        <v>356.00709375000002</v>
      </c>
      <c r="D145" s="251">
        <f>SUM(T1_[[#This Row],[Recuento de T1 CODIGO]]*T1_[[#This Row],[Columna1]])</f>
        <v>9256.1844375000001</v>
      </c>
    </row>
    <row r="146" spans="1:4" x14ac:dyDescent="0.25">
      <c r="A146" s="250" t="s">
        <v>880</v>
      </c>
      <c r="B146">
        <v>25</v>
      </c>
      <c r="C146" s="251">
        <f>LOOKUP(T1_[[#This Row],[Etiquetas de fila]],'VALORIZACION CARTA'!B:B,'VALORIZACION CARTA'!C:C)</f>
        <v>260.28646875000004</v>
      </c>
      <c r="D146" s="251">
        <f>SUM(T1_[[#This Row],[Recuento de T1 CODIGO]]*T1_[[#This Row],[Columna1]])</f>
        <v>6507.1617187500015</v>
      </c>
    </row>
    <row r="147" spans="1:4" x14ac:dyDescent="0.25">
      <c r="A147" s="250" t="s">
        <v>857</v>
      </c>
      <c r="B147">
        <v>27</v>
      </c>
      <c r="C147" s="251">
        <f>LOOKUP(T1_[[#This Row],[Etiquetas de fila]],'VALORIZACION CARTA'!B:B,'VALORIZACION CARTA'!C:C)</f>
        <v>396.25884374999998</v>
      </c>
      <c r="D147" s="251">
        <f>SUM(T1_[[#This Row],[Recuento de T1 CODIGO]]*T1_[[#This Row],[Columna1]])</f>
        <v>10698.98878125</v>
      </c>
    </row>
    <row r="148" spans="1:4" x14ac:dyDescent="0.25">
      <c r="A148" s="250" t="s">
        <v>955</v>
      </c>
      <c r="B148">
        <v>1</v>
      </c>
      <c r="C148" s="251">
        <f>LOOKUP(T1_[[#This Row],[Etiquetas de fila]],'VALORIZACION CARTA'!B:B,'VALORIZACION CARTA'!C:C)</f>
        <v>445.37771249999997</v>
      </c>
      <c r="D148" s="251">
        <f>SUM(T1_[[#This Row],[Recuento de T1 CODIGO]]*T1_[[#This Row],[Columna1]])</f>
        <v>445.37771249999997</v>
      </c>
    </row>
    <row r="149" spans="1:4" x14ac:dyDescent="0.25">
      <c r="A149" s="250" t="s">
        <v>956</v>
      </c>
      <c r="B149">
        <v>2</v>
      </c>
      <c r="C149" s="251">
        <f>LOOKUP(T1_[[#This Row],[Etiquetas de fila]],'VALORIZACION CARTA'!B:B,'VALORIZACION CARTA'!C:C)</f>
        <v>445.37771249999997</v>
      </c>
      <c r="D149" s="251">
        <f>SUM(T1_[[#This Row],[Recuento de T1 CODIGO]]*T1_[[#This Row],[Columna1]])</f>
        <v>890.75542499999995</v>
      </c>
    </row>
    <row r="150" spans="1:4" x14ac:dyDescent="0.25">
      <c r="A150" s="250" t="s">
        <v>957</v>
      </c>
      <c r="B150">
        <v>11</v>
      </c>
      <c r="C150" s="251">
        <f>LOOKUP(T1_[[#This Row],[Etiquetas de fila]],'VALORIZACION CARTA'!B:B,'VALORIZACION CARTA'!C:C)</f>
        <v>553.29974000000004</v>
      </c>
      <c r="D150" s="251">
        <f>SUM(T1_[[#This Row],[Recuento de T1 CODIGO]]*T1_[[#This Row],[Columna1]])</f>
        <v>6086.2971400000006</v>
      </c>
    </row>
    <row r="151" spans="1:4" x14ac:dyDescent="0.25">
      <c r="A151" s="250" t="s">
        <v>958</v>
      </c>
      <c r="B151">
        <v>5</v>
      </c>
      <c r="C151" s="251">
        <f>LOOKUP(T1_[[#This Row],[Etiquetas de fila]],'VALORIZACION CARTA'!B:B,'VALORIZACION CARTA'!C:C)</f>
        <v>553.29974000000004</v>
      </c>
      <c r="D151" s="251">
        <f>SUM(T1_[[#This Row],[Recuento de T1 CODIGO]]*T1_[[#This Row],[Columna1]])</f>
        <v>2766.4987000000001</v>
      </c>
    </row>
    <row r="152" spans="1:4" x14ac:dyDescent="0.25">
      <c r="A152" s="250" t="s">
        <v>862</v>
      </c>
      <c r="B152">
        <v>61</v>
      </c>
      <c r="C152" s="251">
        <f>LOOKUP(T1_[[#This Row],[Etiquetas de fila]],'VALORIZACION CARTA'!B:B,'VALORIZACION CARTA'!C:C)</f>
        <v>466.57668750000005</v>
      </c>
      <c r="D152" s="251">
        <f>SUM(T1_[[#This Row],[Recuento de T1 CODIGO]]*T1_[[#This Row],[Columna1]])</f>
        <v>28461.177937500004</v>
      </c>
    </row>
    <row r="153" spans="1:4" x14ac:dyDescent="0.25">
      <c r="A153" s="250" t="s">
        <v>959</v>
      </c>
      <c r="B153">
        <v>5</v>
      </c>
      <c r="C153" s="251">
        <f>LOOKUP(T1_[[#This Row],[Etiquetas de fila]],'VALORIZACION CARTA'!B:B,'VALORIZACION CARTA'!C:C)</f>
        <v>3360.56</v>
      </c>
      <c r="D153" s="251">
        <f>SUM(T1_[[#This Row],[Recuento de T1 CODIGO]]*T1_[[#This Row],[Columna1]])</f>
        <v>16802.8</v>
      </c>
    </row>
    <row r="154" spans="1:4" x14ac:dyDescent="0.25">
      <c r="A154" s="250" t="s">
        <v>875</v>
      </c>
      <c r="B154">
        <v>13</v>
      </c>
      <c r="C154" s="251">
        <f>LOOKUP(T1_[[#This Row],[Etiquetas de fila]],'VALORIZACION CARTA'!B:B,'VALORIZACION CARTA'!C:C)</f>
        <v>2215.8185750000002</v>
      </c>
      <c r="D154" s="251">
        <f>SUM(T1_[[#This Row],[Recuento de T1 CODIGO]]*T1_[[#This Row],[Columna1]])</f>
        <v>28805.641475000004</v>
      </c>
    </row>
    <row r="155" spans="1:4" x14ac:dyDescent="0.25">
      <c r="A155" s="250" t="s">
        <v>960</v>
      </c>
      <c r="B155">
        <v>9</v>
      </c>
      <c r="C155" s="251">
        <f>LOOKUP(T1_[[#This Row],[Etiquetas de fila]],'VALORIZACION CARTA'!B:B,'VALORIZACION CARTA'!C:C)</f>
        <v>1235.3842666666667</v>
      </c>
      <c r="D155" s="251">
        <f>SUM(T1_[[#This Row],[Recuento de T1 CODIGO]]*T1_[[#This Row],[Columna1]])</f>
        <v>11118.4584</v>
      </c>
    </row>
    <row r="156" spans="1:4" x14ac:dyDescent="0.25">
      <c r="A156" s="250" t="s">
        <v>961</v>
      </c>
      <c r="B156">
        <v>2</v>
      </c>
      <c r="C156" s="251">
        <f>LOOKUP(T1_[[#This Row],[Etiquetas de fila]],'VALORIZACION CARTA'!B:B,'VALORIZACION CARTA'!C:C)</f>
        <v>475.18470374999993</v>
      </c>
      <c r="D156" s="251">
        <f>SUM(T1_[[#This Row],[Recuento de T1 CODIGO]]*T1_[[#This Row],[Columna1]])</f>
        <v>950.36940749999985</v>
      </c>
    </row>
    <row r="157" spans="1:4" x14ac:dyDescent="0.25">
      <c r="A157" s="250" t="s">
        <v>962</v>
      </c>
      <c r="B157">
        <v>1</v>
      </c>
      <c r="C157" s="251">
        <f>LOOKUP(T1_[[#This Row],[Etiquetas de fila]],'VALORIZACION CARTA'!B:B,'VALORIZACION CARTA'!C:C)</f>
        <v>475.18470374999993</v>
      </c>
      <c r="D157" s="251">
        <f>SUM(T1_[[#This Row],[Recuento de T1 CODIGO]]*T1_[[#This Row],[Columna1]])</f>
        <v>475.18470374999993</v>
      </c>
    </row>
    <row r="158" spans="1:4" x14ac:dyDescent="0.25">
      <c r="A158" s="250" t="s">
        <v>881</v>
      </c>
      <c r="B158">
        <v>7</v>
      </c>
      <c r="C158" s="251">
        <f>LOOKUP(T1_[[#This Row],[Etiquetas de fila]],'VALORIZACION CARTA'!B:B,'VALORIZACION CARTA'!C:C)</f>
        <v>991.76869749999992</v>
      </c>
      <c r="D158" s="251">
        <f>SUM(T1_[[#This Row],[Recuento de T1 CODIGO]]*T1_[[#This Row],[Columna1]])</f>
        <v>6942.3808824999996</v>
      </c>
    </row>
    <row r="159" spans="1:4" x14ac:dyDescent="0.25">
      <c r="A159" s="250" t="s">
        <v>963</v>
      </c>
      <c r="B159">
        <v>44</v>
      </c>
      <c r="C159" s="251">
        <f>LOOKUP(T1_[[#This Row],[Etiquetas de fila]],'VALORIZACION CARTA'!B:B,'VALORIZACION CARTA'!C:C)</f>
        <v>991.76869749999992</v>
      </c>
      <c r="D159" s="251">
        <f>SUM(T1_[[#This Row],[Recuento de T1 CODIGO]]*T1_[[#This Row],[Columna1]])</f>
        <v>43637.822689999994</v>
      </c>
    </row>
    <row r="160" spans="1:4" x14ac:dyDescent="0.25">
      <c r="A160" s="250" t="s">
        <v>845</v>
      </c>
      <c r="B160">
        <v>3</v>
      </c>
      <c r="C160" s="251">
        <f>LOOKUP(T1_[[#This Row],[Etiquetas de fila]],'VALORIZACION CARTA'!B:B,'VALORIZACION CARTA'!C:C)</f>
        <v>806.65921874999992</v>
      </c>
      <c r="D160" s="251">
        <f>SUM(T1_[[#This Row],[Recuento de T1 CODIGO]]*T1_[[#This Row],[Columna1]])</f>
        <v>2419.9776562499997</v>
      </c>
    </row>
    <row r="161" spans="1:4" x14ac:dyDescent="0.25">
      <c r="A161" s="250" t="s">
        <v>964</v>
      </c>
      <c r="B161">
        <v>26</v>
      </c>
      <c r="C161" s="251">
        <f>LOOKUP(T1_[[#This Row],[Etiquetas de fila]],'VALORIZACION CARTA'!B:B,'VALORIZACION CARTA'!C:C)</f>
        <v>512.87973333333332</v>
      </c>
      <c r="D161" s="251">
        <f>SUM(T1_[[#This Row],[Recuento de T1 CODIGO]]*T1_[[#This Row],[Columna1]])</f>
        <v>13334.873066666667</v>
      </c>
    </row>
    <row r="162" spans="1:4" x14ac:dyDescent="0.25">
      <c r="A162" s="250" t="s">
        <v>894</v>
      </c>
      <c r="B162">
        <v>1</v>
      </c>
      <c r="C162" s="251">
        <f>LOOKUP(T1_[[#This Row],[Etiquetas de fila]],'VALORIZACION CARTA'!B:B,'VALORIZACION CARTA'!C:C)</f>
        <v>512.87973333333332</v>
      </c>
      <c r="D162" s="251">
        <f>SUM(T1_[[#This Row],[Recuento de T1 CODIGO]]*T1_[[#This Row],[Columna1]])</f>
        <v>512.87973333333332</v>
      </c>
    </row>
    <row r="163" spans="1:4" x14ac:dyDescent="0.25">
      <c r="A163" s="250" t="s">
        <v>874</v>
      </c>
      <c r="B163">
        <v>9</v>
      </c>
      <c r="C163" s="251">
        <f>LOOKUP(T1_[[#This Row],[Etiquetas de fila]],'VALORIZACION CARTA'!B:B,'VALORIZACION CARTA'!C:C)</f>
        <v>915.41563749999989</v>
      </c>
      <c r="D163" s="251">
        <f>SUM(T1_[[#This Row],[Recuento de T1 CODIGO]]*T1_[[#This Row],[Columna1]])</f>
        <v>8238.7407374999984</v>
      </c>
    </row>
    <row r="164" spans="1:4" x14ac:dyDescent="0.25">
      <c r="A164" s="250" t="s">
        <v>655</v>
      </c>
      <c r="B164">
        <v>4</v>
      </c>
      <c r="C164" s="251">
        <f>LOOKUP(T1_[[#This Row],[Etiquetas de fila]],'VALORIZACION CARTA'!B:B,'VALORIZACION CARTA'!C:C)</f>
        <v>1049.9626625000001</v>
      </c>
      <c r="D164" s="251">
        <f>SUM(T1_[[#This Row],[Recuento de T1 CODIGO]]*T1_[[#This Row],[Columna1]])</f>
        <v>4199.8506500000003</v>
      </c>
    </row>
    <row r="165" spans="1:4" x14ac:dyDescent="0.25">
      <c r="A165" s="250" t="s">
        <v>965</v>
      </c>
      <c r="B165">
        <v>1</v>
      </c>
      <c r="C165" s="251">
        <f>LOOKUP(T1_[[#This Row],[Etiquetas de fila]],'VALORIZACION CARTA'!B:B,'VALORIZACION CARTA'!C:C)</f>
        <v>1049.9626625000001</v>
      </c>
      <c r="D165" s="251">
        <f>SUM(T1_[[#This Row],[Recuento de T1 CODIGO]]*T1_[[#This Row],[Columna1]])</f>
        <v>1049.9626625000001</v>
      </c>
    </row>
    <row r="166" spans="1:4" x14ac:dyDescent="0.25">
      <c r="A166" s="250" t="s">
        <v>966</v>
      </c>
      <c r="B166">
        <v>3</v>
      </c>
      <c r="C166" s="251">
        <f>LOOKUP(T1_[[#This Row],[Etiquetas de fila]],'VALORIZACION CARTA'!B:B,'VALORIZACION CARTA'!C:C)</f>
        <v>868.31766874999994</v>
      </c>
      <c r="D166" s="251">
        <f>SUM(T1_[[#This Row],[Recuento de T1 CODIGO]]*T1_[[#This Row],[Columna1]])</f>
        <v>2604.9530062499998</v>
      </c>
    </row>
    <row r="167" spans="1:4" x14ac:dyDescent="0.25">
      <c r="A167" s="250" t="s">
        <v>967</v>
      </c>
      <c r="B167">
        <v>5</v>
      </c>
      <c r="C167" s="251">
        <f>LOOKUP(T1_[[#This Row],[Etiquetas de fila]],'VALORIZACION CARTA'!B:B,'VALORIZACION CARTA'!C:C)</f>
        <v>868.31766874999994</v>
      </c>
      <c r="D167" s="251">
        <f>SUM(T1_[[#This Row],[Recuento de T1 CODIGO]]*T1_[[#This Row],[Columna1]])</f>
        <v>4341.5883437499997</v>
      </c>
    </row>
    <row r="168" spans="1:4" x14ac:dyDescent="0.25">
      <c r="A168" s="250" t="s">
        <v>895</v>
      </c>
      <c r="B168">
        <v>1</v>
      </c>
      <c r="C168" s="251">
        <f>LOOKUP(T1_[[#This Row],[Etiquetas de fila]],'VALORIZACION CARTA'!B:B,'VALORIZACION CARTA'!C:C)</f>
        <v>704.66899999999998</v>
      </c>
      <c r="D168" s="251">
        <f>SUM(T1_[[#This Row],[Recuento de T1 CODIGO]]*T1_[[#This Row],[Columna1]])</f>
        <v>704.66899999999998</v>
      </c>
    </row>
    <row r="169" spans="1:4" x14ac:dyDescent="0.25">
      <c r="A169" s="250" t="s">
        <v>743</v>
      </c>
      <c r="B169">
        <v>1</v>
      </c>
      <c r="C169" s="251">
        <f>LOOKUP(T1_[[#This Row],[Etiquetas de fila]],'VALORIZACION CARTA'!B:B,'VALORIZACION CARTA'!C:C)</f>
        <v>2394.61</v>
      </c>
      <c r="D169" s="251">
        <f>SUM(T1_[[#This Row],[Recuento de T1 CODIGO]]*T1_[[#This Row],[Columna1]])</f>
        <v>2394.61</v>
      </c>
    </row>
    <row r="170" spans="1:4" x14ac:dyDescent="0.25">
      <c r="A170" s="250" t="s">
        <v>968</v>
      </c>
      <c r="B170">
        <v>9</v>
      </c>
      <c r="C170" s="251">
        <f>LOOKUP(T1_[[#This Row],[Etiquetas de fila]],'VALORIZACION CARTA'!B:B,'VALORIZACION CARTA'!C:C)</f>
        <v>664.35</v>
      </c>
      <c r="D170" s="251">
        <f>SUM(T1_[[#This Row],[Recuento de T1 CODIGO]]*T1_[[#This Row],[Columna1]])</f>
        <v>5979.1500000000005</v>
      </c>
    </row>
    <row r="171" spans="1:4" x14ac:dyDescent="0.25">
      <c r="A171" s="250" t="s">
        <v>969</v>
      </c>
      <c r="B171">
        <v>6</v>
      </c>
      <c r="C171" s="251">
        <f>LOOKUP(T1_[[#This Row],[Etiquetas de fila]],'VALORIZACION CARTA'!B:B,'VALORIZACION CARTA'!C:C)</f>
        <v>664.24679999999989</v>
      </c>
      <c r="D171" s="251">
        <f>SUM(T1_[[#This Row],[Recuento de T1 CODIGO]]*T1_[[#This Row],[Columna1]])</f>
        <v>3985.4807999999994</v>
      </c>
    </row>
    <row r="172" spans="1:4" x14ac:dyDescent="0.25">
      <c r="A172" s="250" t="s">
        <v>970</v>
      </c>
      <c r="B172">
        <v>16</v>
      </c>
      <c r="C172" s="251">
        <f>LOOKUP(T1_[[#This Row],[Etiquetas de fila]],'VALORIZACION CARTA'!B:B,'VALORIZACION CARTA'!C:C)</f>
        <v>664.24679999999989</v>
      </c>
      <c r="D172" s="251">
        <f>SUM(T1_[[#This Row],[Recuento de T1 CODIGO]]*T1_[[#This Row],[Columna1]])</f>
        <v>10627.948799999998</v>
      </c>
    </row>
    <row r="173" spans="1:4" x14ac:dyDescent="0.25">
      <c r="A173" s="250" t="s">
        <v>557</v>
      </c>
      <c r="B173">
        <v>1</v>
      </c>
      <c r="C173" s="251">
        <f>LOOKUP(T1_[[#This Row],[Etiquetas de fila]],'VALORIZACION CARTA'!B:B,'VALORIZACION CARTA'!C:C)</f>
        <v>0</v>
      </c>
      <c r="D173" s="251">
        <f>SUM(T1_[[#This Row],[Recuento de T1 CODIGO]]*T1_[[#This Row],[Columna1]])</f>
        <v>0</v>
      </c>
    </row>
    <row r="174" spans="1:4" x14ac:dyDescent="0.25">
      <c r="A174" s="250" t="s">
        <v>716</v>
      </c>
      <c r="B174">
        <v>2</v>
      </c>
      <c r="C174" s="251">
        <f>LOOKUP(T1_[[#This Row],[Etiquetas de fila]],'VALORIZACION CARTA'!B:B,'VALORIZACION CARTA'!C:C)</f>
        <v>0</v>
      </c>
      <c r="D174" s="251">
        <f>SUM(T1_[[#This Row],[Recuento de T1 CODIGO]]*T1_[[#This Row],[Columna1]])</f>
        <v>0</v>
      </c>
    </row>
    <row r="175" spans="1:4" x14ac:dyDescent="0.25">
      <c r="A175" s="250" t="s">
        <v>971</v>
      </c>
      <c r="B175">
        <v>1</v>
      </c>
      <c r="C175" s="251">
        <f>LOOKUP(T1_[[#This Row],[Etiquetas de fila]],'VALORIZACION CARTA'!B:B,'VALORIZACION CARTA'!C:C)</f>
        <v>704.62379999999996</v>
      </c>
      <c r="D175" s="251">
        <f>SUM(T1_[[#This Row],[Recuento de T1 CODIGO]]*T1_[[#This Row],[Columna1]])</f>
        <v>704.62379999999996</v>
      </c>
    </row>
    <row r="176" spans="1:4" x14ac:dyDescent="0.25">
      <c r="A176" s="250" t="s">
        <v>972</v>
      </c>
      <c r="B176">
        <v>7</v>
      </c>
      <c r="C176" s="251">
        <f>LOOKUP(T1_[[#This Row],[Etiquetas de fila]],'VALORIZACION CARTA'!B:B,'VALORIZACION CARTA'!C:C)</f>
        <v>3994.56</v>
      </c>
      <c r="D176" s="251">
        <f>SUM(T1_[[#This Row],[Recuento de T1 CODIGO]]*T1_[[#This Row],[Columna1]])</f>
        <v>27961.919999999998</v>
      </c>
    </row>
    <row r="177" spans="1:4" x14ac:dyDescent="0.25">
      <c r="A177" s="250" t="s">
        <v>973</v>
      </c>
      <c r="B177">
        <v>12</v>
      </c>
      <c r="C177" s="251">
        <f>LOOKUP(T1_[[#This Row],[Etiquetas de fila]],'VALORIZACION CARTA'!B:B,'VALORIZACION CARTA'!C:C)</f>
        <v>3662.6923076923072</v>
      </c>
      <c r="D177" s="251">
        <f>SUM(T1_[[#This Row],[Recuento de T1 CODIGO]]*T1_[[#This Row],[Columna1]])</f>
        <v>43952.307692307688</v>
      </c>
    </row>
    <row r="178" spans="1:4" x14ac:dyDescent="0.25">
      <c r="A178" s="250" t="s">
        <v>974</v>
      </c>
      <c r="B178">
        <v>4</v>
      </c>
      <c r="C178" s="251">
        <f>LOOKUP(T1_[[#This Row],[Etiquetas de fila]],'VALORIZACION CARTA'!B:B,'VALORIZACION CARTA'!C:C)</f>
        <v>349.86</v>
      </c>
      <c r="D178" s="251">
        <f>SUM(T1_[[#This Row],[Recuento de T1 CODIGO]]*T1_[[#This Row],[Columna1]])</f>
        <v>1399.44</v>
      </c>
    </row>
    <row r="179" spans="1:4" x14ac:dyDescent="0.25">
      <c r="A179" s="250" t="s">
        <v>975</v>
      </c>
      <c r="B179">
        <v>11</v>
      </c>
      <c r="C179" s="251">
        <f>LOOKUP(T1_[[#This Row],[Etiquetas de fila]],'VALORIZACION CARTA'!B:B,'VALORIZACION CARTA'!C:C)</f>
        <v>467.67</v>
      </c>
      <c r="D179" s="251">
        <f>SUM(T1_[[#This Row],[Recuento de T1 CODIGO]]*T1_[[#This Row],[Columna1]])</f>
        <v>5144.37</v>
      </c>
    </row>
    <row r="180" spans="1:4" x14ac:dyDescent="0.25">
      <c r="A180" s="250" t="s">
        <v>976</v>
      </c>
      <c r="B180">
        <v>3</v>
      </c>
      <c r="C180" s="251">
        <f>LOOKUP(T1_[[#This Row],[Etiquetas de fila]],'VALORIZACION CARTA'!B:B,'VALORIZACION CARTA'!C:C)</f>
        <v>4533.476333333334</v>
      </c>
      <c r="D180" s="251">
        <f>SUM(T1_[[#This Row],[Recuento de T1 CODIGO]]*T1_[[#This Row],[Columna1]])</f>
        <v>13600.429000000002</v>
      </c>
    </row>
    <row r="181" spans="1:4" x14ac:dyDescent="0.25">
      <c r="A181" s="250" t="s">
        <v>977</v>
      </c>
      <c r="B181">
        <v>3</v>
      </c>
      <c r="C181" s="251">
        <f>LOOKUP(T1_[[#This Row],[Etiquetas de fila]],'VALORIZACION CARTA'!B:B,'VALORIZACION CARTA'!C:C)</f>
        <v>2001.9100000000003</v>
      </c>
      <c r="D181" s="251">
        <f>SUM(T1_[[#This Row],[Recuento de T1 CODIGO]]*T1_[[#This Row],[Columna1]])</f>
        <v>6005.7300000000014</v>
      </c>
    </row>
    <row r="182" spans="1:4" x14ac:dyDescent="0.25">
      <c r="A182" s="250" t="s">
        <v>978</v>
      </c>
      <c r="B182">
        <v>3</v>
      </c>
      <c r="C182" s="251">
        <f>LOOKUP(T1_[[#This Row],[Etiquetas de fila]],'VALORIZACION CARTA'!B:B,'VALORIZACION CARTA'!C:C)</f>
        <v>1942.4580576923076</v>
      </c>
      <c r="D182" s="251">
        <f>SUM(T1_[[#This Row],[Recuento de T1 CODIGO]]*T1_[[#This Row],[Columna1]])</f>
        <v>5827.3741730769234</v>
      </c>
    </row>
    <row r="183" spans="1:4" x14ac:dyDescent="0.25">
      <c r="A183" s="250" t="s">
        <v>979</v>
      </c>
      <c r="B183">
        <v>4</v>
      </c>
      <c r="C183" s="251">
        <f>LOOKUP(T1_[[#This Row],[Etiquetas de fila]],'VALORIZACION CARTA'!B:B,'VALORIZACION CARTA'!C:C)</f>
        <v>2157.8183076923078</v>
      </c>
      <c r="D183" s="251">
        <f>SUM(T1_[[#This Row],[Recuento de T1 CODIGO]]*T1_[[#This Row],[Columna1]])</f>
        <v>8631.2732307692313</v>
      </c>
    </row>
    <row r="184" spans="1:4" x14ac:dyDescent="0.25">
      <c r="A184" s="250" t="s">
        <v>980</v>
      </c>
      <c r="B184">
        <v>11</v>
      </c>
      <c r="C184" s="251">
        <f>LOOKUP(T1_[[#This Row],[Etiquetas de fila]],'VALORIZACION CARTA'!B:B,'VALORIZACION CARTA'!C:C)</f>
        <v>5087.5800000000008</v>
      </c>
      <c r="D184" s="251">
        <f>SUM(T1_[[#This Row],[Recuento de T1 CODIGO]]*T1_[[#This Row],[Columna1]])</f>
        <v>55963.380000000012</v>
      </c>
    </row>
    <row r="185" spans="1:4" x14ac:dyDescent="0.25">
      <c r="A185" s="250" t="s">
        <v>981</v>
      </c>
      <c r="B185">
        <v>5</v>
      </c>
      <c r="C185" s="251">
        <f>LOOKUP(T1_[[#This Row],[Etiquetas de fila]],'VALORIZACION CARTA'!B:B,'VALORIZACION CARTA'!C:C)</f>
        <v>5214.9100000000008</v>
      </c>
      <c r="D185" s="251">
        <f>SUM(T1_[[#This Row],[Recuento de T1 CODIGO]]*T1_[[#This Row],[Columna1]])</f>
        <v>26074.550000000003</v>
      </c>
    </row>
    <row r="186" spans="1:4" x14ac:dyDescent="0.25">
      <c r="A186" s="250" t="s">
        <v>982</v>
      </c>
      <c r="B186">
        <v>1</v>
      </c>
      <c r="C186" s="251">
        <f>LOOKUP(T1_[[#This Row],[Etiquetas de fila]],'VALORIZACION CARTA'!B:B,'VALORIZACION CARTA'!C:C)</f>
        <v>879.64050000000009</v>
      </c>
      <c r="D186" s="251">
        <f>SUM(T1_[[#This Row],[Recuento de T1 CODIGO]]*T1_[[#This Row],[Columna1]])</f>
        <v>879.64050000000009</v>
      </c>
    </row>
    <row r="187" spans="1:4" x14ac:dyDescent="0.25">
      <c r="A187" s="250" t="s">
        <v>983</v>
      </c>
      <c r="B187">
        <v>3</v>
      </c>
      <c r="C187" s="251">
        <f>LOOKUP(T1_[[#This Row],[Etiquetas de fila]],'VALORIZACION CARTA'!B:B,'VALORIZACION CARTA'!C:C)</f>
        <v>704.62379999999996</v>
      </c>
      <c r="D187" s="251">
        <f>SUM(T1_[[#This Row],[Recuento de T1 CODIGO]]*T1_[[#This Row],[Columna1]])</f>
        <v>2113.8714</v>
      </c>
    </row>
    <row r="188" spans="1:4" x14ac:dyDescent="0.25">
      <c r="A188" s="250" t="s">
        <v>984</v>
      </c>
      <c r="B188">
        <v>1</v>
      </c>
      <c r="C188" s="251">
        <f>LOOKUP(T1_[[#This Row],[Etiquetas de fila]],'VALORIZACION CARTA'!B:B,'VALORIZACION CARTA'!C:C)</f>
        <v>704.64960000000008</v>
      </c>
      <c r="D188" s="251">
        <f>SUM(T1_[[#This Row],[Recuento de T1 CODIGO]]*T1_[[#This Row],[Columna1]])</f>
        <v>704.64960000000008</v>
      </c>
    </row>
    <row r="189" spans="1:4" x14ac:dyDescent="0.25">
      <c r="A189" s="250" t="s">
        <v>985</v>
      </c>
      <c r="B189">
        <v>4</v>
      </c>
      <c r="C189" s="251">
        <f>LOOKUP(T1_[[#This Row],[Etiquetas de fila]],'VALORIZACION CARTA'!B:B,'VALORIZACION CARTA'!C:C)</f>
        <v>704.62379999999996</v>
      </c>
      <c r="D189" s="251">
        <f>SUM(T1_[[#This Row],[Recuento de T1 CODIGO]]*T1_[[#This Row],[Columna1]])</f>
        <v>2818.4951999999998</v>
      </c>
    </row>
    <row r="190" spans="1:4" x14ac:dyDescent="0.25">
      <c r="A190" s="250" t="s">
        <v>986</v>
      </c>
      <c r="B190">
        <v>1</v>
      </c>
      <c r="C190" s="251">
        <f>LOOKUP(T1_[[#This Row],[Etiquetas de fila]],'VALORIZACION CARTA'!B:B,'VALORIZACION CARTA'!C:C)</f>
        <v>704.62379999999996</v>
      </c>
      <c r="D190" s="251">
        <f>SUM(T1_[[#This Row],[Recuento de T1 CODIGO]]*T1_[[#This Row],[Columna1]])</f>
        <v>704.62379999999996</v>
      </c>
    </row>
    <row r="191" spans="1:4" x14ac:dyDescent="0.25">
      <c r="A191" s="250" t="s">
        <v>626</v>
      </c>
      <c r="B191">
        <v>75</v>
      </c>
      <c r="C191" s="251">
        <f>LOOKUP(T1_[[#This Row],[Etiquetas de fila]],'VALORIZACION CARTA'!B:B,'VALORIZACION CARTA'!C:C)</f>
        <v>106.04015625000002</v>
      </c>
      <c r="D191" s="251">
        <f>SUM(T1_[[#This Row],[Recuento de T1 CODIGO]]*T1_[[#This Row],[Columna1]])</f>
        <v>7953.0117187500018</v>
      </c>
    </row>
    <row r="192" spans="1:4" x14ac:dyDescent="0.25">
      <c r="A192" s="250" t="s">
        <v>205</v>
      </c>
      <c r="B192">
        <v>58</v>
      </c>
      <c r="C192" s="251">
        <f>LOOKUP(T1_[[#This Row],[Etiquetas de fila]],'VALORIZACION CARTA'!B:B,'VALORIZACION CARTA'!C:C)</f>
        <v>106.04015625000002</v>
      </c>
      <c r="D192" s="251">
        <f>SUM(T1_[[#This Row],[Recuento de T1 CODIGO]]*T1_[[#This Row],[Columna1]])</f>
        <v>6150.3290625000018</v>
      </c>
    </row>
    <row r="193" spans="1:4" x14ac:dyDescent="0.25">
      <c r="A193" s="250" t="s">
        <v>885</v>
      </c>
      <c r="B193">
        <v>11</v>
      </c>
      <c r="C193" s="251">
        <f>LOOKUP(T1_[[#This Row],[Etiquetas de fila]],'VALORIZACION CARTA'!B:B,'VALORIZACION CARTA'!C:C)</f>
        <v>349.86</v>
      </c>
      <c r="D193" s="251">
        <f>SUM(T1_[[#This Row],[Recuento de T1 CODIGO]]*T1_[[#This Row],[Columna1]])</f>
        <v>3848.46</v>
      </c>
    </row>
    <row r="194" spans="1:4" x14ac:dyDescent="0.25">
      <c r="A194" s="250" t="s">
        <v>858</v>
      </c>
      <c r="B194">
        <v>19</v>
      </c>
      <c r="C194" s="251">
        <f>LOOKUP(T1_[[#This Row],[Etiquetas de fila]],'VALORIZACION CARTA'!B:B,'VALORIZACION CARTA'!C:C)</f>
        <v>467.67</v>
      </c>
      <c r="D194" s="251">
        <f>SUM(T1_[[#This Row],[Recuento de T1 CODIGO]]*T1_[[#This Row],[Columna1]])</f>
        <v>8885.73</v>
      </c>
    </row>
    <row r="195" spans="1:4" x14ac:dyDescent="0.25">
      <c r="A195" s="250" t="s">
        <v>558</v>
      </c>
      <c r="B195">
        <v>4</v>
      </c>
      <c r="C195" s="251">
        <f>LOOKUP(T1_[[#This Row],[Etiquetas de fila]],'VALORIZACION CARTA'!B:B,'VALORIZACION CARTA'!C:C)</f>
        <v>852.38900000000001</v>
      </c>
      <c r="D195" s="251">
        <f>SUM(T1_[[#This Row],[Recuento de T1 CODIGO]]*T1_[[#This Row],[Columna1]])</f>
        <v>3409.556</v>
      </c>
    </row>
    <row r="196" spans="1:4" x14ac:dyDescent="0.25">
      <c r="A196" s="250" t="s">
        <v>559</v>
      </c>
      <c r="B196">
        <v>8</v>
      </c>
      <c r="C196" s="251">
        <f>LOOKUP(T1_[[#This Row],[Etiquetas de fila]],'VALORIZACION CARTA'!B:B,'VALORIZACION CARTA'!C:C)</f>
        <v>1392.5335</v>
      </c>
      <c r="D196" s="251">
        <f>SUM(T1_[[#This Row],[Recuento de T1 CODIGO]]*T1_[[#This Row],[Columna1]])</f>
        <v>11140.268</v>
      </c>
    </row>
    <row r="197" spans="1:4" x14ac:dyDescent="0.25">
      <c r="A197" s="250" t="s">
        <v>560</v>
      </c>
      <c r="B197">
        <v>1</v>
      </c>
      <c r="C197" s="251">
        <f>LOOKUP(T1_[[#This Row],[Etiquetas de fila]],'VALORIZACION CARTA'!B:B,'VALORIZACION CARTA'!C:C)</f>
        <v>1236.5723125000002</v>
      </c>
      <c r="D197" s="251">
        <f>SUM(T1_[[#This Row],[Recuento de T1 CODIGO]]*T1_[[#This Row],[Columna1]])</f>
        <v>1236.5723125000002</v>
      </c>
    </row>
    <row r="198" spans="1:4" x14ac:dyDescent="0.25">
      <c r="A198" s="250" t="s">
        <v>987</v>
      </c>
      <c r="B198">
        <v>2</v>
      </c>
      <c r="C198" s="251">
        <f>LOOKUP(T1_[[#This Row],[Etiquetas de fila]],'VALORIZACION CARTA'!B:B,'VALORIZACION CARTA'!C:C)</f>
        <v>1025.4208125</v>
      </c>
      <c r="D198" s="251">
        <f>SUM(T1_[[#This Row],[Recuento de T1 CODIGO]]*T1_[[#This Row],[Columna1]])</f>
        <v>2050.841625</v>
      </c>
    </row>
    <row r="199" spans="1:4" x14ac:dyDescent="0.25">
      <c r="A199" s="250" t="s">
        <v>988</v>
      </c>
      <c r="B199">
        <v>1</v>
      </c>
      <c r="C199" s="251">
        <f>LOOKUP(T1_[[#This Row],[Etiquetas de fila]],'VALORIZACION CARTA'!B:B,'VALORIZACION CARTA'!C:C)</f>
        <v>1375.6343125000001</v>
      </c>
      <c r="D199" s="251">
        <f>SUM(T1_[[#This Row],[Recuento de T1 CODIGO]]*T1_[[#This Row],[Columna1]])</f>
        <v>1375.6343125000001</v>
      </c>
    </row>
    <row r="200" spans="1:4" x14ac:dyDescent="0.25">
      <c r="A200" s="250" t="s">
        <v>989</v>
      </c>
      <c r="B200">
        <v>1</v>
      </c>
      <c r="C200" s="251">
        <f>LOOKUP(T1_[[#This Row],[Etiquetas de fila]],'VALORIZACION CARTA'!B:B,'VALORIZACION CARTA'!C:C)</f>
        <v>1137.0918125000001</v>
      </c>
      <c r="D200" s="251">
        <f>SUM(T1_[[#This Row],[Recuento de T1 CODIGO]]*T1_[[#This Row],[Columna1]])</f>
        <v>1137.0918125000001</v>
      </c>
    </row>
    <row r="201" spans="1:4" x14ac:dyDescent="0.25">
      <c r="A201" s="250" t="s">
        <v>990</v>
      </c>
      <c r="B201">
        <v>21</v>
      </c>
      <c r="C201" s="251">
        <f>LOOKUP(T1_[[#This Row],[Etiquetas de fila]],'VALORIZACION CARTA'!B:B,'VALORIZACION CARTA'!C:C)</f>
        <v>1137.0918125000001</v>
      </c>
      <c r="D201" s="251">
        <f>SUM(T1_[[#This Row],[Recuento de T1 CODIGO]]*T1_[[#This Row],[Columna1]])</f>
        <v>23878.928062500003</v>
      </c>
    </row>
    <row r="202" spans="1:4" x14ac:dyDescent="0.25">
      <c r="A202" s="250" t="s">
        <v>320</v>
      </c>
      <c r="B202">
        <v>36</v>
      </c>
      <c r="C202" s="251">
        <f>LOOKUP(T1_[[#This Row],[Etiquetas de fila]],'VALORIZACION CARTA'!B:B,'VALORIZACION CARTA'!C:C)</f>
        <v>496.56381249999998</v>
      </c>
      <c r="D202" s="251">
        <f>SUM(T1_[[#This Row],[Recuento de T1 CODIGO]]*T1_[[#This Row],[Columna1]])</f>
        <v>17876.29725</v>
      </c>
    </row>
    <row r="203" spans="1:4" x14ac:dyDescent="0.25">
      <c r="A203" s="250" t="s">
        <v>838</v>
      </c>
      <c r="B203">
        <v>42</v>
      </c>
      <c r="C203" s="251">
        <f>LOOKUP(T1_[[#This Row],[Etiquetas de fila]],'VALORIZACION CARTA'!B:B,'VALORIZACION CARTA'!C:C)</f>
        <v>1560.506625</v>
      </c>
      <c r="D203" s="251">
        <f>SUM(T1_[[#This Row],[Recuento de T1 CODIGO]]*T1_[[#This Row],[Columna1]])</f>
        <v>65541.278250000003</v>
      </c>
    </row>
    <row r="204" spans="1:4" x14ac:dyDescent="0.25">
      <c r="A204" s="250" t="s">
        <v>991</v>
      </c>
      <c r="B204">
        <v>5</v>
      </c>
      <c r="C204" s="251">
        <f>LOOKUP(T1_[[#This Row],[Etiquetas de fila]],'VALORIZACION CARTA'!B:B,'VALORIZACION CARTA'!C:C)</f>
        <v>1560.506625</v>
      </c>
      <c r="D204" s="251">
        <f>SUM(T1_[[#This Row],[Recuento de T1 CODIGO]]*T1_[[#This Row],[Columna1]])</f>
        <v>7802.5331249999999</v>
      </c>
    </row>
    <row r="205" spans="1:4" x14ac:dyDescent="0.25">
      <c r="A205" s="250" t="s">
        <v>992</v>
      </c>
      <c r="B205">
        <v>24</v>
      </c>
      <c r="C205" s="251">
        <f>LOOKUP(T1_[[#This Row],[Etiquetas de fila]],'VALORIZACION CARTA'!B:B,'VALORIZACION CARTA'!C:C)</f>
        <v>1560.506625</v>
      </c>
      <c r="D205" s="251">
        <f>SUM(T1_[[#This Row],[Recuento de T1 CODIGO]]*T1_[[#This Row],[Columna1]])</f>
        <v>37452.159</v>
      </c>
    </row>
    <row r="206" spans="1:4" x14ac:dyDescent="0.25">
      <c r="A206" s="250" t="s">
        <v>993</v>
      </c>
      <c r="B206">
        <v>168</v>
      </c>
      <c r="C206" s="251">
        <f>LOOKUP(T1_[[#This Row],[Etiquetas de fila]],'VALORIZACION CARTA'!B:B,'VALORIZACION CARTA'!C:C)</f>
        <v>1560.506625</v>
      </c>
      <c r="D206" s="251">
        <f>SUM(T1_[[#This Row],[Recuento de T1 CODIGO]]*T1_[[#This Row],[Columna1]])</f>
        <v>262165.11300000001</v>
      </c>
    </row>
    <row r="207" spans="1:4" x14ac:dyDescent="0.25">
      <c r="A207" s="250" t="s">
        <v>994</v>
      </c>
      <c r="B207">
        <v>2</v>
      </c>
      <c r="C207" s="251">
        <f>LOOKUP(T1_[[#This Row],[Etiquetas de fila]],'VALORIZACION CARTA'!B:B,'VALORIZACION CARTA'!C:C)</f>
        <v>2110.0743124999999</v>
      </c>
      <c r="D207" s="251">
        <f>SUM(T1_[[#This Row],[Recuento de T1 CODIGO]]*T1_[[#This Row],[Columna1]])</f>
        <v>4220.1486249999998</v>
      </c>
    </row>
    <row r="208" spans="1:4" x14ac:dyDescent="0.25">
      <c r="A208" s="250" t="s">
        <v>995</v>
      </c>
      <c r="B208">
        <v>23</v>
      </c>
      <c r="C208" s="251">
        <f>LOOKUP(T1_[[#This Row],[Etiquetas de fila]],'VALORIZACION CARTA'!B:B,'VALORIZACION CARTA'!C:C)</f>
        <v>1237.3248125</v>
      </c>
      <c r="D208" s="251">
        <f>SUM(T1_[[#This Row],[Recuento de T1 CODIGO]]*T1_[[#This Row],[Columna1]])</f>
        <v>28458.470687500001</v>
      </c>
    </row>
    <row r="209" spans="1:4" x14ac:dyDescent="0.25">
      <c r="A209" s="250" t="s">
        <v>321</v>
      </c>
      <c r="B209">
        <v>36</v>
      </c>
      <c r="C209" s="251">
        <f>LOOKUP(T1_[[#This Row],[Etiquetas de fila]],'VALORIZACION CARTA'!B:B,'VALORIZACION CARTA'!C:C)</f>
        <v>618.27850000000001</v>
      </c>
      <c r="D209" s="251">
        <f>SUM(T1_[[#This Row],[Recuento de T1 CODIGO]]*T1_[[#This Row],[Columna1]])</f>
        <v>22258.026000000002</v>
      </c>
    </row>
    <row r="210" spans="1:4" x14ac:dyDescent="0.25">
      <c r="A210" s="250" t="s">
        <v>996</v>
      </c>
      <c r="B210">
        <v>58</v>
      </c>
      <c r="C210" s="251">
        <f>LOOKUP(T1_[[#This Row],[Etiquetas de fila]],'VALORIZACION CARTA'!B:B,'VALORIZACION CARTA'!C:C)</f>
        <v>618.27850000000001</v>
      </c>
      <c r="D210" s="251">
        <f>SUM(T1_[[#This Row],[Recuento de T1 CODIGO]]*T1_[[#This Row],[Columna1]])</f>
        <v>35860.152999999998</v>
      </c>
    </row>
    <row r="211" spans="1:4" x14ac:dyDescent="0.25">
      <c r="A211" s="250" t="s">
        <v>997</v>
      </c>
      <c r="B211">
        <v>30</v>
      </c>
      <c r="C211" s="251">
        <f>LOOKUP(T1_[[#This Row],[Etiquetas de fila]],'VALORIZACION CARTA'!B:B,'VALORIZACION CARTA'!C:C)</f>
        <v>485.19437499999998</v>
      </c>
      <c r="D211" s="251">
        <f>SUM(T1_[[#This Row],[Recuento de T1 CODIGO]]*T1_[[#This Row],[Columna1]])</f>
        <v>14555.831249999999</v>
      </c>
    </row>
    <row r="212" spans="1:4" x14ac:dyDescent="0.25">
      <c r="A212" s="250" t="s">
        <v>998</v>
      </c>
      <c r="B212">
        <v>2</v>
      </c>
      <c r="C212" s="251">
        <f>LOOKUP(T1_[[#This Row],[Etiquetas de fila]],'VALORIZACION CARTA'!B:B,'VALORIZACION CARTA'!C:C)</f>
        <v>485.19437499999998</v>
      </c>
      <c r="D212" s="251">
        <f>SUM(T1_[[#This Row],[Recuento de T1 CODIGO]]*T1_[[#This Row],[Columna1]])</f>
        <v>970.38874999999996</v>
      </c>
    </row>
    <row r="213" spans="1:4" x14ac:dyDescent="0.25">
      <c r="A213" s="250" t="s">
        <v>999</v>
      </c>
      <c r="B213">
        <v>7</v>
      </c>
      <c r="C213" s="251">
        <f>LOOKUP(T1_[[#This Row],[Etiquetas de fila]],'VALORIZACION CARTA'!B:B,'VALORIZACION CARTA'!C:C)</f>
        <v>1532.1075000000001</v>
      </c>
      <c r="D213" s="251">
        <f>SUM(T1_[[#This Row],[Recuento de T1 CODIGO]]*T1_[[#This Row],[Columna1]])</f>
        <v>10724.752500000001</v>
      </c>
    </row>
    <row r="214" spans="1:4" x14ac:dyDescent="0.25">
      <c r="A214" s="250" t="s">
        <v>864</v>
      </c>
      <c r="B214">
        <v>26</v>
      </c>
      <c r="C214" s="251">
        <f>LOOKUP(T1_[[#This Row],[Etiquetas de fila]],'VALORIZACION CARTA'!B:B,'VALORIZACION CARTA'!C:C)</f>
        <v>2252.9318750000002</v>
      </c>
      <c r="D214" s="251">
        <f>SUM(T1_[[#This Row],[Recuento de T1 CODIGO]]*T1_[[#This Row],[Columna1]])</f>
        <v>58576.228750000009</v>
      </c>
    </row>
    <row r="215" spans="1:4" x14ac:dyDescent="0.25">
      <c r="A215" s="250" t="s">
        <v>846</v>
      </c>
      <c r="B215">
        <v>3</v>
      </c>
      <c r="C215" s="251">
        <f>LOOKUP(T1_[[#This Row],[Etiquetas de fila]],'VALORIZACION CARTA'!B:B,'VALORIZACION CARTA'!C:C)</f>
        <v>2458.1767</v>
      </c>
      <c r="D215" s="251">
        <f>SUM(T1_[[#This Row],[Recuento de T1 CODIGO]]*T1_[[#This Row],[Columna1]])</f>
        <v>7374.5300999999999</v>
      </c>
    </row>
    <row r="216" spans="1:4" x14ac:dyDescent="0.25">
      <c r="A216" s="250" t="s">
        <v>805</v>
      </c>
      <c r="B216">
        <v>4</v>
      </c>
      <c r="C216" s="251">
        <f>LOOKUP(T1_[[#This Row],[Etiquetas de fila]],'VALORIZACION CARTA'!B:B,'VALORIZACION CARTA'!C:C)</f>
        <v>2458.1767</v>
      </c>
      <c r="D216" s="251">
        <f>SUM(T1_[[#This Row],[Recuento de T1 CODIGO]]*T1_[[#This Row],[Columna1]])</f>
        <v>9832.7067999999999</v>
      </c>
    </row>
    <row r="217" spans="1:4" x14ac:dyDescent="0.25">
      <c r="A217" s="250" t="s">
        <v>1000</v>
      </c>
      <c r="B217">
        <v>6</v>
      </c>
      <c r="C217" s="251">
        <f>LOOKUP(T1_[[#This Row],[Etiquetas de fila]],'VALORIZACION CARTA'!B:B,'VALORIZACION CARTA'!C:C)</f>
        <v>3146.3599999999997</v>
      </c>
      <c r="D217" s="251">
        <f>SUM(T1_[[#This Row],[Recuento de T1 CODIGO]]*T1_[[#This Row],[Columna1]])</f>
        <v>18878.159999999996</v>
      </c>
    </row>
    <row r="218" spans="1:4" x14ac:dyDescent="0.25">
      <c r="A218" s="250" t="s">
        <v>1001</v>
      </c>
      <c r="B218">
        <v>1</v>
      </c>
      <c r="C218" s="251">
        <f>LOOKUP(T1_[[#This Row],[Etiquetas de fila]],'VALORIZACION CARTA'!B:B,'VALORIZACION CARTA'!C:C)</f>
        <v>2867.7345</v>
      </c>
      <c r="D218" s="251">
        <f>SUM(T1_[[#This Row],[Recuento de T1 CODIGO]]*T1_[[#This Row],[Columna1]])</f>
        <v>2867.7345</v>
      </c>
    </row>
    <row r="219" spans="1:4" x14ac:dyDescent="0.25">
      <c r="A219" s="250" t="s">
        <v>1002</v>
      </c>
      <c r="B219">
        <v>1</v>
      </c>
      <c r="C219" s="251">
        <f>LOOKUP(T1_[[#This Row],[Etiquetas de fila]],'VALORIZACION CARTA'!B:B,'VALORIZACION CARTA'!C:C)</f>
        <v>1369.8509999999999</v>
      </c>
      <c r="D219" s="251">
        <f>SUM(T1_[[#This Row],[Recuento de T1 CODIGO]]*T1_[[#This Row],[Columna1]])</f>
        <v>1369.8509999999999</v>
      </c>
    </row>
    <row r="220" spans="1:4" x14ac:dyDescent="0.25">
      <c r="A220" s="250" t="s">
        <v>871</v>
      </c>
      <c r="B220">
        <v>11</v>
      </c>
      <c r="C220" s="251">
        <f>LOOKUP(T1_[[#This Row],[Etiquetas de fila]],'VALORIZACION CARTA'!B:B,'VALORIZACION CARTA'!C:C)</f>
        <v>1037.68</v>
      </c>
      <c r="D220" s="251">
        <f>SUM(T1_[[#This Row],[Recuento de T1 CODIGO]]*T1_[[#This Row],[Columna1]])</f>
        <v>11414.480000000001</v>
      </c>
    </row>
    <row r="221" spans="1:4" x14ac:dyDescent="0.25">
      <c r="A221" s="250" t="s">
        <v>839</v>
      </c>
      <c r="B221">
        <v>38</v>
      </c>
      <c r="C221" s="251">
        <f>LOOKUP(T1_[[#This Row],[Etiquetas de fila]],'VALORIZACION CARTA'!B:B,'VALORIZACION CARTA'!C:C)</f>
        <v>7892.8534999999993</v>
      </c>
      <c r="D221" s="251">
        <f>SUM(T1_[[#This Row],[Recuento de T1 CODIGO]]*T1_[[#This Row],[Columna1]])</f>
        <v>299928.43299999996</v>
      </c>
    </row>
    <row r="222" spans="1:4" x14ac:dyDescent="0.25">
      <c r="A222" s="250" t="s">
        <v>322</v>
      </c>
      <c r="B222">
        <v>17</v>
      </c>
      <c r="C222" s="251">
        <f>LOOKUP(T1_[[#This Row],[Etiquetas de fila]],'VALORIZACION CARTA'!B:B,'VALORIZACION CARTA'!C:C)</f>
        <v>820.92109749999997</v>
      </c>
      <c r="D222" s="251">
        <f>SUM(T1_[[#This Row],[Recuento de T1 CODIGO]]*T1_[[#This Row],[Columna1]])</f>
        <v>13955.6586575</v>
      </c>
    </row>
    <row r="223" spans="1:4" x14ac:dyDescent="0.25">
      <c r="A223" s="250" t="s">
        <v>1003</v>
      </c>
      <c r="B223">
        <v>12</v>
      </c>
      <c r="C223" s="251">
        <f>LOOKUP(T1_[[#This Row],[Etiquetas de fila]],'VALORIZACION CARTA'!B:B,'VALORIZACION CARTA'!C:C)</f>
        <v>664.11019499999998</v>
      </c>
      <c r="D223" s="251">
        <f>SUM(T1_[[#This Row],[Recuento de T1 CODIGO]]*T1_[[#This Row],[Columna1]])</f>
        <v>7969.3223399999997</v>
      </c>
    </row>
    <row r="224" spans="1:4" x14ac:dyDescent="0.25">
      <c r="A224" s="250" t="s">
        <v>856</v>
      </c>
      <c r="B224">
        <v>3</v>
      </c>
      <c r="C224" s="251">
        <f>LOOKUP(T1_[[#This Row],[Etiquetas de fila]],'VALORIZACION CARTA'!B:B,'VALORIZACION CARTA'!C:C)</f>
        <v>627.93800999999996</v>
      </c>
      <c r="D224" s="251">
        <f>SUM(T1_[[#This Row],[Recuento de T1 CODIGO]]*T1_[[#This Row],[Columna1]])</f>
        <v>1883.81403</v>
      </c>
    </row>
    <row r="225" spans="1:4" x14ac:dyDescent="0.25">
      <c r="A225" s="250" t="s">
        <v>1004</v>
      </c>
      <c r="B225">
        <v>14</v>
      </c>
      <c r="C225" s="251">
        <f>LOOKUP(T1_[[#This Row],[Etiquetas de fila]],'VALORIZACION CARTA'!B:B,'VALORIZACION CARTA'!C:C)</f>
        <v>627.93800999999996</v>
      </c>
      <c r="D225" s="251">
        <f>SUM(T1_[[#This Row],[Recuento de T1 CODIGO]]*T1_[[#This Row],[Columna1]])</f>
        <v>8791.1321399999997</v>
      </c>
    </row>
    <row r="226" spans="1:4" x14ac:dyDescent="0.25">
      <c r="A226" s="250" t="s">
        <v>629</v>
      </c>
      <c r="B226">
        <v>12</v>
      </c>
      <c r="C226" s="251">
        <f>LOOKUP(T1_[[#This Row],[Etiquetas de fila]],'VALORIZACION CARTA'!B:B,'VALORIZACION CARTA'!C:C)</f>
        <v>528.25132500000007</v>
      </c>
      <c r="D226" s="251">
        <f>SUM(T1_[[#This Row],[Recuento de T1 CODIGO]]*T1_[[#This Row],[Columna1]])</f>
        <v>6339.0159000000003</v>
      </c>
    </row>
    <row r="227" spans="1:4" x14ac:dyDescent="0.25">
      <c r="A227" s="250" t="s">
        <v>630</v>
      </c>
      <c r="B227">
        <v>3</v>
      </c>
      <c r="C227" s="251">
        <f>LOOKUP(T1_[[#This Row],[Etiquetas de fila]],'VALORIZACION CARTA'!B:B,'VALORIZACION CARTA'!C:C)</f>
        <v>645.11457499999995</v>
      </c>
      <c r="D227" s="251">
        <f>SUM(T1_[[#This Row],[Recuento de T1 CODIGO]]*T1_[[#This Row],[Columna1]])</f>
        <v>1935.3437249999997</v>
      </c>
    </row>
    <row r="228" spans="1:4" x14ac:dyDescent="0.25">
      <c r="A228" s="250" t="s">
        <v>323</v>
      </c>
      <c r="B228">
        <v>52</v>
      </c>
      <c r="C228" s="251">
        <f>LOOKUP(T1_[[#This Row],[Etiquetas de fila]],'VALORIZACION CARTA'!B:B,'VALORIZACION CARTA'!C:C)</f>
        <v>865.52550000000008</v>
      </c>
      <c r="D228" s="251">
        <f>SUM(T1_[[#This Row],[Recuento de T1 CODIGO]]*T1_[[#This Row],[Columna1]])</f>
        <v>45007.326000000001</v>
      </c>
    </row>
    <row r="229" spans="1:4" x14ac:dyDescent="0.25">
      <c r="A229" s="250" t="s">
        <v>564</v>
      </c>
      <c r="B229">
        <v>20</v>
      </c>
      <c r="C229" s="251">
        <f>LOOKUP(T1_[[#This Row],[Etiquetas de fila]],'VALORIZACION CARTA'!B:B,'VALORIZACION CARTA'!C:C)</f>
        <v>2572.4454999999998</v>
      </c>
      <c r="D229" s="251">
        <f>SUM(T1_[[#This Row],[Recuento de T1 CODIGO]]*T1_[[#This Row],[Columna1]])</f>
        <v>51448.909999999996</v>
      </c>
    </row>
    <row r="230" spans="1:4" x14ac:dyDescent="0.25">
      <c r="A230" s="250" t="s">
        <v>663</v>
      </c>
      <c r="B230">
        <v>5</v>
      </c>
      <c r="C230" s="251">
        <f>LOOKUP(T1_[[#This Row],[Etiquetas de fila]],'VALORIZACION CARTA'!B:B,'VALORIZACION CARTA'!C:C)</f>
        <v>1729.2488699999999</v>
      </c>
      <c r="D230" s="251">
        <f>SUM(T1_[[#This Row],[Recuento de T1 CODIGO]]*T1_[[#This Row],[Columna1]])</f>
        <v>8646.244349999999</v>
      </c>
    </row>
    <row r="231" spans="1:4" x14ac:dyDescent="0.25">
      <c r="A231" s="250" t="s">
        <v>1005</v>
      </c>
      <c r="B231">
        <v>12</v>
      </c>
      <c r="C231" s="251">
        <f>LOOKUP(T1_[[#This Row],[Etiquetas de fila]],'VALORIZACION CARTA'!B:B,'VALORIZACION CARTA'!C:C)</f>
        <v>302.76300000000003</v>
      </c>
      <c r="D231" s="251">
        <f>SUM(T1_[[#This Row],[Recuento de T1 CODIGO]]*T1_[[#This Row],[Columna1]])</f>
        <v>3633.1560000000004</v>
      </c>
    </row>
    <row r="232" spans="1:4" x14ac:dyDescent="0.25">
      <c r="A232" s="250" t="s">
        <v>1006</v>
      </c>
      <c r="B232">
        <v>10</v>
      </c>
      <c r="C232" s="251">
        <f>LOOKUP(T1_[[#This Row],[Etiquetas de fila]],'VALORIZACION CARTA'!B:B,'VALORIZACION CARTA'!C:C)</f>
        <v>664.35</v>
      </c>
      <c r="D232" s="251">
        <f>SUM(T1_[[#This Row],[Recuento de T1 CODIGO]]*T1_[[#This Row],[Columna1]])</f>
        <v>6643.5</v>
      </c>
    </row>
    <row r="233" spans="1:4" x14ac:dyDescent="0.25">
      <c r="A233" s="250" t="s">
        <v>884</v>
      </c>
      <c r="B233">
        <v>1</v>
      </c>
      <c r="C233" s="251">
        <f>LOOKUP(T1_[[#This Row],[Etiquetas de fila]],'VALORIZACION CARTA'!B:B,'VALORIZACION CARTA'!C:C)</f>
        <v>664.24679999999989</v>
      </c>
      <c r="D233" s="251">
        <f>SUM(T1_[[#This Row],[Recuento de T1 CODIGO]]*T1_[[#This Row],[Columna1]])</f>
        <v>664.24679999999989</v>
      </c>
    </row>
    <row r="234" spans="1:4" x14ac:dyDescent="0.25">
      <c r="A234" s="250" t="s">
        <v>850</v>
      </c>
      <c r="B234">
        <v>37</v>
      </c>
      <c r="C234" s="251">
        <f>LOOKUP(T1_[[#This Row],[Etiquetas de fila]],'VALORIZACION CARTA'!B:B,'VALORIZACION CARTA'!C:C)</f>
        <v>317.40450000000004</v>
      </c>
      <c r="D234" s="251">
        <f>SUM(T1_[[#This Row],[Recuento de T1 CODIGO]]*T1_[[#This Row],[Columna1]])</f>
        <v>11743.966500000002</v>
      </c>
    </row>
    <row r="235" spans="1:4" x14ac:dyDescent="0.25">
      <c r="A235" s="250" t="s">
        <v>849</v>
      </c>
      <c r="B235">
        <v>24</v>
      </c>
      <c r="C235" s="251">
        <f>LOOKUP(T1_[[#This Row],[Etiquetas de fila]],'VALORIZACION CARTA'!B:B,'VALORIZACION CARTA'!C:C)</f>
        <v>664.24679999999989</v>
      </c>
      <c r="D235" s="251">
        <f>SUM(T1_[[#This Row],[Recuento de T1 CODIGO]]*T1_[[#This Row],[Columna1]])</f>
        <v>15941.923199999997</v>
      </c>
    </row>
    <row r="236" spans="1:4" x14ac:dyDescent="0.25">
      <c r="A236" s="250" t="s">
        <v>1007</v>
      </c>
      <c r="B236">
        <v>1</v>
      </c>
      <c r="C236" s="251">
        <f>LOOKUP(T1_[[#This Row],[Etiquetas de fila]],'VALORIZACION CARTA'!B:B,'VALORIZACION CARTA'!C:C)</f>
        <v>1305.48</v>
      </c>
      <c r="D236" s="251">
        <f>SUM(T1_[[#This Row],[Recuento de T1 CODIGO]]*T1_[[#This Row],[Columna1]])</f>
        <v>1305.48</v>
      </c>
    </row>
    <row r="237" spans="1:4" x14ac:dyDescent="0.25">
      <c r="A237" s="250" t="s">
        <v>566</v>
      </c>
      <c r="B237">
        <v>2</v>
      </c>
      <c r="C237" s="251">
        <f>LOOKUP(T1_[[#This Row],[Etiquetas de fila]],'VALORIZACION CARTA'!B:B,'VALORIZACION CARTA'!C:C)</f>
        <v>2806.172</v>
      </c>
      <c r="D237" s="251">
        <f>SUM(T1_[[#This Row],[Recuento de T1 CODIGO]]*T1_[[#This Row],[Columna1]])</f>
        <v>5612.3440000000001</v>
      </c>
    </row>
    <row r="238" spans="1:4" x14ac:dyDescent="0.25">
      <c r="A238" s="250" t="s">
        <v>1008</v>
      </c>
      <c r="B238">
        <v>1</v>
      </c>
      <c r="C238" s="251">
        <f>LOOKUP(T1_[[#This Row],[Etiquetas de fila]],'VALORIZACION CARTA'!B:B,'VALORIZACION CARTA'!C:C)</f>
        <v>1255.8760199999999</v>
      </c>
      <c r="D238" s="251">
        <f>SUM(T1_[[#This Row],[Recuento de T1 CODIGO]]*T1_[[#This Row],[Columna1]])</f>
        <v>1255.8760199999999</v>
      </c>
    </row>
    <row r="239" spans="1:4" x14ac:dyDescent="0.25">
      <c r="A239" s="250" t="s">
        <v>808</v>
      </c>
      <c r="B239">
        <v>6</v>
      </c>
      <c r="C239" s="251">
        <f>LOOKUP(T1_[[#This Row],[Etiquetas de fila]],'VALORIZACION CARTA'!B:B,'VALORIZACION CARTA'!C:C)</f>
        <v>1255.8760199999999</v>
      </c>
      <c r="D239" s="251">
        <f>SUM(T1_[[#This Row],[Recuento de T1 CODIGO]]*T1_[[#This Row],[Columna1]])</f>
        <v>7535.25612</v>
      </c>
    </row>
    <row r="240" spans="1:4" x14ac:dyDescent="0.25">
      <c r="A240" s="250" t="s">
        <v>604</v>
      </c>
      <c r="B240">
        <v>17</v>
      </c>
      <c r="C240" s="251">
        <f>LOOKUP(T1_[[#This Row],[Etiquetas de fila]],'VALORIZACION CARTA'!B:B,'VALORIZACION CARTA'!C:C)</f>
        <v>1255.8760199999999</v>
      </c>
      <c r="D240" s="251">
        <f>SUM(T1_[[#This Row],[Recuento de T1 CODIGO]]*T1_[[#This Row],[Columna1]])</f>
        <v>21349.892339999999</v>
      </c>
    </row>
    <row r="241" spans="1:4" x14ac:dyDescent="0.25">
      <c r="A241" s="250" t="s">
        <v>867</v>
      </c>
      <c r="B241">
        <v>7</v>
      </c>
      <c r="C241" s="251">
        <f>LOOKUP(T1_[[#This Row],[Etiquetas de fila]],'VALORIZACION CARTA'!B:B,'VALORIZACION CARTA'!C:C)</f>
        <v>704.62379999999996</v>
      </c>
      <c r="D241" s="251">
        <f>SUM(T1_[[#This Row],[Recuento de T1 CODIGO]]*T1_[[#This Row],[Columna1]])</f>
        <v>4932.3665999999994</v>
      </c>
    </row>
    <row r="242" spans="1:4" x14ac:dyDescent="0.25">
      <c r="A242" s="250" t="s">
        <v>847</v>
      </c>
      <c r="B242">
        <v>23</v>
      </c>
      <c r="C242" s="251">
        <f>LOOKUP(T1_[[#This Row],[Etiquetas de fila]],'VALORIZACION CARTA'!B:B,'VALORIZACION CARTA'!C:C)</f>
        <v>665.51099999999997</v>
      </c>
      <c r="D242" s="251">
        <f>SUM(T1_[[#This Row],[Recuento de T1 CODIGO]]*T1_[[#This Row],[Columna1]])</f>
        <v>15306.752999999999</v>
      </c>
    </row>
    <row r="243" spans="1:4" x14ac:dyDescent="0.25">
      <c r="A243" s="250" t="s">
        <v>1009</v>
      </c>
      <c r="B243">
        <v>3</v>
      </c>
      <c r="C243" s="251">
        <f>LOOKUP(T1_[[#This Row],[Etiquetas de fila]],'VALORIZACION CARTA'!B:B,'VALORIZACION CARTA'!C:C)</f>
        <v>301.85999999999996</v>
      </c>
      <c r="D243" s="251">
        <f>SUM(T1_[[#This Row],[Recuento de T1 CODIGO]]*T1_[[#This Row],[Columna1]])</f>
        <v>905.57999999999993</v>
      </c>
    </row>
    <row r="244" spans="1:4" x14ac:dyDescent="0.25">
      <c r="A244" s="250" t="s">
        <v>1010</v>
      </c>
      <c r="B244">
        <v>1</v>
      </c>
      <c r="C244" s="251">
        <f>LOOKUP(T1_[[#This Row],[Etiquetas de fila]],'VALORIZACION CARTA'!B:B,'VALORIZACION CARTA'!C:C)</f>
        <v>2420.6849999999999</v>
      </c>
      <c r="D244" s="251">
        <f>SUM(T1_[[#This Row],[Recuento de T1 CODIGO]]*T1_[[#This Row],[Columna1]])</f>
        <v>2420.6849999999999</v>
      </c>
    </row>
    <row r="245" spans="1:4" x14ac:dyDescent="0.25">
      <c r="A245" s="250" t="s">
        <v>855</v>
      </c>
      <c r="B245">
        <v>19</v>
      </c>
      <c r="C245" s="251">
        <f>LOOKUP(T1_[[#This Row],[Etiquetas de fila]],'VALORIZACION CARTA'!B:B,'VALORIZACION CARTA'!C:C)</f>
        <v>2202.8982500000002</v>
      </c>
      <c r="D245" s="251">
        <f>SUM(T1_[[#This Row],[Recuento de T1 CODIGO]]*T1_[[#This Row],[Columna1]])</f>
        <v>41855.066750000005</v>
      </c>
    </row>
    <row r="246" spans="1:4" x14ac:dyDescent="0.25">
      <c r="A246" s="250" t="s">
        <v>860</v>
      </c>
      <c r="B246">
        <v>20</v>
      </c>
      <c r="C246" s="251">
        <f>LOOKUP(T1_[[#This Row],[Etiquetas de fila]],'VALORIZACION CARTA'!B:B,'VALORIZACION CARTA'!C:C)</f>
        <v>1804.2482499999999</v>
      </c>
      <c r="D246" s="251">
        <f>SUM(T1_[[#This Row],[Recuento de T1 CODIGO]]*T1_[[#This Row],[Columna1]])</f>
        <v>36084.964999999997</v>
      </c>
    </row>
    <row r="247" spans="1:4" x14ac:dyDescent="0.25">
      <c r="A247" s="250" t="s">
        <v>1011</v>
      </c>
      <c r="B247">
        <v>5</v>
      </c>
      <c r="C247" s="251">
        <f>LOOKUP(T1_[[#This Row],[Etiquetas de fila]],'VALORIZACION CARTA'!B:B,'VALORIZACION CARTA'!C:C)</f>
        <v>1804.2482499999999</v>
      </c>
      <c r="D247" s="251">
        <f>SUM(T1_[[#This Row],[Recuento de T1 CODIGO]]*T1_[[#This Row],[Columna1]])</f>
        <v>9021.2412499999991</v>
      </c>
    </row>
    <row r="248" spans="1:4" x14ac:dyDescent="0.25">
      <c r="A248" s="250" t="s">
        <v>324</v>
      </c>
      <c r="B248">
        <v>33</v>
      </c>
      <c r="C248" s="251">
        <f>LOOKUP(T1_[[#This Row],[Etiquetas de fila]],'VALORIZACION CARTA'!B:B,'VALORIZACION CARTA'!C:C)</f>
        <v>1744.7482500000001</v>
      </c>
      <c r="D248" s="251">
        <f>SUM(T1_[[#This Row],[Recuento de T1 CODIGO]]*T1_[[#This Row],[Columna1]])</f>
        <v>57576.69225</v>
      </c>
    </row>
    <row r="249" spans="1:4" x14ac:dyDescent="0.25">
      <c r="A249" s="250" t="s">
        <v>835</v>
      </c>
      <c r="B249">
        <v>38</v>
      </c>
      <c r="C249" s="251">
        <f>LOOKUP(T1_[[#This Row],[Etiquetas de fila]],'VALORIZACION CARTA'!B:B,'VALORIZACION CARTA'!C:C)</f>
        <v>1674.93</v>
      </c>
      <c r="D249" s="251">
        <f>SUM(T1_[[#This Row],[Recuento de T1 CODIGO]]*T1_[[#This Row],[Columna1]])</f>
        <v>63647.340000000004</v>
      </c>
    </row>
    <row r="250" spans="1:4" x14ac:dyDescent="0.25">
      <c r="A250" s="250" t="s">
        <v>1012</v>
      </c>
      <c r="B250">
        <v>5</v>
      </c>
      <c r="C250" s="251">
        <f>LOOKUP(T1_[[#This Row],[Etiquetas de fila]],'VALORIZACION CARTA'!B:B,'VALORIZACION CARTA'!C:C)</f>
        <v>1042.57</v>
      </c>
      <c r="D250" s="251">
        <f>SUM(T1_[[#This Row],[Recuento de T1 CODIGO]]*T1_[[#This Row],[Columna1]])</f>
        <v>5212.8499999999995</v>
      </c>
    </row>
    <row r="251" spans="1:4" x14ac:dyDescent="0.25">
      <c r="A251" s="250" t="s">
        <v>1013</v>
      </c>
      <c r="B251">
        <v>5</v>
      </c>
      <c r="C251" s="251">
        <f>LOOKUP(T1_[[#This Row],[Etiquetas de fila]],'VALORIZACION CARTA'!B:B,'VALORIZACION CARTA'!C:C)</f>
        <v>1106.96</v>
      </c>
      <c r="D251" s="251">
        <f>SUM(T1_[[#This Row],[Recuento de T1 CODIGO]]*T1_[[#This Row],[Columna1]])</f>
        <v>5534.8</v>
      </c>
    </row>
    <row r="252" spans="1:4" x14ac:dyDescent="0.25">
      <c r="A252" s="250" t="s">
        <v>1014</v>
      </c>
      <c r="B252">
        <v>2</v>
      </c>
      <c r="C252" s="251">
        <f>LOOKUP(T1_[[#This Row],[Etiquetas de fila]],'VALORIZACION CARTA'!B:B,'VALORIZACION CARTA'!C:C)</f>
        <v>1046.6799999999998</v>
      </c>
      <c r="D252" s="251">
        <f>SUM(T1_[[#This Row],[Recuento de T1 CODIGO]]*T1_[[#This Row],[Columna1]])</f>
        <v>2093.3599999999997</v>
      </c>
    </row>
    <row r="253" spans="1:4" x14ac:dyDescent="0.25">
      <c r="A253" s="250" t="s">
        <v>1015</v>
      </c>
      <c r="B253">
        <v>39</v>
      </c>
      <c r="C253" s="251">
        <f>LOOKUP(T1_[[#This Row],[Etiquetas de fila]],'VALORIZACION CARTA'!B:B,'VALORIZACION CARTA'!C:C)</f>
        <v>311.02222499999999</v>
      </c>
      <c r="D253" s="251">
        <f>SUM(T1_[[#This Row],[Recuento de T1 CODIGO]]*T1_[[#This Row],[Columna1]])</f>
        <v>12129.866775</v>
      </c>
    </row>
    <row r="254" spans="1:4" x14ac:dyDescent="0.25">
      <c r="A254" s="250" t="s">
        <v>1016</v>
      </c>
      <c r="B254">
        <v>16</v>
      </c>
      <c r="C254" s="251">
        <f>LOOKUP(T1_[[#This Row],[Etiquetas de fila]],'VALORIZACION CARTA'!B:B,'VALORIZACION CARTA'!C:C)</f>
        <v>311.02222499999999</v>
      </c>
      <c r="D254" s="251">
        <f>SUM(T1_[[#This Row],[Recuento de T1 CODIGO]]*T1_[[#This Row],[Columna1]])</f>
        <v>4976.3555999999999</v>
      </c>
    </row>
    <row r="255" spans="1:4" x14ac:dyDescent="0.25">
      <c r="A255" s="250" t="s">
        <v>1017</v>
      </c>
      <c r="B255">
        <v>23</v>
      </c>
      <c r="C255" s="251">
        <f>LOOKUP(T1_[[#This Row],[Etiquetas de fila]],'VALORIZACION CARTA'!B:B,'VALORIZACION CARTA'!C:C)</f>
        <v>311.02222499999999</v>
      </c>
      <c r="D255" s="251">
        <f>SUM(T1_[[#This Row],[Recuento de T1 CODIGO]]*T1_[[#This Row],[Columna1]])</f>
        <v>7153.5111749999996</v>
      </c>
    </row>
    <row r="256" spans="1:4" x14ac:dyDescent="0.25">
      <c r="A256" s="250" t="s">
        <v>836</v>
      </c>
      <c r="B256">
        <v>127</v>
      </c>
      <c r="C256" s="251">
        <f>LOOKUP(T1_[[#This Row],[Etiquetas de fila]],'VALORIZACION CARTA'!B:B,'VALORIZACION CARTA'!C:C)</f>
        <v>879.64050000000009</v>
      </c>
      <c r="D256" s="251">
        <f>SUM(T1_[[#This Row],[Recuento de T1 CODIGO]]*T1_[[#This Row],[Columna1]])</f>
        <v>111714.34350000002</v>
      </c>
    </row>
    <row r="257" spans="1:4" x14ac:dyDescent="0.25">
      <c r="A257" s="250" t="s">
        <v>633</v>
      </c>
      <c r="B257">
        <v>7</v>
      </c>
      <c r="C257" s="251">
        <f>LOOKUP(T1_[[#This Row],[Etiquetas de fila]],'VALORIZACION CARTA'!B:B,'VALORIZACION CARTA'!C:C)</f>
        <v>879.64050000000009</v>
      </c>
      <c r="D257" s="251">
        <f>SUM(T1_[[#This Row],[Recuento de T1 CODIGO]]*T1_[[#This Row],[Columna1]])</f>
        <v>6157.4835000000003</v>
      </c>
    </row>
    <row r="258" spans="1:4" x14ac:dyDescent="0.25">
      <c r="A258" s="250" t="s">
        <v>1018</v>
      </c>
      <c r="B258">
        <v>15</v>
      </c>
      <c r="C258" s="251">
        <f>LOOKUP(T1_[[#This Row],[Etiquetas de fila]],'VALORIZACION CARTA'!B:B,'VALORIZACION CARTA'!C:C)</f>
        <v>576.65332750000005</v>
      </c>
      <c r="D258" s="251">
        <f>SUM(T1_[[#This Row],[Recuento de T1 CODIGO]]*T1_[[#This Row],[Columna1]])</f>
        <v>8649.7999125000006</v>
      </c>
    </row>
    <row r="259" spans="1:4" x14ac:dyDescent="0.25">
      <c r="A259" s="250" t="s">
        <v>1019</v>
      </c>
      <c r="B259">
        <v>1</v>
      </c>
      <c r="C259" s="251">
        <f>LOOKUP(T1_[[#This Row],[Etiquetas de fila]],'VALORIZACION CARTA'!B:B,'VALORIZACION CARTA'!C:C)</f>
        <v>2089.5419999999999</v>
      </c>
      <c r="D259" s="251">
        <f>SUM(T1_[[#This Row],[Recuento de T1 CODIGO]]*T1_[[#This Row],[Columna1]])</f>
        <v>2089.5419999999999</v>
      </c>
    </row>
    <row r="260" spans="1:4" x14ac:dyDescent="0.25">
      <c r="A260" s="250" t="s">
        <v>1020</v>
      </c>
      <c r="B260">
        <v>9</v>
      </c>
      <c r="C260" s="251">
        <f>LOOKUP(T1_[[#This Row],[Etiquetas de fila]],'VALORIZACION CARTA'!B:B,'VALORIZACION CARTA'!C:C)</f>
        <v>1481.9132999999999</v>
      </c>
      <c r="D260" s="251">
        <f>SUM(T1_[[#This Row],[Recuento de T1 CODIGO]]*T1_[[#This Row],[Columna1]])</f>
        <v>13337.2197</v>
      </c>
    </row>
    <row r="261" spans="1:4" x14ac:dyDescent="0.25">
      <c r="A261" s="250" t="s">
        <v>837</v>
      </c>
      <c r="B261">
        <v>10</v>
      </c>
      <c r="C261" s="251">
        <f>LOOKUP(T1_[[#This Row],[Etiquetas de fila]],'VALORIZACION CARTA'!B:B,'VALORIZACION CARTA'!C:C)</f>
        <v>9038.2820499999998</v>
      </c>
      <c r="D261" s="251">
        <f>SUM(T1_[[#This Row],[Recuento de T1 CODIGO]]*T1_[[#This Row],[Columna1]])</f>
        <v>90382.820500000002</v>
      </c>
    </row>
    <row r="262" spans="1:4" x14ac:dyDescent="0.25">
      <c r="A262" s="250" t="s">
        <v>325</v>
      </c>
      <c r="B262">
        <v>1</v>
      </c>
      <c r="C262" s="251">
        <f>LOOKUP(T1_[[#This Row],[Etiquetas de fila]],'VALORIZACION CARTA'!B:B,'VALORIZACION CARTA'!C:C)</f>
        <v>778.26</v>
      </c>
      <c r="D262" s="251">
        <f>SUM(T1_[[#This Row],[Recuento de T1 CODIGO]]*T1_[[#This Row],[Columna1]])</f>
        <v>778.26</v>
      </c>
    </row>
    <row r="263" spans="1:4" x14ac:dyDescent="0.25">
      <c r="A263" s="250" t="s">
        <v>840</v>
      </c>
      <c r="B263">
        <v>8</v>
      </c>
      <c r="C263" s="251">
        <f>LOOKUP(T1_[[#This Row],[Etiquetas de fila]],'VALORIZACION CARTA'!B:B,'VALORIZACION CARTA'!C:C)</f>
        <v>704.64960000000008</v>
      </c>
      <c r="D263" s="251">
        <f>SUM(T1_[[#This Row],[Recuento de T1 CODIGO]]*T1_[[#This Row],[Columna1]])</f>
        <v>5637.1968000000006</v>
      </c>
    </row>
    <row r="264" spans="1:4" x14ac:dyDescent="0.25">
      <c r="A264" s="250" t="s">
        <v>1021</v>
      </c>
      <c r="B264">
        <v>20</v>
      </c>
      <c r="C264" s="251">
        <f>LOOKUP(T1_[[#This Row],[Etiquetas de fila]],'VALORIZACION CARTA'!B:B,'VALORIZACION CARTA'!C:C)</f>
        <v>704.62379999999996</v>
      </c>
      <c r="D264" s="251">
        <f>SUM(T1_[[#This Row],[Recuento de T1 CODIGO]]*T1_[[#This Row],[Columna1]])</f>
        <v>14092.475999999999</v>
      </c>
    </row>
    <row r="265" spans="1:4" x14ac:dyDescent="0.25">
      <c r="A265" s="250" t="s">
        <v>1022</v>
      </c>
      <c r="B265">
        <v>4</v>
      </c>
      <c r="C265" s="251">
        <f>LOOKUP(T1_[[#This Row],[Etiquetas de fila]],'VALORIZACION CARTA'!B:B,'VALORIZACION CARTA'!C:C)</f>
        <v>816.07499999999993</v>
      </c>
      <c r="D265" s="251">
        <f>SUM(T1_[[#This Row],[Recuento de T1 CODIGO]]*T1_[[#This Row],[Columna1]])</f>
        <v>3264.2999999999997</v>
      </c>
    </row>
    <row r="266" spans="1:4" x14ac:dyDescent="0.25">
      <c r="A266" s="250" t="s">
        <v>848</v>
      </c>
      <c r="B266">
        <v>25</v>
      </c>
      <c r="C266" s="251">
        <f>LOOKUP(T1_[[#This Row],[Etiquetas de fila]],'VALORIZACION CARTA'!B:B,'VALORIZACION CARTA'!C:C)</f>
        <v>802.1090999999999</v>
      </c>
      <c r="D266" s="251">
        <f>SUM(T1_[[#This Row],[Recuento de T1 CODIGO]]*T1_[[#This Row],[Columna1]])</f>
        <v>20052.727499999997</v>
      </c>
    </row>
    <row r="267" spans="1:4" x14ac:dyDescent="0.25">
      <c r="A267" s="250" t="s">
        <v>567</v>
      </c>
      <c r="B267">
        <v>3</v>
      </c>
      <c r="C267" s="251">
        <f>LOOKUP(T1_[[#This Row],[Etiquetas de fila]],'VALORIZACION CARTA'!B:B,'VALORIZACION CARTA'!C:C)</f>
        <v>1180.9304999999999</v>
      </c>
      <c r="D267" s="251">
        <f>SUM(T1_[[#This Row],[Recuento de T1 CODIGO]]*T1_[[#This Row],[Columna1]])</f>
        <v>3542.7914999999998</v>
      </c>
    </row>
    <row r="268" spans="1:4" x14ac:dyDescent="0.25">
      <c r="A268" s="250" t="s">
        <v>851</v>
      </c>
      <c r="B268">
        <v>10</v>
      </c>
      <c r="C268" s="251">
        <f>LOOKUP(T1_[[#This Row],[Etiquetas de fila]],'VALORIZACION CARTA'!B:B,'VALORIZACION CARTA'!C:C)</f>
        <v>1629.7215000000001</v>
      </c>
      <c r="D268" s="251">
        <f>SUM(T1_[[#This Row],[Recuento de T1 CODIGO]]*T1_[[#This Row],[Columna1]])</f>
        <v>16297.215</v>
      </c>
    </row>
    <row r="269" spans="1:4" x14ac:dyDescent="0.25">
      <c r="A269" s="250" t="s">
        <v>1023</v>
      </c>
      <c r="B269">
        <v>1</v>
      </c>
      <c r="C269" s="251">
        <f>LOOKUP(T1_[[#This Row],[Etiquetas de fila]],'VALORIZACION CARTA'!B:B,'VALORIZACION CARTA'!C:C)</f>
        <v>1861.9429999999998</v>
      </c>
      <c r="D269" s="251">
        <f>SUM(T1_[[#This Row],[Recuento de T1 CODIGO]]*T1_[[#This Row],[Columna1]])</f>
        <v>1861.9429999999998</v>
      </c>
    </row>
    <row r="270" spans="1:4" x14ac:dyDescent="0.25">
      <c r="A270" s="250" t="s">
        <v>326</v>
      </c>
      <c r="B270">
        <v>4</v>
      </c>
      <c r="C270" s="251">
        <f>LOOKUP(T1_[[#This Row],[Etiquetas de fila]],'VALORIZACION CARTA'!B:B,'VALORIZACION CARTA'!C:C)</f>
        <v>15478.01006557377</v>
      </c>
      <c r="D270" s="251">
        <f>SUM(T1_[[#This Row],[Recuento de T1 CODIGO]]*T1_[[#This Row],[Columna1]])</f>
        <v>61912.040262295079</v>
      </c>
    </row>
    <row r="271" spans="1:4" x14ac:dyDescent="0.25">
      <c r="A271" s="250" t="s">
        <v>1024</v>
      </c>
      <c r="B271">
        <v>3</v>
      </c>
      <c r="C271" s="251">
        <f>LOOKUP(T1_[[#This Row],[Etiquetas de fila]],'VALORIZACION CARTA'!B:B,'VALORIZACION CARTA'!C:C)</f>
        <v>15478.01006557377</v>
      </c>
      <c r="D271" s="251">
        <f>SUM(T1_[[#This Row],[Recuento de T1 CODIGO]]*T1_[[#This Row],[Columna1]])</f>
        <v>46434.030196721309</v>
      </c>
    </row>
    <row r="272" spans="1:4" x14ac:dyDescent="0.25">
      <c r="A272" s="250" t="s">
        <v>852</v>
      </c>
      <c r="B272">
        <v>20</v>
      </c>
      <c r="C272" s="251">
        <f>LOOKUP(T1_[[#This Row],[Etiquetas de fila]],'VALORIZACION CARTA'!B:B,'VALORIZACION CARTA'!C:C)</f>
        <v>4127.4879841666661</v>
      </c>
      <c r="D272" s="251">
        <f>SUM(T1_[[#This Row],[Recuento de T1 CODIGO]]*T1_[[#This Row],[Columna1]])</f>
        <v>82549.759683333323</v>
      </c>
    </row>
    <row r="273" spans="1:4" x14ac:dyDescent="0.25">
      <c r="A273" s="250" t="s">
        <v>887</v>
      </c>
      <c r="B273">
        <v>11</v>
      </c>
      <c r="C273" s="251">
        <f>LOOKUP(T1_[[#This Row],[Etiquetas de fila]],'VALORIZACION CARTA'!B:B,'VALORIZACION CARTA'!C:C)</f>
        <v>2331.10721375</v>
      </c>
      <c r="D273" s="251">
        <f>SUM(T1_[[#This Row],[Recuento de T1 CODIGO]]*T1_[[#This Row],[Columna1]])</f>
        <v>25642.179351250001</v>
      </c>
    </row>
    <row r="274" spans="1:4" x14ac:dyDescent="0.25">
      <c r="A274" s="250" t="s">
        <v>1025</v>
      </c>
      <c r="B274">
        <v>1</v>
      </c>
      <c r="C274" s="251">
        <f>LOOKUP(T1_[[#This Row],[Etiquetas de fila]],'VALORIZACION CARTA'!B:B,'VALORIZACION CARTA'!C:C)</f>
        <v>3276.0308749999999</v>
      </c>
      <c r="D274" s="251">
        <f>SUM(T1_[[#This Row],[Recuento de T1 CODIGO]]*T1_[[#This Row],[Columna1]])</f>
        <v>3276.0308749999999</v>
      </c>
    </row>
    <row r="275" spans="1:4" x14ac:dyDescent="0.25">
      <c r="A275" s="250" t="s">
        <v>1026</v>
      </c>
      <c r="B275">
        <v>1</v>
      </c>
      <c r="C275" s="251">
        <f>LOOKUP(T1_[[#This Row],[Etiquetas de fila]],'VALORIZACION CARTA'!B:B,'VALORIZACION CARTA'!C:C)</f>
        <v>1068.6378275</v>
      </c>
      <c r="D275" s="251">
        <f>SUM(T1_[[#This Row],[Recuento de T1 CODIGO]]*T1_[[#This Row],[Columna1]])</f>
        <v>1068.6378275</v>
      </c>
    </row>
    <row r="276" spans="1:4" x14ac:dyDescent="0.25">
      <c r="A276" s="250" t="s">
        <v>653</v>
      </c>
      <c r="B276">
        <v>1</v>
      </c>
      <c r="C276" s="251">
        <f>LOOKUP(T1_[[#This Row],[Etiquetas de fila]],'VALORIZACION CARTA'!B:B,'VALORIZACION CARTA'!C:C)</f>
        <v>3030.4249999999997</v>
      </c>
      <c r="D276" s="251">
        <f>SUM(T1_[[#This Row],[Recuento de T1 CODIGO]]*T1_[[#This Row],[Columna1]])</f>
        <v>3030.4249999999997</v>
      </c>
    </row>
    <row r="277" spans="1:4" x14ac:dyDescent="0.25">
      <c r="A277" s="250" t="s">
        <v>861</v>
      </c>
      <c r="B277">
        <v>11</v>
      </c>
      <c r="C277" s="251">
        <f>LOOKUP(T1_[[#This Row],[Etiquetas de fila]],'VALORIZACION CARTA'!B:B,'VALORIZACION CARTA'!C:C)</f>
        <v>4263.1154999999999</v>
      </c>
      <c r="D277" s="251">
        <f>SUM(T1_[[#This Row],[Recuento de T1 CODIGO]]*T1_[[#This Row],[Columna1]])</f>
        <v>46894.270499999999</v>
      </c>
    </row>
    <row r="278" spans="1:4" x14ac:dyDescent="0.25">
      <c r="A278" s="250" t="s">
        <v>842</v>
      </c>
      <c r="B278">
        <v>50</v>
      </c>
      <c r="C278" s="251">
        <f>LOOKUP(T1_[[#This Row],[Etiquetas de fila]],'VALORIZACION CARTA'!B:B,'VALORIZACION CARTA'!C:C)</f>
        <v>841.05419999999992</v>
      </c>
      <c r="D278" s="251">
        <f>SUM(T1_[[#This Row],[Recuento de T1 CODIGO]]*T1_[[#This Row],[Columna1]])</f>
        <v>42052.71</v>
      </c>
    </row>
    <row r="279" spans="1:4" x14ac:dyDescent="0.25">
      <c r="A279" s="250" t="s">
        <v>883</v>
      </c>
      <c r="B279">
        <v>7</v>
      </c>
      <c r="C279" s="251">
        <f>LOOKUP(T1_[[#This Row],[Etiquetas de fila]],'VALORIZACION CARTA'!B:B,'VALORIZACION CARTA'!C:C)</f>
        <v>623.55092999999999</v>
      </c>
      <c r="D279" s="251">
        <f>SUM(T1_[[#This Row],[Recuento de T1 CODIGO]]*T1_[[#This Row],[Columna1]])</f>
        <v>4364.8565099999996</v>
      </c>
    </row>
    <row r="280" spans="1:4" x14ac:dyDescent="0.25">
      <c r="A280" s="250" t="s">
        <v>1027</v>
      </c>
      <c r="B280">
        <v>1</v>
      </c>
      <c r="C280" s="251">
        <f>LOOKUP(T1_[[#This Row],[Etiquetas de fila]],'VALORIZACION CARTA'!B:B,'VALORIZACION CARTA'!C:C)</f>
        <v>855.89262500000007</v>
      </c>
      <c r="D280" s="251">
        <f>SUM(T1_[[#This Row],[Recuento de T1 CODIGO]]*T1_[[#This Row],[Columna1]])</f>
        <v>855.89262500000007</v>
      </c>
    </row>
    <row r="281" spans="1:4" x14ac:dyDescent="0.25">
      <c r="A281" s="250" t="s">
        <v>1028</v>
      </c>
      <c r="B281">
        <v>7</v>
      </c>
      <c r="C281" s="251">
        <f>LOOKUP(T1_[[#This Row],[Etiquetas de fila]],'VALORIZACION CARTA'!B:B,'VALORIZACION CARTA'!C:C)</f>
        <v>1011.9253666666666</v>
      </c>
      <c r="D281" s="251">
        <f>SUM(T1_[[#This Row],[Recuento de T1 CODIGO]]*T1_[[#This Row],[Columna1]])</f>
        <v>7083.4775666666665</v>
      </c>
    </row>
    <row r="282" spans="1:4" x14ac:dyDescent="0.25">
      <c r="A282" s="250" t="s">
        <v>1029</v>
      </c>
      <c r="B282">
        <v>13</v>
      </c>
      <c r="C282" s="251">
        <f>LOOKUP(T1_[[#This Row],[Etiquetas de fila]],'VALORIZACION CARTA'!B:B,'VALORIZACION CARTA'!C:C)</f>
        <v>1011.9253666666666</v>
      </c>
      <c r="D282" s="251">
        <f>SUM(T1_[[#This Row],[Recuento de T1 CODIGO]]*T1_[[#This Row],[Columna1]])</f>
        <v>13155.029766666667</v>
      </c>
    </row>
    <row r="283" spans="1:4" x14ac:dyDescent="0.25">
      <c r="A283" s="250" t="s">
        <v>1030</v>
      </c>
      <c r="B283">
        <v>3</v>
      </c>
      <c r="C283" s="251">
        <f>LOOKUP(T1_[[#This Row],[Etiquetas de fila]],'VALORIZACION CARTA'!B:B,'VALORIZACION CARTA'!C:C)</f>
        <v>1011.9253666666666</v>
      </c>
      <c r="D283" s="251">
        <f>SUM(T1_[[#This Row],[Recuento de T1 CODIGO]]*T1_[[#This Row],[Columna1]])</f>
        <v>3035.7761</v>
      </c>
    </row>
    <row r="284" spans="1:4" x14ac:dyDescent="0.25">
      <c r="A284" s="250" t="s">
        <v>866</v>
      </c>
      <c r="B284">
        <v>5</v>
      </c>
      <c r="C284" s="251">
        <f>LOOKUP(T1_[[#This Row],[Etiquetas de fila]],'VALORIZACION CARTA'!B:B,'VALORIZACION CARTA'!C:C)</f>
        <v>1011.9253666666666</v>
      </c>
      <c r="D284" s="251">
        <f>SUM(T1_[[#This Row],[Recuento de T1 CODIGO]]*T1_[[#This Row],[Columna1]])</f>
        <v>5059.6268333333328</v>
      </c>
    </row>
    <row r="285" spans="1:4" x14ac:dyDescent="0.25">
      <c r="A285" s="250" t="s">
        <v>868</v>
      </c>
      <c r="B285">
        <v>3</v>
      </c>
      <c r="C285" s="251">
        <f>LOOKUP(T1_[[#This Row],[Etiquetas de fila]],'VALORIZACION CARTA'!B:B,'VALORIZACION CARTA'!C:C)</f>
        <v>1011.9253666666666</v>
      </c>
      <c r="D285" s="251">
        <f>SUM(T1_[[#This Row],[Recuento de T1 CODIGO]]*T1_[[#This Row],[Columna1]])</f>
        <v>3035.7761</v>
      </c>
    </row>
    <row r="286" spans="1:4" x14ac:dyDescent="0.25">
      <c r="A286" s="250" t="s">
        <v>1031</v>
      </c>
      <c r="B286">
        <v>3783</v>
      </c>
      <c r="C286" s="251">
        <f>LOOKUP(T1_[[#This Row],[Etiquetas de fila]],'VALORIZACION CARTA'!B:B,'VALORIZACION CARTA'!C:C)</f>
        <v>675.04281250000008</v>
      </c>
      <c r="D286" s="251">
        <f>SUM(T1_[[#This Row],[Recuento de T1 CODIGO]]*T1_[[#This Row],[Columna1]])</f>
        <v>2553686.9596875003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D6665-859E-4E1A-8747-95F8E6A46518}">
  <sheetPr codeName="Hoja2"/>
  <dimension ref="A2:C400"/>
  <sheetViews>
    <sheetView zoomScale="90" zoomScaleNormal="90" workbookViewId="0">
      <selection activeCell="B3" sqref="B3:C3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0</v>
      </c>
      <c r="B3">
        <f>TRANSPOSE(T2_[Recuento de T2 0])</f>
        <v>3783</v>
      </c>
      <c r="C3" t="str">
        <f>TRANSPOSE(T2_[Etiquetas de fila])</f>
        <v>Total general</v>
      </c>
    </row>
    <row r="4" spans="1:3" x14ac:dyDescent="0.25">
      <c r="A4" t="b">
        <f>IFERROR(IF(MATCH(B4,RECETAS!$A$2:$A$1700,0) &lt;&gt; "", TRUE,""),FALSE)</f>
        <v>0</v>
      </c>
      <c r="B4" t="e">
        <f>TRANSPOSE(T2_[Recuento de T2 0])</f>
        <v>#VALUE!</v>
      </c>
    </row>
    <row r="5" spans="1:3" x14ac:dyDescent="0.25">
      <c r="A5" t="b">
        <f>IFERROR(IF(MATCH(B5,RECETAS!$A$2:$A$1700,0) &lt;&gt; "", TRUE,""),FALSE)</f>
        <v>0</v>
      </c>
      <c r="B5" t="e">
        <f>TRANSPOSE(T2_[Recuento de T2 0])</f>
        <v>#VALUE!</v>
      </c>
    </row>
    <row r="6" spans="1:3" x14ac:dyDescent="0.25">
      <c r="A6" t="b">
        <f>IFERROR(IF(MATCH(B6,RECETAS!$A$2:$A$1700,0) &lt;&gt; "", TRUE,""),FALSE)</f>
        <v>0</v>
      </c>
      <c r="B6" t="e">
        <f>TRANSPOSE(T2_[Recuento de T2 0])</f>
        <v>#VALUE!</v>
      </c>
    </row>
    <row r="7" spans="1:3" x14ac:dyDescent="0.25">
      <c r="A7" t="b">
        <f>IFERROR(IF(MATCH(B7,RECETAS!$A$2:$A$1700,0) &lt;&gt; "", TRUE,""),FALSE)</f>
        <v>0</v>
      </c>
      <c r="B7" t="e">
        <f>TRANSPOSE(T2_[Recuento de T2 0])</f>
        <v>#VALUE!</v>
      </c>
    </row>
    <row r="8" spans="1:3" x14ac:dyDescent="0.25">
      <c r="A8" t="b">
        <f>IFERROR(IF(MATCH(B8,RECETAS!$A$2:$A$1700,0) &lt;&gt; "", TRUE,""),FALSE)</f>
        <v>0</v>
      </c>
      <c r="B8" t="e">
        <f>TRANSPOSE(T2_[Recuento de T2 0])</f>
        <v>#VALUE!</v>
      </c>
    </row>
    <row r="9" spans="1:3" x14ac:dyDescent="0.25">
      <c r="A9" t="b">
        <f>IFERROR(IF(MATCH(B9,RECETAS!$A$2:$A$1700,0) &lt;&gt; "", TRUE,""),FALSE)</f>
        <v>0</v>
      </c>
      <c r="B9" t="e">
        <f>TRANSPOSE(T2_[Recuento de T2 0])</f>
        <v>#VALUE!</v>
      </c>
    </row>
    <row r="10" spans="1:3" x14ac:dyDescent="0.25">
      <c r="A10" t="b">
        <f>IFERROR(IF(MATCH(B10,RECETAS!$A$2:$A$1700,0) &lt;&gt; "", TRUE,""),FALSE)</f>
        <v>0</v>
      </c>
      <c r="B10" t="e">
        <f>TRANSPOSE(T2_[Recuento de T2 0])</f>
        <v>#VALUE!</v>
      </c>
    </row>
    <row r="11" spans="1:3" x14ac:dyDescent="0.25">
      <c r="A11" t="b">
        <f>IFERROR(IF(MATCH(B11,RECETAS!$A$2:$A$1700,0) &lt;&gt; "", TRUE,""),FALSE)</f>
        <v>0</v>
      </c>
      <c r="B11" t="e">
        <f>TRANSPOSE(T2_[Recuento de T2 0])</f>
        <v>#VALUE!</v>
      </c>
    </row>
    <row r="12" spans="1:3" x14ac:dyDescent="0.25">
      <c r="A12" t="b">
        <f>IFERROR(IF(MATCH(B12,RECETAS!$A$2:$A$1700,0) &lt;&gt; "", TRUE,""),FALSE)</f>
        <v>0</v>
      </c>
      <c r="B12" t="e">
        <f>TRANSPOSE(T2_[Recuento de T2 0])</f>
        <v>#VALUE!</v>
      </c>
    </row>
    <row r="13" spans="1:3" x14ac:dyDescent="0.25">
      <c r="A13" t="b">
        <f>IFERROR(IF(MATCH(B13,RECETAS!$A$2:$A$1700,0) &lt;&gt; "", TRUE,""),FALSE)</f>
        <v>0</v>
      </c>
      <c r="B13" t="e">
        <f>TRANSPOSE(T2_[Recuento de T2 0])</f>
        <v>#VALUE!</v>
      </c>
    </row>
    <row r="14" spans="1:3" x14ac:dyDescent="0.25">
      <c r="A14" t="b">
        <f>IFERROR(IF(MATCH(B14,RECETAS!$A$2:$A$1700,0) &lt;&gt; "", TRUE,""),FALSE)</f>
        <v>0</v>
      </c>
      <c r="B14" t="e">
        <f>TRANSPOSE(T2_[Recuento de T2 0])</f>
        <v>#VALUE!</v>
      </c>
    </row>
    <row r="15" spans="1:3" x14ac:dyDescent="0.25">
      <c r="A15" t="b">
        <f>IFERROR(IF(MATCH(B15,RECETAS!$A$2:$A$1700,0) &lt;&gt; "", TRUE,""),FALSE)</f>
        <v>0</v>
      </c>
      <c r="B15" t="e">
        <f>TRANSPOSE(T2_[Recuento de T2 0])</f>
        <v>#VALUE!</v>
      </c>
    </row>
    <row r="16" spans="1:3" x14ac:dyDescent="0.25">
      <c r="A16" t="b">
        <f>IFERROR(IF(MATCH(B16,RECETAS!$A$2:$A$1700,0) &lt;&gt; "", TRUE,""),FALSE)</f>
        <v>0</v>
      </c>
      <c r="B16" t="e">
        <f>TRANSPOSE(T2_[Recuento de T2 0])</f>
        <v>#VALUE!</v>
      </c>
    </row>
    <row r="17" spans="1:2" x14ac:dyDescent="0.25">
      <c r="A17" t="b">
        <f>IFERROR(IF(MATCH(B17,RECETAS!$A$2:$A$1700,0) &lt;&gt; "", TRUE,""),FALSE)</f>
        <v>0</v>
      </c>
      <c r="B17" t="e">
        <f>TRANSPOSE(T2_[Recuento de T2 0])</f>
        <v>#VALUE!</v>
      </c>
    </row>
    <row r="18" spans="1:2" x14ac:dyDescent="0.25">
      <c r="A18" t="b">
        <f>IFERROR(IF(MATCH(B18,RECETAS!$A$2:$A$1700,0) &lt;&gt; "", TRUE,""),FALSE)</f>
        <v>0</v>
      </c>
      <c r="B18" t="e">
        <f>TRANSPOSE(T2_[Recuento de T2 0])</f>
        <v>#VALUE!</v>
      </c>
    </row>
    <row r="19" spans="1:2" x14ac:dyDescent="0.25">
      <c r="A19" t="b">
        <f>IFERROR(IF(MATCH(B19,RECETAS!$A$2:$A$1700,0) &lt;&gt; "", TRUE,""),FALSE)</f>
        <v>0</v>
      </c>
      <c r="B19" t="e">
        <f>TRANSPOSE(T2_[Recuento de T2 0])</f>
        <v>#VALUE!</v>
      </c>
    </row>
    <row r="20" spans="1:2" x14ac:dyDescent="0.25">
      <c r="A20" t="b">
        <f>IFERROR(IF(MATCH(B20,RECETAS!$A$2:$A$1700,0) &lt;&gt; "", TRUE,""),FALSE)</f>
        <v>0</v>
      </c>
      <c r="B20" t="e">
        <f>TRANSPOSE(T2_[Recuento de T2 0])</f>
        <v>#VALUE!</v>
      </c>
    </row>
    <row r="21" spans="1:2" x14ac:dyDescent="0.25">
      <c r="A21" t="b">
        <f>IFERROR(IF(MATCH(B21,RECETAS!$A$2:$A$1700,0) &lt;&gt; "", TRUE,""),FALSE)</f>
        <v>0</v>
      </c>
      <c r="B21" t="e">
        <f>TRANSPOSE(T2_[Recuento de T2 0])</f>
        <v>#VALUE!</v>
      </c>
    </row>
    <row r="22" spans="1:2" x14ac:dyDescent="0.25">
      <c r="A22" t="b">
        <f>IFERROR(IF(MATCH(B22,RECETAS!$A$2:$A$1700,0) &lt;&gt; "", TRUE,""),FALSE)</f>
        <v>0</v>
      </c>
      <c r="B22" t="e">
        <f>TRANSPOSE(T2_[Recuento de T2 0])</f>
        <v>#VALUE!</v>
      </c>
    </row>
    <row r="23" spans="1:2" x14ac:dyDescent="0.25">
      <c r="A23" t="b">
        <f>IFERROR(IF(MATCH(B23,RECETAS!$A$2:$A$1700,0) &lt;&gt; "", TRUE,""),FALSE)</f>
        <v>0</v>
      </c>
      <c r="B23" t="e">
        <f>TRANSPOSE(T2_[Recuento de T2 0])</f>
        <v>#VALUE!</v>
      </c>
    </row>
    <row r="24" spans="1:2" x14ac:dyDescent="0.25">
      <c r="A24" t="b">
        <f>IFERROR(IF(MATCH(B24,RECETAS!$A$2:$A$1700,0) &lt;&gt; "", TRUE,""),FALSE)</f>
        <v>0</v>
      </c>
      <c r="B24" t="e">
        <f>TRANSPOSE(T2_[Recuento de T2 0])</f>
        <v>#VALUE!</v>
      </c>
    </row>
    <row r="25" spans="1:2" x14ac:dyDescent="0.25">
      <c r="A25" t="b">
        <f>IFERROR(IF(MATCH(B25,RECETAS!$A$2:$A$1700,0) &lt;&gt; "", TRUE,""),FALSE)</f>
        <v>0</v>
      </c>
      <c r="B25" t="e">
        <f>TRANSPOSE(T2_[Recuento de T2 0])</f>
        <v>#VALUE!</v>
      </c>
    </row>
    <row r="26" spans="1:2" x14ac:dyDescent="0.25">
      <c r="A26" t="b">
        <f>IFERROR(IF(MATCH(B26,RECETAS!$A$2:$A$1700,0) &lt;&gt; "", TRUE,""),FALSE)</f>
        <v>0</v>
      </c>
      <c r="B26" t="e">
        <f>TRANSPOSE(T2_[Recuento de T2 0])</f>
        <v>#VALUE!</v>
      </c>
    </row>
    <row r="27" spans="1:2" x14ac:dyDescent="0.25">
      <c r="A27" t="b">
        <f>IFERROR(IF(MATCH(B27,RECETAS!$A$2:$A$1700,0) &lt;&gt; "", TRUE,""),FALSE)</f>
        <v>0</v>
      </c>
      <c r="B27" t="e">
        <f>TRANSPOSE(T2_[Recuento de T2 0])</f>
        <v>#VALUE!</v>
      </c>
    </row>
    <row r="28" spans="1:2" x14ac:dyDescent="0.25">
      <c r="A28" t="b">
        <f>IFERROR(IF(MATCH(B28,RECETAS!$A$2:$A$1700,0) &lt;&gt; "", TRUE,""),FALSE)</f>
        <v>0</v>
      </c>
      <c r="B28" t="e">
        <f>TRANSPOSE(T2_[Recuento de T2 0])</f>
        <v>#VALUE!</v>
      </c>
    </row>
    <row r="29" spans="1:2" x14ac:dyDescent="0.25">
      <c r="A29" t="b">
        <f>IFERROR(IF(MATCH(B29,RECETAS!$A$2:$A$1700,0) &lt;&gt; "", TRUE,""),FALSE)</f>
        <v>0</v>
      </c>
      <c r="B29" t="e">
        <f>TRANSPOSE(T2_[Recuento de T2 0])</f>
        <v>#VALUE!</v>
      </c>
    </row>
    <row r="30" spans="1:2" x14ac:dyDescent="0.25">
      <c r="A30" t="b">
        <f>IFERROR(IF(MATCH(B30,RECETAS!$A$2:$A$1700,0) &lt;&gt; "", TRUE,""),FALSE)</f>
        <v>0</v>
      </c>
      <c r="B30" t="e">
        <f>TRANSPOSE(T2_[Recuento de T2 0])</f>
        <v>#VALUE!</v>
      </c>
    </row>
    <row r="31" spans="1:2" x14ac:dyDescent="0.25">
      <c r="A31" t="b">
        <f>IFERROR(IF(MATCH(B31,RECETAS!$A$2:$A$1700,0) &lt;&gt; "", TRUE,""),FALSE)</f>
        <v>0</v>
      </c>
      <c r="B31" t="e">
        <f>TRANSPOSE(T2_[Recuento de T2 0])</f>
        <v>#VALUE!</v>
      </c>
    </row>
    <row r="32" spans="1:2" x14ac:dyDescent="0.25">
      <c r="A32" t="b">
        <f>IFERROR(IF(MATCH(B32,RECETAS!$A$2:$A$1700,0) &lt;&gt; "", TRUE,""),FALSE)</f>
        <v>0</v>
      </c>
      <c r="B32" t="e">
        <f>TRANSPOSE(T2_[Recuento de T2 0])</f>
        <v>#VALUE!</v>
      </c>
    </row>
    <row r="33" spans="1:2" x14ac:dyDescent="0.25">
      <c r="A33" t="b">
        <f>IFERROR(IF(MATCH(B33,RECETAS!$A$2:$A$1700,0) &lt;&gt; "", TRUE,""),FALSE)</f>
        <v>0</v>
      </c>
      <c r="B33" t="e">
        <f>TRANSPOSE(T2_[Recuento de T2 0])</f>
        <v>#VALUE!</v>
      </c>
    </row>
    <row r="34" spans="1:2" x14ac:dyDescent="0.25">
      <c r="A34" t="b">
        <f>IFERROR(IF(MATCH(B34,RECETAS!$A$2:$A$1700,0) &lt;&gt; "", TRUE,""),FALSE)</f>
        <v>0</v>
      </c>
      <c r="B34" t="e">
        <f>TRANSPOSE(T2_[Recuento de T2 0])</f>
        <v>#VALUE!</v>
      </c>
    </row>
    <row r="35" spans="1:2" x14ac:dyDescent="0.25">
      <c r="A35" t="b">
        <f>IFERROR(IF(MATCH(B35,RECETAS!$A$2:$A$1700,0) &lt;&gt; "", TRUE,""),FALSE)</f>
        <v>0</v>
      </c>
      <c r="B35" t="e">
        <f>TRANSPOSE(T2_[Recuento de T2 0])</f>
        <v>#VALUE!</v>
      </c>
    </row>
    <row r="36" spans="1:2" x14ac:dyDescent="0.25">
      <c r="A36" t="b">
        <f>IFERROR(IF(MATCH(B36,RECETAS!$A$2:$A$1700,0) &lt;&gt; "", TRUE,""),FALSE)</f>
        <v>0</v>
      </c>
      <c r="B36" t="e">
        <f>TRANSPOSE(T2_[Recuento de T2 0])</f>
        <v>#VALUE!</v>
      </c>
    </row>
    <row r="37" spans="1:2" x14ac:dyDescent="0.25">
      <c r="A37" t="b">
        <f>IFERROR(IF(MATCH(B37,RECETAS!$A$2:$A$1700,0) &lt;&gt; "", TRUE,""),FALSE)</f>
        <v>0</v>
      </c>
      <c r="B37" t="e">
        <f>TRANSPOSE(T2_[Recuento de T2 0])</f>
        <v>#VALUE!</v>
      </c>
    </row>
    <row r="38" spans="1:2" x14ac:dyDescent="0.25">
      <c r="A38" t="b">
        <f>IFERROR(IF(MATCH(B38,RECETAS!$A$2:$A$1700,0) &lt;&gt; "", TRUE,""),FALSE)</f>
        <v>0</v>
      </c>
      <c r="B38" t="e">
        <f>TRANSPOSE(T2_[Recuento de T2 0])</f>
        <v>#VALUE!</v>
      </c>
    </row>
    <row r="39" spans="1:2" x14ac:dyDescent="0.25">
      <c r="A39" t="b">
        <f>IFERROR(IF(MATCH(B39,RECETAS!$A$2:$A$1700,0) &lt;&gt; "", TRUE,""),FALSE)</f>
        <v>0</v>
      </c>
      <c r="B39" t="e">
        <f>TRANSPOSE(T2_[Recuento de T2 0])</f>
        <v>#VALUE!</v>
      </c>
    </row>
    <row r="40" spans="1:2" x14ac:dyDescent="0.25">
      <c r="A40" t="b">
        <f>IFERROR(IF(MATCH(B40,RECETAS!$A$2:$A$1700,0) &lt;&gt; "", TRUE,""),FALSE)</f>
        <v>0</v>
      </c>
      <c r="B40" t="e">
        <f>TRANSPOSE(T2_[Recuento de T2 0])</f>
        <v>#VALUE!</v>
      </c>
    </row>
    <row r="41" spans="1:2" x14ac:dyDescent="0.25">
      <c r="A41" t="b">
        <f>IFERROR(IF(MATCH(B41,RECETAS!$A$2:$A$1700,0) &lt;&gt; "", TRUE,""),FALSE)</f>
        <v>0</v>
      </c>
      <c r="B41" t="e">
        <f>TRANSPOSE(T2_[Recuento de T2 0])</f>
        <v>#VALUE!</v>
      </c>
    </row>
    <row r="42" spans="1:2" x14ac:dyDescent="0.25">
      <c r="A42" t="b">
        <f>IFERROR(IF(MATCH(B42,RECETAS!$A$2:$A$1700,0) &lt;&gt; "", TRUE,""),FALSE)</f>
        <v>0</v>
      </c>
      <c r="B42" t="e">
        <f>TRANSPOSE(T2_[Recuento de T2 0])</f>
        <v>#VALUE!</v>
      </c>
    </row>
    <row r="43" spans="1:2" x14ac:dyDescent="0.25">
      <c r="A43" t="b">
        <f>IFERROR(IF(MATCH(B43,RECETAS!$A$2:$A$1700,0) &lt;&gt; "", TRUE,""),FALSE)</f>
        <v>0</v>
      </c>
      <c r="B43" t="e">
        <f>TRANSPOSE(T2_[Recuento de T2 0])</f>
        <v>#VALUE!</v>
      </c>
    </row>
    <row r="44" spans="1:2" x14ac:dyDescent="0.25">
      <c r="A44" t="b">
        <f>IFERROR(IF(MATCH(B44,RECETAS!$A$2:$A$1700,0) &lt;&gt; "", TRUE,""),FALSE)</f>
        <v>0</v>
      </c>
      <c r="B44" t="e">
        <f>TRANSPOSE(T2_[Recuento de T2 0])</f>
        <v>#VALUE!</v>
      </c>
    </row>
    <row r="45" spans="1:2" x14ac:dyDescent="0.25">
      <c r="A45" t="b">
        <f>IFERROR(IF(MATCH(B45,RECETAS!$A$2:$A$1700,0) &lt;&gt; "", TRUE,""),FALSE)</f>
        <v>0</v>
      </c>
      <c r="B45" t="e">
        <f>TRANSPOSE(T2_[Recuento de T2 0])</f>
        <v>#VALUE!</v>
      </c>
    </row>
    <row r="46" spans="1:2" x14ac:dyDescent="0.25">
      <c r="A46" t="b">
        <f>IFERROR(IF(MATCH(B46,RECETAS!$A$2:$A$1700,0) &lt;&gt; "", TRUE,""),FALSE)</f>
        <v>0</v>
      </c>
      <c r="B46" t="e">
        <f>TRANSPOSE(T2_[Recuento de T2 0])</f>
        <v>#VALUE!</v>
      </c>
    </row>
    <row r="47" spans="1:2" x14ac:dyDescent="0.25">
      <c r="A47" t="b">
        <f>IFERROR(IF(MATCH(B47,RECETAS!$A$2:$A$1700,0) &lt;&gt; "", TRUE,""),FALSE)</f>
        <v>0</v>
      </c>
      <c r="B47" t="e">
        <f>TRANSPOSE(T2_[Recuento de T2 0])</f>
        <v>#VALUE!</v>
      </c>
    </row>
    <row r="48" spans="1:2" x14ac:dyDescent="0.25">
      <c r="A48" t="b">
        <f>IFERROR(IF(MATCH(B48,RECETAS!$A$2:$A$1700,0) &lt;&gt; "", TRUE,""),FALSE)</f>
        <v>0</v>
      </c>
      <c r="B48" t="e">
        <f>TRANSPOSE(T2_[Recuento de T2 0])</f>
        <v>#VALUE!</v>
      </c>
    </row>
    <row r="49" spans="1:2" x14ac:dyDescent="0.25">
      <c r="A49" t="b">
        <f>IFERROR(IF(MATCH(B49,RECETAS!$A$2:$A$1700,0) &lt;&gt; "", TRUE,""),FALSE)</f>
        <v>0</v>
      </c>
      <c r="B49" t="e">
        <f>TRANSPOSE(T2_[Recuento de T2 0])</f>
        <v>#VALUE!</v>
      </c>
    </row>
    <row r="50" spans="1:2" x14ac:dyDescent="0.25">
      <c r="A50" t="b">
        <f>IFERROR(IF(MATCH(B50,RECETAS!$A$2:$A$1700,0) &lt;&gt; "", TRUE,""),FALSE)</f>
        <v>0</v>
      </c>
      <c r="B50" t="e">
        <f>TRANSPOSE(T2_[Recuento de T2 0])</f>
        <v>#VALUE!</v>
      </c>
    </row>
    <row r="51" spans="1:2" x14ac:dyDescent="0.25">
      <c r="A51" t="b">
        <f>IFERROR(IF(MATCH(B51,RECETAS!$A$2:$A$1700,0) &lt;&gt; "", TRUE,""),FALSE)</f>
        <v>0</v>
      </c>
      <c r="B51" t="e">
        <f>TRANSPOSE(T2_[Recuento de T2 0])</f>
        <v>#VALUE!</v>
      </c>
    </row>
    <row r="52" spans="1:2" x14ac:dyDescent="0.25">
      <c r="A52" t="b">
        <f>IFERROR(IF(MATCH(B52,RECETAS!$A$2:$A$1700,0) &lt;&gt; "", TRUE,""),FALSE)</f>
        <v>0</v>
      </c>
      <c r="B52" t="e">
        <f>TRANSPOSE(T2_[Recuento de T2 0])</f>
        <v>#VALUE!</v>
      </c>
    </row>
    <row r="53" spans="1:2" x14ac:dyDescent="0.25">
      <c r="A53" t="b">
        <f>IFERROR(IF(MATCH(B53,RECETAS!$A$2:$A$1700,0) &lt;&gt; "", TRUE,""),FALSE)</f>
        <v>0</v>
      </c>
      <c r="B53" t="e">
        <f>TRANSPOSE(T2_[Recuento de T2 0])</f>
        <v>#VALUE!</v>
      </c>
    </row>
    <row r="54" spans="1:2" x14ac:dyDescent="0.25">
      <c r="A54" t="b">
        <f>IFERROR(IF(MATCH(B54,RECETAS!$A$2:$A$1700,0) &lt;&gt; "", TRUE,""),FALSE)</f>
        <v>0</v>
      </c>
      <c r="B54" t="e">
        <f>TRANSPOSE(T2_[Recuento de T2 0])</f>
        <v>#VALUE!</v>
      </c>
    </row>
    <row r="55" spans="1:2" x14ac:dyDescent="0.25">
      <c r="A55" t="b">
        <f>IFERROR(IF(MATCH(B55,RECETAS!$A$2:$A$1700,0) &lt;&gt; "", TRUE,""),FALSE)</f>
        <v>0</v>
      </c>
      <c r="B55" t="e">
        <f>TRANSPOSE(T2_[Recuento de T2 0])</f>
        <v>#VALUE!</v>
      </c>
    </row>
    <row r="56" spans="1:2" x14ac:dyDescent="0.25">
      <c r="A56" t="b">
        <f>IFERROR(IF(MATCH(B56,RECETAS!$A$2:$A$1700,0) &lt;&gt; "", TRUE,""),FALSE)</f>
        <v>0</v>
      </c>
      <c r="B56" t="e">
        <f>TRANSPOSE(T2_[Recuento de T2 0])</f>
        <v>#VALUE!</v>
      </c>
    </row>
    <row r="57" spans="1:2" x14ac:dyDescent="0.25">
      <c r="A57" t="b">
        <f>IFERROR(IF(MATCH(B57,RECETAS!$A$2:$A$1700,0) &lt;&gt; "", TRUE,""),FALSE)</f>
        <v>0</v>
      </c>
      <c r="B57" t="e">
        <f>TRANSPOSE(T2_[Recuento de T2 0])</f>
        <v>#VALUE!</v>
      </c>
    </row>
    <row r="58" spans="1:2" x14ac:dyDescent="0.25">
      <c r="A58" t="b">
        <f>IFERROR(IF(MATCH(B58,RECETAS!$A$2:$A$1700,0) &lt;&gt; "", TRUE,""),FALSE)</f>
        <v>0</v>
      </c>
      <c r="B58" t="e">
        <f>TRANSPOSE(T2_[Recuento de T2 0])</f>
        <v>#VALUE!</v>
      </c>
    </row>
    <row r="59" spans="1:2" x14ac:dyDescent="0.25">
      <c r="A59" t="b">
        <f>IFERROR(IF(MATCH(B59,RECETAS!$A$2:$A$1700,0) &lt;&gt; "", TRUE,""),FALSE)</f>
        <v>0</v>
      </c>
      <c r="B59" t="e">
        <f>TRANSPOSE(T2_[Recuento de T2 0])</f>
        <v>#VALUE!</v>
      </c>
    </row>
    <row r="60" spans="1:2" x14ac:dyDescent="0.25">
      <c r="A60" t="b">
        <f>IFERROR(IF(MATCH(B60,RECETAS!$A$2:$A$1700,0) &lt;&gt; "", TRUE,""),FALSE)</f>
        <v>0</v>
      </c>
      <c r="B60" t="e">
        <f>TRANSPOSE(T2_[Recuento de T2 0])</f>
        <v>#VALUE!</v>
      </c>
    </row>
    <row r="61" spans="1:2" x14ac:dyDescent="0.25">
      <c r="A61" t="b">
        <f>IFERROR(IF(MATCH(B61,RECETAS!$A$2:$A$1700,0) &lt;&gt; "", TRUE,""),FALSE)</f>
        <v>0</v>
      </c>
      <c r="B61" t="e">
        <f>TRANSPOSE(T2_[Recuento de T2 0])</f>
        <v>#VALUE!</v>
      </c>
    </row>
    <row r="62" spans="1:2" x14ac:dyDescent="0.25">
      <c r="A62" t="b">
        <f>IFERROR(IF(MATCH(B62,RECETAS!$A$2:$A$1700,0) &lt;&gt; "", TRUE,""),FALSE)</f>
        <v>0</v>
      </c>
      <c r="B62" t="e">
        <f>TRANSPOSE(T2_[Recuento de T2 0])</f>
        <v>#VALUE!</v>
      </c>
    </row>
    <row r="63" spans="1:2" x14ac:dyDescent="0.25">
      <c r="A63" t="b">
        <f>IFERROR(IF(MATCH(B63,RECETAS!$A$2:$A$1700,0) &lt;&gt; "", TRUE,""),FALSE)</f>
        <v>0</v>
      </c>
      <c r="B63" t="e">
        <f>TRANSPOSE(T2_[Recuento de T2 0])</f>
        <v>#VALUE!</v>
      </c>
    </row>
    <row r="64" spans="1:2" x14ac:dyDescent="0.25">
      <c r="A64" t="b">
        <f>IFERROR(IF(MATCH(B64,RECETAS!$A$2:$A$1700,0) &lt;&gt; "", TRUE,""),FALSE)</f>
        <v>0</v>
      </c>
      <c r="B64" t="e">
        <f>TRANSPOSE(T2_[Recuento de T2 0])</f>
        <v>#VALUE!</v>
      </c>
    </row>
    <row r="65" spans="1:2" x14ac:dyDescent="0.25">
      <c r="A65" t="b">
        <f>IFERROR(IF(MATCH(B65,RECETAS!$A$2:$A$1700,0) &lt;&gt; "", TRUE,""),FALSE)</f>
        <v>0</v>
      </c>
      <c r="B65" t="e">
        <f>TRANSPOSE(T2_[Recuento de T2 0])</f>
        <v>#VALUE!</v>
      </c>
    </row>
    <row r="66" spans="1:2" x14ac:dyDescent="0.25">
      <c r="A66" t="b">
        <f>IFERROR(IF(MATCH(B66,RECETAS!$A$2:$A$1700,0) &lt;&gt; "", TRUE,""),FALSE)</f>
        <v>0</v>
      </c>
      <c r="B66" t="e">
        <f>TRANSPOSE(T2_[Recuento de T2 0])</f>
        <v>#VALUE!</v>
      </c>
    </row>
    <row r="67" spans="1:2" x14ac:dyDescent="0.25">
      <c r="A67" t="b">
        <f>IFERROR(IF(MATCH(B67,RECETAS!$A$2:$A$1700,0) &lt;&gt; "", TRUE,""),FALSE)</f>
        <v>0</v>
      </c>
      <c r="B67" t="e">
        <f>TRANSPOSE(T2_[Recuento de T2 0])</f>
        <v>#VALUE!</v>
      </c>
    </row>
    <row r="68" spans="1:2" x14ac:dyDescent="0.25">
      <c r="A68" t="b">
        <f>IFERROR(IF(MATCH(B68,RECETAS!$A$2:$A$1700,0) &lt;&gt; "", TRUE,""),FALSE)</f>
        <v>0</v>
      </c>
      <c r="B68" t="e">
        <f>TRANSPOSE(T2_[Recuento de T2 0])</f>
        <v>#VALUE!</v>
      </c>
    </row>
    <row r="69" spans="1:2" x14ac:dyDescent="0.25">
      <c r="A69" t="b">
        <f>IFERROR(IF(MATCH(B69,RECETAS!$A$2:$A$1700,0) &lt;&gt; "", TRUE,""),FALSE)</f>
        <v>0</v>
      </c>
      <c r="B69" t="e">
        <f>TRANSPOSE(T2_[Recuento de T2 0])</f>
        <v>#VALUE!</v>
      </c>
    </row>
    <row r="70" spans="1:2" x14ac:dyDescent="0.25">
      <c r="A70" t="b">
        <f>IFERROR(IF(MATCH(B70,RECETAS!$A$2:$A$1700,0) &lt;&gt; "", TRUE,""),FALSE)</f>
        <v>0</v>
      </c>
      <c r="B70" t="e">
        <f>TRANSPOSE(T2_[Recuento de T2 0])</f>
        <v>#VALUE!</v>
      </c>
    </row>
    <row r="71" spans="1:2" x14ac:dyDescent="0.25">
      <c r="A71" t="b">
        <f>IFERROR(IF(MATCH(B71,RECETAS!$A$2:$A$1700,0) &lt;&gt; "", TRUE,""),FALSE)</f>
        <v>0</v>
      </c>
      <c r="B71" t="e">
        <f>TRANSPOSE(T2_[Recuento de T2 0])</f>
        <v>#VALUE!</v>
      </c>
    </row>
    <row r="72" spans="1:2" x14ac:dyDescent="0.25">
      <c r="A72" t="b">
        <f>IFERROR(IF(MATCH(B72,RECETAS!$A$2:$A$1700,0) &lt;&gt; "", TRUE,""),FALSE)</f>
        <v>0</v>
      </c>
      <c r="B72" t="e">
        <f>TRANSPOSE(T2_[Recuento de T2 0])</f>
        <v>#VALUE!</v>
      </c>
    </row>
    <row r="73" spans="1:2" x14ac:dyDescent="0.25">
      <c r="A73" t="b">
        <f>IFERROR(IF(MATCH(B73,RECETAS!$A$2:$A$1700,0) &lt;&gt; "", TRUE,""),FALSE)</f>
        <v>0</v>
      </c>
      <c r="B73" t="e">
        <f>TRANSPOSE(T2_[Recuento de T2 0])</f>
        <v>#VALUE!</v>
      </c>
    </row>
    <row r="74" spans="1:2" x14ac:dyDescent="0.25">
      <c r="A74" t="b">
        <f>IFERROR(IF(MATCH(B74,RECETAS!$A$2:$A$1700,0) &lt;&gt; "", TRUE,""),FALSE)</f>
        <v>0</v>
      </c>
      <c r="B74" t="e">
        <f>TRANSPOSE(T2_[Recuento de T2 0])</f>
        <v>#VALUE!</v>
      </c>
    </row>
    <row r="75" spans="1:2" x14ac:dyDescent="0.25">
      <c r="A75" t="b">
        <f>IFERROR(IF(MATCH(B75,RECETAS!$A$2:$A$1700,0) &lt;&gt; "", TRUE,""),FALSE)</f>
        <v>0</v>
      </c>
      <c r="B75" t="e">
        <f>TRANSPOSE(T2_[Recuento de T2 0])</f>
        <v>#VALUE!</v>
      </c>
    </row>
    <row r="76" spans="1:2" x14ac:dyDescent="0.25">
      <c r="A76" t="b">
        <f>IFERROR(IF(MATCH(B76,RECETAS!$A$2:$A$1700,0) &lt;&gt; "", TRUE,""),FALSE)</f>
        <v>0</v>
      </c>
      <c r="B76" t="e">
        <f>TRANSPOSE(T2_[Recuento de T2 0])</f>
        <v>#VALUE!</v>
      </c>
    </row>
    <row r="77" spans="1:2" x14ac:dyDescent="0.25">
      <c r="A77" t="b">
        <f>IFERROR(IF(MATCH(B77,RECETAS!$A$2:$A$1700,0) &lt;&gt; "", TRUE,""),FALSE)</f>
        <v>0</v>
      </c>
      <c r="B77" t="e">
        <f>TRANSPOSE(T2_[Recuento de T2 0])</f>
        <v>#VALUE!</v>
      </c>
    </row>
    <row r="78" spans="1:2" x14ac:dyDescent="0.25">
      <c r="A78" t="b">
        <f>IFERROR(IF(MATCH(B78,RECETAS!$A$2:$A$1700,0) &lt;&gt; "", TRUE,""),FALSE)</f>
        <v>0</v>
      </c>
      <c r="B78" t="e">
        <f>TRANSPOSE(T2_[Recuento de T2 0])</f>
        <v>#VALUE!</v>
      </c>
    </row>
    <row r="79" spans="1:2" x14ac:dyDescent="0.25">
      <c r="A79" t="b">
        <f>IFERROR(IF(MATCH(B79,RECETAS!$A$2:$A$1700,0) &lt;&gt; "", TRUE,""),FALSE)</f>
        <v>0</v>
      </c>
      <c r="B79" t="e">
        <f>TRANSPOSE(T2_[Recuento de T2 0])</f>
        <v>#VALUE!</v>
      </c>
    </row>
    <row r="80" spans="1:2" x14ac:dyDescent="0.25">
      <c r="A80" t="b">
        <f>IFERROR(IF(MATCH(B80,RECETAS!$A$2:$A$1700,0) &lt;&gt; "", TRUE,""),FALSE)</f>
        <v>0</v>
      </c>
      <c r="B80" t="e">
        <f>TRANSPOSE(T2_[Recuento de T2 0])</f>
        <v>#VALUE!</v>
      </c>
    </row>
    <row r="81" spans="1:2" x14ac:dyDescent="0.25">
      <c r="A81" t="b">
        <f>IFERROR(IF(MATCH(B81,RECETAS!$A$2:$A$1700,0) &lt;&gt; "", TRUE,""),FALSE)</f>
        <v>0</v>
      </c>
      <c r="B81" t="e">
        <f>TRANSPOSE(T2_[Recuento de T2 0])</f>
        <v>#VALUE!</v>
      </c>
    </row>
    <row r="82" spans="1:2" x14ac:dyDescent="0.25">
      <c r="A82" t="b">
        <f>IFERROR(IF(MATCH(B82,RECETAS!$A$2:$A$1700,0) &lt;&gt; "", TRUE,""),FALSE)</f>
        <v>0</v>
      </c>
      <c r="B82" t="e">
        <f>TRANSPOSE(T2_[Recuento de T2 0])</f>
        <v>#VALUE!</v>
      </c>
    </row>
    <row r="83" spans="1:2" x14ac:dyDescent="0.25">
      <c r="A83" t="b">
        <f>IFERROR(IF(MATCH(B83,RECETAS!$A$2:$A$1700,0) &lt;&gt; "", TRUE,""),FALSE)</f>
        <v>0</v>
      </c>
      <c r="B83" t="e">
        <f>TRANSPOSE(T2_[Recuento de T2 0])</f>
        <v>#VALUE!</v>
      </c>
    </row>
    <row r="84" spans="1:2" x14ac:dyDescent="0.25">
      <c r="A84" t="b">
        <f>IFERROR(IF(MATCH(B84,RECETAS!$A$2:$A$1700,0) &lt;&gt; "", TRUE,""),FALSE)</f>
        <v>0</v>
      </c>
      <c r="B84" t="e">
        <f>TRANSPOSE(T2_[Recuento de T2 0])</f>
        <v>#VALUE!</v>
      </c>
    </row>
    <row r="85" spans="1:2" x14ac:dyDescent="0.25">
      <c r="A85" t="b">
        <f>IFERROR(IF(MATCH(B85,RECETAS!$A$2:$A$1700,0) &lt;&gt; "", TRUE,""),FALSE)</f>
        <v>0</v>
      </c>
      <c r="B85" t="e">
        <f>TRANSPOSE(T2_[Recuento de T2 0])</f>
        <v>#VALUE!</v>
      </c>
    </row>
    <row r="86" spans="1:2" x14ac:dyDescent="0.25">
      <c r="A86" t="b">
        <f>IFERROR(IF(MATCH(B86,RECETAS!$A$2:$A$1700,0) &lt;&gt; "", TRUE,""),FALSE)</f>
        <v>0</v>
      </c>
      <c r="B86" t="e">
        <f>TRANSPOSE(T2_[Recuento de T2 0])</f>
        <v>#VALUE!</v>
      </c>
    </row>
    <row r="87" spans="1:2" x14ac:dyDescent="0.25">
      <c r="A87" t="b">
        <f>IFERROR(IF(MATCH(B87,RECETAS!$A$2:$A$1700,0) &lt;&gt; "", TRUE,""),FALSE)</f>
        <v>0</v>
      </c>
      <c r="B87" t="e">
        <f>TRANSPOSE(T2_[Recuento de T2 0])</f>
        <v>#VALUE!</v>
      </c>
    </row>
    <row r="88" spans="1:2" x14ac:dyDescent="0.25">
      <c r="A88" t="b">
        <f>IFERROR(IF(MATCH(B88,RECETAS!$A$2:$A$1700,0) &lt;&gt; "", TRUE,""),FALSE)</f>
        <v>0</v>
      </c>
      <c r="B88" t="e">
        <f>TRANSPOSE(T2_[Recuento de T2 0])</f>
        <v>#VALUE!</v>
      </c>
    </row>
    <row r="89" spans="1:2" x14ac:dyDescent="0.25">
      <c r="A89" t="b">
        <f>IFERROR(IF(MATCH(B89,RECETAS!$A$2:$A$1700,0) &lt;&gt; "", TRUE,""),FALSE)</f>
        <v>0</v>
      </c>
      <c r="B89" t="e">
        <f>TRANSPOSE(T2_[Recuento de T2 0])</f>
        <v>#VALUE!</v>
      </c>
    </row>
    <row r="90" spans="1:2" x14ac:dyDescent="0.25">
      <c r="A90" t="b">
        <f>IFERROR(IF(MATCH(B90,RECETAS!$A$2:$A$1700,0) &lt;&gt; "", TRUE,""),FALSE)</f>
        <v>0</v>
      </c>
      <c r="B90" t="e">
        <f>TRANSPOSE(T2_[Recuento de T2 0])</f>
        <v>#VALUE!</v>
      </c>
    </row>
    <row r="91" spans="1:2" x14ac:dyDescent="0.25">
      <c r="A91" t="b">
        <f>IFERROR(IF(MATCH(B91,RECETAS!$A$2:$A$1700,0) &lt;&gt; "", TRUE,""),FALSE)</f>
        <v>0</v>
      </c>
      <c r="B91" t="e">
        <f>TRANSPOSE(T2_[Recuento de T2 0])</f>
        <v>#VALUE!</v>
      </c>
    </row>
    <row r="92" spans="1:2" x14ac:dyDescent="0.25">
      <c r="A92" t="b">
        <f>IFERROR(IF(MATCH(B92,RECETAS!$A$2:$A$1700,0) &lt;&gt; "", TRUE,""),FALSE)</f>
        <v>0</v>
      </c>
      <c r="B92" t="e">
        <f>TRANSPOSE(T2_[Recuento de T2 0])</f>
        <v>#VALUE!</v>
      </c>
    </row>
    <row r="93" spans="1:2" x14ac:dyDescent="0.25">
      <c r="A93" t="b">
        <f>IFERROR(IF(MATCH(B93,RECETAS!$A$2:$A$1700,0) &lt;&gt; "", TRUE,""),FALSE)</f>
        <v>0</v>
      </c>
      <c r="B93" t="e">
        <f>TRANSPOSE(T2_[Recuento de T2 0])</f>
        <v>#VALUE!</v>
      </c>
    </row>
    <row r="94" spans="1:2" x14ac:dyDescent="0.25">
      <c r="A94" t="b">
        <f>IFERROR(IF(MATCH(B94,RECETAS!$A$2:$A$1700,0) &lt;&gt; "", TRUE,""),FALSE)</f>
        <v>0</v>
      </c>
      <c r="B94" t="e">
        <f>TRANSPOSE(T2_[Recuento de T2 0])</f>
        <v>#VALUE!</v>
      </c>
    </row>
    <row r="95" spans="1:2" x14ac:dyDescent="0.25">
      <c r="A95" t="b">
        <f>IFERROR(IF(MATCH(B95,RECETAS!$A$2:$A$1700,0) &lt;&gt; "", TRUE,""),FALSE)</f>
        <v>0</v>
      </c>
      <c r="B95" t="e">
        <f>TRANSPOSE(T2_[Recuento de T2 0])</f>
        <v>#VALUE!</v>
      </c>
    </row>
    <row r="96" spans="1:2" x14ac:dyDescent="0.25">
      <c r="A96" t="b">
        <f>IFERROR(IF(MATCH(B96,RECETAS!$A$2:$A$1700,0) &lt;&gt; "", TRUE,""),FALSE)</f>
        <v>0</v>
      </c>
      <c r="B96" t="e">
        <f>TRANSPOSE(T2_[Recuento de T2 0])</f>
        <v>#VALUE!</v>
      </c>
    </row>
    <row r="97" spans="1:2" x14ac:dyDescent="0.25">
      <c r="A97" t="b">
        <f>IFERROR(IF(MATCH(B97,RECETAS!$A$2:$A$1700,0) &lt;&gt; "", TRUE,""),FALSE)</f>
        <v>0</v>
      </c>
      <c r="B97" t="e">
        <f>TRANSPOSE(T2_[Recuento de T2 0])</f>
        <v>#VALUE!</v>
      </c>
    </row>
    <row r="98" spans="1:2" x14ac:dyDescent="0.25">
      <c r="A98" t="b">
        <f>IFERROR(IF(MATCH(B98,RECETAS!$A$2:$A$1700,0) &lt;&gt; "", TRUE,""),FALSE)</f>
        <v>0</v>
      </c>
      <c r="B98" t="e">
        <f>TRANSPOSE(T2_[Recuento de T2 0])</f>
        <v>#VALUE!</v>
      </c>
    </row>
    <row r="99" spans="1:2" x14ac:dyDescent="0.25">
      <c r="A99" t="b">
        <f>IFERROR(IF(MATCH(B99,RECETAS!$A$2:$A$1700,0) &lt;&gt; "", TRUE,""),FALSE)</f>
        <v>0</v>
      </c>
      <c r="B99" t="e">
        <f>TRANSPOSE(T2_[Recuento de T2 0])</f>
        <v>#VALUE!</v>
      </c>
    </row>
    <row r="100" spans="1:2" x14ac:dyDescent="0.25">
      <c r="A100" t="b">
        <f>IFERROR(IF(MATCH(B100,RECETAS!$A$2:$A$1700,0) &lt;&gt; "", TRUE,""),FALSE)</f>
        <v>0</v>
      </c>
      <c r="B100" t="e">
        <f>TRANSPOSE(T2_[Recuento de T2 0])</f>
        <v>#VALUE!</v>
      </c>
    </row>
    <row r="101" spans="1:2" x14ac:dyDescent="0.25">
      <c r="A101" t="b">
        <f>IFERROR(IF(MATCH(B101,RECETAS!$A$2:$A$1700,0) &lt;&gt; "", TRUE,""),FALSE)</f>
        <v>0</v>
      </c>
      <c r="B101" t="e">
        <f>TRANSPOSE(T2_[Recuento de T2 0])</f>
        <v>#VALUE!</v>
      </c>
    </row>
    <row r="102" spans="1:2" x14ac:dyDescent="0.25">
      <c r="A102" t="b">
        <f>IFERROR(IF(MATCH(B102,RECETAS!$A$2:$A$1700,0) &lt;&gt; "", TRUE,""),FALSE)</f>
        <v>0</v>
      </c>
      <c r="B102" t="e">
        <f>TRANSPOSE(T2_[Recuento de T2 0])</f>
        <v>#VALUE!</v>
      </c>
    </row>
    <row r="103" spans="1:2" x14ac:dyDescent="0.25">
      <c r="A103" t="b">
        <f>IFERROR(IF(MATCH(B103,RECETAS!$A$2:$A$1700,0) &lt;&gt; "", TRUE,""),FALSE)</f>
        <v>0</v>
      </c>
      <c r="B103" t="e">
        <f>TRANSPOSE(T2_[Recuento de T2 0])</f>
        <v>#VALUE!</v>
      </c>
    </row>
    <row r="104" spans="1:2" x14ac:dyDescent="0.25">
      <c r="A104" t="b">
        <f>IFERROR(IF(MATCH(B104,RECETAS!$A$2:$A$1700,0) &lt;&gt; "", TRUE,""),FALSE)</f>
        <v>0</v>
      </c>
      <c r="B104" t="e">
        <f>TRANSPOSE(T2_[Recuento de T2 0])</f>
        <v>#VALUE!</v>
      </c>
    </row>
    <row r="105" spans="1:2" x14ac:dyDescent="0.25">
      <c r="A105" t="b">
        <f>IFERROR(IF(MATCH(B105,RECETAS!$A$2:$A$1700,0) &lt;&gt; "", TRUE,""),FALSE)</f>
        <v>0</v>
      </c>
      <c r="B105" t="e">
        <f>TRANSPOSE(T2_[Recuento de T2 0])</f>
        <v>#VALUE!</v>
      </c>
    </row>
    <row r="106" spans="1:2" x14ac:dyDescent="0.25">
      <c r="A106" t="b">
        <f>IFERROR(IF(MATCH(B106,RECETAS!$A$2:$A$1700,0) &lt;&gt; "", TRUE,""),FALSE)</f>
        <v>0</v>
      </c>
      <c r="B106" t="e">
        <f>TRANSPOSE(T2_[Recuento de T2 0])</f>
        <v>#VALUE!</v>
      </c>
    </row>
    <row r="107" spans="1:2" x14ac:dyDescent="0.25">
      <c r="A107" t="b">
        <f>IFERROR(IF(MATCH(B107,RECETAS!$A$2:$A$1700,0) &lt;&gt; "", TRUE,""),FALSE)</f>
        <v>0</v>
      </c>
      <c r="B107" t="e">
        <f>TRANSPOSE(T2_[Recuento de T2 0])</f>
        <v>#VALUE!</v>
      </c>
    </row>
    <row r="108" spans="1:2" x14ac:dyDescent="0.25">
      <c r="A108" t="b">
        <f>IFERROR(IF(MATCH(B108,RECETAS!$A$2:$A$1700,0) &lt;&gt; "", TRUE,""),FALSE)</f>
        <v>0</v>
      </c>
      <c r="B108" t="e">
        <f>TRANSPOSE(T2_[Recuento de T2 0])</f>
        <v>#VALUE!</v>
      </c>
    </row>
    <row r="109" spans="1:2" x14ac:dyDescent="0.25">
      <c r="A109" t="b">
        <f>IFERROR(IF(MATCH(B109,RECETAS!$A$2:$A$1700,0) &lt;&gt; "", TRUE,""),FALSE)</f>
        <v>0</v>
      </c>
      <c r="B109" t="e">
        <f>TRANSPOSE(T2_[Recuento de T2 0])</f>
        <v>#VALUE!</v>
      </c>
    </row>
    <row r="110" spans="1:2" x14ac:dyDescent="0.25">
      <c r="A110" t="b">
        <f>IFERROR(IF(MATCH(B110,RECETAS!$A$2:$A$1700,0) &lt;&gt; "", TRUE,""),FALSE)</f>
        <v>0</v>
      </c>
      <c r="B110" t="e">
        <f>TRANSPOSE(T2_[Recuento de T2 0])</f>
        <v>#VALUE!</v>
      </c>
    </row>
    <row r="111" spans="1:2" x14ac:dyDescent="0.25">
      <c r="A111" t="b">
        <f>IFERROR(IF(MATCH(B111,RECETAS!$A$2:$A$1700,0) &lt;&gt; "", TRUE,""),FALSE)</f>
        <v>0</v>
      </c>
      <c r="B111" t="e">
        <f>TRANSPOSE(T2_[Recuento de T2 0])</f>
        <v>#VALUE!</v>
      </c>
    </row>
    <row r="112" spans="1:2" x14ac:dyDescent="0.25">
      <c r="A112" t="b">
        <f>IFERROR(IF(MATCH(B112,RECETAS!$A$2:$A$1700,0) &lt;&gt; "", TRUE,""),FALSE)</f>
        <v>0</v>
      </c>
      <c r="B112" t="e">
        <f>TRANSPOSE(T2_[Recuento de T2 0])</f>
        <v>#VALUE!</v>
      </c>
    </row>
    <row r="113" spans="1:2" x14ac:dyDescent="0.25">
      <c r="A113" t="b">
        <f>IFERROR(IF(MATCH(B113,RECETAS!$A$2:$A$1700,0) &lt;&gt; "", TRUE,""),FALSE)</f>
        <v>0</v>
      </c>
      <c r="B113" t="e">
        <f>TRANSPOSE(T2_[Recuento de T2 0])</f>
        <v>#VALUE!</v>
      </c>
    </row>
    <row r="114" spans="1:2" x14ac:dyDescent="0.25">
      <c r="A114" t="b">
        <f>IFERROR(IF(MATCH(B114,RECETAS!$A$2:$A$1700,0) &lt;&gt; "", TRUE,""),FALSE)</f>
        <v>0</v>
      </c>
      <c r="B114" t="e">
        <f>TRANSPOSE(T2_[Recuento de T2 0])</f>
        <v>#VALUE!</v>
      </c>
    </row>
    <row r="115" spans="1:2" x14ac:dyDescent="0.25">
      <c r="A115" t="b">
        <f>IFERROR(IF(MATCH(B115,RECETAS!$A$2:$A$1700,0) &lt;&gt; "", TRUE,""),FALSE)</f>
        <v>0</v>
      </c>
      <c r="B115" t="e">
        <f>TRANSPOSE(T2_[Recuento de T2 0])</f>
        <v>#VALUE!</v>
      </c>
    </row>
    <row r="116" spans="1:2" x14ac:dyDescent="0.25">
      <c r="A116" t="b">
        <f>IFERROR(IF(MATCH(B116,RECETAS!$A$2:$A$1700,0) &lt;&gt; "", TRUE,""),FALSE)</f>
        <v>0</v>
      </c>
      <c r="B116" t="e">
        <f>TRANSPOSE(T2_[Recuento de T2 0])</f>
        <v>#VALUE!</v>
      </c>
    </row>
    <row r="117" spans="1:2" x14ac:dyDescent="0.25">
      <c r="A117" t="b">
        <f>IFERROR(IF(MATCH(B117,RECETAS!$A$2:$A$1700,0) &lt;&gt; "", TRUE,""),FALSE)</f>
        <v>0</v>
      </c>
      <c r="B117" t="e">
        <f>TRANSPOSE(T2_[Recuento de T2 0])</f>
        <v>#VALUE!</v>
      </c>
    </row>
    <row r="118" spans="1:2" x14ac:dyDescent="0.25">
      <c r="A118" t="b">
        <f>IFERROR(IF(MATCH(B118,RECETAS!$A$2:$A$1700,0) &lt;&gt; "", TRUE,""),FALSE)</f>
        <v>0</v>
      </c>
      <c r="B118" t="e">
        <f>TRANSPOSE(T2_[Recuento de T2 0])</f>
        <v>#VALUE!</v>
      </c>
    </row>
    <row r="119" spans="1:2" x14ac:dyDescent="0.25">
      <c r="A119" t="b">
        <f>IFERROR(IF(MATCH(B119,RECETAS!$A$2:$A$1700,0) &lt;&gt; "", TRUE,""),FALSE)</f>
        <v>0</v>
      </c>
      <c r="B119" t="e">
        <f>TRANSPOSE(T2_[Recuento de T2 0])</f>
        <v>#VALUE!</v>
      </c>
    </row>
    <row r="120" spans="1:2" x14ac:dyDescent="0.25">
      <c r="A120" t="b">
        <f>IFERROR(IF(MATCH(B120,RECETAS!$A$2:$A$1700,0) &lt;&gt; "", TRUE,""),FALSE)</f>
        <v>0</v>
      </c>
      <c r="B120" t="e">
        <f>TRANSPOSE(T2_[Recuento de T2 0])</f>
        <v>#VALUE!</v>
      </c>
    </row>
    <row r="121" spans="1:2" x14ac:dyDescent="0.25">
      <c r="A121" t="b">
        <f>IFERROR(IF(MATCH(B121,RECETAS!$A$2:$A$1700,0) &lt;&gt; "", TRUE,""),FALSE)</f>
        <v>0</v>
      </c>
      <c r="B121" t="e">
        <f>TRANSPOSE(T2_[Recuento de T2 0])</f>
        <v>#VALUE!</v>
      </c>
    </row>
    <row r="122" spans="1:2" x14ac:dyDescent="0.25">
      <c r="A122" t="b">
        <f>IFERROR(IF(MATCH(B122,RECETAS!$A$2:$A$1700,0) &lt;&gt; "", TRUE,""),FALSE)</f>
        <v>0</v>
      </c>
      <c r="B122" t="e">
        <f>TRANSPOSE(T2_[Recuento de T2 0])</f>
        <v>#VALUE!</v>
      </c>
    </row>
    <row r="123" spans="1:2" x14ac:dyDescent="0.25">
      <c r="A123" t="b">
        <f>IFERROR(IF(MATCH(B123,RECETAS!$A$2:$A$1700,0) &lt;&gt; "", TRUE,""),FALSE)</f>
        <v>0</v>
      </c>
      <c r="B123" t="e">
        <f>TRANSPOSE(T2_[Recuento de T2 0])</f>
        <v>#VALUE!</v>
      </c>
    </row>
    <row r="124" spans="1:2" x14ac:dyDescent="0.25">
      <c r="A124" t="b">
        <f>IFERROR(IF(MATCH(B124,RECETAS!$A$2:$A$1700,0) &lt;&gt; "", TRUE,""),FALSE)</f>
        <v>0</v>
      </c>
      <c r="B124" t="e">
        <f>TRANSPOSE(T2_[Recuento de T2 0])</f>
        <v>#VALUE!</v>
      </c>
    </row>
    <row r="125" spans="1:2" x14ac:dyDescent="0.25">
      <c r="A125" t="b">
        <f>IFERROR(IF(MATCH(B125,RECETAS!$A$2:$A$1700,0) &lt;&gt; "", TRUE,""),FALSE)</f>
        <v>0</v>
      </c>
      <c r="B125" t="e">
        <f>TRANSPOSE(T2_[Recuento de T2 0])</f>
        <v>#VALUE!</v>
      </c>
    </row>
    <row r="126" spans="1:2" x14ac:dyDescent="0.25">
      <c r="A126" t="b">
        <f>IFERROR(IF(MATCH(B126,RECETAS!$A$2:$A$1700,0) &lt;&gt; "", TRUE,""),FALSE)</f>
        <v>0</v>
      </c>
      <c r="B126" t="e">
        <f>TRANSPOSE(T2_[Recuento de T2 0])</f>
        <v>#VALUE!</v>
      </c>
    </row>
    <row r="127" spans="1:2" x14ac:dyDescent="0.25">
      <c r="A127" t="b">
        <f>IFERROR(IF(MATCH(B127,RECETAS!$A$2:$A$1700,0) &lt;&gt; "", TRUE,""),FALSE)</f>
        <v>0</v>
      </c>
      <c r="B127" t="e">
        <f>TRANSPOSE(T2_[Recuento de T2 0])</f>
        <v>#VALUE!</v>
      </c>
    </row>
    <row r="128" spans="1:2" x14ac:dyDescent="0.25">
      <c r="A128" t="b">
        <f>IFERROR(IF(MATCH(B128,RECETAS!$A$2:$A$1700,0) &lt;&gt; "", TRUE,""),FALSE)</f>
        <v>0</v>
      </c>
      <c r="B128" t="e">
        <f>TRANSPOSE(T2_[Recuento de T2 0])</f>
        <v>#VALUE!</v>
      </c>
    </row>
    <row r="129" spans="1:2" x14ac:dyDescent="0.25">
      <c r="A129" t="b">
        <f>IFERROR(IF(MATCH(B129,RECETAS!$A$2:$A$1700,0) &lt;&gt; "", TRUE,""),FALSE)</f>
        <v>0</v>
      </c>
      <c r="B129" t="e">
        <f>TRANSPOSE(T2_[Recuento de T2 0])</f>
        <v>#VALUE!</v>
      </c>
    </row>
    <row r="130" spans="1:2" x14ac:dyDescent="0.25">
      <c r="A130" t="b">
        <f>IFERROR(IF(MATCH(B130,RECETAS!$A$2:$A$1700,0) &lt;&gt; "", TRUE,""),FALSE)</f>
        <v>0</v>
      </c>
      <c r="B130" t="e">
        <f>TRANSPOSE(T2_[Recuento de T2 0])</f>
        <v>#VALUE!</v>
      </c>
    </row>
    <row r="131" spans="1:2" x14ac:dyDescent="0.25">
      <c r="A131" t="b">
        <f>IFERROR(IF(MATCH(B131,RECETAS!$A$2:$A$1700,0) &lt;&gt; "", TRUE,""),FALSE)</f>
        <v>0</v>
      </c>
      <c r="B131" t="e">
        <f>TRANSPOSE(T2_[Recuento de T2 0])</f>
        <v>#VALUE!</v>
      </c>
    </row>
    <row r="132" spans="1:2" x14ac:dyDescent="0.25">
      <c r="A132" t="b">
        <f>IFERROR(IF(MATCH(B132,RECETAS!$A$2:$A$1700,0) &lt;&gt; "", TRUE,""),FALSE)</f>
        <v>0</v>
      </c>
      <c r="B132" t="e">
        <f>TRANSPOSE(T2_[Recuento de T2 0])</f>
        <v>#VALUE!</v>
      </c>
    </row>
    <row r="133" spans="1:2" x14ac:dyDescent="0.25">
      <c r="A133" t="b">
        <f>IFERROR(IF(MATCH(B133,RECETAS!$A$2:$A$1700,0) &lt;&gt; "", TRUE,""),FALSE)</f>
        <v>0</v>
      </c>
      <c r="B133" t="e">
        <f>TRANSPOSE(T2_[Recuento de T2 0])</f>
        <v>#VALUE!</v>
      </c>
    </row>
    <row r="134" spans="1:2" x14ac:dyDescent="0.25">
      <c r="A134" t="b">
        <f>IFERROR(IF(MATCH(B134,RECETAS!$A$2:$A$1700,0) &lt;&gt; "", TRUE,""),FALSE)</f>
        <v>0</v>
      </c>
      <c r="B134" t="e">
        <f>TRANSPOSE(T2_[Recuento de T2 0])</f>
        <v>#VALUE!</v>
      </c>
    </row>
    <row r="135" spans="1:2" x14ac:dyDescent="0.25">
      <c r="A135" t="b">
        <f>IFERROR(IF(MATCH(B135,RECETAS!$A$2:$A$1700,0) &lt;&gt; "", TRUE,""),FALSE)</f>
        <v>0</v>
      </c>
      <c r="B135" t="e">
        <f>TRANSPOSE(T2_[Recuento de T2 0])</f>
        <v>#VALUE!</v>
      </c>
    </row>
    <row r="136" spans="1:2" x14ac:dyDescent="0.25">
      <c r="A136" t="b">
        <f>IFERROR(IF(MATCH(B136,RECETAS!$A$2:$A$1700,0) &lt;&gt; "", TRUE,""),FALSE)</f>
        <v>0</v>
      </c>
      <c r="B136" t="e">
        <f>TRANSPOSE(T2_[Recuento de T2 0])</f>
        <v>#VALUE!</v>
      </c>
    </row>
    <row r="137" spans="1:2" x14ac:dyDescent="0.25">
      <c r="A137" t="b">
        <f>IFERROR(IF(MATCH(B137,RECETAS!$A$2:$A$1700,0) &lt;&gt; "", TRUE,""),FALSE)</f>
        <v>0</v>
      </c>
      <c r="B137" t="e">
        <f>TRANSPOSE(T2_[Recuento de T2 0])</f>
        <v>#VALUE!</v>
      </c>
    </row>
    <row r="138" spans="1:2" x14ac:dyDescent="0.25">
      <c r="A138" t="b">
        <f>IFERROR(IF(MATCH(B138,RECETAS!$A$2:$A$1700,0) &lt;&gt; "", TRUE,""),FALSE)</f>
        <v>0</v>
      </c>
      <c r="B138" t="e">
        <f>TRANSPOSE(T2_[Recuento de T2 0])</f>
        <v>#VALUE!</v>
      </c>
    </row>
    <row r="139" spans="1:2" x14ac:dyDescent="0.25">
      <c r="A139" t="b">
        <f>IFERROR(IF(MATCH(B139,RECETAS!$A$2:$A$1700,0) &lt;&gt; "", TRUE,""),FALSE)</f>
        <v>0</v>
      </c>
      <c r="B139" t="e">
        <f>TRANSPOSE(T2_[Recuento de T2 0])</f>
        <v>#VALUE!</v>
      </c>
    </row>
    <row r="140" spans="1:2" x14ac:dyDescent="0.25">
      <c r="A140" t="b">
        <f>IFERROR(IF(MATCH(B140,RECETAS!$A$2:$A$1700,0) &lt;&gt; "", TRUE,""),FALSE)</f>
        <v>0</v>
      </c>
      <c r="B140" t="e">
        <f>TRANSPOSE(T2_[Recuento de T2 0])</f>
        <v>#VALUE!</v>
      </c>
    </row>
    <row r="141" spans="1:2" x14ac:dyDescent="0.25">
      <c r="A141" t="b">
        <f>IFERROR(IF(MATCH(B141,RECETAS!$A$2:$A$1700,0) &lt;&gt; "", TRUE,""),FALSE)</f>
        <v>0</v>
      </c>
      <c r="B141" t="e">
        <f>TRANSPOSE(T2_[Recuento de T2 0])</f>
        <v>#VALUE!</v>
      </c>
    </row>
    <row r="142" spans="1:2" x14ac:dyDescent="0.25">
      <c r="A142" t="b">
        <f>IFERROR(IF(MATCH(B142,RECETAS!$A$2:$A$1700,0) &lt;&gt; "", TRUE,""),FALSE)</f>
        <v>0</v>
      </c>
      <c r="B142" t="e">
        <f>TRANSPOSE(T2_[Recuento de T2 0])</f>
        <v>#VALUE!</v>
      </c>
    </row>
    <row r="143" spans="1:2" x14ac:dyDescent="0.25">
      <c r="A143" t="b">
        <f>IFERROR(IF(MATCH(B143,RECETAS!$A$2:$A$1700,0) &lt;&gt; "", TRUE,""),FALSE)</f>
        <v>0</v>
      </c>
      <c r="B143" t="e">
        <f>TRANSPOSE(T2_[Recuento de T2 0])</f>
        <v>#VALUE!</v>
      </c>
    </row>
    <row r="144" spans="1:2" x14ac:dyDescent="0.25">
      <c r="A144" t="b">
        <f>IFERROR(IF(MATCH(B144,RECETAS!$A$2:$A$1700,0) &lt;&gt; "", TRUE,""),FALSE)</f>
        <v>0</v>
      </c>
      <c r="B144" t="e">
        <f>TRANSPOSE(T2_[Recuento de T2 0])</f>
        <v>#VALUE!</v>
      </c>
    </row>
    <row r="145" spans="1:2" x14ac:dyDescent="0.25">
      <c r="A145" t="b">
        <f>IFERROR(IF(MATCH(B145,RECETAS!$A$2:$A$1700,0) &lt;&gt; "", TRUE,""),FALSE)</f>
        <v>0</v>
      </c>
      <c r="B145" t="e">
        <f>TRANSPOSE(T2_[Recuento de T2 0])</f>
        <v>#VALUE!</v>
      </c>
    </row>
    <row r="146" spans="1:2" x14ac:dyDescent="0.25">
      <c r="A146" t="b">
        <f>IFERROR(IF(MATCH(B146,RECETAS!$A$2:$A$1700,0) &lt;&gt; "", TRUE,""),FALSE)</f>
        <v>0</v>
      </c>
      <c r="B146" t="e">
        <f>TRANSPOSE(T2_[Recuento de T2 0])</f>
        <v>#VALUE!</v>
      </c>
    </row>
    <row r="147" spans="1:2" x14ac:dyDescent="0.25">
      <c r="A147" t="b">
        <f>IFERROR(IF(MATCH(B147,RECETAS!$A$2:$A$1700,0) &lt;&gt; "", TRUE,""),FALSE)</f>
        <v>0</v>
      </c>
      <c r="B147" t="e">
        <f>TRANSPOSE(T2_[Recuento de T2 0])</f>
        <v>#VALUE!</v>
      </c>
    </row>
    <row r="148" spans="1:2" x14ac:dyDescent="0.25">
      <c r="A148" t="b">
        <f>IFERROR(IF(MATCH(B148,RECETAS!$A$2:$A$1700,0) &lt;&gt; "", TRUE,""),FALSE)</f>
        <v>0</v>
      </c>
      <c r="B148" t="e">
        <f>TRANSPOSE(T2_[Recuento de T2 0])</f>
        <v>#VALUE!</v>
      </c>
    </row>
    <row r="149" spans="1:2" x14ac:dyDescent="0.25">
      <c r="A149" t="b">
        <f>IFERROR(IF(MATCH(B149,RECETAS!$A$2:$A$1700,0) &lt;&gt; "", TRUE,""),FALSE)</f>
        <v>0</v>
      </c>
      <c r="B149" t="e">
        <f>TRANSPOSE(T2_[Recuento de T2 0])</f>
        <v>#VALUE!</v>
      </c>
    </row>
    <row r="150" spans="1:2" x14ac:dyDescent="0.25">
      <c r="A150" t="b">
        <f>IFERROR(IF(MATCH(B150,RECETAS!$A$2:$A$1700,0) &lt;&gt; "", TRUE,""),FALSE)</f>
        <v>0</v>
      </c>
      <c r="B150" t="e">
        <f>TRANSPOSE(T2_[Recuento de T2 0])</f>
        <v>#VALUE!</v>
      </c>
    </row>
    <row r="151" spans="1:2" x14ac:dyDescent="0.25">
      <c r="A151" t="b">
        <f>IFERROR(IF(MATCH(B151,RECETAS!$A$2:$A$1700,0) &lt;&gt; "", TRUE,""),FALSE)</f>
        <v>0</v>
      </c>
      <c r="B151" t="e">
        <f>TRANSPOSE(T2_[Recuento de T2 0])</f>
        <v>#VALUE!</v>
      </c>
    </row>
    <row r="152" spans="1:2" x14ac:dyDescent="0.25">
      <c r="A152" t="b">
        <f>IFERROR(IF(MATCH(B152,RECETAS!$A$2:$A$1700,0) &lt;&gt; "", TRUE,""),FALSE)</f>
        <v>0</v>
      </c>
      <c r="B152" t="e">
        <f>TRANSPOSE(T2_[Recuento de T2 0])</f>
        <v>#VALUE!</v>
      </c>
    </row>
    <row r="153" spans="1:2" x14ac:dyDescent="0.25">
      <c r="A153" t="b">
        <f>IFERROR(IF(MATCH(B153,RECETAS!$A$2:$A$1700,0) &lt;&gt; "", TRUE,""),FALSE)</f>
        <v>0</v>
      </c>
      <c r="B153" t="e">
        <f>TRANSPOSE(T2_[Recuento de T2 0])</f>
        <v>#VALUE!</v>
      </c>
    </row>
    <row r="154" spans="1:2" x14ac:dyDescent="0.25">
      <c r="A154" t="b">
        <f>IFERROR(IF(MATCH(B154,RECETAS!$A$2:$A$1700,0) &lt;&gt; "", TRUE,""),FALSE)</f>
        <v>0</v>
      </c>
      <c r="B154" t="e">
        <f>TRANSPOSE(T2_[Recuento de T2 0])</f>
        <v>#VALUE!</v>
      </c>
    </row>
    <row r="155" spans="1:2" x14ac:dyDescent="0.25">
      <c r="A155" t="b">
        <f>IFERROR(IF(MATCH(B155,RECETAS!$A$2:$A$1700,0) &lt;&gt; "", TRUE,""),FALSE)</f>
        <v>0</v>
      </c>
      <c r="B155" t="e">
        <f>TRANSPOSE(T2_[Recuento de T2 0])</f>
        <v>#VALUE!</v>
      </c>
    </row>
    <row r="156" spans="1:2" x14ac:dyDescent="0.25">
      <c r="A156" t="b">
        <f>IFERROR(IF(MATCH(B156,RECETAS!$A$2:$A$1700,0) &lt;&gt; "", TRUE,""),FALSE)</f>
        <v>0</v>
      </c>
      <c r="B156" t="e">
        <f>TRANSPOSE(T2_[Recuento de T2 0])</f>
        <v>#VALUE!</v>
      </c>
    </row>
    <row r="157" spans="1:2" x14ac:dyDescent="0.25">
      <c r="A157" t="b">
        <f>IFERROR(IF(MATCH(B157,RECETAS!$A$2:$A$1700,0) &lt;&gt; "", TRUE,""),FALSE)</f>
        <v>0</v>
      </c>
      <c r="B157" t="e">
        <f>TRANSPOSE(T2_[Recuento de T2 0])</f>
        <v>#VALUE!</v>
      </c>
    </row>
    <row r="158" spans="1:2" x14ac:dyDescent="0.25">
      <c r="A158" t="b">
        <f>IFERROR(IF(MATCH(B158,RECETAS!$A$2:$A$1700,0) &lt;&gt; "", TRUE,""),FALSE)</f>
        <v>0</v>
      </c>
      <c r="B158" t="e">
        <f>TRANSPOSE(T2_[Recuento de T2 0])</f>
        <v>#VALUE!</v>
      </c>
    </row>
    <row r="159" spans="1:2" x14ac:dyDescent="0.25">
      <c r="A159" t="b">
        <f>IFERROR(IF(MATCH(B159,RECETAS!$A$2:$A$1700,0) &lt;&gt; "", TRUE,""),FALSE)</f>
        <v>0</v>
      </c>
      <c r="B159" t="e">
        <f>TRANSPOSE(T2_[Recuento de T2 0])</f>
        <v>#VALUE!</v>
      </c>
    </row>
    <row r="160" spans="1:2" x14ac:dyDescent="0.25">
      <c r="A160" t="b">
        <f>IFERROR(IF(MATCH(B160,RECETAS!$A$2:$A$1700,0) &lt;&gt; "", TRUE,""),FALSE)</f>
        <v>0</v>
      </c>
      <c r="B160" t="e">
        <f>TRANSPOSE(T2_[Recuento de T2 0])</f>
        <v>#VALUE!</v>
      </c>
    </row>
    <row r="161" spans="1:2" x14ac:dyDescent="0.25">
      <c r="A161" t="b">
        <f>IFERROR(IF(MATCH(B161,RECETAS!$A$2:$A$1700,0) &lt;&gt; "", TRUE,""),FALSE)</f>
        <v>0</v>
      </c>
      <c r="B161" t="e">
        <f>TRANSPOSE(T2_[Recuento de T2 0])</f>
        <v>#VALUE!</v>
      </c>
    </row>
    <row r="162" spans="1:2" x14ac:dyDescent="0.25">
      <c r="A162" t="b">
        <f>IFERROR(IF(MATCH(B162,RECETAS!$A$2:$A$1700,0) &lt;&gt; "", TRUE,""),FALSE)</f>
        <v>0</v>
      </c>
      <c r="B162" t="e">
        <f>TRANSPOSE(T2_[Recuento de T2 0])</f>
        <v>#VALUE!</v>
      </c>
    </row>
    <row r="163" spans="1:2" x14ac:dyDescent="0.25">
      <c r="A163" t="b">
        <f>IFERROR(IF(MATCH(B163,RECETAS!$A$2:$A$1700,0) &lt;&gt; "", TRUE,""),FALSE)</f>
        <v>0</v>
      </c>
      <c r="B163" t="e">
        <f>TRANSPOSE(T2_[Recuento de T2 0])</f>
        <v>#VALUE!</v>
      </c>
    </row>
    <row r="164" spans="1:2" x14ac:dyDescent="0.25">
      <c r="A164" t="b">
        <f>IFERROR(IF(MATCH(B164,RECETAS!$A$2:$A$1700,0) &lt;&gt; "", TRUE,""),FALSE)</f>
        <v>0</v>
      </c>
      <c r="B164" t="e">
        <f>TRANSPOSE(T2_[Recuento de T2 0])</f>
        <v>#VALUE!</v>
      </c>
    </row>
    <row r="165" spans="1:2" x14ac:dyDescent="0.25">
      <c r="A165" t="b">
        <f>IFERROR(IF(MATCH(B165,RECETAS!$A$2:$A$1700,0) &lt;&gt; "", TRUE,""),FALSE)</f>
        <v>0</v>
      </c>
      <c r="B165" t="e">
        <f>TRANSPOSE(T2_[Recuento de T2 0])</f>
        <v>#VALUE!</v>
      </c>
    </row>
    <row r="166" spans="1:2" x14ac:dyDescent="0.25">
      <c r="A166" t="b">
        <f>IFERROR(IF(MATCH(B166,RECETAS!$A$2:$A$1700,0) &lt;&gt; "", TRUE,""),FALSE)</f>
        <v>0</v>
      </c>
      <c r="B166" t="e">
        <f>TRANSPOSE(T2_[Recuento de T2 0])</f>
        <v>#VALUE!</v>
      </c>
    </row>
    <row r="167" spans="1:2" x14ac:dyDescent="0.25">
      <c r="A167" t="b">
        <f>IFERROR(IF(MATCH(B167,RECETAS!$A$2:$A$1700,0) &lt;&gt; "", TRUE,""),FALSE)</f>
        <v>0</v>
      </c>
      <c r="B167" t="e">
        <f>TRANSPOSE(T2_[Recuento de T2 0])</f>
        <v>#VALUE!</v>
      </c>
    </row>
    <row r="168" spans="1:2" x14ac:dyDescent="0.25">
      <c r="A168" t="b">
        <f>IFERROR(IF(MATCH(B168,RECETAS!$A$2:$A$1700,0) &lt;&gt; "", TRUE,""),FALSE)</f>
        <v>0</v>
      </c>
      <c r="B168" t="e">
        <f>TRANSPOSE(T2_[Recuento de T2 0])</f>
        <v>#VALUE!</v>
      </c>
    </row>
    <row r="169" spans="1:2" x14ac:dyDescent="0.25">
      <c r="A169" t="b">
        <f>IFERROR(IF(MATCH(B169,RECETAS!$A$2:$A$1700,0) &lt;&gt; "", TRUE,""),FALSE)</f>
        <v>0</v>
      </c>
      <c r="B169" t="e">
        <f>TRANSPOSE(T2_[Recuento de T2 0])</f>
        <v>#VALUE!</v>
      </c>
    </row>
    <row r="170" spans="1:2" x14ac:dyDescent="0.25">
      <c r="A170" t="b">
        <f>IFERROR(IF(MATCH(B170,RECETAS!$A$2:$A$1700,0) &lt;&gt; "", TRUE,""),FALSE)</f>
        <v>0</v>
      </c>
      <c r="B170" t="e">
        <f>TRANSPOSE(T2_[Recuento de T2 0])</f>
        <v>#VALUE!</v>
      </c>
    </row>
    <row r="171" spans="1:2" x14ac:dyDescent="0.25">
      <c r="A171" t="b">
        <f>IFERROR(IF(MATCH(B171,RECETAS!$A$2:$A$1700,0) &lt;&gt; "", TRUE,""),FALSE)</f>
        <v>0</v>
      </c>
      <c r="B171" t="e">
        <f>TRANSPOSE(T2_[Recuento de T2 0])</f>
        <v>#VALUE!</v>
      </c>
    </row>
    <row r="172" spans="1:2" x14ac:dyDescent="0.25">
      <c r="A172" t="b">
        <f>IFERROR(IF(MATCH(B172,RECETAS!$A$2:$A$1700,0) &lt;&gt; "", TRUE,""),FALSE)</f>
        <v>0</v>
      </c>
      <c r="B172" t="e">
        <f>TRANSPOSE(T2_[Recuento de T2 0])</f>
        <v>#VALUE!</v>
      </c>
    </row>
    <row r="173" spans="1:2" x14ac:dyDescent="0.25">
      <c r="A173" t="b">
        <f>IFERROR(IF(MATCH(B173,RECETAS!$A$2:$A$1700,0) &lt;&gt; "", TRUE,""),FALSE)</f>
        <v>0</v>
      </c>
      <c r="B173" t="e">
        <f>TRANSPOSE(T2_[Recuento de T2 0])</f>
        <v>#VALUE!</v>
      </c>
    </row>
    <row r="174" spans="1:2" x14ac:dyDescent="0.25">
      <c r="A174" t="b">
        <f>IFERROR(IF(MATCH(B174,RECETAS!$A$2:$A$1700,0) &lt;&gt; "", TRUE,""),FALSE)</f>
        <v>0</v>
      </c>
      <c r="B174" t="e">
        <f>TRANSPOSE(T2_[Recuento de T2 0])</f>
        <v>#VALUE!</v>
      </c>
    </row>
    <row r="175" spans="1:2" x14ac:dyDescent="0.25">
      <c r="A175" t="b">
        <f>IFERROR(IF(MATCH(B175,RECETAS!$A$2:$A$1700,0) &lt;&gt; "", TRUE,""),FALSE)</f>
        <v>0</v>
      </c>
      <c r="B175" t="e">
        <f>TRANSPOSE(T2_[Recuento de T2 0])</f>
        <v>#VALUE!</v>
      </c>
    </row>
    <row r="176" spans="1:2" x14ac:dyDescent="0.25">
      <c r="A176" t="b">
        <f>IFERROR(IF(MATCH(B176,RECETAS!$A$2:$A$1700,0) &lt;&gt; "", TRUE,""),FALSE)</f>
        <v>0</v>
      </c>
      <c r="B176" t="e">
        <f>TRANSPOSE(T2_[Recuento de T2 0])</f>
        <v>#VALUE!</v>
      </c>
    </row>
    <row r="177" spans="1:2" x14ac:dyDescent="0.25">
      <c r="A177" t="b">
        <f>IFERROR(IF(MATCH(B177,RECETAS!$A$2:$A$1700,0) &lt;&gt; "", TRUE,""),FALSE)</f>
        <v>0</v>
      </c>
      <c r="B177" t="e">
        <f>TRANSPOSE(T2_[Recuento de T2 0])</f>
        <v>#VALUE!</v>
      </c>
    </row>
    <row r="178" spans="1:2" x14ac:dyDescent="0.25">
      <c r="A178" t="b">
        <f>IFERROR(IF(MATCH(B178,RECETAS!$A$2:$A$1700,0) &lt;&gt; "", TRUE,""),FALSE)</f>
        <v>0</v>
      </c>
      <c r="B178" t="e">
        <f>TRANSPOSE(T2_[Recuento de T2 0])</f>
        <v>#VALUE!</v>
      </c>
    </row>
    <row r="179" spans="1:2" x14ac:dyDescent="0.25">
      <c r="A179" t="b">
        <f>IFERROR(IF(MATCH(B179,RECETAS!$A$2:$A$1700,0) &lt;&gt; "", TRUE,""),FALSE)</f>
        <v>0</v>
      </c>
      <c r="B179" t="e">
        <f>TRANSPOSE(T2_[Recuento de T2 0])</f>
        <v>#VALUE!</v>
      </c>
    </row>
    <row r="180" spans="1:2" x14ac:dyDescent="0.25">
      <c r="A180" t="b">
        <f>IFERROR(IF(MATCH(B180,RECETAS!$A$2:$A$1700,0) &lt;&gt; "", TRUE,""),FALSE)</f>
        <v>0</v>
      </c>
      <c r="B180" t="e">
        <f>TRANSPOSE(T2_[Recuento de T2 0])</f>
        <v>#VALUE!</v>
      </c>
    </row>
    <row r="181" spans="1:2" x14ac:dyDescent="0.25">
      <c r="A181" t="b">
        <f>IFERROR(IF(MATCH(B181,RECETAS!$A$2:$A$1700,0) &lt;&gt; "", TRUE,""),FALSE)</f>
        <v>0</v>
      </c>
      <c r="B181" t="e">
        <f>TRANSPOSE(T2_[Recuento de T2 0])</f>
        <v>#VALUE!</v>
      </c>
    </row>
    <row r="182" spans="1:2" x14ac:dyDescent="0.25">
      <c r="A182" t="b">
        <f>IFERROR(IF(MATCH(B182,RECETAS!$A$2:$A$1700,0) &lt;&gt; "", TRUE,""),FALSE)</f>
        <v>0</v>
      </c>
      <c r="B182" t="e">
        <f>TRANSPOSE(T2_[Recuento de T2 0])</f>
        <v>#VALUE!</v>
      </c>
    </row>
    <row r="183" spans="1:2" x14ac:dyDescent="0.25">
      <c r="A183" t="b">
        <f>IFERROR(IF(MATCH(B183,RECETAS!$A$2:$A$1700,0) &lt;&gt; "", TRUE,""),FALSE)</f>
        <v>0</v>
      </c>
      <c r="B183" t="e">
        <f>TRANSPOSE(T2_[Recuento de T2 0])</f>
        <v>#VALUE!</v>
      </c>
    </row>
    <row r="184" spans="1:2" x14ac:dyDescent="0.25">
      <c r="A184" t="b">
        <f>IFERROR(IF(MATCH(B184,RECETAS!$A$2:$A$1700,0) &lt;&gt; "", TRUE,""),FALSE)</f>
        <v>0</v>
      </c>
      <c r="B184" t="e">
        <f>TRANSPOSE(T2_[Recuento de T2 0])</f>
        <v>#VALUE!</v>
      </c>
    </row>
    <row r="185" spans="1:2" x14ac:dyDescent="0.25">
      <c r="A185" t="b">
        <f>IFERROR(IF(MATCH(B185,RECETAS!$A$2:$A$1700,0) &lt;&gt; "", TRUE,""),FALSE)</f>
        <v>0</v>
      </c>
      <c r="B185" t="e">
        <f>TRANSPOSE(T2_[Recuento de T2 0])</f>
        <v>#VALUE!</v>
      </c>
    </row>
    <row r="186" spans="1:2" x14ac:dyDescent="0.25">
      <c r="A186" t="b">
        <f>IFERROR(IF(MATCH(B186,RECETAS!$A$2:$A$1700,0) &lt;&gt; "", TRUE,""),FALSE)</f>
        <v>0</v>
      </c>
      <c r="B186" t="e">
        <f>TRANSPOSE(T2_[Recuento de T2 0])</f>
        <v>#VALUE!</v>
      </c>
    </row>
    <row r="187" spans="1:2" x14ac:dyDescent="0.25">
      <c r="A187" t="b">
        <f>IFERROR(IF(MATCH(B187,RECETAS!$A$2:$A$1700,0) &lt;&gt; "", TRUE,""),FALSE)</f>
        <v>0</v>
      </c>
      <c r="B187" t="e">
        <f>TRANSPOSE(T2_[Recuento de T2 0])</f>
        <v>#VALUE!</v>
      </c>
    </row>
    <row r="188" spans="1:2" x14ac:dyDescent="0.25">
      <c r="A188" t="b">
        <f>IFERROR(IF(MATCH(B188,RECETAS!$A$2:$A$1700,0) &lt;&gt; "", TRUE,""),FALSE)</f>
        <v>0</v>
      </c>
      <c r="B188" t="e">
        <f>TRANSPOSE(T2_[Recuento de T2 0])</f>
        <v>#VALUE!</v>
      </c>
    </row>
    <row r="189" spans="1:2" x14ac:dyDescent="0.25">
      <c r="A189" t="b">
        <f>IFERROR(IF(MATCH(B189,RECETAS!$A$2:$A$1700,0) &lt;&gt; "", TRUE,""),FALSE)</f>
        <v>0</v>
      </c>
      <c r="B189" t="e">
        <f>TRANSPOSE(T2_[Recuento de T2 0])</f>
        <v>#VALUE!</v>
      </c>
    </row>
    <row r="190" spans="1:2" x14ac:dyDescent="0.25">
      <c r="A190" t="b">
        <f>IFERROR(IF(MATCH(B190,RECETAS!$A$2:$A$1700,0) &lt;&gt; "", TRUE,""),FALSE)</f>
        <v>0</v>
      </c>
      <c r="B190" t="e">
        <f>TRANSPOSE(T2_[Recuento de T2 0])</f>
        <v>#VALUE!</v>
      </c>
    </row>
    <row r="191" spans="1:2" x14ac:dyDescent="0.25">
      <c r="A191" t="b">
        <f>IFERROR(IF(MATCH(B191,RECETAS!$A$2:$A$1700,0) &lt;&gt; "", TRUE,""),FALSE)</f>
        <v>0</v>
      </c>
      <c r="B191" t="e">
        <f>TRANSPOSE(T2_[Recuento de T2 0])</f>
        <v>#VALUE!</v>
      </c>
    </row>
    <row r="192" spans="1:2" x14ac:dyDescent="0.25">
      <c r="A192" t="b">
        <f>IFERROR(IF(MATCH(B192,RECETAS!$A$2:$A$1700,0) &lt;&gt; "", TRUE,""),FALSE)</f>
        <v>0</v>
      </c>
      <c r="B192" t="e">
        <f>TRANSPOSE(T2_[Recuento de T2 0])</f>
        <v>#VALUE!</v>
      </c>
    </row>
    <row r="193" spans="1:2" x14ac:dyDescent="0.25">
      <c r="A193" t="b">
        <f>IFERROR(IF(MATCH(B193,RECETAS!$A$2:$A$1700,0) &lt;&gt; "", TRUE,""),FALSE)</f>
        <v>0</v>
      </c>
      <c r="B193" t="e">
        <f>TRANSPOSE(T2_[Recuento de T2 0])</f>
        <v>#VALUE!</v>
      </c>
    </row>
    <row r="194" spans="1:2" x14ac:dyDescent="0.25">
      <c r="A194" t="b">
        <f>IFERROR(IF(MATCH(B194,RECETAS!$A$2:$A$1700,0) &lt;&gt; "", TRUE,""),FALSE)</f>
        <v>0</v>
      </c>
      <c r="B194" t="e">
        <f>TRANSPOSE(T2_[Recuento de T2 0])</f>
        <v>#VALUE!</v>
      </c>
    </row>
    <row r="195" spans="1:2" x14ac:dyDescent="0.25">
      <c r="A195" t="b">
        <f>IFERROR(IF(MATCH(B195,RECETAS!$A$2:$A$1700,0) &lt;&gt; "", TRUE,""),FALSE)</f>
        <v>0</v>
      </c>
      <c r="B195" t="e">
        <f>TRANSPOSE(T2_[Recuento de T2 0])</f>
        <v>#VALUE!</v>
      </c>
    </row>
    <row r="196" spans="1:2" x14ac:dyDescent="0.25">
      <c r="A196" t="b">
        <f>IFERROR(IF(MATCH(B196,RECETAS!$A$2:$A$1700,0) &lt;&gt; "", TRUE,""),FALSE)</f>
        <v>0</v>
      </c>
      <c r="B196" t="e">
        <f>TRANSPOSE(T2_[Recuento de T2 0])</f>
        <v>#VALUE!</v>
      </c>
    </row>
    <row r="197" spans="1:2" x14ac:dyDescent="0.25">
      <c r="A197" t="b">
        <f>IFERROR(IF(MATCH(B197,RECETAS!$A$2:$A$1700,0) &lt;&gt; "", TRUE,""),FALSE)</f>
        <v>0</v>
      </c>
      <c r="B197" t="e">
        <f>TRANSPOSE(T2_[Recuento de T2 0])</f>
        <v>#VALUE!</v>
      </c>
    </row>
    <row r="198" spans="1:2" x14ac:dyDescent="0.25">
      <c r="A198" t="b">
        <f>IFERROR(IF(MATCH(B198,RECETAS!$A$2:$A$1700,0) &lt;&gt; "", TRUE,""),FALSE)</f>
        <v>0</v>
      </c>
      <c r="B198" t="e">
        <f>TRANSPOSE(T2_[Recuento de T2 0])</f>
        <v>#VALUE!</v>
      </c>
    </row>
    <row r="199" spans="1:2" x14ac:dyDescent="0.25">
      <c r="A199" t="b">
        <f>IFERROR(IF(MATCH(B199,RECETAS!$A$2:$A$1700,0) &lt;&gt; "", TRUE,""),FALSE)</f>
        <v>0</v>
      </c>
      <c r="B199" t="e">
        <f>TRANSPOSE(T2_[Recuento de T2 0])</f>
        <v>#VALUE!</v>
      </c>
    </row>
    <row r="200" spans="1:2" x14ac:dyDescent="0.25">
      <c r="A200" t="b">
        <f>IFERROR(IF(MATCH(B200,RECETAS!$A$2:$A$1700,0) &lt;&gt; "", TRUE,""),FALSE)</f>
        <v>0</v>
      </c>
      <c r="B200" t="e">
        <f>TRANSPOSE(T2_[Recuento de T2 0])</f>
        <v>#VALUE!</v>
      </c>
    </row>
    <row r="201" spans="1:2" x14ac:dyDescent="0.25">
      <c r="A201" t="b">
        <f>IFERROR(IF(MATCH(B201,RECETAS!$A$2:$A$1700,0) &lt;&gt; "", TRUE,""),FALSE)</f>
        <v>0</v>
      </c>
      <c r="B201" t="e">
        <f>TRANSPOSE(T2_[Recuento de T2 0])</f>
        <v>#VALUE!</v>
      </c>
    </row>
    <row r="202" spans="1:2" x14ac:dyDescent="0.25">
      <c r="A202" t="b">
        <f>IFERROR(IF(MATCH(B202,RECETAS!$A$2:$A$1700,0) &lt;&gt; "", TRUE,""),FALSE)</f>
        <v>0</v>
      </c>
      <c r="B202" t="e">
        <f>TRANSPOSE(T2_[Recuento de T2 0])</f>
        <v>#VALUE!</v>
      </c>
    </row>
    <row r="203" spans="1:2" x14ac:dyDescent="0.25">
      <c r="A203" t="b">
        <f>IFERROR(IF(MATCH(B203,RECETAS!$A$2:$A$1700,0) &lt;&gt; "", TRUE,""),FALSE)</f>
        <v>0</v>
      </c>
      <c r="B203" t="e">
        <f>TRANSPOSE(T2_[Recuento de T2 0])</f>
        <v>#VALUE!</v>
      </c>
    </row>
    <row r="204" spans="1:2" x14ac:dyDescent="0.25">
      <c r="A204" t="b">
        <f>IFERROR(IF(MATCH(B204,RECETAS!$A$2:$A$1700,0) &lt;&gt; "", TRUE,""),FALSE)</f>
        <v>0</v>
      </c>
      <c r="B204" t="e">
        <f>TRANSPOSE(T2_[Recuento de T2 0])</f>
        <v>#VALUE!</v>
      </c>
    </row>
    <row r="205" spans="1:2" x14ac:dyDescent="0.25">
      <c r="A205" t="b">
        <f>IFERROR(IF(MATCH(B205,RECETAS!$A$2:$A$1700,0) &lt;&gt; "", TRUE,""),FALSE)</f>
        <v>0</v>
      </c>
      <c r="B205" t="e">
        <f>TRANSPOSE(T2_[Recuento de T2 0])</f>
        <v>#VALUE!</v>
      </c>
    </row>
    <row r="206" spans="1:2" x14ac:dyDescent="0.25">
      <c r="A206" t="b">
        <f>IFERROR(IF(MATCH(B206,RECETAS!$A$2:$A$1700,0) &lt;&gt; "", TRUE,""),FALSE)</f>
        <v>0</v>
      </c>
      <c r="B206" t="e">
        <f>TRANSPOSE(T2_[Recuento de T2 0])</f>
        <v>#VALUE!</v>
      </c>
    </row>
    <row r="207" spans="1:2" x14ac:dyDescent="0.25">
      <c r="A207" t="b">
        <f>IFERROR(IF(MATCH(B207,RECETAS!$A$2:$A$1700,0) &lt;&gt; "", TRUE,""),FALSE)</f>
        <v>0</v>
      </c>
      <c r="B207" t="e">
        <f>TRANSPOSE(T2_[Recuento de T2 0])</f>
        <v>#VALUE!</v>
      </c>
    </row>
    <row r="208" spans="1:2" x14ac:dyDescent="0.25">
      <c r="A208" t="b">
        <f>IFERROR(IF(MATCH(B208,RECETAS!$A$2:$A$1700,0) &lt;&gt; "", TRUE,""),FALSE)</f>
        <v>0</v>
      </c>
      <c r="B208" t="e">
        <f>TRANSPOSE(T2_[Recuento de T2 0])</f>
        <v>#VALUE!</v>
      </c>
    </row>
    <row r="209" spans="1:2" x14ac:dyDescent="0.25">
      <c r="A209" t="b">
        <f>IFERROR(IF(MATCH(B209,RECETAS!$A$2:$A$1700,0) &lt;&gt; "", TRUE,""),FALSE)</f>
        <v>0</v>
      </c>
      <c r="B209" t="e">
        <f>TRANSPOSE(T2_[Recuento de T2 0])</f>
        <v>#VALUE!</v>
      </c>
    </row>
    <row r="210" spans="1:2" x14ac:dyDescent="0.25">
      <c r="A210" t="b">
        <f>IFERROR(IF(MATCH(B210,RECETAS!$A$2:$A$1700,0) &lt;&gt; "", TRUE,""),FALSE)</f>
        <v>0</v>
      </c>
      <c r="B210" t="e">
        <f>TRANSPOSE(T2_[Recuento de T2 0])</f>
        <v>#VALUE!</v>
      </c>
    </row>
    <row r="211" spans="1:2" x14ac:dyDescent="0.25">
      <c r="A211" t="b">
        <f>IFERROR(IF(MATCH(B211,RECETAS!$A$2:$A$1700,0) &lt;&gt; "", TRUE,""),FALSE)</f>
        <v>0</v>
      </c>
      <c r="B211" t="e">
        <f>TRANSPOSE(T2_[Recuento de T2 0])</f>
        <v>#VALUE!</v>
      </c>
    </row>
    <row r="212" spans="1:2" x14ac:dyDescent="0.25">
      <c r="A212" t="b">
        <f>IFERROR(IF(MATCH(B212,RECETAS!$A$2:$A$1700,0) &lt;&gt; "", TRUE,""),FALSE)</f>
        <v>0</v>
      </c>
      <c r="B212" t="e">
        <f>TRANSPOSE(T2_[Recuento de T2 0])</f>
        <v>#VALUE!</v>
      </c>
    </row>
    <row r="213" spans="1:2" x14ac:dyDescent="0.25">
      <c r="A213" t="b">
        <f>IFERROR(IF(MATCH(B213,RECETAS!$A$2:$A$1700,0) &lt;&gt; "", TRUE,""),FALSE)</f>
        <v>0</v>
      </c>
      <c r="B213" t="e">
        <f>TRANSPOSE(T2_[Recuento de T2 0])</f>
        <v>#VALUE!</v>
      </c>
    </row>
    <row r="214" spans="1:2" x14ac:dyDescent="0.25">
      <c r="A214" t="b">
        <f>IFERROR(IF(MATCH(B214,RECETAS!$A$2:$A$1700,0) &lt;&gt; "", TRUE,""),FALSE)</f>
        <v>0</v>
      </c>
      <c r="B214" t="e">
        <f>TRANSPOSE(T2_[Recuento de T2 0])</f>
        <v>#VALUE!</v>
      </c>
    </row>
    <row r="215" spans="1:2" x14ac:dyDescent="0.25">
      <c r="A215" t="b">
        <f>IFERROR(IF(MATCH(B215,RECETAS!$A$2:$A$1700,0) &lt;&gt; "", TRUE,""),FALSE)</f>
        <v>0</v>
      </c>
      <c r="B215" t="e">
        <f>TRANSPOSE(T2_[Recuento de T2 0])</f>
        <v>#VALUE!</v>
      </c>
    </row>
    <row r="216" spans="1:2" x14ac:dyDescent="0.25">
      <c r="A216" t="b">
        <f>IFERROR(IF(MATCH(B216,RECETAS!$A$2:$A$1700,0) &lt;&gt; "", TRUE,""),FALSE)</f>
        <v>0</v>
      </c>
      <c r="B216" t="e">
        <f>TRANSPOSE(T2_[Recuento de T2 0])</f>
        <v>#VALUE!</v>
      </c>
    </row>
    <row r="217" spans="1:2" x14ac:dyDescent="0.25">
      <c r="A217" t="b">
        <f>IFERROR(IF(MATCH(B217,RECETAS!$A$2:$A$1700,0) &lt;&gt; "", TRUE,""),FALSE)</f>
        <v>0</v>
      </c>
      <c r="B217" t="e">
        <f>TRANSPOSE(T2_[Recuento de T2 0])</f>
        <v>#VALUE!</v>
      </c>
    </row>
    <row r="218" spans="1:2" x14ac:dyDescent="0.25">
      <c r="A218" t="b">
        <f>IFERROR(IF(MATCH(B218,RECETAS!$A$2:$A$1700,0) &lt;&gt; "", TRUE,""),FALSE)</f>
        <v>0</v>
      </c>
      <c r="B218" t="e">
        <f>TRANSPOSE(T2_[Recuento de T2 0])</f>
        <v>#VALUE!</v>
      </c>
    </row>
    <row r="219" spans="1:2" x14ac:dyDescent="0.25">
      <c r="A219" t="b">
        <f>IFERROR(IF(MATCH(B219,RECETAS!$A$2:$A$1700,0) &lt;&gt; "", TRUE,""),FALSE)</f>
        <v>0</v>
      </c>
      <c r="B219" t="e">
        <f>TRANSPOSE(T2_[Recuento de T2 0])</f>
        <v>#VALUE!</v>
      </c>
    </row>
    <row r="220" spans="1:2" x14ac:dyDescent="0.25">
      <c r="A220" t="b">
        <f>IFERROR(IF(MATCH(B220,RECETAS!$A$2:$A$1700,0) &lt;&gt; "", TRUE,""),FALSE)</f>
        <v>0</v>
      </c>
      <c r="B220" t="e">
        <f>TRANSPOSE(T2_[Recuento de T2 0])</f>
        <v>#VALUE!</v>
      </c>
    </row>
    <row r="221" spans="1:2" x14ac:dyDescent="0.25">
      <c r="A221" t="b">
        <f>IFERROR(IF(MATCH(B221,RECETAS!$A$2:$A$1700,0) &lt;&gt; "", TRUE,""),FALSE)</f>
        <v>0</v>
      </c>
      <c r="B221" t="e">
        <f>TRANSPOSE(T2_[Recuento de T2 0])</f>
        <v>#VALUE!</v>
      </c>
    </row>
    <row r="222" spans="1:2" x14ac:dyDescent="0.25">
      <c r="A222" t="b">
        <f>IFERROR(IF(MATCH(B222,RECETAS!$A$2:$A$1700,0) &lt;&gt; "", TRUE,""),FALSE)</f>
        <v>0</v>
      </c>
      <c r="B222" t="e">
        <f>TRANSPOSE(T2_[Recuento de T2 0])</f>
        <v>#VALUE!</v>
      </c>
    </row>
    <row r="223" spans="1:2" x14ac:dyDescent="0.25">
      <c r="A223" t="b">
        <f>IFERROR(IF(MATCH(B223,RECETAS!$A$2:$A$1700,0) &lt;&gt; "", TRUE,""),FALSE)</f>
        <v>0</v>
      </c>
      <c r="B223" t="e">
        <f>TRANSPOSE(T2_[Recuento de T2 0])</f>
        <v>#VALUE!</v>
      </c>
    </row>
    <row r="224" spans="1:2" x14ac:dyDescent="0.25">
      <c r="A224" t="b">
        <f>IFERROR(IF(MATCH(B224,RECETAS!$A$2:$A$1700,0) &lt;&gt; "", TRUE,""),FALSE)</f>
        <v>0</v>
      </c>
      <c r="B224" t="e">
        <f>TRANSPOSE(T2_[Recuento de T2 0])</f>
        <v>#VALUE!</v>
      </c>
    </row>
    <row r="225" spans="1:2" x14ac:dyDescent="0.25">
      <c r="A225" t="b">
        <f>IFERROR(IF(MATCH(B225,RECETAS!$A$2:$A$1700,0) &lt;&gt; "", TRUE,""),FALSE)</f>
        <v>0</v>
      </c>
      <c r="B225" t="e">
        <f>TRANSPOSE(T2_[Recuento de T2 0])</f>
        <v>#VALUE!</v>
      </c>
    </row>
    <row r="226" spans="1:2" x14ac:dyDescent="0.25">
      <c r="A226" t="b">
        <f>IFERROR(IF(MATCH(B226,RECETAS!$A$2:$A$1700,0) &lt;&gt; "", TRUE,""),FALSE)</f>
        <v>0</v>
      </c>
      <c r="B226" t="e">
        <f>TRANSPOSE(T2_[Recuento de T2 0])</f>
        <v>#VALUE!</v>
      </c>
    </row>
    <row r="227" spans="1:2" x14ac:dyDescent="0.25">
      <c r="A227" t="b">
        <f>IFERROR(IF(MATCH(B227,RECETAS!$A$2:$A$1700,0) &lt;&gt; "", TRUE,""),FALSE)</f>
        <v>0</v>
      </c>
      <c r="B227" t="e">
        <f>TRANSPOSE(T2_[Recuento de T2 0])</f>
        <v>#VALUE!</v>
      </c>
    </row>
    <row r="228" spans="1:2" x14ac:dyDescent="0.25">
      <c r="A228" t="b">
        <f>IFERROR(IF(MATCH(B228,RECETAS!$A$2:$A$1700,0) &lt;&gt; "", TRUE,""),FALSE)</f>
        <v>0</v>
      </c>
      <c r="B228" t="e">
        <f>TRANSPOSE(T2_[Recuento de T2 0])</f>
        <v>#VALUE!</v>
      </c>
    </row>
    <row r="229" spans="1:2" x14ac:dyDescent="0.25">
      <c r="A229" t="b">
        <f>IFERROR(IF(MATCH(B229,RECETAS!$A$2:$A$1700,0) &lt;&gt; "", TRUE,""),FALSE)</f>
        <v>0</v>
      </c>
      <c r="B229" t="e">
        <f>TRANSPOSE(T2_[Recuento de T2 0])</f>
        <v>#VALUE!</v>
      </c>
    </row>
    <row r="230" spans="1:2" x14ac:dyDescent="0.25">
      <c r="A230" t="b">
        <f>IFERROR(IF(MATCH(B230,RECETAS!$A$2:$A$1700,0) &lt;&gt; "", TRUE,""),FALSE)</f>
        <v>0</v>
      </c>
      <c r="B230" t="e">
        <f>TRANSPOSE(T2_[Recuento de T2 0])</f>
        <v>#VALUE!</v>
      </c>
    </row>
    <row r="231" spans="1:2" x14ac:dyDescent="0.25">
      <c r="A231" t="b">
        <f>IFERROR(IF(MATCH(B231,RECETAS!$A$2:$A$1700,0) &lt;&gt; "", TRUE,""),FALSE)</f>
        <v>0</v>
      </c>
      <c r="B231" t="e">
        <f>TRANSPOSE(T2_[Recuento de T2 0])</f>
        <v>#VALUE!</v>
      </c>
    </row>
    <row r="232" spans="1:2" x14ac:dyDescent="0.25">
      <c r="A232" t="b">
        <f>IFERROR(IF(MATCH(B232,RECETAS!$A$2:$A$1700,0) &lt;&gt; "", TRUE,""),FALSE)</f>
        <v>0</v>
      </c>
      <c r="B232" t="e">
        <f>TRANSPOSE(T2_[Recuento de T2 0])</f>
        <v>#VALUE!</v>
      </c>
    </row>
    <row r="233" spans="1:2" x14ac:dyDescent="0.25">
      <c r="A233" t="b">
        <f>IFERROR(IF(MATCH(B233,RECETAS!$A$2:$A$1700,0) &lt;&gt; "", TRUE,""),FALSE)</f>
        <v>0</v>
      </c>
      <c r="B233" t="e">
        <f>TRANSPOSE(T2_[Recuento de T2 0])</f>
        <v>#VALUE!</v>
      </c>
    </row>
    <row r="234" spans="1:2" x14ac:dyDescent="0.25">
      <c r="A234" t="b">
        <f>IFERROR(IF(MATCH(B234,RECETAS!$A$2:$A$1700,0) &lt;&gt; "", TRUE,""),FALSE)</f>
        <v>0</v>
      </c>
      <c r="B234" t="e">
        <f>TRANSPOSE(T2_[Recuento de T2 0])</f>
        <v>#VALUE!</v>
      </c>
    </row>
    <row r="235" spans="1:2" x14ac:dyDescent="0.25">
      <c r="A235" t="b">
        <f>IFERROR(IF(MATCH(B235,RECETAS!$A$2:$A$1700,0) &lt;&gt; "", TRUE,""),FALSE)</f>
        <v>0</v>
      </c>
      <c r="B235" t="e">
        <f>TRANSPOSE(T2_[Recuento de T2 0])</f>
        <v>#VALUE!</v>
      </c>
    </row>
    <row r="236" spans="1:2" x14ac:dyDescent="0.25">
      <c r="A236" t="b">
        <f>IFERROR(IF(MATCH(B236,RECETAS!$A$2:$A$1700,0) &lt;&gt; "", TRUE,""),FALSE)</f>
        <v>0</v>
      </c>
      <c r="B236" t="e">
        <f>TRANSPOSE(T2_[Recuento de T2 0])</f>
        <v>#VALUE!</v>
      </c>
    </row>
    <row r="237" spans="1:2" x14ac:dyDescent="0.25">
      <c r="A237" t="b">
        <f>IFERROR(IF(MATCH(B237,RECETAS!$A$2:$A$1700,0) &lt;&gt; "", TRUE,""),FALSE)</f>
        <v>0</v>
      </c>
      <c r="B237" t="e">
        <f>TRANSPOSE(T2_[Recuento de T2 0])</f>
        <v>#VALUE!</v>
      </c>
    </row>
    <row r="238" spans="1:2" x14ac:dyDescent="0.25">
      <c r="A238" t="b">
        <f>IFERROR(IF(MATCH(B238,RECETAS!$A$2:$A$1700,0) &lt;&gt; "", TRUE,""),FALSE)</f>
        <v>0</v>
      </c>
      <c r="B238" t="e">
        <f>TRANSPOSE(T2_[Recuento de T2 0])</f>
        <v>#VALUE!</v>
      </c>
    </row>
    <row r="239" spans="1:2" x14ac:dyDescent="0.25">
      <c r="A239" t="b">
        <f>IFERROR(IF(MATCH(B239,RECETAS!$A$2:$A$1700,0) &lt;&gt; "", TRUE,""),FALSE)</f>
        <v>0</v>
      </c>
      <c r="B239" t="e">
        <f>TRANSPOSE(T2_[Recuento de T2 0])</f>
        <v>#VALUE!</v>
      </c>
    </row>
    <row r="240" spans="1:2" x14ac:dyDescent="0.25">
      <c r="A240" t="b">
        <f>IFERROR(IF(MATCH(B240,RECETAS!$A$2:$A$1700,0) &lt;&gt; "", TRUE,""),FALSE)</f>
        <v>0</v>
      </c>
      <c r="B240" t="e">
        <f>TRANSPOSE(T2_[Recuento de T2 0])</f>
        <v>#VALUE!</v>
      </c>
    </row>
    <row r="241" spans="1:2" x14ac:dyDescent="0.25">
      <c r="A241" t="b">
        <f>IFERROR(IF(MATCH(B241,RECETAS!$A$2:$A$1700,0) &lt;&gt; "", TRUE,""),FALSE)</f>
        <v>0</v>
      </c>
      <c r="B241" t="e">
        <f>TRANSPOSE(T2_[Recuento de T2 0])</f>
        <v>#VALUE!</v>
      </c>
    </row>
    <row r="242" spans="1:2" x14ac:dyDescent="0.25">
      <c r="A242" t="b">
        <f>IFERROR(IF(MATCH(B242,RECETAS!$A$2:$A$1700,0) &lt;&gt; "", TRUE,""),FALSE)</f>
        <v>0</v>
      </c>
      <c r="B242" t="e">
        <f>TRANSPOSE(T2_[Recuento de T2 0])</f>
        <v>#VALUE!</v>
      </c>
    </row>
    <row r="243" spans="1:2" x14ac:dyDescent="0.25">
      <c r="A243" t="b">
        <f>IFERROR(IF(MATCH(B243,RECETAS!$A$2:$A$1700,0) &lt;&gt; "", TRUE,""),FALSE)</f>
        <v>0</v>
      </c>
      <c r="B243" t="e">
        <f>TRANSPOSE(T2_[Recuento de T2 0])</f>
        <v>#VALUE!</v>
      </c>
    </row>
    <row r="244" spans="1:2" x14ac:dyDescent="0.25">
      <c r="A244" t="b">
        <f>IFERROR(IF(MATCH(B244,RECETAS!$A$2:$A$1700,0) &lt;&gt; "", TRUE,""),FALSE)</f>
        <v>0</v>
      </c>
      <c r="B244" t="e">
        <f>TRANSPOSE(T2_[Recuento de T2 0])</f>
        <v>#VALUE!</v>
      </c>
    </row>
    <row r="245" spans="1:2" x14ac:dyDescent="0.25">
      <c r="A245" t="b">
        <f>IFERROR(IF(MATCH(B245,RECETAS!$A$2:$A$1700,0) &lt;&gt; "", TRUE,""),FALSE)</f>
        <v>0</v>
      </c>
      <c r="B245" t="e">
        <f>TRANSPOSE(T2_[Recuento de T2 0])</f>
        <v>#VALUE!</v>
      </c>
    </row>
    <row r="246" spans="1:2" x14ac:dyDescent="0.25">
      <c r="A246" t="b">
        <f>IFERROR(IF(MATCH(B246,RECETAS!$A$2:$A$1700,0) &lt;&gt; "", TRUE,""),FALSE)</f>
        <v>0</v>
      </c>
      <c r="B246" t="e">
        <f>TRANSPOSE(T2_[Recuento de T2 0])</f>
        <v>#VALUE!</v>
      </c>
    </row>
    <row r="247" spans="1:2" x14ac:dyDescent="0.25">
      <c r="A247" t="b">
        <f>IFERROR(IF(MATCH(B247,RECETAS!$A$2:$A$1700,0) &lt;&gt; "", TRUE,""),FALSE)</f>
        <v>0</v>
      </c>
      <c r="B247" t="e">
        <f>TRANSPOSE(T2_[Recuento de T2 0])</f>
        <v>#VALUE!</v>
      </c>
    </row>
    <row r="248" spans="1:2" x14ac:dyDescent="0.25">
      <c r="A248" t="b">
        <f>IFERROR(IF(MATCH(B248,RECETAS!$A$2:$A$1700,0) &lt;&gt; "", TRUE,""),FALSE)</f>
        <v>0</v>
      </c>
      <c r="B248" t="e">
        <f>TRANSPOSE(T2_[Recuento de T2 0])</f>
        <v>#VALUE!</v>
      </c>
    </row>
    <row r="249" spans="1:2" x14ac:dyDescent="0.25">
      <c r="A249" t="b">
        <f>IFERROR(IF(MATCH(B249,RECETAS!$A$2:$A$1700,0) &lt;&gt; "", TRUE,""),FALSE)</f>
        <v>0</v>
      </c>
      <c r="B249" t="e">
        <f>TRANSPOSE(T2_[Recuento de T2 0])</f>
        <v>#VALUE!</v>
      </c>
    </row>
    <row r="250" spans="1:2" x14ac:dyDescent="0.25">
      <c r="A250" t="b">
        <f>IFERROR(IF(MATCH(B250,RECETAS!$A$2:$A$1700,0) &lt;&gt; "", TRUE,""),FALSE)</f>
        <v>0</v>
      </c>
      <c r="B250" t="e">
        <f>TRANSPOSE(T2_[Recuento de T2 0])</f>
        <v>#VALUE!</v>
      </c>
    </row>
    <row r="251" spans="1:2" x14ac:dyDescent="0.25">
      <c r="A251" t="b">
        <f>IFERROR(IF(MATCH(B251,RECETAS!$A$2:$A$1700,0) &lt;&gt; "", TRUE,""),FALSE)</f>
        <v>0</v>
      </c>
      <c r="B251" t="e">
        <f>TRANSPOSE(T2_[Recuento de T2 0])</f>
        <v>#VALUE!</v>
      </c>
    </row>
    <row r="252" spans="1:2" x14ac:dyDescent="0.25">
      <c r="A252" t="b">
        <f>IFERROR(IF(MATCH(B252,RECETAS!$A$2:$A$1700,0) &lt;&gt; "", TRUE,""),FALSE)</f>
        <v>0</v>
      </c>
      <c r="B252" t="e">
        <f>TRANSPOSE(T2_[Recuento de T2 0])</f>
        <v>#VALUE!</v>
      </c>
    </row>
    <row r="253" spans="1:2" x14ac:dyDescent="0.25">
      <c r="A253" t="b">
        <f>IFERROR(IF(MATCH(B253,RECETAS!$A$2:$A$1700,0) &lt;&gt; "", TRUE,""),FALSE)</f>
        <v>0</v>
      </c>
      <c r="B253" t="e">
        <f>TRANSPOSE(T2_[Recuento de T2 0])</f>
        <v>#VALUE!</v>
      </c>
    </row>
    <row r="254" spans="1:2" x14ac:dyDescent="0.25">
      <c r="A254" t="b">
        <f>IFERROR(IF(MATCH(B254,RECETAS!$A$2:$A$1700,0) &lt;&gt; "", TRUE,""),FALSE)</f>
        <v>0</v>
      </c>
      <c r="B254" t="e">
        <f>TRANSPOSE(T2_[Recuento de T2 0])</f>
        <v>#VALUE!</v>
      </c>
    </row>
    <row r="255" spans="1:2" x14ac:dyDescent="0.25">
      <c r="A255" t="b">
        <f>IFERROR(IF(MATCH(B255,RECETAS!$A$2:$A$1700,0) &lt;&gt; "", TRUE,""),FALSE)</f>
        <v>0</v>
      </c>
      <c r="B255" t="e">
        <f>TRANSPOSE(T2_[Recuento de T2 0])</f>
        <v>#VALUE!</v>
      </c>
    </row>
    <row r="256" spans="1:2" x14ac:dyDescent="0.25">
      <c r="A256" t="b">
        <f>IFERROR(IF(MATCH(B256,RECETAS!$A$2:$A$1700,0) &lt;&gt; "", TRUE,""),FALSE)</f>
        <v>0</v>
      </c>
      <c r="B256" t="e">
        <f>TRANSPOSE(T2_[Recuento de T2 0])</f>
        <v>#VALUE!</v>
      </c>
    </row>
    <row r="257" spans="1:2" x14ac:dyDescent="0.25">
      <c r="A257" t="b">
        <f>IFERROR(IF(MATCH(B257,RECETAS!$A$2:$A$1700,0) &lt;&gt; "", TRUE,""),FALSE)</f>
        <v>0</v>
      </c>
      <c r="B257" t="e">
        <f>TRANSPOSE(T2_[Recuento de T2 0])</f>
        <v>#VALUE!</v>
      </c>
    </row>
    <row r="258" spans="1:2" x14ac:dyDescent="0.25">
      <c r="A258" t="b">
        <f>IFERROR(IF(MATCH(B258,RECETAS!$A$2:$A$1700,0) &lt;&gt; "", TRUE,""),FALSE)</f>
        <v>0</v>
      </c>
      <c r="B258" t="e">
        <f>TRANSPOSE(T2_[Recuento de T2 0])</f>
        <v>#VALUE!</v>
      </c>
    </row>
    <row r="259" spans="1:2" x14ac:dyDescent="0.25">
      <c r="A259" t="b">
        <f>IFERROR(IF(MATCH(B259,RECETAS!$A$2:$A$1700,0) &lt;&gt; "", TRUE,""),FALSE)</f>
        <v>0</v>
      </c>
      <c r="B259" t="e">
        <f>TRANSPOSE(T2_[Recuento de T2 0])</f>
        <v>#VALUE!</v>
      </c>
    </row>
    <row r="260" spans="1:2" x14ac:dyDescent="0.25">
      <c r="A260" t="b">
        <f>IFERROR(IF(MATCH(B260,RECETAS!$A$2:$A$1700,0) &lt;&gt; "", TRUE,""),FALSE)</f>
        <v>0</v>
      </c>
      <c r="B260" t="e">
        <f>TRANSPOSE(T2_[Recuento de T2 0])</f>
        <v>#VALUE!</v>
      </c>
    </row>
    <row r="261" spans="1:2" x14ac:dyDescent="0.25">
      <c r="A261" t="b">
        <f>IFERROR(IF(MATCH(B261,RECETAS!$A$2:$A$1700,0) &lt;&gt; "", TRUE,""),FALSE)</f>
        <v>0</v>
      </c>
      <c r="B261" t="e">
        <f>TRANSPOSE(T2_[Recuento de T2 0])</f>
        <v>#VALUE!</v>
      </c>
    </row>
    <row r="262" spans="1:2" x14ac:dyDescent="0.25">
      <c r="A262" t="b">
        <f>IFERROR(IF(MATCH(B262,RECETAS!$A$2:$A$1700,0) &lt;&gt; "", TRUE,""),FALSE)</f>
        <v>0</v>
      </c>
      <c r="B262" t="e">
        <f>TRANSPOSE(T2_[Recuento de T2 0])</f>
        <v>#VALUE!</v>
      </c>
    </row>
    <row r="263" spans="1:2" x14ac:dyDescent="0.25">
      <c r="A263" t="b">
        <f>IFERROR(IF(MATCH(B263,RECETAS!$A$2:$A$1700,0) &lt;&gt; "", TRUE,""),FALSE)</f>
        <v>0</v>
      </c>
      <c r="B263" t="e">
        <f>TRANSPOSE(T2_[Recuento de T2 0])</f>
        <v>#VALUE!</v>
      </c>
    </row>
    <row r="264" spans="1:2" x14ac:dyDescent="0.25">
      <c r="A264" t="b">
        <f>IFERROR(IF(MATCH(B264,RECETAS!$A$2:$A$1700,0) &lt;&gt; "", TRUE,""),FALSE)</f>
        <v>0</v>
      </c>
      <c r="B264" t="e">
        <f>TRANSPOSE(T2_[Recuento de T2 0])</f>
        <v>#VALUE!</v>
      </c>
    </row>
    <row r="265" spans="1:2" x14ac:dyDescent="0.25">
      <c r="A265" t="b">
        <f>IFERROR(IF(MATCH(B265,RECETAS!$A$2:$A$1700,0) &lt;&gt; "", TRUE,""),FALSE)</f>
        <v>0</v>
      </c>
      <c r="B265" t="e">
        <f>TRANSPOSE(T2_[Recuento de T2 0])</f>
        <v>#VALUE!</v>
      </c>
    </row>
    <row r="266" spans="1:2" x14ac:dyDescent="0.25">
      <c r="A266" t="b">
        <f>IFERROR(IF(MATCH(B266,RECETAS!$A$2:$A$1700,0) &lt;&gt; "", TRUE,""),FALSE)</f>
        <v>0</v>
      </c>
      <c r="B266" t="e">
        <f>TRANSPOSE(T2_[Recuento de T2 0])</f>
        <v>#VALUE!</v>
      </c>
    </row>
    <row r="267" spans="1:2" x14ac:dyDescent="0.25">
      <c r="A267" t="b">
        <f>IFERROR(IF(MATCH(B267,RECETAS!$A$2:$A$1700,0) &lt;&gt; "", TRUE,""),FALSE)</f>
        <v>0</v>
      </c>
      <c r="B267" t="e">
        <f>TRANSPOSE(T2_[Recuento de T2 0])</f>
        <v>#VALUE!</v>
      </c>
    </row>
    <row r="268" spans="1:2" x14ac:dyDescent="0.25">
      <c r="A268" t="b">
        <f>IFERROR(IF(MATCH(B268,RECETAS!$A$2:$A$1700,0) &lt;&gt; "", TRUE,""),FALSE)</f>
        <v>0</v>
      </c>
      <c r="B268" t="e">
        <f>TRANSPOSE(T2_[Recuento de T2 0])</f>
        <v>#VALUE!</v>
      </c>
    </row>
    <row r="269" spans="1:2" x14ac:dyDescent="0.25">
      <c r="A269" t="b">
        <f>IFERROR(IF(MATCH(B269,RECETAS!$A$2:$A$1700,0) &lt;&gt; "", TRUE,""),FALSE)</f>
        <v>0</v>
      </c>
      <c r="B269" t="e">
        <f>TRANSPOSE(T2_[Recuento de T2 0])</f>
        <v>#VALUE!</v>
      </c>
    </row>
    <row r="270" spans="1:2" x14ac:dyDescent="0.25">
      <c r="A270" t="b">
        <f>IFERROR(IF(MATCH(B270,RECETAS!$A$2:$A$1700,0) &lt;&gt; "", TRUE,""),FALSE)</f>
        <v>0</v>
      </c>
      <c r="B270" t="e">
        <f>TRANSPOSE(T2_[Recuento de T2 0])</f>
        <v>#VALUE!</v>
      </c>
    </row>
    <row r="271" spans="1:2" x14ac:dyDescent="0.25">
      <c r="A271" t="b">
        <f>IFERROR(IF(MATCH(B271,RECETAS!$A$2:$A$1700,0) &lt;&gt; "", TRUE,""),FALSE)</f>
        <v>0</v>
      </c>
      <c r="B271" t="e">
        <f>TRANSPOSE(T2_[Recuento de T2 0])</f>
        <v>#VALUE!</v>
      </c>
    </row>
    <row r="272" spans="1:2" x14ac:dyDescent="0.25">
      <c r="A272" t="b">
        <f>IFERROR(IF(MATCH(B272,RECETAS!$A$2:$A$1700,0) &lt;&gt; "", TRUE,""),FALSE)</f>
        <v>0</v>
      </c>
      <c r="B272" t="e">
        <f>TRANSPOSE(T2_[Recuento de T2 0])</f>
        <v>#VALUE!</v>
      </c>
    </row>
    <row r="273" spans="1:2" x14ac:dyDescent="0.25">
      <c r="A273" t="b">
        <f>IFERROR(IF(MATCH(B273,RECETAS!$A$2:$A$1700,0) &lt;&gt; "", TRUE,""),FALSE)</f>
        <v>0</v>
      </c>
      <c r="B273" t="e">
        <f>TRANSPOSE(T2_[Recuento de T2 0])</f>
        <v>#VALUE!</v>
      </c>
    </row>
    <row r="274" spans="1:2" x14ac:dyDescent="0.25">
      <c r="A274" t="b">
        <f>IFERROR(IF(MATCH(B274,RECETAS!$A$2:$A$1700,0) &lt;&gt; "", TRUE,""),FALSE)</f>
        <v>0</v>
      </c>
      <c r="B274" t="e">
        <f>TRANSPOSE(T2_[Recuento de T2 0])</f>
        <v>#VALUE!</v>
      </c>
    </row>
    <row r="275" spans="1:2" x14ac:dyDescent="0.25">
      <c r="A275" t="b">
        <f>IFERROR(IF(MATCH(B275,RECETAS!$A$2:$A$1700,0) &lt;&gt; "", TRUE,""),FALSE)</f>
        <v>0</v>
      </c>
      <c r="B275" t="e">
        <f>TRANSPOSE(T2_[Recuento de T2 0])</f>
        <v>#VALUE!</v>
      </c>
    </row>
    <row r="276" spans="1:2" x14ac:dyDescent="0.25">
      <c r="A276" t="b">
        <f>IFERROR(IF(MATCH(B276,RECETAS!$A$2:$A$1700,0) &lt;&gt; "", TRUE,""),FALSE)</f>
        <v>0</v>
      </c>
      <c r="B276" t="e">
        <f>TRANSPOSE(T2_[Recuento de T2 0])</f>
        <v>#VALUE!</v>
      </c>
    </row>
    <row r="277" spans="1:2" x14ac:dyDescent="0.25">
      <c r="A277" t="b">
        <f>IFERROR(IF(MATCH(B277,RECETAS!$A$2:$A$1700,0) &lt;&gt; "", TRUE,""),FALSE)</f>
        <v>0</v>
      </c>
      <c r="B277" t="e">
        <f>TRANSPOSE(T2_[Recuento de T2 0])</f>
        <v>#VALUE!</v>
      </c>
    </row>
    <row r="278" spans="1:2" x14ac:dyDescent="0.25">
      <c r="A278" t="b">
        <f>IFERROR(IF(MATCH(B278,RECETAS!$A$2:$A$1700,0) &lt;&gt; "", TRUE,""),FALSE)</f>
        <v>0</v>
      </c>
      <c r="B278" t="e">
        <f>TRANSPOSE(T2_[Recuento de T2 0])</f>
        <v>#VALUE!</v>
      </c>
    </row>
    <row r="279" spans="1:2" x14ac:dyDescent="0.25">
      <c r="A279" t="b">
        <f>IFERROR(IF(MATCH(B279,RECETAS!$A$2:$A$1700,0) &lt;&gt; "", TRUE,""),FALSE)</f>
        <v>0</v>
      </c>
      <c r="B279" t="e">
        <f>TRANSPOSE(T2_[Recuento de T2 0])</f>
        <v>#VALUE!</v>
      </c>
    </row>
    <row r="280" spans="1:2" x14ac:dyDescent="0.25">
      <c r="A280" t="b">
        <f>IFERROR(IF(MATCH(B280,RECETAS!$A$2:$A$1700,0) &lt;&gt; "", TRUE,""),FALSE)</f>
        <v>0</v>
      </c>
      <c r="B280" t="e">
        <f>TRANSPOSE(T2_[Recuento de T2 0])</f>
        <v>#VALUE!</v>
      </c>
    </row>
    <row r="281" spans="1:2" x14ac:dyDescent="0.25">
      <c r="A281" t="b">
        <f>IFERROR(IF(MATCH(B281,RECETAS!$A$2:$A$1700,0) &lt;&gt; "", TRUE,""),FALSE)</f>
        <v>0</v>
      </c>
      <c r="B281" t="e">
        <f>TRANSPOSE(T2_[Recuento de T2 0])</f>
        <v>#VALUE!</v>
      </c>
    </row>
    <row r="282" spans="1:2" x14ac:dyDescent="0.25">
      <c r="A282" t="b">
        <f>IFERROR(IF(MATCH(B282,RECETAS!$A$2:$A$1700,0) &lt;&gt; "", TRUE,""),FALSE)</f>
        <v>0</v>
      </c>
      <c r="B282" t="e">
        <f>TRANSPOSE(T2_[Recuento de T2 0])</f>
        <v>#VALUE!</v>
      </c>
    </row>
    <row r="283" spans="1:2" x14ac:dyDescent="0.25">
      <c r="A283" t="b">
        <f>IFERROR(IF(MATCH(B283,RECETAS!$A$2:$A$1700,0) &lt;&gt; "", TRUE,""),FALSE)</f>
        <v>0</v>
      </c>
      <c r="B283" t="e">
        <f>TRANSPOSE(T2_[Recuento de T2 0])</f>
        <v>#VALUE!</v>
      </c>
    </row>
    <row r="284" spans="1:2" x14ac:dyDescent="0.25">
      <c r="A284" t="b">
        <f>IFERROR(IF(MATCH(B284,RECETAS!$A$2:$A$1700,0) &lt;&gt; "", TRUE,""),FALSE)</f>
        <v>0</v>
      </c>
      <c r="B284" t="e">
        <f>TRANSPOSE(T2_[Recuento de T2 0])</f>
        <v>#VALUE!</v>
      </c>
    </row>
    <row r="285" spans="1:2" x14ac:dyDescent="0.25">
      <c r="A285" t="b">
        <f>IFERROR(IF(MATCH(B285,RECETAS!$A$2:$A$1700,0) &lt;&gt; "", TRUE,""),FALSE)</f>
        <v>0</v>
      </c>
      <c r="B285" t="e">
        <f>TRANSPOSE(T2_[Recuento de T2 0])</f>
        <v>#VALUE!</v>
      </c>
    </row>
    <row r="286" spans="1:2" x14ac:dyDescent="0.25">
      <c r="A286" t="b">
        <f>IFERROR(IF(MATCH(B286,RECETAS!$A$2:$A$1700,0) &lt;&gt; "", TRUE,""),FALSE)</f>
        <v>0</v>
      </c>
      <c r="B286" t="e">
        <f>TRANSPOSE(T2_[Recuento de T2 0])</f>
        <v>#VALUE!</v>
      </c>
    </row>
    <row r="287" spans="1:2" x14ac:dyDescent="0.25">
      <c r="A287" t="b">
        <f>IFERROR(IF(MATCH(B287,RECETAS!$A$2:$A$1700,0) &lt;&gt; "", TRUE,""),FALSE)</f>
        <v>0</v>
      </c>
      <c r="B287" t="e">
        <f>TRANSPOSE(T2_[Recuento de T2 0])</f>
        <v>#VALUE!</v>
      </c>
    </row>
    <row r="288" spans="1:2" x14ac:dyDescent="0.25">
      <c r="A288" t="b">
        <f>IFERROR(IF(MATCH(B288,RECETAS!$A$2:$A$1700,0) &lt;&gt; "", TRUE,""),FALSE)</f>
        <v>0</v>
      </c>
      <c r="B288" t="e">
        <f>TRANSPOSE(T2_[Recuento de T2 0])</f>
        <v>#VALUE!</v>
      </c>
    </row>
    <row r="289" spans="1:2" x14ac:dyDescent="0.25">
      <c r="A289" t="b">
        <f>IFERROR(IF(MATCH(B289,RECETAS!$A$2:$A$1700,0) &lt;&gt; "", TRUE,""),FALSE)</f>
        <v>0</v>
      </c>
      <c r="B289" t="e">
        <f>TRANSPOSE(T2_[Recuento de T2 0])</f>
        <v>#VALUE!</v>
      </c>
    </row>
    <row r="290" spans="1:2" x14ac:dyDescent="0.25">
      <c r="A290" t="b">
        <f>IFERROR(IF(MATCH(B290,RECETAS!$A$2:$A$1700,0) &lt;&gt; "", TRUE,""),FALSE)</f>
        <v>0</v>
      </c>
      <c r="B290" t="e">
        <f>TRANSPOSE(T2_[Recuento de T2 0])</f>
        <v>#VALUE!</v>
      </c>
    </row>
    <row r="291" spans="1:2" x14ac:dyDescent="0.25">
      <c r="A291" t="b">
        <f>IFERROR(IF(MATCH(B291,RECETAS!$A$2:$A$1700,0) &lt;&gt; "", TRUE,""),FALSE)</f>
        <v>0</v>
      </c>
      <c r="B291" t="e">
        <f>TRANSPOSE(T2_[Recuento de T2 0])</f>
        <v>#VALUE!</v>
      </c>
    </row>
    <row r="292" spans="1:2" x14ac:dyDescent="0.25">
      <c r="A292" t="b">
        <f>IFERROR(IF(MATCH(B292,RECETAS!$A$2:$A$1700,0) &lt;&gt; "", TRUE,""),FALSE)</f>
        <v>0</v>
      </c>
      <c r="B292" t="e">
        <f>TRANSPOSE(T2_[Recuento de T2 0])</f>
        <v>#VALUE!</v>
      </c>
    </row>
    <row r="293" spans="1:2" x14ac:dyDescent="0.25">
      <c r="A293" t="b">
        <f>IFERROR(IF(MATCH(B293,RECETAS!$A$2:$A$1700,0) &lt;&gt; "", TRUE,""),FALSE)</f>
        <v>0</v>
      </c>
      <c r="B293" t="e">
        <f>TRANSPOSE(T2_[Recuento de T2 0])</f>
        <v>#VALUE!</v>
      </c>
    </row>
    <row r="294" spans="1:2" x14ac:dyDescent="0.25">
      <c r="A294" t="b">
        <f>IFERROR(IF(MATCH(B294,RECETAS!$A$2:$A$1700,0) &lt;&gt; "", TRUE,""),FALSE)</f>
        <v>0</v>
      </c>
      <c r="B294" t="e">
        <f>TRANSPOSE(T2_[Recuento de T2 0])</f>
        <v>#VALUE!</v>
      </c>
    </row>
    <row r="295" spans="1:2" x14ac:dyDescent="0.25">
      <c r="A295" t="b">
        <f>IFERROR(IF(MATCH(B295,RECETAS!$A$2:$A$1700,0) &lt;&gt; "", TRUE,""),FALSE)</f>
        <v>0</v>
      </c>
      <c r="B295" t="e">
        <f>TRANSPOSE(T2_[Recuento de T2 0])</f>
        <v>#VALUE!</v>
      </c>
    </row>
    <row r="296" spans="1:2" x14ac:dyDescent="0.25">
      <c r="A296" t="b">
        <f>IFERROR(IF(MATCH(B296,RECETAS!$A$2:$A$1700,0) &lt;&gt; "", TRUE,""),FALSE)</f>
        <v>0</v>
      </c>
      <c r="B296" t="e">
        <f>TRANSPOSE(T2_[Recuento de T2 0])</f>
        <v>#VALUE!</v>
      </c>
    </row>
    <row r="297" spans="1:2" x14ac:dyDescent="0.25">
      <c r="A297" t="b">
        <f>IFERROR(IF(MATCH(B297,RECETAS!$A$2:$A$1700,0) &lt;&gt; "", TRUE,""),FALSE)</f>
        <v>0</v>
      </c>
      <c r="B297" t="e">
        <f>TRANSPOSE(T2_[Recuento de T2 0])</f>
        <v>#VALUE!</v>
      </c>
    </row>
    <row r="298" spans="1:2" x14ac:dyDescent="0.25">
      <c r="A298" t="b">
        <f>IFERROR(IF(MATCH(B298,RECETAS!$A$2:$A$1700,0) &lt;&gt; "", TRUE,""),FALSE)</f>
        <v>0</v>
      </c>
      <c r="B298" t="e">
        <f>TRANSPOSE(T2_[Recuento de T2 0])</f>
        <v>#VALUE!</v>
      </c>
    </row>
    <row r="299" spans="1:2" x14ac:dyDescent="0.25">
      <c r="A299" t="b">
        <f>IFERROR(IF(MATCH(B299,RECETAS!$A$2:$A$1700,0) &lt;&gt; "", TRUE,""),FALSE)</f>
        <v>0</v>
      </c>
      <c r="B299" t="e">
        <f>TRANSPOSE(T2_[Recuento de T2 0])</f>
        <v>#VALUE!</v>
      </c>
    </row>
    <row r="300" spans="1:2" x14ac:dyDescent="0.25">
      <c r="A300" t="b">
        <f>IFERROR(IF(MATCH(B300,RECETAS!$A$2:$A$1700,0) &lt;&gt; "", TRUE,""),FALSE)</f>
        <v>0</v>
      </c>
      <c r="B300" t="e">
        <f>TRANSPOSE(T2_[Recuento de T2 0])</f>
        <v>#VALUE!</v>
      </c>
    </row>
    <row r="301" spans="1:2" x14ac:dyDescent="0.25">
      <c r="A301" t="b">
        <f>IFERROR(IF(MATCH(B301,RECETAS!$A$2:$A$1700,0) &lt;&gt; "", TRUE,""),FALSE)</f>
        <v>0</v>
      </c>
      <c r="B301" t="e">
        <f>TRANSPOSE(T2_[Recuento de T2 0])</f>
        <v>#VALUE!</v>
      </c>
    </row>
    <row r="302" spans="1:2" x14ac:dyDescent="0.25">
      <c r="A302" t="b">
        <f>IFERROR(IF(MATCH(B302,RECETAS!$A$2:$A$1700,0) &lt;&gt; "", TRUE,""),FALSE)</f>
        <v>0</v>
      </c>
      <c r="B302" t="e">
        <f>TRANSPOSE(T2_[Recuento de T2 0])</f>
        <v>#VALUE!</v>
      </c>
    </row>
    <row r="303" spans="1:2" x14ac:dyDescent="0.25">
      <c r="A303" t="b">
        <f>IFERROR(IF(MATCH(B303,RECETAS!$A$2:$A$1700,0) &lt;&gt; "", TRUE,""),FALSE)</f>
        <v>0</v>
      </c>
      <c r="B303" t="e">
        <f>TRANSPOSE(T2_[Recuento de T2 0])</f>
        <v>#VALUE!</v>
      </c>
    </row>
    <row r="304" spans="1:2" x14ac:dyDescent="0.25">
      <c r="A304" t="b">
        <f>IFERROR(IF(MATCH(B304,RECETAS!$A$2:$A$1700,0) &lt;&gt; "", TRUE,""),FALSE)</f>
        <v>0</v>
      </c>
      <c r="B304" t="e">
        <f>TRANSPOSE(T2_[Recuento de T2 0])</f>
        <v>#VALUE!</v>
      </c>
    </row>
    <row r="305" spans="1:2" x14ac:dyDescent="0.25">
      <c r="A305" t="b">
        <f>IFERROR(IF(MATCH(B305,RECETAS!$A$2:$A$1700,0) &lt;&gt; "", TRUE,""),FALSE)</f>
        <v>0</v>
      </c>
      <c r="B305" t="e">
        <f>TRANSPOSE(T2_[Recuento de T2 0])</f>
        <v>#VALUE!</v>
      </c>
    </row>
    <row r="306" spans="1:2" x14ac:dyDescent="0.25">
      <c r="A306" t="b">
        <f>IFERROR(IF(MATCH(B306,RECETAS!$A$2:$A$1700,0) &lt;&gt; "", TRUE,""),FALSE)</f>
        <v>0</v>
      </c>
      <c r="B306" t="e">
        <f>TRANSPOSE(T2_[Recuento de T2 0])</f>
        <v>#VALUE!</v>
      </c>
    </row>
    <row r="307" spans="1:2" x14ac:dyDescent="0.25">
      <c r="A307" t="b">
        <f>IFERROR(IF(MATCH(B307,RECETAS!$A$2:$A$1700,0) &lt;&gt; "", TRUE,""),FALSE)</f>
        <v>0</v>
      </c>
      <c r="B307" t="e">
        <f>TRANSPOSE(T2_[Recuento de T2 0])</f>
        <v>#VALUE!</v>
      </c>
    </row>
    <row r="308" spans="1:2" x14ac:dyDescent="0.25">
      <c r="A308" t="b">
        <f>IFERROR(IF(MATCH(B308,RECETAS!$A$2:$A$1700,0) &lt;&gt; "", TRUE,""),FALSE)</f>
        <v>0</v>
      </c>
      <c r="B308" t="e">
        <f>TRANSPOSE(T2_[Recuento de T2 0])</f>
        <v>#VALUE!</v>
      </c>
    </row>
    <row r="309" spans="1:2" x14ac:dyDescent="0.25">
      <c r="A309" t="b">
        <f>IFERROR(IF(MATCH(B309,RECETAS!$A$2:$A$1700,0) &lt;&gt; "", TRUE,""),FALSE)</f>
        <v>0</v>
      </c>
      <c r="B309" t="e">
        <f>TRANSPOSE(T2_[Recuento de T2 0])</f>
        <v>#VALUE!</v>
      </c>
    </row>
    <row r="310" spans="1:2" x14ac:dyDescent="0.25">
      <c r="A310" t="b">
        <f>IFERROR(IF(MATCH(B310,RECETAS!$A$2:$A$1700,0) &lt;&gt; "", TRUE,""),FALSE)</f>
        <v>0</v>
      </c>
      <c r="B310" t="e">
        <f>TRANSPOSE(T2_[Recuento de T2 0])</f>
        <v>#VALUE!</v>
      </c>
    </row>
    <row r="311" spans="1:2" x14ac:dyDescent="0.25">
      <c r="A311" t="b">
        <f>IFERROR(IF(MATCH(B311,RECETAS!$A$2:$A$1700,0) &lt;&gt; "", TRUE,""),FALSE)</f>
        <v>0</v>
      </c>
      <c r="B311" t="e">
        <f>TRANSPOSE(T2_[Recuento de T2 0])</f>
        <v>#VALUE!</v>
      </c>
    </row>
    <row r="312" spans="1:2" x14ac:dyDescent="0.25">
      <c r="A312" t="b">
        <f>IFERROR(IF(MATCH(B312,RECETAS!$A$2:$A$1700,0) &lt;&gt; "", TRUE,""),FALSE)</f>
        <v>0</v>
      </c>
      <c r="B312" t="e">
        <f>TRANSPOSE(T2_[Recuento de T2 0])</f>
        <v>#VALUE!</v>
      </c>
    </row>
    <row r="313" spans="1:2" x14ac:dyDescent="0.25">
      <c r="A313" t="b">
        <f>IFERROR(IF(MATCH(B313,RECETAS!$A$2:$A$1700,0) &lt;&gt; "", TRUE,""),FALSE)</f>
        <v>0</v>
      </c>
      <c r="B313" t="e">
        <f>TRANSPOSE(T2_[Recuento de T2 0])</f>
        <v>#VALUE!</v>
      </c>
    </row>
    <row r="314" spans="1:2" x14ac:dyDescent="0.25">
      <c r="A314" t="b">
        <f>IFERROR(IF(MATCH(B314,RECETAS!$A$2:$A$1700,0) &lt;&gt; "", TRUE,""),FALSE)</f>
        <v>0</v>
      </c>
      <c r="B314" t="e">
        <f>TRANSPOSE(T2_[Recuento de T2 0])</f>
        <v>#VALUE!</v>
      </c>
    </row>
    <row r="315" spans="1:2" x14ac:dyDescent="0.25">
      <c r="A315" t="b">
        <f>IFERROR(IF(MATCH(B315,RECETAS!$A$2:$A$1700,0) &lt;&gt; "", TRUE,""),FALSE)</f>
        <v>0</v>
      </c>
      <c r="B315" t="e">
        <f>TRANSPOSE(T2_[Recuento de T2 0])</f>
        <v>#VALUE!</v>
      </c>
    </row>
    <row r="316" spans="1:2" x14ac:dyDescent="0.25">
      <c r="A316" t="b">
        <f>IFERROR(IF(MATCH(B316,RECETAS!$A$2:$A$1700,0) &lt;&gt; "", TRUE,""),FALSE)</f>
        <v>0</v>
      </c>
      <c r="B316" t="e">
        <f>TRANSPOSE(T2_[Recuento de T2 0])</f>
        <v>#VALUE!</v>
      </c>
    </row>
    <row r="317" spans="1:2" x14ac:dyDescent="0.25">
      <c r="A317" t="b">
        <f>IFERROR(IF(MATCH(B317,RECETAS!$A$2:$A$1700,0) &lt;&gt; "", TRUE,""),FALSE)</f>
        <v>0</v>
      </c>
      <c r="B317" t="e">
        <f>TRANSPOSE(T2_[Recuento de T2 0])</f>
        <v>#VALUE!</v>
      </c>
    </row>
    <row r="318" spans="1:2" x14ac:dyDescent="0.25">
      <c r="A318" t="b">
        <f>IFERROR(IF(MATCH(B318,RECETAS!$A$2:$A$1700,0) &lt;&gt; "", TRUE,""),FALSE)</f>
        <v>0</v>
      </c>
      <c r="B318" t="e">
        <f>TRANSPOSE(T2_[Recuento de T2 0])</f>
        <v>#VALUE!</v>
      </c>
    </row>
    <row r="319" spans="1:2" x14ac:dyDescent="0.25">
      <c r="A319" t="b">
        <f>IFERROR(IF(MATCH(B319,RECETAS!$A$2:$A$1700,0) &lt;&gt; "", TRUE,""),FALSE)</f>
        <v>0</v>
      </c>
      <c r="B319" t="e">
        <f>TRANSPOSE(T2_[Recuento de T2 0])</f>
        <v>#VALUE!</v>
      </c>
    </row>
    <row r="320" spans="1:2" x14ac:dyDescent="0.25">
      <c r="A320" t="b">
        <f>IFERROR(IF(MATCH(B320,RECETAS!$A$2:$A$1700,0) &lt;&gt; "", TRUE,""),FALSE)</f>
        <v>0</v>
      </c>
      <c r="B320" t="e">
        <f>TRANSPOSE(T2_[Recuento de T2 0])</f>
        <v>#VALUE!</v>
      </c>
    </row>
    <row r="321" spans="1:2" x14ac:dyDescent="0.25">
      <c r="A321" t="b">
        <f>IFERROR(IF(MATCH(B321,RECETAS!$A$2:$A$1700,0) &lt;&gt; "", TRUE,""),FALSE)</f>
        <v>0</v>
      </c>
      <c r="B321" t="e">
        <f>TRANSPOSE(T2_[Recuento de T2 0])</f>
        <v>#VALUE!</v>
      </c>
    </row>
    <row r="322" spans="1:2" x14ac:dyDescent="0.25">
      <c r="A322" t="b">
        <f>IFERROR(IF(MATCH(B322,RECETAS!$A$2:$A$1700,0) &lt;&gt; "", TRUE,""),FALSE)</f>
        <v>0</v>
      </c>
      <c r="B322" t="e">
        <f>TRANSPOSE(T2_[Recuento de T2 0])</f>
        <v>#VALUE!</v>
      </c>
    </row>
    <row r="323" spans="1:2" x14ac:dyDescent="0.25">
      <c r="A323" t="b">
        <f>IFERROR(IF(MATCH(B323,RECETAS!$A$2:$A$1700,0) &lt;&gt; "", TRUE,""),FALSE)</f>
        <v>0</v>
      </c>
      <c r="B323" t="e">
        <f>TRANSPOSE(T2_[Recuento de T2 0])</f>
        <v>#VALUE!</v>
      </c>
    </row>
    <row r="324" spans="1:2" x14ac:dyDescent="0.25">
      <c r="A324" t="b">
        <f>IFERROR(IF(MATCH(B324,RECETAS!$A$2:$A$1700,0) &lt;&gt; "", TRUE,""),FALSE)</f>
        <v>0</v>
      </c>
      <c r="B324" t="e">
        <f>TRANSPOSE(T2_[Recuento de T2 0])</f>
        <v>#VALUE!</v>
      </c>
    </row>
    <row r="325" spans="1:2" x14ac:dyDescent="0.25">
      <c r="A325" t="b">
        <f>IFERROR(IF(MATCH(B325,RECETAS!$A$2:$A$1700,0) &lt;&gt; "", TRUE,""),FALSE)</f>
        <v>0</v>
      </c>
      <c r="B325" t="e">
        <f>TRANSPOSE(T2_[Recuento de T2 0])</f>
        <v>#VALUE!</v>
      </c>
    </row>
    <row r="326" spans="1:2" x14ac:dyDescent="0.25">
      <c r="A326" t="b">
        <f>IFERROR(IF(MATCH(B326,RECETAS!$A$2:$A$1700,0) &lt;&gt; "", TRUE,""),FALSE)</f>
        <v>0</v>
      </c>
      <c r="B326" t="e">
        <f>TRANSPOSE(T2_[Recuento de T2 0])</f>
        <v>#VALUE!</v>
      </c>
    </row>
    <row r="327" spans="1:2" x14ac:dyDescent="0.25">
      <c r="A327" t="b">
        <f>IFERROR(IF(MATCH(B327,RECETAS!$A$2:$A$1700,0) &lt;&gt; "", TRUE,""),FALSE)</f>
        <v>0</v>
      </c>
      <c r="B327" t="e">
        <f>TRANSPOSE(T2_[Recuento de T2 0])</f>
        <v>#VALUE!</v>
      </c>
    </row>
    <row r="328" spans="1:2" x14ac:dyDescent="0.25">
      <c r="A328" t="b">
        <f>IFERROR(IF(MATCH(B328,RECETAS!$A$2:$A$1700,0) &lt;&gt; "", TRUE,""),FALSE)</f>
        <v>0</v>
      </c>
      <c r="B328" t="e">
        <f>TRANSPOSE(T2_[Recuento de T2 0])</f>
        <v>#VALUE!</v>
      </c>
    </row>
    <row r="329" spans="1:2" x14ac:dyDescent="0.25">
      <c r="A329" t="b">
        <f>IFERROR(IF(MATCH(B329,RECETAS!$A$2:$A$1700,0) &lt;&gt; "", TRUE,""),FALSE)</f>
        <v>0</v>
      </c>
      <c r="B329" t="e">
        <f>TRANSPOSE(T2_[Recuento de T2 0])</f>
        <v>#VALUE!</v>
      </c>
    </row>
    <row r="330" spans="1:2" x14ac:dyDescent="0.25">
      <c r="A330" t="b">
        <f>IFERROR(IF(MATCH(B330,RECETAS!$A$2:$A$1700,0) &lt;&gt; "", TRUE,""),FALSE)</f>
        <v>0</v>
      </c>
      <c r="B330" t="e">
        <f>TRANSPOSE(T2_[Recuento de T2 0])</f>
        <v>#VALUE!</v>
      </c>
    </row>
    <row r="331" spans="1:2" x14ac:dyDescent="0.25">
      <c r="A331" t="b">
        <f>IFERROR(IF(MATCH(B331,RECETAS!$A$2:$A$1700,0) &lt;&gt; "", TRUE,""),FALSE)</f>
        <v>0</v>
      </c>
      <c r="B331" t="e">
        <f>TRANSPOSE(T2_[Recuento de T2 0])</f>
        <v>#VALUE!</v>
      </c>
    </row>
    <row r="332" spans="1:2" x14ac:dyDescent="0.25">
      <c r="A332" t="b">
        <f>IFERROR(IF(MATCH(B332,RECETAS!$A$2:$A$1700,0) &lt;&gt; "", TRUE,""),FALSE)</f>
        <v>0</v>
      </c>
      <c r="B332" t="e">
        <f>TRANSPOSE(T2_[Recuento de T2 0])</f>
        <v>#VALUE!</v>
      </c>
    </row>
    <row r="333" spans="1:2" x14ac:dyDescent="0.25">
      <c r="A333" t="b">
        <f>IFERROR(IF(MATCH(B333,RECETAS!$A$2:$A$1700,0) &lt;&gt; "", TRUE,""),FALSE)</f>
        <v>0</v>
      </c>
      <c r="B333" t="e">
        <f>TRANSPOSE(T2_[Recuento de T2 0])</f>
        <v>#VALUE!</v>
      </c>
    </row>
    <row r="334" spans="1:2" x14ac:dyDescent="0.25">
      <c r="A334" t="b">
        <f>IFERROR(IF(MATCH(B334,RECETAS!$A$2:$A$1700,0) &lt;&gt; "", TRUE,""),FALSE)</f>
        <v>0</v>
      </c>
      <c r="B334" t="e">
        <f>TRANSPOSE(T2_[Recuento de T2 0])</f>
        <v>#VALUE!</v>
      </c>
    </row>
    <row r="335" spans="1:2" x14ac:dyDescent="0.25">
      <c r="A335" t="b">
        <f>IFERROR(IF(MATCH(B335,RECETAS!$A$2:$A$1700,0) &lt;&gt; "", TRUE,""),FALSE)</f>
        <v>0</v>
      </c>
      <c r="B335" t="e">
        <f>TRANSPOSE(T2_[Recuento de T2 0])</f>
        <v>#VALUE!</v>
      </c>
    </row>
    <row r="336" spans="1:2" x14ac:dyDescent="0.25">
      <c r="A336" t="b">
        <f>IFERROR(IF(MATCH(B336,RECETAS!$A$2:$A$1700,0) &lt;&gt; "", TRUE,""),FALSE)</f>
        <v>0</v>
      </c>
      <c r="B336" t="e">
        <f>TRANSPOSE(T2_[Recuento de T2 0])</f>
        <v>#VALUE!</v>
      </c>
    </row>
    <row r="337" spans="1:2" x14ac:dyDescent="0.25">
      <c r="A337" t="b">
        <f>IFERROR(IF(MATCH(B337,RECETAS!$A$2:$A$1700,0) &lt;&gt; "", TRUE,""),FALSE)</f>
        <v>0</v>
      </c>
      <c r="B337" t="e">
        <f>TRANSPOSE(T2_[Recuento de T2 0])</f>
        <v>#VALUE!</v>
      </c>
    </row>
    <row r="338" spans="1:2" x14ac:dyDescent="0.25">
      <c r="A338" t="b">
        <f>IFERROR(IF(MATCH(B338,RECETAS!$A$2:$A$1700,0) &lt;&gt; "", TRUE,""),FALSE)</f>
        <v>0</v>
      </c>
      <c r="B338" t="e">
        <f>TRANSPOSE(T2_[Recuento de T2 0])</f>
        <v>#VALUE!</v>
      </c>
    </row>
    <row r="339" spans="1:2" x14ac:dyDescent="0.25">
      <c r="A339" t="b">
        <f>IFERROR(IF(MATCH(B339,RECETAS!$A$2:$A$1700,0) &lt;&gt; "", TRUE,""),FALSE)</f>
        <v>0</v>
      </c>
      <c r="B339" t="e">
        <f>TRANSPOSE(T2_[Recuento de T2 0])</f>
        <v>#VALUE!</v>
      </c>
    </row>
    <row r="340" spans="1:2" x14ac:dyDescent="0.25">
      <c r="A340" t="b">
        <f>IFERROR(IF(MATCH(B340,RECETAS!$A$2:$A$1700,0) &lt;&gt; "", TRUE,""),FALSE)</f>
        <v>0</v>
      </c>
      <c r="B340" t="e">
        <f>TRANSPOSE(T2_[Recuento de T2 0])</f>
        <v>#VALUE!</v>
      </c>
    </row>
    <row r="341" spans="1:2" x14ac:dyDescent="0.25">
      <c r="A341" t="b">
        <f>IFERROR(IF(MATCH(B341,RECETAS!$A$2:$A$1700,0) &lt;&gt; "", TRUE,""),FALSE)</f>
        <v>0</v>
      </c>
      <c r="B341" t="e">
        <f>TRANSPOSE(T2_[Recuento de T2 0])</f>
        <v>#VALUE!</v>
      </c>
    </row>
    <row r="342" spans="1:2" x14ac:dyDescent="0.25">
      <c r="A342" t="b">
        <f>IFERROR(IF(MATCH(B342,RECETAS!$A$2:$A$1700,0) &lt;&gt; "", TRUE,""),FALSE)</f>
        <v>0</v>
      </c>
      <c r="B342" t="e">
        <f>TRANSPOSE(T2_[Recuento de T2 0])</f>
        <v>#VALUE!</v>
      </c>
    </row>
    <row r="343" spans="1:2" x14ac:dyDescent="0.25">
      <c r="A343" t="b">
        <f>IFERROR(IF(MATCH(B343,RECETAS!$A$2:$A$1700,0) &lt;&gt; "", TRUE,""),FALSE)</f>
        <v>0</v>
      </c>
      <c r="B343" t="e">
        <f>TRANSPOSE(T2_[Recuento de T2 0])</f>
        <v>#VALUE!</v>
      </c>
    </row>
    <row r="344" spans="1:2" x14ac:dyDescent="0.25">
      <c r="A344" t="b">
        <f>IFERROR(IF(MATCH(B344,RECETAS!$A$2:$A$1700,0) &lt;&gt; "", TRUE,""),FALSE)</f>
        <v>0</v>
      </c>
      <c r="B344" t="e">
        <f>TRANSPOSE(T2_[Recuento de T2 0])</f>
        <v>#VALUE!</v>
      </c>
    </row>
    <row r="345" spans="1:2" x14ac:dyDescent="0.25">
      <c r="A345" t="b">
        <f>IFERROR(IF(MATCH(B345,RECETAS!$A$2:$A$1700,0) &lt;&gt; "", TRUE,""),FALSE)</f>
        <v>0</v>
      </c>
      <c r="B345" t="e">
        <f>TRANSPOSE(T2_[Recuento de T2 0])</f>
        <v>#VALUE!</v>
      </c>
    </row>
    <row r="346" spans="1:2" x14ac:dyDescent="0.25">
      <c r="A346" t="b">
        <f>IFERROR(IF(MATCH(B346,RECETAS!$A$2:$A$1700,0) &lt;&gt; "", TRUE,""),FALSE)</f>
        <v>0</v>
      </c>
      <c r="B346" t="e">
        <f>TRANSPOSE(T2_[Recuento de T2 0])</f>
        <v>#VALUE!</v>
      </c>
    </row>
    <row r="347" spans="1:2" x14ac:dyDescent="0.25">
      <c r="A347" t="b">
        <f>IFERROR(IF(MATCH(B347,RECETAS!$A$2:$A$1700,0) &lt;&gt; "", TRUE,""),FALSE)</f>
        <v>0</v>
      </c>
      <c r="B347" t="e">
        <f>TRANSPOSE(T2_[Recuento de T2 0])</f>
        <v>#VALUE!</v>
      </c>
    </row>
    <row r="348" spans="1:2" x14ac:dyDescent="0.25">
      <c r="A348" t="b">
        <f>IFERROR(IF(MATCH(B348,RECETAS!$A$2:$A$1700,0) &lt;&gt; "", TRUE,""),FALSE)</f>
        <v>0</v>
      </c>
      <c r="B348" t="e">
        <f>TRANSPOSE(T2_[Recuento de T2 0])</f>
        <v>#VALUE!</v>
      </c>
    </row>
    <row r="349" spans="1:2" x14ac:dyDescent="0.25">
      <c r="A349" t="b">
        <f>IFERROR(IF(MATCH(B349,RECETAS!$A$2:$A$1700,0) &lt;&gt; "", TRUE,""),FALSE)</f>
        <v>0</v>
      </c>
      <c r="B349" t="e">
        <f>TRANSPOSE(T2_[Recuento de T2 0])</f>
        <v>#VALUE!</v>
      </c>
    </row>
    <row r="350" spans="1:2" x14ac:dyDescent="0.25">
      <c r="A350" t="b">
        <f>IFERROR(IF(MATCH(B350,RECETAS!$A$2:$A$1700,0) &lt;&gt; "", TRUE,""),FALSE)</f>
        <v>0</v>
      </c>
      <c r="B350" t="e">
        <f>TRANSPOSE(T2_[Recuento de T2 0])</f>
        <v>#VALUE!</v>
      </c>
    </row>
    <row r="351" spans="1:2" x14ac:dyDescent="0.25">
      <c r="A351" t="b">
        <f>IFERROR(IF(MATCH(B351,RECETAS!$A$2:$A$1700,0) &lt;&gt; "", TRUE,""),FALSE)</f>
        <v>0</v>
      </c>
      <c r="B351" t="e">
        <f>TRANSPOSE(T2_[Recuento de T2 0])</f>
        <v>#VALUE!</v>
      </c>
    </row>
    <row r="352" spans="1:2" x14ac:dyDescent="0.25">
      <c r="A352" t="b">
        <f>IFERROR(IF(MATCH(B352,RECETAS!$A$2:$A$1700,0) &lt;&gt; "", TRUE,""),FALSE)</f>
        <v>0</v>
      </c>
      <c r="B352" t="e">
        <f>TRANSPOSE(T2_[Recuento de T2 0])</f>
        <v>#VALUE!</v>
      </c>
    </row>
    <row r="353" spans="1:2" x14ac:dyDescent="0.25">
      <c r="A353" t="b">
        <f>IFERROR(IF(MATCH(B353,RECETAS!$A$2:$A$1700,0) &lt;&gt; "", TRUE,""),FALSE)</f>
        <v>0</v>
      </c>
      <c r="B353" t="e">
        <f>TRANSPOSE(T2_[Recuento de T2 0])</f>
        <v>#VALUE!</v>
      </c>
    </row>
    <row r="354" spans="1:2" x14ac:dyDescent="0.25">
      <c r="A354" t="b">
        <f>IFERROR(IF(MATCH(B354,RECETAS!$A$2:$A$1700,0) &lt;&gt; "", TRUE,""),FALSE)</f>
        <v>0</v>
      </c>
      <c r="B354" t="e">
        <f>TRANSPOSE(T2_[Recuento de T2 0])</f>
        <v>#VALUE!</v>
      </c>
    </row>
    <row r="355" spans="1:2" x14ac:dyDescent="0.25">
      <c r="A355" t="b">
        <f>IFERROR(IF(MATCH(B355,RECETAS!$A$2:$A$1700,0) &lt;&gt; "", TRUE,""),FALSE)</f>
        <v>0</v>
      </c>
      <c r="B355" t="e">
        <f>TRANSPOSE(T2_[Recuento de T2 0])</f>
        <v>#VALUE!</v>
      </c>
    </row>
    <row r="356" spans="1:2" x14ac:dyDescent="0.25">
      <c r="A356" t="b">
        <f>IFERROR(IF(MATCH(B356,RECETAS!$A$2:$A$1700,0) &lt;&gt; "", TRUE,""),FALSE)</f>
        <v>0</v>
      </c>
      <c r="B356" t="e">
        <f>TRANSPOSE(T2_[Recuento de T2 0])</f>
        <v>#VALUE!</v>
      </c>
    </row>
    <row r="357" spans="1:2" x14ac:dyDescent="0.25">
      <c r="A357" t="b">
        <f>IFERROR(IF(MATCH(B357,RECETAS!$A$2:$A$1700,0) &lt;&gt; "", TRUE,""),FALSE)</f>
        <v>0</v>
      </c>
      <c r="B357" t="e">
        <f>TRANSPOSE(T2_[Recuento de T2 0])</f>
        <v>#VALUE!</v>
      </c>
    </row>
    <row r="358" spans="1:2" x14ac:dyDescent="0.25">
      <c r="A358" t="b">
        <f>IFERROR(IF(MATCH(B358,RECETAS!$A$2:$A$1700,0) &lt;&gt; "", TRUE,""),FALSE)</f>
        <v>0</v>
      </c>
      <c r="B358" t="e">
        <f>TRANSPOSE(T2_[Recuento de T2 0])</f>
        <v>#VALUE!</v>
      </c>
    </row>
    <row r="359" spans="1:2" x14ac:dyDescent="0.25">
      <c r="A359" t="b">
        <f>IFERROR(IF(MATCH(B359,RECETAS!$A$2:$A$1700,0) &lt;&gt; "", TRUE,""),FALSE)</f>
        <v>0</v>
      </c>
      <c r="B359" t="e">
        <f>TRANSPOSE(T2_[Recuento de T2 0])</f>
        <v>#VALUE!</v>
      </c>
    </row>
    <row r="360" spans="1:2" x14ac:dyDescent="0.25">
      <c r="A360" t="b">
        <f>IFERROR(IF(MATCH(B360,RECETAS!$A$2:$A$1700,0) &lt;&gt; "", TRUE,""),FALSE)</f>
        <v>0</v>
      </c>
      <c r="B360" t="e">
        <f>TRANSPOSE(T2_[Recuento de T2 0])</f>
        <v>#VALUE!</v>
      </c>
    </row>
    <row r="361" spans="1:2" x14ac:dyDescent="0.25">
      <c r="A361" t="b">
        <f>IFERROR(IF(MATCH(B361,RECETAS!$A$2:$A$1700,0) &lt;&gt; "", TRUE,""),FALSE)</f>
        <v>0</v>
      </c>
      <c r="B361" t="e">
        <f>TRANSPOSE(T2_[Recuento de T2 0])</f>
        <v>#VALUE!</v>
      </c>
    </row>
    <row r="362" spans="1:2" x14ac:dyDescent="0.25">
      <c r="A362" t="b">
        <f>IFERROR(IF(MATCH(B362,RECETAS!$A$2:$A$1700,0) &lt;&gt; "", TRUE,""),FALSE)</f>
        <v>0</v>
      </c>
      <c r="B362" t="e">
        <f>TRANSPOSE(T2_[Recuento de T2 0])</f>
        <v>#VALUE!</v>
      </c>
    </row>
    <row r="363" spans="1:2" x14ac:dyDescent="0.25">
      <c r="A363" t="b">
        <f>IFERROR(IF(MATCH(B363,RECETAS!$A$2:$A$1700,0) &lt;&gt; "", TRUE,""),FALSE)</f>
        <v>0</v>
      </c>
      <c r="B363" t="e">
        <f>TRANSPOSE(T2_[Recuento de T2 0])</f>
        <v>#VALUE!</v>
      </c>
    </row>
    <row r="364" spans="1:2" x14ac:dyDescent="0.25">
      <c r="A364" t="b">
        <f>IFERROR(IF(MATCH(B364,RECETAS!$A$2:$A$1700,0) &lt;&gt; "", TRUE,""),FALSE)</f>
        <v>0</v>
      </c>
      <c r="B364" t="e">
        <f>TRANSPOSE(T2_[Recuento de T2 0])</f>
        <v>#VALUE!</v>
      </c>
    </row>
    <row r="365" spans="1:2" x14ac:dyDescent="0.25">
      <c r="A365" t="b">
        <f>IFERROR(IF(MATCH(B365,RECETAS!$A$2:$A$1700,0) &lt;&gt; "", TRUE,""),FALSE)</f>
        <v>0</v>
      </c>
      <c r="B365" t="e">
        <f>TRANSPOSE(T2_[Recuento de T2 0])</f>
        <v>#VALUE!</v>
      </c>
    </row>
    <row r="366" spans="1:2" x14ac:dyDescent="0.25">
      <c r="A366" t="b">
        <f>IFERROR(IF(MATCH(B366,RECETAS!$A$2:$A$1700,0) &lt;&gt; "", TRUE,""),FALSE)</f>
        <v>0</v>
      </c>
      <c r="B366" t="e">
        <f>TRANSPOSE(T2_[Recuento de T2 0])</f>
        <v>#VALUE!</v>
      </c>
    </row>
    <row r="367" spans="1:2" x14ac:dyDescent="0.25">
      <c r="A367" t="b">
        <f>IFERROR(IF(MATCH(B367,RECETAS!$A$2:$A$1700,0) &lt;&gt; "", TRUE,""),FALSE)</f>
        <v>0</v>
      </c>
      <c r="B367" t="e">
        <f>TRANSPOSE(T2_[Recuento de T2 0])</f>
        <v>#VALUE!</v>
      </c>
    </row>
    <row r="368" spans="1:2" x14ac:dyDescent="0.25">
      <c r="A368" t="b">
        <f>IFERROR(IF(MATCH(B368,RECETAS!$A$2:$A$1700,0) &lt;&gt; "", TRUE,""),FALSE)</f>
        <v>0</v>
      </c>
      <c r="B368" t="e">
        <f>TRANSPOSE(T2_[Recuento de T2 0])</f>
        <v>#VALUE!</v>
      </c>
    </row>
    <row r="369" spans="1:2" x14ac:dyDescent="0.25">
      <c r="A369" t="b">
        <f>IFERROR(IF(MATCH(B369,RECETAS!$A$2:$A$1700,0) &lt;&gt; "", TRUE,""),FALSE)</f>
        <v>0</v>
      </c>
      <c r="B369" t="e">
        <f>TRANSPOSE(T2_[Recuento de T2 0])</f>
        <v>#VALUE!</v>
      </c>
    </row>
    <row r="370" spans="1:2" x14ac:dyDescent="0.25">
      <c r="A370" t="b">
        <f>IFERROR(IF(MATCH(B370,RECETAS!$A$2:$A$1700,0) &lt;&gt; "", TRUE,""),FALSE)</f>
        <v>0</v>
      </c>
      <c r="B370" t="e">
        <f>TRANSPOSE(T2_[Recuento de T2 0])</f>
        <v>#VALUE!</v>
      </c>
    </row>
    <row r="371" spans="1:2" x14ac:dyDescent="0.25">
      <c r="A371" t="b">
        <f>IFERROR(IF(MATCH(B371,RECETAS!$A$2:$A$1700,0) &lt;&gt; "", TRUE,""),FALSE)</f>
        <v>0</v>
      </c>
      <c r="B371" t="e">
        <f>TRANSPOSE(T2_[Recuento de T2 0])</f>
        <v>#VALUE!</v>
      </c>
    </row>
    <row r="372" spans="1:2" x14ac:dyDescent="0.25">
      <c r="A372" t="b">
        <f>IFERROR(IF(MATCH(B372,RECETAS!$A$2:$A$1700,0) &lt;&gt; "", TRUE,""),FALSE)</f>
        <v>0</v>
      </c>
      <c r="B372" t="e">
        <f>TRANSPOSE(T2_[Recuento de T2 0])</f>
        <v>#VALUE!</v>
      </c>
    </row>
    <row r="373" spans="1:2" x14ac:dyDescent="0.25">
      <c r="A373" t="b">
        <f>IFERROR(IF(MATCH(B373,RECETAS!$A$2:$A$1700,0) &lt;&gt; "", TRUE,""),FALSE)</f>
        <v>0</v>
      </c>
      <c r="B373" t="e">
        <f>TRANSPOSE(T2_[Recuento de T2 0])</f>
        <v>#VALUE!</v>
      </c>
    </row>
    <row r="374" spans="1:2" x14ac:dyDescent="0.25">
      <c r="A374" t="b">
        <f>IFERROR(IF(MATCH(B374,RECETAS!$A$2:$A$1700,0) &lt;&gt; "", TRUE,""),FALSE)</f>
        <v>0</v>
      </c>
      <c r="B374" t="e">
        <f>TRANSPOSE(T2_[Recuento de T2 0])</f>
        <v>#VALUE!</v>
      </c>
    </row>
    <row r="375" spans="1:2" x14ac:dyDescent="0.25">
      <c r="A375" t="b">
        <f>IFERROR(IF(MATCH(B375,RECETAS!$A$2:$A$1700,0) &lt;&gt; "", TRUE,""),FALSE)</f>
        <v>0</v>
      </c>
      <c r="B375" t="e">
        <f>TRANSPOSE(T2_[Recuento de T2 0])</f>
        <v>#VALUE!</v>
      </c>
    </row>
    <row r="376" spans="1:2" x14ac:dyDescent="0.25">
      <c r="A376" t="b">
        <f>IFERROR(IF(MATCH(B376,RECETAS!$A$2:$A$1700,0) &lt;&gt; "", TRUE,""),FALSE)</f>
        <v>0</v>
      </c>
      <c r="B376" t="e">
        <f>TRANSPOSE(T2_[Recuento de T2 0])</f>
        <v>#VALUE!</v>
      </c>
    </row>
    <row r="377" spans="1:2" x14ac:dyDescent="0.25">
      <c r="A377" t="b">
        <f>IFERROR(IF(MATCH(B377,RECETAS!$A$2:$A$1700,0) &lt;&gt; "", TRUE,""),FALSE)</f>
        <v>0</v>
      </c>
      <c r="B377" t="e">
        <f>TRANSPOSE(T2_[Recuento de T2 0])</f>
        <v>#VALUE!</v>
      </c>
    </row>
    <row r="378" spans="1:2" x14ac:dyDescent="0.25">
      <c r="A378" t="b">
        <f>IFERROR(IF(MATCH(B378,RECETAS!$A$2:$A$1700,0) &lt;&gt; "", TRUE,""),FALSE)</f>
        <v>0</v>
      </c>
      <c r="B378" t="e">
        <f>TRANSPOSE(T2_[Recuento de T2 0])</f>
        <v>#VALUE!</v>
      </c>
    </row>
    <row r="379" spans="1:2" x14ac:dyDescent="0.25">
      <c r="A379" t="b">
        <f>IFERROR(IF(MATCH(B379,RECETAS!$A$2:$A$1700,0) &lt;&gt; "", TRUE,""),FALSE)</f>
        <v>0</v>
      </c>
      <c r="B379" t="e">
        <f>TRANSPOSE(T2_[Recuento de T2 0])</f>
        <v>#VALUE!</v>
      </c>
    </row>
    <row r="380" spans="1:2" x14ac:dyDescent="0.25">
      <c r="A380" t="b">
        <f>IFERROR(IF(MATCH(B380,RECETAS!$A$2:$A$1700,0) &lt;&gt; "", TRUE,""),FALSE)</f>
        <v>0</v>
      </c>
      <c r="B380" t="e">
        <f>TRANSPOSE(T2_[Recuento de T2 0])</f>
        <v>#VALUE!</v>
      </c>
    </row>
    <row r="381" spans="1:2" x14ac:dyDescent="0.25">
      <c r="A381" t="b">
        <f>IFERROR(IF(MATCH(B381,RECETAS!$A$2:$A$1700,0) &lt;&gt; "", TRUE,""),FALSE)</f>
        <v>0</v>
      </c>
      <c r="B381" t="e">
        <f>TRANSPOSE(T2_[Recuento de T2 0])</f>
        <v>#VALUE!</v>
      </c>
    </row>
    <row r="382" spans="1:2" x14ac:dyDescent="0.25">
      <c r="A382" t="b">
        <f>IFERROR(IF(MATCH(B382,RECETAS!$A$2:$A$1700,0) &lt;&gt; "", TRUE,""),FALSE)</f>
        <v>0</v>
      </c>
      <c r="B382" t="e">
        <f>TRANSPOSE(T2_[Recuento de T2 0])</f>
        <v>#VALUE!</v>
      </c>
    </row>
    <row r="383" spans="1:2" x14ac:dyDescent="0.25">
      <c r="A383" t="b">
        <f>IFERROR(IF(MATCH(B383,RECETAS!$A$2:$A$1700,0) &lt;&gt; "", TRUE,""),FALSE)</f>
        <v>0</v>
      </c>
      <c r="B383" t="e">
        <f>TRANSPOSE(T2_[Recuento de T2 0])</f>
        <v>#VALUE!</v>
      </c>
    </row>
    <row r="384" spans="1:2" x14ac:dyDescent="0.25">
      <c r="A384" t="b">
        <f>IFERROR(IF(MATCH(B384,RECETAS!$A$2:$A$1700,0) &lt;&gt; "", TRUE,""),FALSE)</f>
        <v>0</v>
      </c>
      <c r="B384" t="e">
        <f>TRANSPOSE(T2_[Recuento de T2 0])</f>
        <v>#VALUE!</v>
      </c>
    </row>
    <row r="385" spans="1:2" x14ac:dyDescent="0.25">
      <c r="A385" t="b">
        <f>IFERROR(IF(MATCH(B385,RECETAS!$A$2:$A$1700,0) &lt;&gt; "", TRUE,""),FALSE)</f>
        <v>0</v>
      </c>
      <c r="B385" t="e">
        <f>TRANSPOSE(T2_[Recuento de T2 0])</f>
        <v>#VALUE!</v>
      </c>
    </row>
    <row r="386" spans="1:2" x14ac:dyDescent="0.25">
      <c r="A386" t="b">
        <f>IFERROR(IF(MATCH(B386,RECETAS!$A$2:$A$1700,0) &lt;&gt; "", TRUE,""),FALSE)</f>
        <v>0</v>
      </c>
      <c r="B386" t="e">
        <f>TRANSPOSE(T2_[Recuento de T2 0])</f>
        <v>#VALUE!</v>
      </c>
    </row>
    <row r="387" spans="1:2" x14ac:dyDescent="0.25">
      <c r="A387" t="b">
        <f>IFERROR(IF(MATCH(B387,RECETAS!$A$2:$A$1700,0) &lt;&gt; "", TRUE,""),FALSE)</f>
        <v>0</v>
      </c>
      <c r="B387" t="e">
        <f>TRANSPOSE(T2_[Recuento de T2 0])</f>
        <v>#VALUE!</v>
      </c>
    </row>
    <row r="388" spans="1:2" x14ac:dyDescent="0.25">
      <c r="A388" t="b">
        <f>IFERROR(IF(MATCH(B388,RECETAS!$A$2:$A$1700,0) &lt;&gt; "", TRUE,""),FALSE)</f>
        <v>0</v>
      </c>
      <c r="B388" t="e">
        <f>TRANSPOSE(T2_[Recuento de T2 0])</f>
        <v>#VALUE!</v>
      </c>
    </row>
    <row r="389" spans="1:2" x14ac:dyDescent="0.25">
      <c r="A389" t="b">
        <f>IFERROR(IF(MATCH(B389,RECETAS!$A$2:$A$1700,0) &lt;&gt; "", TRUE,""),FALSE)</f>
        <v>0</v>
      </c>
      <c r="B389" t="e">
        <f>TRANSPOSE(T2_[Recuento de T2 0])</f>
        <v>#VALUE!</v>
      </c>
    </row>
    <row r="390" spans="1:2" x14ac:dyDescent="0.25">
      <c r="A390" t="b">
        <f>IFERROR(IF(MATCH(B390,RECETAS!$A$2:$A$1700,0) &lt;&gt; "", TRUE,""),FALSE)</f>
        <v>0</v>
      </c>
      <c r="B390" t="e">
        <f>TRANSPOSE(T2_[Recuento de T2 0])</f>
        <v>#VALUE!</v>
      </c>
    </row>
    <row r="391" spans="1:2" x14ac:dyDescent="0.25">
      <c r="A391" t="b">
        <f>IFERROR(IF(MATCH(B391,RECETAS!$A$2:$A$1700,0) &lt;&gt; "", TRUE,""),FALSE)</f>
        <v>0</v>
      </c>
      <c r="B391" t="e">
        <f>TRANSPOSE(T2_[Recuento de T2 0])</f>
        <v>#VALUE!</v>
      </c>
    </row>
    <row r="392" spans="1:2" x14ac:dyDescent="0.25">
      <c r="A392" t="b">
        <f>IFERROR(IF(MATCH(B392,RECETAS!$A$2:$A$1700,0) &lt;&gt; "", TRUE,""),FALSE)</f>
        <v>0</v>
      </c>
      <c r="B392" t="e">
        <f>TRANSPOSE(T2_[Recuento de T2 0])</f>
        <v>#VALUE!</v>
      </c>
    </row>
    <row r="393" spans="1:2" x14ac:dyDescent="0.25">
      <c r="A393" t="b">
        <f>IFERROR(IF(MATCH(B393,RECETAS!$A$2:$A$1700,0) &lt;&gt; "", TRUE,""),FALSE)</f>
        <v>0</v>
      </c>
      <c r="B393" t="e">
        <f>TRANSPOSE(T2_[Recuento de T2 0])</f>
        <v>#VALUE!</v>
      </c>
    </row>
    <row r="394" spans="1:2" x14ac:dyDescent="0.25">
      <c r="A394" t="b">
        <f>IFERROR(IF(MATCH(B394,RECETAS!$A$2:$A$1700,0) &lt;&gt; "", TRUE,""),FALSE)</f>
        <v>0</v>
      </c>
      <c r="B394" t="e">
        <f>TRANSPOSE(T2_[Recuento de T2 0])</f>
        <v>#VALUE!</v>
      </c>
    </row>
    <row r="395" spans="1:2" x14ac:dyDescent="0.25">
      <c r="A395" t="b">
        <f>IFERROR(IF(MATCH(B395,RECETAS!$A$2:$A$1700,0) &lt;&gt; "", TRUE,""),FALSE)</f>
        <v>0</v>
      </c>
      <c r="B395" t="e">
        <f>TRANSPOSE(T2_[Recuento de T2 0])</f>
        <v>#VALUE!</v>
      </c>
    </row>
    <row r="396" spans="1:2" x14ac:dyDescent="0.25">
      <c r="A396" t="b">
        <f>IFERROR(IF(MATCH(B396,RECETAS!$A$2:$A$1700,0) &lt;&gt; "", TRUE,""),FALSE)</f>
        <v>0</v>
      </c>
      <c r="B396" t="e">
        <f>TRANSPOSE(T2_[Recuento de T2 0])</f>
        <v>#VALUE!</v>
      </c>
    </row>
    <row r="397" spans="1:2" x14ac:dyDescent="0.25">
      <c r="A397" t="b">
        <f>IFERROR(IF(MATCH(B397,RECETAS!$A$2:$A$1700,0) &lt;&gt; "", TRUE,""),FALSE)</f>
        <v>0</v>
      </c>
      <c r="B397" t="e">
        <f>TRANSPOSE(T2_[Recuento de T2 0])</f>
        <v>#VALUE!</v>
      </c>
    </row>
    <row r="398" spans="1:2" x14ac:dyDescent="0.25">
      <c r="A398" t="b">
        <f>IFERROR(IF(MATCH(B398,RECETAS!$A$2:$A$1700,0) &lt;&gt; "", TRUE,""),FALSE)</f>
        <v>0</v>
      </c>
      <c r="B398" t="e">
        <f>TRANSPOSE(T2_[Recuento de T2 0])</f>
        <v>#VALUE!</v>
      </c>
    </row>
    <row r="399" spans="1:2" x14ac:dyDescent="0.25">
      <c r="A399" t="b">
        <f>IFERROR(IF(MATCH(B399,RECETAS!$A$2:$A$1700,0) &lt;&gt; "", TRUE,""),FALSE)</f>
        <v>0</v>
      </c>
      <c r="B399" t="e">
        <f>TRANSPOSE(T2_[Recuento de T2 0])</f>
        <v>#VALUE!</v>
      </c>
    </row>
    <row r="400" spans="1:2" x14ac:dyDescent="0.25">
      <c r="A400" t="b">
        <f>IFERROR(IF(MATCH(B400,RECETAS!$A$2:$A$1700,0) &lt;&gt; "", TRUE,""),FALSE)</f>
        <v>0</v>
      </c>
      <c r="B400" t="e">
        <f>TRANSPOSE(T2_[Recuento de T2 0])</f>
        <v>#VALUE!</v>
      </c>
    </row>
  </sheetData>
  <conditionalFormatting sqref="A3:A400">
    <cfRule type="cellIs" dxfId="46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89F46-17B0-4811-A981-E6CDAB72171A}">
  <dimension ref="A1:B3"/>
  <sheetViews>
    <sheetView workbookViewId="0"/>
  </sheetViews>
  <sheetFormatPr baseColWidth="10" defaultRowHeight="15" x14ac:dyDescent="0.25"/>
  <cols>
    <col min="1" max="1" width="17.5703125" bestFit="1" customWidth="1"/>
    <col min="2" max="2" width="18.42578125" bestFit="1" customWidth="1"/>
  </cols>
  <sheetData>
    <row r="1" spans="1:2" x14ac:dyDescent="0.25">
      <c r="A1" t="s">
        <v>897</v>
      </c>
      <c r="B1" t="s">
        <v>1032</v>
      </c>
    </row>
    <row r="2" spans="1:2" x14ac:dyDescent="0.25">
      <c r="A2" s="250" t="s">
        <v>1033</v>
      </c>
      <c r="B2">
        <v>3783</v>
      </c>
    </row>
    <row r="3" spans="1:2" x14ac:dyDescent="0.25">
      <c r="A3" s="250" t="s">
        <v>1031</v>
      </c>
      <c r="B3">
        <v>3783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6C5C7-ACDC-4E63-8E5D-C5573FA30B50}">
  <sheetPr codeName="Hoja6"/>
  <dimension ref="A2:C400"/>
  <sheetViews>
    <sheetView zoomScale="90" zoomScaleNormal="90" workbookViewId="0">
      <selection activeCell="B3" sqref="B3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1</v>
      </c>
      <c r="B3" t="str">
        <f>TRANSPOSE(T3_[Etiquetas de fila])</f>
        <v>2 Shot Tequila Jimador</v>
      </c>
      <c r="C3">
        <f>TRANSPOSE(T3_[Recuento de T3 CODIGO])</f>
        <v>5</v>
      </c>
    </row>
    <row r="4" spans="1:3" x14ac:dyDescent="0.25">
      <c r="A4" t="b">
        <f>IFERROR(IF(MATCH(B4,RECETAS!$A$2:$A$1700,0) &lt;&gt; "", TRUE,""),FALSE)</f>
        <v>1</v>
      </c>
      <c r="B4" t="str">
        <f>TRANSPOSE(T3_[Etiquetas de fila])</f>
        <v>Absolut Blue</v>
      </c>
      <c r="C4">
        <f>TRANSPOSE(T3_[Recuento de T3 CODIGO])</f>
        <v>3</v>
      </c>
    </row>
    <row r="5" spans="1:3" x14ac:dyDescent="0.25">
      <c r="A5" t="b">
        <f>IFERROR(IF(MATCH(B5,RECETAS!$A$2:$A$1700,0) &lt;&gt; "", TRUE,""),FALSE)</f>
        <v>1</v>
      </c>
      <c r="B5" t="str">
        <f>TRANSPOSE(T3_[Etiquetas de fila])</f>
        <v>Absolut Razz</v>
      </c>
      <c r="C5">
        <f>TRANSPOSE(T3_[Recuento de T3 CODIGO])</f>
        <v>1</v>
      </c>
    </row>
    <row r="6" spans="1:3" x14ac:dyDescent="0.25">
      <c r="A6" t="b">
        <f>IFERROR(IF(MATCH(B6,RECETAS!$A$2:$A$1700,0) &lt;&gt; "", TRUE,""),FALSE)</f>
        <v>0</v>
      </c>
      <c r="B6" t="str">
        <f>TRANSPOSE(T3_[Etiquetas de fila])</f>
        <v>AJI VERDE SOUR</v>
      </c>
      <c r="C6">
        <f>TRANSPOSE(T3_[Recuento de T3 CODIGO])</f>
        <v>7</v>
      </c>
    </row>
    <row r="7" spans="1:3" x14ac:dyDescent="0.25">
      <c r="A7" t="b">
        <f>IFERROR(IF(MATCH(B7,RECETAS!$A$2:$A$1700,0) &lt;&gt; "", TRUE,""),FALSE)</f>
        <v>1</v>
      </c>
      <c r="B7" t="str">
        <f>TRANSPOSE(T3_[Etiquetas de fila])</f>
        <v>Alto 40° Transparente</v>
      </c>
      <c r="C7">
        <f>TRANSPOSE(T3_[Recuento de T3 CODIGO])</f>
        <v>8</v>
      </c>
    </row>
    <row r="8" spans="1:3" x14ac:dyDescent="0.25">
      <c r="A8" t="b">
        <f>IFERROR(IF(MATCH(B8,RECETAS!$A$2:$A$1700,0) &lt;&gt; "", TRUE,""),FALSE)</f>
        <v>1</v>
      </c>
      <c r="B8" t="str">
        <f>TRANSPOSE(T3_[Etiquetas de fila])</f>
        <v>Alto del Carmen 35°</v>
      </c>
      <c r="C8">
        <f>TRANSPOSE(T3_[Recuento de T3 CODIGO])</f>
        <v>21</v>
      </c>
    </row>
    <row r="9" spans="1:3" x14ac:dyDescent="0.25">
      <c r="A9" t="b">
        <f>IFERROR(IF(MATCH(B9,RECETAS!$A$2:$A$1700,0) &lt;&gt; "", TRUE,""),FALSE)</f>
        <v>1</v>
      </c>
      <c r="B9" t="str">
        <f>TRANSPOSE(T3_[Etiquetas de fila])</f>
        <v>Alto del Carmen 40°</v>
      </c>
      <c r="C9">
        <f>TRANSPOSE(T3_[Recuento de T3 CODIGO])</f>
        <v>6</v>
      </c>
    </row>
    <row r="10" spans="1:3" x14ac:dyDescent="0.25">
      <c r="A10" t="b">
        <f>IFERROR(IF(MATCH(B10,RECETAS!$A$2:$A$1700,0) &lt;&gt; "", TRUE,""),FALSE)</f>
        <v>1</v>
      </c>
      <c r="B10" t="str">
        <f>TRANSPOSE(T3_[Etiquetas de fila])</f>
        <v>Aperol Spritz</v>
      </c>
      <c r="C10">
        <f>TRANSPOSE(T3_[Recuento de T3 CODIGO])</f>
        <v>13</v>
      </c>
    </row>
    <row r="11" spans="1:3" x14ac:dyDescent="0.25">
      <c r="A11" t="b">
        <f>IFERROR(IF(MATCH(B11,RECETAS!$A$2:$A$1700,0) &lt;&gt; "", TRUE,""),FALSE)</f>
        <v>0</v>
      </c>
      <c r="B11" t="str">
        <f>TRANSPOSE(T3_[Etiquetas de fila])</f>
        <v>AROS DE CEBOLLA APANADO</v>
      </c>
      <c r="C11">
        <f>TRANSPOSE(T3_[Recuento de T3 CODIGO])</f>
        <v>3</v>
      </c>
    </row>
    <row r="12" spans="1:3" x14ac:dyDescent="0.25">
      <c r="A12" t="b">
        <f>IFERROR(IF(MATCH(B12,RECETAS!$A$2:$A$1700,0) &lt;&gt; "", TRUE,""),FALSE)</f>
        <v>1</v>
      </c>
      <c r="B12" t="str">
        <f>TRANSPOSE(T3_[Etiquetas de fila])</f>
        <v>Atardecer de Plata</v>
      </c>
      <c r="C12">
        <f>TRANSPOSE(T3_[Recuento de T3 CODIGO])</f>
        <v>2</v>
      </c>
    </row>
    <row r="13" spans="1:3" x14ac:dyDescent="0.25">
      <c r="A13" t="b">
        <f>IFERROR(IF(MATCH(B13,RECETAS!$A$2:$A$1700,0) &lt;&gt; "", TRUE,""),FALSE)</f>
        <v>1</v>
      </c>
      <c r="B13" t="str">
        <f>TRANSPOSE(T3_[Etiquetas de fila])</f>
        <v>Beefeater</v>
      </c>
      <c r="C13">
        <f>TRANSPOSE(T3_[Recuento de T3 CODIGO])</f>
        <v>4</v>
      </c>
    </row>
    <row r="14" spans="1:3" x14ac:dyDescent="0.25">
      <c r="A14" t="b">
        <f>IFERROR(IF(MATCH(B14,RECETAS!$A$2:$A$1700,0) &lt;&gt; "", TRUE,""),FALSE)</f>
        <v>1</v>
      </c>
      <c r="B14" t="str">
        <f>TRANSPOSE(T3_[Etiquetas de fila])</f>
        <v>Big Mechada</v>
      </c>
      <c r="C14">
        <f>TRANSPOSE(T3_[Recuento de T3 CODIGO])</f>
        <v>21</v>
      </c>
    </row>
    <row r="15" spans="1:3" x14ac:dyDescent="0.25">
      <c r="A15" t="b">
        <f>IFERROR(IF(MATCH(B15,RECETAS!$A$2:$A$1700,0) &lt;&gt; "", TRUE,""),FALSE)</f>
        <v>1</v>
      </c>
      <c r="B15" t="str">
        <f>TRANSPOSE(T3_[Etiquetas de fila])</f>
        <v>Black Russian</v>
      </c>
      <c r="C15">
        <f>TRANSPOSE(T3_[Recuento de T3 CODIGO])</f>
        <v>2</v>
      </c>
    </row>
    <row r="16" spans="1:3" x14ac:dyDescent="0.25">
      <c r="A16" t="b">
        <f>IFERROR(IF(MATCH(B16,RECETAS!$A$2:$A$1700,0) &lt;&gt; "", TRUE,""),FALSE)</f>
        <v>1</v>
      </c>
      <c r="B16" t="str">
        <f>TRANSPOSE(T3_[Etiquetas de fila])</f>
        <v>Brownie con Helado</v>
      </c>
      <c r="C16">
        <f>TRANSPOSE(T3_[Recuento de T3 CODIGO])</f>
        <v>5</v>
      </c>
    </row>
    <row r="17" spans="1:3" x14ac:dyDescent="0.25">
      <c r="A17" t="b">
        <f>IFERROR(IF(MATCH(B17,RECETAS!$A$2:$A$1700,0) &lt;&gt; "", TRUE,""),FALSE)</f>
        <v>1</v>
      </c>
      <c r="B17" t="str">
        <f>TRANSPOSE(T3_[Etiquetas de fila])</f>
        <v>Brujas de Salamanca 35°</v>
      </c>
      <c r="C17">
        <f>TRANSPOSE(T3_[Recuento de T3 CODIGO])</f>
        <v>1</v>
      </c>
    </row>
    <row r="18" spans="1:3" x14ac:dyDescent="0.25">
      <c r="A18" t="b">
        <f>IFERROR(IF(MATCH(B18,RECETAS!$A$2:$A$1700,0) &lt;&gt; "", TRUE,""),FALSE)</f>
        <v>1</v>
      </c>
      <c r="B18" t="str">
        <f>TRANSPOSE(T3_[Etiquetas de fila])</f>
        <v>Brujas de Salamanca 40°</v>
      </c>
      <c r="C18">
        <f>TRANSPOSE(T3_[Recuento de T3 CODIGO])</f>
        <v>1</v>
      </c>
    </row>
    <row r="19" spans="1:3" x14ac:dyDescent="0.25">
      <c r="A19" t="b">
        <f>IFERROR(IF(MATCH(B19,RECETAS!$A$2:$A$1700,0) &lt;&gt; "", TRUE,""),FALSE)</f>
        <v>1</v>
      </c>
      <c r="B19" t="str">
        <f>TRANSPOSE(T3_[Etiquetas de fila])</f>
        <v>Budweiser</v>
      </c>
      <c r="C19">
        <f>TRANSPOSE(T3_[Recuento de T3 CODIGO])</f>
        <v>5</v>
      </c>
    </row>
    <row r="20" spans="1:3" x14ac:dyDescent="0.25">
      <c r="A20" t="b">
        <f>IFERROR(IF(MATCH(B20,RECETAS!$A$2:$A$1700,0) &lt;&gt; "", TRUE,""),FALSE)</f>
        <v>0</v>
      </c>
      <c r="B20" t="str">
        <f>TRANSPOSE(T3_[Etiquetas de fila])</f>
        <v>Cafe Americano</v>
      </c>
      <c r="C20">
        <f>TRANSPOSE(T3_[Recuento de T3 CODIGO])</f>
        <v>1</v>
      </c>
    </row>
    <row r="21" spans="1:3" x14ac:dyDescent="0.25">
      <c r="A21" t="b">
        <f>IFERROR(IF(MATCH(B21,RECETAS!$A$2:$A$1700,0) &lt;&gt; "", TRUE,""),FALSE)</f>
        <v>1</v>
      </c>
      <c r="B21" t="str">
        <f>TRANSPOSE(T3_[Etiquetas de fila])</f>
        <v>Cafe Simple</v>
      </c>
      <c r="C21">
        <f>TRANSPOSE(T3_[Recuento de T3 CODIGO])</f>
        <v>1</v>
      </c>
    </row>
    <row r="22" spans="1:3" x14ac:dyDescent="0.25">
      <c r="A22" t="b">
        <f>IFERROR(IF(MATCH(B22,RECETAS!$A$2:$A$1700,0) &lt;&gt; "", TRUE,""),FALSE)</f>
        <v>1</v>
      </c>
      <c r="B22" t="str">
        <f>TRANSPOSE(T3_[Etiquetas de fila])</f>
        <v>Caipirinha Frambuesa</v>
      </c>
      <c r="C22">
        <f>TRANSPOSE(T3_[Recuento de T3 CODIGO])</f>
        <v>2</v>
      </c>
    </row>
    <row r="23" spans="1:3" x14ac:dyDescent="0.25">
      <c r="A23" t="b">
        <f>IFERROR(IF(MATCH(B23,RECETAS!$A$2:$A$1700,0) &lt;&gt; "", TRUE,""),FALSE)</f>
        <v>1</v>
      </c>
      <c r="B23" t="str">
        <f>TRANSPOSE(T3_[Etiquetas de fila])</f>
        <v>Caipirinha Frutilla</v>
      </c>
      <c r="C23">
        <f>TRANSPOSE(T3_[Recuento de T3 CODIGO])</f>
        <v>3</v>
      </c>
    </row>
    <row r="24" spans="1:3" x14ac:dyDescent="0.25">
      <c r="A24" t="b">
        <f>IFERROR(IF(MATCH(B24,RECETAS!$A$2:$A$1700,0) &lt;&gt; "", TRUE,""),FALSE)</f>
        <v>1</v>
      </c>
      <c r="B24" t="str">
        <f>TRANSPOSE(T3_[Etiquetas de fila])</f>
        <v>Caipirinha Mango</v>
      </c>
      <c r="C24">
        <f>TRANSPOSE(T3_[Recuento de T3 CODIGO])</f>
        <v>1</v>
      </c>
    </row>
    <row r="25" spans="1:3" x14ac:dyDescent="0.25">
      <c r="A25" t="b">
        <f>IFERROR(IF(MATCH(B25,RECETAS!$A$2:$A$1700,0) &lt;&gt; "", TRUE,""),FALSE)</f>
        <v>0</v>
      </c>
      <c r="B25" t="str">
        <f>TRANSPOSE(T3_[Etiquetas de fila])</f>
        <v>Caipirinha Sabores 2X</v>
      </c>
      <c r="C25">
        <f>TRANSPOSE(T3_[Recuento de T3 CODIGO])</f>
        <v>5</v>
      </c>
    </row>
    <row r="26" spans="1:3" x14ac:dyDescent="0.25">
      <c r="A26" t="b">
        <f>IFERROR(IF(MATCH(B26,RECETAS!$A$2:$A$1700,0) &lt;&gt; "", TRUE,""),FALSE)</f>
        <v>1</v>
      </c>
      <c r="B26" t="str">
        <f>TRANSPOSE(T3_[Etiquetas de fila])</f>
        <v>Caipirinha Tradicional</v>
      </c>
      <c r="C26">
        <f>TRANSPOSE(T3_[Recuento de T3 CODIGO])</f>
        <v>5</v>
      </c>
    </row>
    <row r="27" spans="1:3" x14ac:dyDescent="0.25">
      <c r="A27" t="b">
        <f>IFERROR(IF(MATCH(B27,RECETAS!$A$2:$A$1700,0) &lt;&gt; "", TRUE,""),FALSE)</f>
        <v>1</v>
      </c>
      <c r="B27" t="str">
        <f>TRANSPOSE(T3_[Etiquetas de fila])</f>
        <v>Caipiroska Tradicional</v>
      </c>
      <c r="C27">
        <f>TRANSPOSE(T3_[Recuento de T3 CODIGO])</f>
        <v>2</v>
      </c>
    </row>
    <row r="28" spans="1:3" x14ac:dyDescent="0.25">
      <c r="A28" t="b">
        <f>IFERROR(IF(MATCH(B28,RECETAS!$A$2:$A$1700,0) &lt;&gt; "", TRUE,""),FALSE)</f>
        <v>1</v>
      </c>
      <c r="B28" t="str">
        <f>TRANSPOSE(T3_[Etiquetas de fila])</f>
        <v>Caiproska Frambuesa</v>
      </c>
      <c r="C28">
        <f>TRANSPOSE(T3_[Recuento de T3 CODIGO])</f>
        <v>2</v>
      </c>
    </row>
    <row r="29" spans="1:3" x14ac:dyDescent="0.25">
      <c r="A29" t="b">
        <f>IFERROR(IF(MATCH(B29,RECETAS!$A$2:$A$1700,0) &lt;&gt; "", TRUE,""),FALSE)</f>
        <v>0</v>
      </c>
      <c r="B29" t="str">
        <f>TRANSPOSE(T3_[Etiquetas de fila])</f>
        <v>Camarones al Pil Pil</v>
      </c>
      <c r="C29">
        <f>TRANSPOSE(T3_[Recuento de T3 CODIGO])</f>
        <v>7</v>
      </c>
    </row>
    <row r="30" spans="1:3" x14ac:dyDescent="0.25">
      <c r="A30" t="b">
        <f>IFERROR(IF(MATCH(B30,RECETAS!$A$2:$A$1700,0) &lt;&gt; "", TRUE,""),FALSE)</f>
        <v>0</v>
      </c>
      <c r="B30" t="str">
        <f>TRANSPOSE(T3_[Etiquetas de fila])</f>
        <v>CARIÑOSITO</v>
      </c>
      <c r="C30">
        <f>TRANSPOSE(T3_[Recuento de T3 CODIGO])</f>
        <v>4</v>
      </c>
    </row>
    <row r="31" spans="1:3" x14ac:dyDescent="0.25">
      <c r="A31" t="b">
        <f>IFERROR(IF(MATCH(B31,RECETAS!$A$2:$A$1700,0) &lt;&gt; "", TRUE,""),FALSE)</f>
        <v>1</v>
      </c>
      <c r="B31" t="str">
        <f>TRANSPOSE(T3_[Etiquetas de fila])</f>
        <v>Ceviche Mixto</v>
      </c>
      <c r="C31">
        <f>TRANSPOSE(T3_[Recuento de T3 CODIGO])</f>
        <v>4</v>
      </c>
    </row>
    <row r="32" spans="1:3" x14ac:dyDescent="0.25">
      <c r="A32" t="b">
        <f>IFERROR(IF(MATCH(B32,RECETAS!$A$2:$A$1700,0) &lt;&gt; "", TRUE,""),FALSE)</f>
        <v>0</v>
      </c>
      <c r="B32" t="str">
        <f>TRANSPOSE(T3_[Etiquetas de fila])</f>
        <v>CHARDONAY SOUR</v>
      </c>
      <c r="C32">
        <f>TRANSPOSE(T3_[Recuento de T3 CODIGO])</f>
        <v>9</v>
      </c>
    </row>
    <row r="33" spans="1:3" x14ac:dyDescent="0.25">
      <c r="A33" t="b">
        <f>IFERROR(IF(MATCH(B33,RECETAS!$A$2:$A$1700,0) &lt;&gt; "", TRUE,""),FALSE)</f>
        <v>0</v>
      </c>
      <c r="B33" t="str">
        <f>TRANSPOSE(T3_[Etiquetas de fila])</f>
        <v>Chardonnay Sour X2</v>
      </c>
      <c r="C33">
        <f>TRANSPOSE(T3_[Recuento de T3 CODIGO])</f>
        <v>2</v>
      </c>
    </row>
    <row r="34" spans="1:3" x14ac:dyDescent="0.25">
      <c r="A34" t="b">
        <f>IFERROR(IF(MATCH(B34,RECETAS!$A$2:$A$1700,0) &lt;&gt; "", TRUE,""),FALSE)</f>
        <v>1</v>
      </c>
      <c r="B34" t="str">
        <f>TRANSPOSE(T3_[Etiquetas de fila])</f>
        <v>Cheese Camarones</v>
      </c>
      <c r="C34">
        <f>TRANSPOSE(T3_[Recuento de T3 CODIGO])</f>
        <v>25</v>
      </c>
    </row>
    <row r="35" spans="1:3" x14ac:dyDescent="0.25">
      <c r="A35" t="b">
        <f>IFERROR(IF(MATCH(B35,RECETAS!$A$2:$A$1700,0) &lt;&gt; "", TRUE,""),FALSE)</f>
        <v>1</v>
      </c>
      <c r="B35" t="str">
        <f>TRANSPOSE(T3_[Etiquetas de fila])</f>
        <v>Cheese Champiñones</v>
      </c>
      <c r="C35">
        <f>TRANSPOSE(T3_[Recuento de T3 CODIGO])</f>
        <v>64</v>
      </c>
    </row>
    <row r="36" spans="1:3" x14ac:dyDescent="0.25">
      <c r="A36" t="b">
        <f>IFERROR(IF(MATCH(B36,RECETAS!$A$2:$A$1700,0) &lt;&gt; "", TRUE,""),FALSE)</f>
        <v>1</v>
      </c>
      <c r="B36" t="str">
        <f>TRANSPOSE(T3_[Etiquetas de fila])</f>
        <v>Cheese Fritas Grandes</v>
      </c>
      <c r="C36">
        <f>TRANSPOSE(T3_[Recuento de T3 CODIGO])</f>
        <v>19</v>
      </c>
    </row>
    <row r="37" spans="1:3" x14ac:dyDescent="0.25">
      <c r="A37" t="b">
        <f>IFERROR(IF(MATCH(B37,RECETAS!$A$2:$A$1700,0) &lt;&gt; "", TRUE,""),FALSE)</f>
        <v>1</v>
      </c>
      <c r="B37" t="str">
        <f>TRANSPOSE(T3_[Etiquetas de fila])</f>
        <v>Cheese Mechada</v>
      </c>
      <c r="C37">
        <f>TRANSPOSE(T3_[Recuento de T3 CODIGO])</f>
        <v>60</v>
      </c>
    </row>
    <row r="38" spans="1:3" x14ac:dyDescent="0.25">
      <c r="A38" t="b">
        <f>IFERROR(IF(MATCH(B38,RECETAS!$A$2:$A$1700,0) &lt;&gt; "", TRUE,""),FALSE)</f>
        <v>1</v>
      </c>
      <c r="B38" t="str">
        <f>TRANSPOSE(T3_[Etiquetas de fila])</f>
        <v>Cheese Teclados</v>
      </c>
      <c r="C38">
        <f>TRANSPOSE(T3_[Recuento de T3 CODIGO])</f>
        <v>93</v>
      </c>
    </row>
    <row r="39" spans="1:3" x14ac:dyDescent="0.25">
      <c r="A39" t="b">
        <f>IFERROR(IF(MATCH(B39,RECETAS!$A$2:$A$1700,0) &lt;&gt; "", TRUE,""),FALSE)</f>
        <v>1</v>
      </c>
      <c r="B39" t="str">
        <f>TRANSPOSE(T3_[Etiquetas de fila])</f>
        <v>Cheesecake</v>
      </c>
      <c r="C39">
        <f>TRANSPOSE(T3_[Recuento de T3 CODIGO])</f>
        <v>2</v>
      </c>
    </row>
    <row r="40" spans="1:3" x14ac:dyDescent="0.25">
      <c r="A40" t="b">
        <f>IFERROR(IF(MATCH(B40,RECETAS!$A$2:$A$1700,0) &lt;&gt; "", TRUE,""),FALSE)</f>
        <v>1</v>
      </c>
      <c r="B40" t="str">
        <f>TRANSPOSE(T3_[Etiquetas de fila])</f>
        <v>Chicken Finger</v>
      </c>
      <c r="C40">
        <f>TRANSPOSE(T3_[Recuento de T3 CODIGO])</f>
        <v>16</v>
      </c>
    </row>
    <row r="41" spans="1:3" x14ac:dyDescent="0.25">
      <c r="A41" t="b">
        <f>IFERROR(IF(MATCH(B41,RECETAS!$A$2:$A$1700,0) &lt;&gt; "", TRUE,""),FALSE)</f>
        <v>0</v>
      </c>
      <c r="B41" t="str">
        <f>TRANSPOSE(T3_[Etiquetas de fila])</f>
        <v>clasico</v>
      </c>
      <c r="C41">
        <f>TRANSPOSE(T3_[Recuento de T3 CODIGO])</f>
        <v>2</v>
      </c>
    </row>
    <row r="42" spans="1:3" x14ac:dyDescent="0.25">
      <c r="A42" t="b">
        <f>IFERROR(IF(MATCH(B42,RECETAS!$A$2:$A$1700,0) &lt;&gt; "", TRUE,""),FALSE)</f>
        <v>1</v>
      </c>
      <c r="B42" t="str">
        <f>TRANSPOSE(T3_[Etiquetas de fila])</f>
        <v>Clavo Oxidado</v>
      </c>
      <c r="C42">
        <f>TRANSPOSE(T3_[Recuento de T3 CODIGO])</f>
        <v>2</v>
      </c>
    </row>
    <row r="43" spans="1:3" x14ac:dyDescent="0.25">
      <c r="A43" t="b">
        <f>IFERROR(IF(MATCH(B43,RECETAS!$A$2:$A$1700,0) &lt;&gt; "", TRUE,""),FALSE)</f>
        <v>1</v>
      </c>
      <c r="B43" t="str">
        <f>TRANSPOSE(T3_[Etiquetas de fila])</f>
        <v>Coca Cola 350cc</v>
      </c>
      <c r="C43">
        <f>TRANSPOSE(T3_[Recuento de T3 CODIGO])</f>
        <v>54</v>
      </c>
    </row>
    <row r="44" spans="1:3" x14ac:dyDescent="0.25">
      <c r="A44" t="b">
        <f>IFERROR(IF(MATCH(B44,RECETAS!$A$2:$A$1700,0) &lt;&gt; "", TRUE,""),FALSE)</f>
        <v>1</v>
      </c>
      <c r="B44" t="str">
        <f>TRANSPOSE(T3_[Etiquetas de fila])</f>
        <v>Coca Cola Light 350cc</v>
      </c>
      <c r="C44">
        <f>TRANSPOSE(T3_[Recuento de T3 CODIGO])</f>
        <v>4</v>
      </c>
    </row>
    <row r="45" spans="1:3" x14ac:dyDescent="0.25">
      <c r="A45" t="b">
        <f>IFERROR(IF(MATCH(B45,RECETAS!$A$2:$A$1700,0) &lt;&gt; "", TRUE,""),FALSE)</f>
        <v>1</v>
      </c>
      <c r="B45" t="str">
        <f>TRANSPOSE(T3_[Etiquetas de fila])</f>
        <v>Coca Cola Zero  350cc</v>
      </c>
      <c r="C45">
        <f>TRANSPOSE(T3_[Recuento de T3 CODIGO])</f>
        <v>37</v>
      </c>
    </row>
    <row r="46" spans="1:3" x14ac:dyDescent="0.25">
      <c r="A46" t="b">
        <f>IFERROR(IF(MATCH(B46,RECETAS!$A$2:$A$1700,0) &lt;&gt; "", TRUE,""),FALSE)</f>
        <v>1</v>
      </c>
      <c r="B46" t="str">
        <f>TRANSPOSE(T3_[Etiquetas de fila])</f>
        <v>Corona</v>
      </c>
      <c r="C46">
        <f>TRANSPOSE(T3_[Recuento de T3 CODIGO])</f>
        <v>13</v>
      </c>
    </row>
    <row r="47" spans="1:3" x14ac:dyDescent="0.25">
      <c r="A47" t="b">
        <f>IFERROR(IF(MATCH(B47,RECETAS!$A$2:$A$1700,0) &lt;&gt; "", TRUE,""),FALSE)</f>
        <v>0</v>
      </c>
      <c r="B47" t="str">
        <f>TRANSPOSE(T3_[Etiquetas de fila])</f>
        <v>CORONA 0.0</v>
      </c>
      <c r="C47">
        <f>TRANSPOSE(T3_[Recuento de T3 CODIGO])</f>
        <v>10</v>
      </c>
    </row>
    <row r="48" spans="1:3" x14ac:dyDescent="0.25">
      <c r="A48" t="b">
        <f>IFERROR(IF(MATCH(B48,RECETAS!$A$2:$A$1700,0) &lt;&gt; "", TRUE,""),FALSE)</f>
        <v>0</v>
      </c>
      <c r="B48" t="str">
        <f>TRANSPOSE(T3_[Etiquetas de fila])</f>
        <v>CORONA DEEP BLUE</v>
      </c>
      <c r="C48">
        <f>TRANSPOSE(T3_[Recuento de T3 CODIGO])</f>
        <v>6</v>
      </c>
    </row>
    <row r="49" spans="1:3" x14ac:dyDescent="0.25">
      <c r="A49" t="b">
        <f>IFERROR(IF(MATCH(B49,RECETAS!$A$2:$A$1700,0) &lt;&gt; "", TRUE,""),FALSE)</f>
        <v>0</v>
      </c>
      <c r="B49" t="str">
        <f>TRANSPOSE(T3_[Etiquetas de fila])</f>
        <v>CORONA SUNRISE</v>
      </c>
      <c r="C49">
        <f>TRANSPOSE(T3_[Recuento de T3 CODIGO])</f>
        <v>18</v>
      </c>
    </row>
    <row r="50" spans="1:3" x14ac:dyDescent="0.25">
      <c r="A50" t="b">
        <f>IFERROR(IF(MATCH(B50,RECETAS!$A$2:$A$1700,0) &lt;&gt; "", TRUE,""),FALSE)</f>
        <v>0</v>
      </c>
      <c r="B50" t="str">
        <f>TRANSPOSE(T3_[Etiquetas de fila])</f>
        <v>CORONA TROPICAL</v>
      </c>
      <c r="C50">
        <f>TRANSPOSE(T3_[Recuento de T3 CODIGO])</f>
        <v>1</v>
      </c>
    </row>
    <row r="51" spans="1:3" x14ac:dyDescent="0.25">
      <c r="A51" t="b">
        <f>IFERROR(IF(MATCH(B51,RECETAS!$A$2:$A$1700,0) &lt;&gt; "", TRUE,""),FALSE)</f>
        <v>1</v>
      </c>
      <c r="B51" t="str">
        <f>TRANSPOSE(T3_[Etiquetas de fila])</f>
        <v>Cosmopolitan</v>
      </c>
      <c r="C51">
        <f>TRANSPOSE(T3_[Recuento de T3 CODIGO])</f>
        <v>12</v>
      </c>
    </row>
    <row r="52" spans="1:3" x14ac:dyDescent="0.25">
      <c r="A52" t="b">
        <f>IFERROR(IF(MATCH(B52,RECETAS!$A$2:$A$1700,0) &lt;&gt; "", TRUE,""),FALSE)</f>
        <v>1</v>
      </c>
      <c r="B52" t="str">
        <f>TRANSPOSE(T3_[Etiquetas de fila])</f>
        <v>Crudo</v>
      </c>
      <c r="C52">
        <f>TRANSPOSE(T3_[Recuento de T3 CODIGO])</f>
        <v>12</v>
      </c>
    </row>
    <row r="53" spans="1:3" x14ac:dyDescent="0.25">
      <c r="A53" t="b">
        <f>IFERROR(IF(MATCH(B53,RECETAS!$A$2:$A$1700,0) &lt;&gt; "", TRUE,""),FALSE)</f>
        <v>1</v>
      </c>
      <c r="B53" t="str">
        <f>TRANSPOSE(T3_[Etiquetas de fila])</f>
        <v>D. PROMO CORONA CHEESE</v>
      </c>
      <c r="C53">
        <f>TRANSPOSE(T3_[Recuento de T3 CODIGO])</f>
        <v>1</v>
      </c>
    </row>
    <row r="54" spans="1:3" x14ac:dyDescent="0.25">
      <c r="A54" t="b">
        <f>IFERROR(IF(MATCH(B54,RECETAS!$A$2:$A$1700,0) &lt;&gt; "", TRUE,""),FALSE)</f>
        <v>1</v>
      </c>
      <c r="B54" t="str">
        <f>TRANSPOSE(T3_[Etiquetas de fila])</f>
        <v>D.BIG MECHADA</v>
      </c>
      <c r="C54">
        <f>TRANSPOSE(T3_[Recuento de T3 CODIGO])</f>
        <v>1</v>
      </c>
    </row>
    <row r="55" spans="1:3" x14ac:dyDescent="0.25">
      <c r="A55" t="b">
        <f>IFERROR(IF(MATCH(B55,RECETAS!$A$2:$A$1700,0) &lt;&gt; "", TRUE,""),FALSE)</f>
        <v>1</v>
      </c>
      <c r="B55" t="str">
        <f>TRANSPOSE(T3_[Etiquetas de fila])</f>
        <v>D.CHEESE CHAMPIGNON</v>
      </c>
      <c r="C55">
        <f>TRANSPOSE(T3_[Recuento de T3 CODIGO])</f>
        <v>6</v>
      </c>
    </row>
    <row r="56" spans="1:3" x14ac:dyDescent="0.25">
      <c r="A56" t="b">
        <f>IFERROR(IF(MATCH(B56,RECETAS!$A$2:$A$1700,0) &lt;&gt; "", TRUE,""),FALSE)</f>
        <v>1</v>
      </c>
      <c r="B56" t="str">
        <f>TRANSPOSE(T3_[Etiquetas de fila])</f>
        <v>D.CHEESE FRITAS GRANDES</v>
      </c>
      <c r="C56">
        <f>TRANSPOSE(T3_[Recuento de T3 CODIGO])</f>
        <v>19</v>
      </c>
    </row>
    <row r="57" spans="1:3" x14ac:dyDescent="0.25">
      <c r="A57" t="b">
        <f>IFERROR(IF(MATCH(B57,RECETAS!$A$2:$A$1700,0) &lt;&gt; "", TRUE,""),FALSE)</f>
        <v>1</v>
      </c>
      <c r="B57" t="str">
        <f>TRANSPOSE(T3_[Etiquetas de fila])</f>
        <v>D.CHEESE MECHADA</v>
      </c>
      <c r="C57">
        <f>TRANSPOSE(T3_[Recuento de T3 CODIGO])</f>
        <v>8</v>
      </c>
    </row>
    <row r="58" spans="1:3" x14ac:dyDescent="0.25">
      <c r="A58" t="b">
        <f>IFERROR(IF(MATCH(B58,RECETAS!$A$2:$A$1700,0) &lt;&gt; "", TRUE,""),FALSE)</f>
        <v>1</v>
      </c>
      <c r="B58" t="str">
        <f>TRANSPOSE(T3_[Etiquetas de fila])</f>
        <v>D.CHEESE TECLADOS</v>
      </c>
      <c r="C58">
        <f>TRANSPOSE(T3_[Recuento de T3 CODIGO])</f>
        <v>16</v>
      </c>
    </row>
    <row r="59" spans="1:3" x14ac:dyDescent="0.25">
      <c r="A59" t="b">
        <f>IFERROR(IF(MATCH(B59,RECETAS!$A$2:$A$1700,0) &lt;&gt; "", TRUE,""),FALSE)</f>
        <v>0</v>
      </c>
      <c r="B59" t="str">
        <f>TRANSPOSE(T3_[Etiquetas de fila])</f>
        <v>D.COCA NORMAL 1.5</v>
      </c>
      <c r="C59">
        <f>TRANSPOSE(T3_[Recuento de T3 CODIGO])</f>
        <v>1</v>
      </c>
    </row>
    <row r="60" spans="1:3" x14ac:dyDescent="0.25">
      <c r="A60" t="b">
        <f>IFERROR(IF(MATCH(B60,RECETAS!$A$2:$A$1700,0) &lt;&gt; "", TRUE,""),FALSE)</f>
        <v>1</v>
      </c>
      <c r="B60" t="str">
        <f>TRANSPOSE(T3_[Etiquetas de fila])</f>
        <v>D.CRUDO TECLADOS</v>
      </c>
      <c r="C60">
        <f>TRANSPOSE(T3_[Recuento de T3 CODIGO])</f>
        <v>1</v>
      </c>
    </row>
    <row r="61" spans="1:3" x14ac:dyDescent="0.25">
      <c r="A61" t="b">
        <f>IFERROR(IF(MATCH(B61,RECETAS!$A$2:$A$1700,0) &lt;&gt; "", TRUE,""),FALSE)</f>
        <v>1</v>
      </c>
      <c r="B61" t="str">
        <f>TRANSPOSE(T3_[Etiquetas de fila])</f>
        <v>D.EMPANADAS</v>
      </c>
      <c r="C61">
        <f>TRANSPOSE(T3_[Recuento de T3 CODIGO])</f>
        <v>4</v>
      </c>
    </row>
    <row r="62" spans="1:3" x14ac:dyDescent="0.25">
      <c r="A62" t="b">
        <f>IFERROR(IF(MATCH(B62,RECETAS!$A$2:$A$1700,0) &lt;&gt; "", TRUE,""),FALSE)</f>
        <v>1</v>
      </c>
      <c r="B62" t="str">
        <f>TRANSPOSE(T3_[Etiquetas de fila])</f>
        <v>D.FESTIVAL TECLADOS</v>
      </c>
      <c r="C62">
        <f>TRANSPOSE(T3_[Recuento de T3 CODIGO])</f>
        <v>3</v>
      </c>
    </row>
    <row r="63" spans="1:3" x14ac:dyDescent="0.25">
      <c r="A63" t="b">
        <f>IFERROR(IF(MATCH(B63,RECETAS!$A$2:$A$1700,0) &lt;&gt; "", TRUE,""),FALSE)</f>
        <v>1</v>
      </c>
      <c r="B63" t="str">
        <f>TRANSPOSE(T3_[Etiquetas de fila])</f>
        <v>D.GINGER ZERO 1.5</v>
      </c>
      <c r="C63">
        <f>TRANSPOSE(T3_[Recuento de T3 CODIGO])</f>
        <v>1</v>
      </c>
    </row>
    <row r="64" spans="1:3" x14ac:dyDescent="0.25">
      <c r="A64" t="b">
        <f>IFERROR(IF(MATCH(B64,RECETAS!$A$2:$A$1700,0) &lt;&gt; "", TRUE,""),FALSE)</f>
        <v>1</v>
      </c>
      <c r="B64" t="str">
        <f>TRANSPOSE(T3_[Etiquetas de fila])</f>
        <v>D.PALOS DE QUESO</v>
      </c>
      <c r="C64">
        <f>TRANSPOSE(T3_[Recuento de T3 CODIGO])</f>
        <v>4</v>
      </c>
    </row>
    <row r="65" spans="1:3" x14ac:dyDescent="0.25">
      <c r="A65" t="b">
        <f>IFERROR(IF(MATCH(B65,RECETAS!$A$2:$A$1700,0) &lt;&gt; "", TRUE,""),FALSE)</f>
        <v>1</v>
      </c>
      <c r="B65" t="str">
        <f>TRANSPOSE(T3_[Etiquetas de fila])</f>
        <v>D.PAPAS GRANDES</v>
      </c>
      <c r="C65">
        <f>TRANSPOSE(T3_[Recuento de T3 CODIGO])</f>
        <v>1</v>
      </c>
    </row>
    <row r="66" spans="1:3" x14ac:dyDescent="0.25">
      <c r="A66" t="b">
        <f>IFERROR(IF(MATCH(B66,RECETAS!$A$2:$A$1700,0) &lt;&gt; "", TRUE,""),FALSE)</f>
        <v>1</v>
      </c>
      <c r="B66" t="str">
        <f>TRANSPOSE(T3_[Etiquetas de fila])</f>
        <v>D.PICNIC TECLADOS</v>
      </c>
      <c r="C66">
        <f>TRANSPOSE(T3_[Recuento de T3 CODIGO])</f>
        <v>2</v>
      </c>
    </row>
    <row r="67" spans="1:3" x14ac:dyDescent="0.25">
      <c r="A67" t="b">
        <f>IFERROR(IF(MATCH(B67,RECETAS!$A$2:$A$1700,0) &lt;&gt; "", TRUE,""),FALSE)</f>
        <v>1</v>
      </c>
      <c r="B67" t="str">
        <f>TRANSPOSE(T3_[Etiquetas de fila])</f>
        <v>D.PROMO DAIKIRI CHEESE</v>
      </c>
      <c r="C67">
        <f>TRANSPOSE(T3_[Recuento de T3 CODIGO])</f>
        <v>2</v>
      </c>
    </row>
    <row r="68" spans="1:3" x14ac:dyDescent="0.25">
      <c r="A68" t="b">
        <f>IFERROR(IF(MATCH(B68,RECETAS!$A$2:$A$1700,0) &lt;&gt; "", TRUE,""),FALSE)</f>
        <v>0</v>
      </c>
      <c r="B68" t="str">
        <f>TRANSPOSE(T3_[Etiquetas de fila])</f>
        <v>D.PROMO LONG ISLAND CHEESE</v>
      </c>
      <c r="C68">
        <f>TRANSPOSE(T3_[Recuento de T3 CODIGO])</f>
        <v>1</v>
      </c>
    </row>
    <row r="69" spans="1:3" x14ac:dyDescent="0.25">
      <c r="A69" t="b">
        <f>IFERROR(IF(MATCH(B69,RECETAS!$A$2:$A$1700,0) &lt;&gt; "", TRUE,""),FALSE)</f>
        <v>1</v>
      </c>
      <c r="B69" t="str">
        <f>TRANSPOSE(T3_[Etiquetas de fila])</f>
        <v>D.PROMO PINA COLADA</v>
      </c>
      <c r="C69">
        <f>TRANSPOSE(T3_[Recuento de T3 CODIGO])</f>
        <v>1</v>
      </c>
    </row>
    <row r="70" spans="1:3" x14ac:dyDescent="0.25">
      <c r="A70" t="b">
        <f>IFERROR(IF(MATCH(B70,RECETAS!$A$2:$A$1700,0) &lt;&gt; "", TRUE,""),FALSE)</f>
        <v>1</v>
      </c>
      <c r="B70" t="str">
        <f>TRANSPOSE(T3_[Etiquetas de fila])</f>
        <v>D.PROMO SANGRIA</v>
      </c>
      <c r="C70">
        <f>TRANSPOSE(T3_[Recuento de T3 CODIGO])</f>
        <v>3</v>
      </c>
    </row>
    <row r="71" spans="1:3" x14ac:dyDescent="0.25">
      <c r="A71" t="b">
        <f>IFERROR(IF(MATCH(B71,RECETAS!$A$2:$A$1700,0) &lt;&gt; "", TRUE,""),FALSE)</f>
        <v>1</v>
      </c>
      <c r="B71" t="str">
        <f>TRANSPOSE(T3_[Etiquetas de fila])</f>
        <v>D.PROMO SANGRIA CHEESE</v>
      </c>
      <c r="C71">
        <f>TRANSPOSE(T3_[Recuento de T3 CODIGO])</f>
        <v>3</v>
      </c>
    </row>
    <row r="72" spans="1:3" x14ac:dyDescent="0.25">
      <c r="A72" t="b">
        <f>IFERROR(IF(MATCH(B72,RECETAS!$A$2:$A$1700,0) &lt;&gt; "", TRUE,""),FALSE)</f>
        <v>1</v>
      </c>
      <c r="B72" t="str">
        <f>TRANSPOSE(T3_[Etiquetas de fila])</f>
        <v>D.QUESADILLA CAMARON</v>
      </c>
      <c r="C72">
        <f>TRANSPOSE(T3_[Recuento de T3 CODIGO])</f>
        <v>3</v>
      </c>
    </row>
    <row r="73" spans="1:3" x14ac:dyDescent="0.25">
      <c r="A73" t="b">
        <f>IFERROR(IF(MATCH(B73,RECETAS!$A$2:$A$1700,0) &lt;&gt; "", TRUE,""),FALSE)</f>
        <v>1</v>
      </c>
      <c r="B73" t="str">
        <f>TRANSPOSE(T3_[Etiquetas de fila])</f>
        <v>D.QUESADILLA CARNE</v>
      </c>
      <c r="C73">
        <f>TRANSPOSE(T3_[Recuento de T3 CODIGO])</f>
        <v>8</v>
      </c>
    </row>
    <row r="74" spans="1:3" x14ac:dyDescent="0.25">
      <c r="A74" t="b">
        <f>IFERROR(IF(MATCH(B74,RECETAS!$A$2:$A$1700,0) &lt;&gt; "", TRUE,""),FALSE)</f>
        <v>1</v>
      </c>
      <c r="B74" t="str">
        <f>TRANSPOSE(T3_[Etiquetas de fila])</f>
        <v>D.QUESADILLAS POLLO CHAMPIGNON</v>
      </c>
      <c r="C74">
        <f>TRANSPOSE(T3_[Recuento de T3 CODIGO])</f>
        <v>5</v>
      </c>
    </row>
    <row r="75" spans="1:3" x14ac:dyDescent="0.25">
      <c r="A75" t="b">
        <f>IFERROR(IF(MATCH(B75,RECETAS!$A$2:$A$1700,0) &lt;&gt; "", TRUE,""),FALSE)</f>
        <v>1</v>
      </c>
      <c r="B75" t="str">
        <f>TRANSPOSE(T3_[Etiquetas de fila])</f>
        <v>D.SIX PACK CORONA</v>
      </c>
      <c r="C75">
        <f>TRANSPOSE(T3_[Recuento de T3 CODIGO])</f>
        <v>1</v>
      </c>
    </row>
    <row r="76" spans="1:3" x14ac:dyDescent="0.25">
      <c r="A76" t="b">
        <f>IFERROR(IF(MATCH(B76,RECETAS!$A$2:$A$1700,0) &lt;&gt; "", TRUE,""),FALSE)</f>
        <v>1</v>
      </c>
      <c r="B76" t="str">
        <f>TRANSPOSE(T3_[Etiquetas de fila])</f>
        <v>D.SONATA TECLADOS</v>
      </c>
      <c r="C76">
        <f>TRANSPOSE(T3_[Recuento de T3 CODIGO])</f>
        <v>5</v>
      </c>
    </row>
    <row r="77" spans="1:3" x14ac:dyDescent="0.25">
      <c r="A77" t="b">
        <f>IFERROR(IF(MATCH(B77,RECETAS!$A$2:$A$1700,0) &lt;&gt; "", TRUE,""),FALSE)</f>
        <v>1</v>
      </c>
      <c r="B77" t="str">
        <f>TRANSPOSE(T3_[Etiquetas de fila])</f>
        <v>D.SPRING ROLLS</v>
      </c>
      <c r="C77">
        <f>TRANSPOSE(T3_[Recuento de T3 CODIGO])</f>
        <v>1</v>
      </c>
    </row>
    <row r="78" spans="1:3" x14ac:dyDescent="0.25">
      <c r="A78" t="b">
        <f>IFERROR(IF(MATCH(B78,RECETAS!$A$2:$A$1700,0) &lt;&gt; "", TRUE,""),FALSE)</f>
        <v>1</v>
      </c>
      <c r="B78" t="str">
        <f>TRANSPOSE(T3_[Etiquetas de fila])</f>
        <v>D.TOTOPOS</v>
      </c>
      <c r="C78">
        <f>TRANSPOSE(T3_[Recuento de T3 CODIGO])</f>
        <v>1</v>
      </c>
    </row>
    <row r="79" spans="1:3" x14ac:dyDescent="0.25">
      <c r="A79" t="b">
        <f>IFERROR(IF(MATCH(B79,RECETAS!$A$2:$A$1700,0) &lt;&gt; "", TRUE,""),FALSE)</f>
        <v>1</v>
      </c>
      <c r="B79" t="str">
        <f>TRANSPOSE(T3_[Etiquetas de fila])</f>
        <v>Daiquiri Frambuesa</v>
      </c>
      <c r="C79">
        <f>TRANSPOSE(T3_[Recuento de T3 CODIGO])</f>
        <v>15</v>
      </c>
    </row>
    <row r="80" spans="1:3" x14ac:dyDescent="0.25">
      <c r="A80" t="b">
        <f>IFERROR(IF(MATCH(B80,RECETAS!$A$2:$A$1700,0) &lt;&gt; "", TRUE,""),FALSE)</f>
        <v>1</v>
      </c>
      <c r="B80" t="str">
        <f>TRANSPOSE(T3_[Etiquetas de fila])</f>
        <v>Daiquiri Futilla</v>
      </c>
      <c r="C80">
        <f>TRANSPOSE(T3_[Recuento de T3 CODIGO])</f>
        <v>7</v>
      </c>
    </row>
    <row r="81" spans="1:3" x14ac:dyDescent="0.25">
      <c r="A81" t="b">
        <f>IFERROR(IF(MATCH(B81,RECETAS!$A$2:$A$1700,0) &lt;&gt; "", TRUE,""),FALSE)</f>
        <v>1</v>
      </c>
      <c r="B81" t="str">
        <f>TRANSPOSE(T3_[Etiquetas de fila])</f>
        <v>Daiquiri Limón</v>
      </c>
      <c r="C81">
        <f>TRANSPOSE(T3_[Recuento de T3 CODIGO])</f>
        <v>1</v>
      </c>
    </row>
    <row r="82" spans="1:3" x14ac:dyDescent="0.25">
      <c r="A82" t="b">
        <f>IFERROR(IF(MATCH(B82,RECETAS!$A$2:$A$1700,0) &lt;&gt; "", TRUE,""),FALSE)</f>
        <v>1</v>
      </c>
      <c r="B82" t="str">
        <f>TRANSPOSE(T3_[Etiquetas de fila])</f>
        <v>Daiquiri Mango</v>
      </c>
      <c r="C82">
        <f>TRANSPOSE(T3_[Recuento de T3 CODIGO])</f>
        <v>4</v>
      </c>
    </row>
    <row r="83" spans="1:3" x14ac:dyDescent="0.25">
      <c r="A83" t="b">
        <f>IFERROR(IF(MATCH(B83,RECETAS!$A$2:$A$1700,0) &lt;&gt; "", TRUE,""),FALSE)</f>
        <v>1</v>
      </c>
      <c r="B83" t="str">
        <f>TRANSPOSE(T3_[Etiquetas de fila])</f>
        <v>Daiquiri XL Frambuesa</v>
      </c>
      <c r="C83">
        <f>TRANSPOSE(T3_[Recuento de T3 CODIGO])</f>
        <v>1</v>
      </c>
    </row>
    <row r="84" spans="1:3" x14ac:dyDescent="0.25">
      <c r="A84" t="b">
        <f>IFERROR(IF(MATCH(B84,RECETAS!$A$2:$A$1700,0) &lt;&gt; "", TRUE,""),FALSE)</f>
        <v>1</v>
      </c>
      <c r="B84" t="str">
        <f>TRANSPOSE(T3_[Etiquetas de fila])</f>
        <v>Doble Cheese Burger</v>
      </c>
      <c r="C84">
        <f>TRANSPOSE(T3_[Recuento de T3 CODIGO])</f>
        <v>18</v>
      </c>
    </row>
    <row r="85" spans="1:3" x14ac:dyDescent="0.25">
      <c r="A85" t="b">
        <f>IFERROR(IF(MATCH(B85,RECETAS!$A$2:$A$1700,0) &lt;&gt; "", TRUE,""),FALSE)</f>
        <v>1</v>
      </c>
      <c r="B85" t="str">
        <f>TRANSPOSE(T3_[Etiquetas de fila])</f>
        <v>Doble Cheese NOT Burger</v>
      </c>
      <c r="C85">
        <f>TRANSPOSE(T3_[Recuento de T3 CODIGO])</f>
        <v>6</v>
      </c>
    </row>
    <row r="86" spans="1:3" x14ac:dyDescent="0.25">
      <c r="A86" t="b">
        <f>IFERROR(IF(MATCH(B86,RECETAS!$A$2:$A$1700,0) &lt;&gt; "", TRUE,""),FALSE)</f>
        <v>1</v>
      </c>
      <c r="B86" t="str">
        <f>TRANSPOSE(T3_[Etiquetas de fila])</f>
        <v>Empanadas Mixtas</v>
      </c>
      <c r="C86">
        <f>TRANSPOSE(T3_[Recuento de T3 CODIGO])</f>
        <v>15</v>
      </c>
    </row>
    <row r="87" spans="1:3" x14ac:dyDescent="0.25">
      <c r="A87" t="b">
        <f>IFERROR(IF(MATCH(B87,RECETAS!$A$2:$A$1700,0) &lt;&gt; "", TRUE,""),FALSE)</f>
        <v>1</v>
      </c>
      <c r="B87" t="str">
        <f>TRANSPOSE(T3_[Etiquetas de fila])</f>
        <v>Espumante de la casa</v>
      </c>
      <c r="C87">
        <f>TRANSPOSE(T3_[Recuento de T3 CODIGO])</f>
        <v>3</v>
      </c>
    </row>
    <row r="88" spans="1:3" x14ac:dyDescent="0.25">
      <c r="A88" t="b">
        <f>IFERROR(IF(MATCH(B88,RECETAS!$A$2:$A$1700,0) &lt;&gt; "", TRUE,""),FALSE)</f>
        <v>1</v>
      </c>
      <c r="B88" t="str">
        <f>TRANSPOSE(T3_[Etiquetas de fila])</f>
        <v>Extasis</v>
      </c>
      <c r="C88">
        <f>TRANSPOSE(T3_[Recuento de T3 CODIGO])</f>
        <v>4</v>
      </c>
    </row>
    <row r="89" spans="1:3" x14ac:dyDescent="0.25">
      <c r="A89" t="b">
        <f>IFERROR(IF(MATCH(B89,RECETAS!$A$2:$A$1700,0) &lt;&gt; "", TRUE,""),FALSE)</f>
        <v>1</v>
      </c>
      <c r="B89" t="str">
        <f>TRANSPOSE(T3_[Etiquetas de fila])</f>
        <v>EXTRA AJI AMARILLO</v>
      </c>
      <c r="C89">
        <f>TRANSPOSE(T3_[Recuento de T3 CODIGO])</f>
        <v>1</v>
      </c>
    </row>
    <row r="90" spans="1:3" x14ac:dyDescent="0.25">
      <c r="A90" t="b">
        <f>IFERROR(IF(MATCH(B90,RECETAS!$A$2:$A$1700,0) &lt;&gt; "", TRUE,""),FALSE)</f>
        <v>1</v>
      </c>
      <c r="B90" t="str">
        <f>TRANSPOSE(T3_[Etiquetas de fila])</f>
        <v>Extra Camaron</v>
      </c>
      <c r="C90">
        <f>TRANSPOSE(T3_[Recuento de T3 CODIGO])</f>
        <v>2</v>
      </c>
    </row>
    <row r="91" spans="1:3" x14ac:dyDescent="0.25">
      <c r="A91" t="b">
        <f>IFERROR(IF(MATCH(B91,RECETAS!$A$2:$A$1700,0) &lt;&gt; "", TRUE,""),FALSE)</f>
        <v>1</v>
      </c>
      <c r="B91" t="str">
        <f>TRANSPOSE(T3_[Etiquetas de fila])</f>
        <v>Extra Champignon</v>
      </c>
      <c r="C91">
        <f>TRANSPOSE(T3_[Recuento de T3 CODIGO])</f>
        <v>3</v>
      </c>
    </row>
    <row r="92" spans="1:3" x14ac:dyDescent="0.25">
      <c r="A92" t="b">
        <f>IFERROR(IF(MATCH(B92,RECETAS!$A$2:$A$1700,0) &lt;&gt; "", TRUE,""),FALSE)</f>
        <v>1</v>
      </c>
      <c r="B92" t="str">
        <f>TRANSPOSE(T3_[Etiquetas de fila])</f>
        <v>Extra churrasco</v>
      </c>
      <c r="C92">
        <f>TRANSPOSE(T3_[Recuento de T3 CODIGO])</f>
        <v>3</v>
      </c>
    </row>
    <row r="93" spans="1:3" x14ac:dyDescent="0.25">
      <c r="A93" t="b">
        <f>IFERROR(IF(MATCH(B93,RECETAS!$A$2:$A$1700,0) &lt;&gt; "", TRUE,""),FALSE)</f>
        <v>1</v>
      </c>
      <c r="B93" t="str">
        <f>TRANSPOSE(T3_[Etiquetas de fila])</f>
        <v>EXTRA CREMA ACIDA</v>
      </c>
      <c r="C93">
        <f>TRANSPOSE(T3_[Recuento de T3 CODIGO])</f>
        <v>9</v>
      </c>
    </row>
    <row r="94" spans="1:3" x14ac:dyDescent="0.25">
      <c r="A94" t="b">
        <f>IFERROR(IF(MATCH(B94,RECETAS!$A$2:$A$1700,0) &lt;&gt; "", TRUE,""),FALSE)</f>
        <v>1</v>
      </c>
      <c r="B94" t="str">
        <f>TRANSPOSE(T3_[Etiquetas de fila])</f>
        <v>EXTRA GUACAMOLE</v>
      </c>
      <c r="C94">
        <f>TRANSPOSE(T3_[Recuento de T3 CODIGO])</f>
        <v>1</v>
      </c>
    </row>
    <row r="95" spans="1:3" x14ac:dyDescent="0.25">
      <c r="A95" t="b">
        <f>IFERROR(IF(MATCH(B95,RECETAS!$A$2:$A$1700,0) &lt;&gt; "", TRUE,""),FALSE)</f>
        <v>1</v>
      </c>
      <c r="B95" t="str">
        <f>TRANSPOSE(T3_[Etiquetas de fila])</f>
        <v>Extra Pollo</v>
      </c>
      <c r="C95">
        <f>TRANSPOSE(T3_[Recuento de T3 CODIGO])</f>
        <v>2</v>
      </c>
    </row>
    <row r="96" spans="1:3" x14ac:dyDescent="0.25">
      <c r="A96" t="b">
        <f>IFERROR(IF(MATCH(B96,RECETAS!$A$2:$A$1700,0) &lt;&gt; "", TRUE,""),FALSE)</f>
        <v>1</v>
      </c>
      <c r="B96" t="str">
        <f>TRANSPOSE(T3_[Etiquetas de fila])</f>
        <v>EXTRA SALSA CHEDDAR</v>
      </c>
      <c r="C96">
        <f>TRANSPOSE(T3_[Recuento de T3 CODIGO])</f>
        <v>4</v>
      </c>
    </row>
    <row r="97" spans="1:3" x14ac:dyDescent="0.25">
      <c r="A97" t="b">
        <f>IFERROR(IF(MATCH(B97,RECETAS!$A$2:$A$1700,0) &lt;&gt; "", TRUE,""),FALSE)</f>
        <v>0</v>
      </c>
      <c r="B97" t="str">
        <f>TRANSPOSE(T3_[Etiquetas de fila])</f>
        <v>EXTRA SALSA de AJO</v>
      </c>
      <c r="C97">
        <f>TRANSPOSE(T3_[Recuento de T3 CODIGO])</f>
        <v>1</v>
      </c>
    </row>
    <row r="98" spans="1:3" x14ac:dyDescent="0.25">
      <c r="A98" t="b">
        <f>IFERROR(IF(MATCH(B98,RECETAS!$A$2:$A$1700,0) &lt;&gt; "", TRUE,""),FALSE)</f>
        <v>1</v>
      </c>
      <c r="B98" t="str">
        <f>TRANSPOSE(T3_[Etiquetas de fila])</f>
        <v>EXTRA TOSTADAS</v>
      </c>
      <c r="C98">
        <f>TRANSPOSE(T3_[Recuento de T3 CODIGO])</f>
        <v>6</v>
      </c>
    </row>
    <row r="99" spans="1:3" x14ac:dyDescent="0.25">
      <c r="A99" t="b">
        <f>IFERROR(IF(MATCH(B99,RECETAS!$A$2:$A$1700,0) &lt;&gt; "", TRUE,""),FALSE)</f>
        <v>1</v>
      </c>
      <c r="B99" t="str">
        <f>TRANSPOSE(T3_[Etiquetas de fila])</f>
        <v>Fanta 350cc</v>
      </c>
      <c r="C99">
        <f>TRANSPOSE(T3_[Recuento de T3 CODIGO])</f>
        <v>8</v>
      </c>
    </row>
    <row r="100" spans="1:3" x14ac:dyDescent="0.25">
      <c r="A100" t="b">
        <f>IFERROR(IF(MATCH(B100,RECETAS!$A$2:$A$1700,0) &lt;&gt; "", TRUE,""),FALSE)</f>
        <v>1</v>
      </c>
      <c r="B100" t="str">
        <f>TRANSPOSE(T3_[Etiquetas de fila])</f>
        <v>Fentimans Ginger Beer</v>
      </c>
      <c r="C100">
        <f>TRANSPOSE(T3_[Recuento de T3 CODIGO])</f>
        <v>1</v>
      </c>
    </row>
    <row r="101" spans="1:3" x14ac:dyDescent="0.25">
      <c r="A101" t="b">
        <f>IFERROR(IF(MATCH(B101,RECETAS!$A$2:$A$1700,0) &lt;&gt; "", TRUE,""),FALSE)</f>
        <v>1</v>
      </c>
      <c r="B101" t="str">
        <f>TRANSPOSE(T3_[Etiquetas de fila])</f>
        <v>Fernet Branca</v>
      </c>
      <c r="C101">
        <f>TRANSPOSE(T3_[Recuento de T3 CODIGO])</f>
        <v>1</v>
      </c>
    </row>
    <row r="102" spans="1:3" x14ac:dyDescent="0.25">
      <c r="A102" t="b">
        <f>IFERROR(IF(MATCH(B102,RECETAS!$A$2:$A$1700,0) &lt;&gt; "", TRUE,""),FALSE)</f>
        <v>1</v>
      </c>
      <c r="B102" t="str">
        <f>TRANSPOSE(T3_[Etiquetas de fila])</f>
        <v>Festival Teclados</v>
      </c>
      <c r="C102">
        <f>TRANSPOSE(T3_[Recuento de T3 CODIGO])</f>
        <v>11</v>
      </c>
    </row>
    <row r="103" spans="1:3" x14ac:dyDescent="0.25">
      <c r="A103" t="b">
        <f>IFERROR(IF(MATCH(B103,RECETAS!$A$2:$A$1700,0) &lt;&gt; "", TRUE,""),FALSE)</f>
        <v>1</v>
      </c>
      <c r="B103" t="str">
        <f>TRANSPOSE(T3_[Etiquetas de fila])</f>
        <v>Florence Spritz</v>
      </c>
      <c r="C103">
        <f>TRANSPOSE(T3_[Recuento de T3 CODIGO])</f>
        <v>1</v>
      </c>
    </row>
    <row r="104" spans="1:3" x14ac:dyDescent="0.25">
      <c r="A104" t="b">
        <f>IFERROR(IF(MATCH(B104,RECETAS!$A$2:$A$1700,0) &lt;&gt; "", TRUE,""),FALSE)</f>
        <v>0</v>
      </c>
      <c r="B104" t="str">
        <f>TRANSPOSE(T3_[Etiquetas de fila])</f>
        <v>Frambuesa</v>
      </c>
      <c r="C104">
        <f>TRANSPOSE(T3_[Recuento de T3 CODIGO])</f>
        <v>1</v>
      </c>
    </row>
    <row r="105" spans="1:3" x14ac:dyDescent="0.25">
      <c r="A105" t="b">
        <f>IFERROR(IF(MATCH(B105,RECETAS!$A$2:$A$1700,0) &lt;&gt; "", TRUE,""),FALSE)</f>
        <v>0</v>
      </c>
      <c r="B105" t="str">
        <f>TRANSPOSE(T3_[Etiquetas de fila])</f>
        <v>Frutilla</v>
      </c>
      <c r="C105">
        <f>TRANSPOSE(T3_[Recuento de T3 CODIGO])</f>
        <v>29</v>
      </c>
    </row>
    <row r="106" spans="1:3" x14ac:dyDescent="0.25">
      <c r="A106" t="b">
        <f>IFERROR(IF(MATCH(B106,RECETAS!$A$2:$A$1700,0) &lt;&gt; "", TRUE,""),FALSE)</f>
        <v>0</v>
      </c>
      <c r="B106" t="str">
        <f>TRANSPOSE(T3_[Etiquetas de fila])</f>
        <v>Ghost Blood</v>
      </c>
      <c r="C106">
        <f>TRANSPOSE(T3_[Recuento de T3 CODIGO])</f>
        <v>1</v>
      </c>
    </row>
    <row r="107" spans="1:3" x14ac:dyDescent="0.25">
      <c r="A107" t="b">
        <f>IFERROR(IF(MATCH(B107,RECETAS!$A$2:$A$1700,0) &lt;&gt; "", TRUE,""),FALSE)</f>
        <v>0</v>
      </c>
      <c r="B107" t="str">
        <f>TRANSPOSE(T3_[Etiquetas de fila])</f>
        <v>GIN DE VERANO</v>
      </c>
      <c r="C107">
        <f>TRANSPOSE(T3_[Recuento de T3 CODIGO])</f>
        <v>1172</v>
      </c>
    </row>
    <row r="108" spans="1:3" x14ac:dyDescent="0.25">
      <c r="A108" t="b">
        <f>IFERROR(IF(MATCH(B108,RECETAS!$A$2:$A$1700,0) &lt;&gt; "", TRUE,""),FALSE)</f>
        <v>1</v>
      </c>
      <c r="B108" t="str">
        <f>TRANSPOSE(T3_[Etiquetas de fila])</f>
        <v>God Father</v>
      </c>
      <c r="C108">
        <f>TRANSPOSE(T3_[Recuento de T3 CODIGO])</f>
        <v>1</v>
      </c>
    </row>
    <row r="109" spans="1:3" x14ac:dyDescent="0.25">
      <c r="A109" t="b">
        <f>IFERROR(IF(MATCH(B109,RECETAS!$A$2:$A$1700,0) &lt;&gt; "", TRUE,""),FALSE)</f>
        <v>0</v>
      </c>
      <c r="B109" t="str">
        <f>TRANSPOSE(T3_[Etiquetas de fila])</f>
        <v>halloween</v>
      </c>
      <c r="C109">
        <f>TRANSPOSE(T3_[Recuento de T3 CODIGO])</f>
        <v>1</v>
      </c>
    </row>
    <row r="110" spans="1:3" x14ac:dyDescent="0.25">
      <c r="A110" t="b">
        <f>IFERROR(IF(MATCH(B110,RECETAS!$A$2:$A$1700,0) &lt;&gt; "", TRUE,""),FALSE)</f>
        <v>1</v>
      </c>
      <c r="B110" t="str">
        <f>TRANSPOSE(T3_[Etiquetas de fila])</f>
        <v>Hendricks</v>
      </c>
      <c r="C110">
        <f>TRANSPOSE(T3_[Recuento de T3 CODIGO])</f>
        <v>6</v>
      </c>
    </row>
    <row r="111" spans="1:3" x14ac:dyDescent="0.25">
      <c r="A111" t="b">
        <f>IFERROR(IF(MATCH(B111,RECETAS!$A$2:$A$1700,0) &lt;&gt; "", TRUE,""),FALSE)</f>
        <v>1</v>
      </c>
      <c r="B111" t="str">
        <f>TRANSPOSE(T3_[Etiquetas de fila])</f>
        <v>HH Caipirinha</v>
      </c>
      <c r="C111">
        <f>TRANSPOSE(T3_[Recuento de T3 CODIGO])</f>
        <v>1</v>
      </c>
    </row>
    <row r="112" spans="1:3" x14ac:dyDescent="0.25">
      <c r="A112" t="b">
        <f>IFERROR(IF(MATCH(B112,RECETAS!$A$2:$A$1700,0) &lt;&gt; "", TRUE,""),FALSE)</f>
        <v>1</v>
      </c>
      <c r="B112" t="str">
        <f>TRANSPOSE(T3_[Etiquetas de fila])</f>
        <v>HH Caipirinha Frutilla</v>
      </c>
      <c r="C112">
        <f>TRANSPOSE(T3_[Recuento de T3 CODIGO])</f>
        <v>1</v>
      </c>
    </row>
    <row r="113" spans="1:3" x14ac:dyDescent="0.25">
      <c r="A113" t="b">
        <f>IFERROR(IF(MATCH(B113,RECETAS!$A$2:$A$1700,0) &lt;&gt; "", TRUE,""),FALSE)</f>
        <v>0</v>
      </c>
      <c r="B113" t="str">
        <f>TRANSPOSE(T3_[Etiquetas de fila])</f>
        <v>HH Chardonnay sour</v>
      </c>
      <c r="C113">
        <f>TRANSPOSE(T3_[Recuento de T3 CODIGO])</f>
        <v>1</v>
      </c>
    </row>
    <row r="114" spans="1:3" x14ac:dyDescent="0.25">
      <c r="A114" t="b">
        <f>IFERROR(IF(MATCH(B114,RECETAS!$A$2:$A$1700,0) &lt;&gt; "", TRUE,""),FALSE)</f>
        <v>1</v>
      </c>
      <c r="B114" t="str">
        <f>TRANSPOSE(T3_[Etiquetas de fila])</f>
        <v>HH Cosmopolitan</v>
      </c>
      <c r="C114">
        <f>TRANSPOSE(T3_[Recuento de T3 CODIGO])</f>
        <v>2</v>
      </c>
    </row>
    <row r="115" spans="1:3" x14ac:dyDescent="0.25">
      <c r="A115" t="b">
        <f>IFERROR(IF(MATCH(B115,RECETAS!$A$2:$A$1700,0) &lt;&gt; "", TRUE,""),FALSE)</f>
        <v>0</v>
      </c>
      <c r="B115" t="str">
        <f>TRANSPOSE(T3_[Etiquetas de fila])</f>
        <v>HH Crudo</v>
      </c>
      <c r="C115">
        <f>TRANSPOSE(T3_[Recuento de T3 CODIGO])</f>
        <v>10</v>
      </c>
    </row>
    <row r="116" spans="1:3" x14ac:dyDescent="0.25">
      <c r="A116" t="b">
        <f>IFERROR(IF(MATCH(B116,RECETAS!$A$2:$A$1700,0) &lt;&gt; "", TRUE,""),FALSE)</f>
        <v>1</v>
      </c>
      <c r="B116" t="str">
        <f>TRANSPOSE(T3_[Etiquetas de fila])</f>
        <v>HH Daiquiri Frambuesa</v>
      </c>
      <c r="C116">
        <f>TRANSPOSE(T3_[Recuento de T3 CODIGO])</f>
        <v>7</v>
      </c>
    </row>
    <row r="117" spans="1:3" x14ac:dyDescent="0.25">
      <c r="A117" t="b">
        <f>IFERROR(IF(MATCH(B117,RECETAS!$A$2:$A$1700,0) &lt;&gt; "", TRUE,""),FALSE)</f>
        <v>1</v>
      </c>
      <c r="B117" t="str">
        <f>TRANSPOSE(T3_[Etiquetas de fila])</f>
        <v>HH Daiquiri Frutilla</v>
      </c>
      <c r="C117">
        <f>TRANSPOSE(T3_[Recuento de T3 CODIGO])</f>
        <v>3</v>
      </c>
    </row>
    <row r="118" spans="1:3" x14ac:dyDescent="0.25">
      <c r="A118" t="b">
        <f>IFERROR(IF(MATCH(B118,RECETAS!$A$2:$A$1700,0) &lt;&gt; "", TRUE,""),FALSE)</f>
        <v>1</v>
      </c>
      <c r="B118" t="str">
        <f>TRANSPOSE(T3_[Etiquetas de fila])</f>
        <v>HH Daiquiri Mango</v>
      </c>
      <c r="C118">
        <f>TRANSPOSE(T3_[Recuento de T3 CODIGO])</f>
        <v>2</v>
      </c>
    </row>
    <row r="119" spans="1:3" x14ac:dyDescent="0.25">
      <c r="A119" t="b">
        <f>IFERROR(IF(MATCH(B119,RECETAS!$A$2:$A$1700,0) &lt;&gt; "", TRUE,""),FALSE)</f>
        <v>0</v>
      </c>
      <c r="B119" t="str">
        <f>TRANSPOSE(T3_[Etiquetas de fila])</f>
        <v>HH JOHNNIE ROJO FRUITY</v>
      </c>
      <c r="C119">
        <f>TRANSPOSE(T3_[Recuento de T3 CODIGO])</f>
        <v>3</v>
      </c>
    </row>
    <row r="120" spans="1:3" x14ac:dyDescent="0.25">
      <c r="A120" t="b">
        <f>IFERROR(IF(MATCH(B120,RECETAS!$A$2:$A$1700,0) &lt;&gt; "", TRUE,""),FALSE)</f>
        <v>0</v>
      </c>
      <c r="B120" t="str">
        <f>TRANSPOSE(T3_[Etiquetas de fila])</f>
        <v>HH JOHNNIE ROJO GINGER</v>
      </c>
      <c r="C120">
        <f>TRANSPOSE(T3_[Recuento de T3 CODIGO])</f>
        <v>9</v>
      </c>
    </row>
    <row r="121" spans="1:3" x14ac:dyDescent="0.25">
      <c r="A121" t="b">
        <f>IFERROR(IF(MATCH(B121,RECETAS!$A$2:$A$1700,0) &lt;&gt; "", TRUE,""),FALSE)</f>
        <v>0</v>
      </c>
      <c r="B121" t="str">
        <f>TRANSPOSE(T3_[Etiquetas de fila])</f>
        <v>HH Maitai</v>
      </c>
      <c r="C121">
        <f>TRANSPOSE(T3_[Recuento de T3 CODIGO])</f>
        <v>8</v>
      </c>
    </row>
    <row r="122" spans="1:3" x14ac:dyDescent="0.25">
      <c r="A122" t="b">
        <f>IFERROR(IF(MATCH(B122,RECETAS!$A$2:$A$1700,0) &lt;&gt; "", TRUE,""),FALSE)</f>
        <v>1</v>
      </c>
      <c r="B122" t="str">
        <f>TRANSPOSE(T3_[Etiquetas de fila])</f>
        <v>HH Margarita</v>
      </c>
      <c r="C122">
        <f>TRANSPOSE(T3_[Recuento de T3 CODIGO])</f>
        <v>5</v>
      </c>
    </row>
    <row r="123" spans="1:3" x14ac:dyDescent="0.25">
      <c r="A123" t="b">
        <f>IFERROR(IF(MATCH(B123,RECETAS!$A$2:$A$1700,0) &lt;&gt; "", TRUE,""),FALSE)</f>
        <v>1</v>
      </c>
      <c r="B123" t="str">
        <f>TRANSPOSE(T3_[Etiquetas de fila])</f>
        <v>HH Margarita Blue</v>
      </c>
      <c r="C123">
        <f>TRANSPOSE(T3_[Recuento de T3 CODIGO])</f>
        <v>1</v>
      </c>
    </row>
    <row r="124" spans="1:3" x14ac:dyDescent="0.25">
      <c r="A124" t="b">
        <f>IFERROR(IF(MATCH(B124,RECETAS!$A$2:$A$1700,0) &lt;&gt; "", TRUE,""),FALSE)</f>
        <v>1</v>
      </c>
      <c r="B124" t="str">
        <f>TRANSPOSE(T3_[Etiquetas de fila])</f>
        <v>HH Margarita Frambuesa</v>
      </c>
      <c r="C124">
        <f>TRANSPOSE(T3_[Recuento de T3 CODIGO])</f>
        <v>1</v>
      </c>
    </row>
    <row r="125" spans="1:3" x14ac:dyDescent="0.25">
      <c r="A125" t="b">
        <f>IFERROR(IF(MATCH(B125,RECETAS!$A$2:$A$1700,0) &lt;&gt; "", TRUE,""),FALSE)</f>
        <v>1</v>
      </c>
      <c r="B125" t="str">
        <f>TRANSPOSE(T3_[Etiquetas de fila])</f>
        <v>HH Margarita Frutilla</v>
      </c>
      <c r="C125">
        <f>TRANSPOSE(T3_[Recuento de T3 CODIGO])</f>
        <v>1</v>
      </c>
    </row>
    <row r="126" spans="1:3" x14ac:dyDescent="0.25">
      <c r="A126" t="b">
        <f>IFERROR(IF(MATCH(B126,RECETAS!$A$2:$A$1700,0) &lt;&gt; "", TRUE,""),FALSE)</f>
        <v>1</v>
      </c>
      <c r="B126" t="str">
        <f>TRANSPOSE(T3_[Etiquetas de fila])</f>
        <v>HH MOJITO BERRIES</v>
      </c>
      <c r="C126">
        <f>TRANSPOSE(T3_[Recuento de T3 CODIGO])</f>
        <v>13</v>
      </c>
    </row>
    <row r="127" spans="1:3" x14ac:dyDescent="0.25">
      <c r="A127" t="b">
        <f>IFERROR(IF(MATCH(B127,RECETAS!$A$2:$A$1700,0) &lt;&gt; "", TRUE,""),FALSE)</f>
        <v>1</v>
      </c>
      <c r="B127" t="str">
        <f>TRANSPOSE(T3_[Etiquetas de fila])</f>
        <v>HH Mojito Clásico</v>
      </c>
      <c r="C127">
        <f>TRANSPOSE(T3_[Recuento de T3 CODIGO])</f>
        <v>22</v>
      </c>
    </row>
    <row r="128" spans="1:3" x14ac:dyDescent="0.25">
      <c r="A128" t="b">
        <f>IFERROR(IF(MATCH(B128,RECETAS!$A$2:$A$1700,0) &lt;&gt; "", TRUE,""),FALSE)</f>
        <v>1</v>
      </c>
      <c r="B128" t="str">
        <f>TRANSPOSE(T3_[Etiquetas de fila])</f>
        <v>HH Mojito Corona</v>
      </c>
      <c r="C128">
        <f>TRANSPOSE(T3_[Recuento de T3 CODIGO])</f>
        <v>15</v>
      </c>
    </row>
    <row r="129" spans="1:3" x14ac:dyDescent="0.25">
      <c r="A129" t="b">
        <f>IFERROR(IF(MATCH(B129,RECETAS!$A$2:$A$1700,0) &lt;&gt; "", TRUE,""),FALSE)</f>
        <v>1</v>
      </c>
      <c r="B129" t="str">
        <f>TRANSPOSE(T3_[Etiquetas de fila])</f>
        <v>HH MOJITO FRUTILLA</v>
      </c>
      <c r="C129">
        <f>TRANSPOSE(T3_[Recuento de T3 CODIGO])</f>
        <v>26</v>
      </c>
    </row>
    <row r="130" spans="1:3" x14ac:dyDescent="0.25">
      <c r="A130" t="b">
        <f>IFERROR(IF(MATCH(B130,RECETAS!$A$2:$A$1700,0) &lt;&gt; "", TRUE,""),FALSE)</f>
        <v>1</v>
      </c>
      <c r="B130" t="str">
        <f>TRANSPOSE(T3_[Etiquetas de fila])</f>
        <v>HH MOJITO MANGO</v>
      </c>
      <c r="C130">
        <f>TRANSPOSE(T3_[Recuento de T3 CODIGO])</f>
        <v>22</v>
      </c>
    </row>
    <row r="131" spans="1:3" x14ac:dyDescent="0.25">
      <c r="A131" t="b">
        <f>IFERROR(IF(MATCH(B131,RECETAS!$A$2:$A$1700,0) &lt;&gt; "", TRUE,""),FALSE)</f>
        <v>1</v>
      </c>
      <c r="B131" t="str">
        <f>TRANSPOSE(T3_[Etiquetas de fila])</f>
        <v>HH Mojito Maracuyá</v>
      </c>
      <c r="C131">
        <f>TRANSPOSE(T3_[Recuento de T3 CODIGO])</f>
        <v>16</v>
      </c>
    </row>
    <row r="132" spans="1:3" x14ac:dyDescent="0.25">
      <c r="A132" t="b">
        <f>IFERROR(IF(MATCH(B132,RECETAS!$A$2:$A$1700,0) &lt;&gt; "", TRUE,""),FALSE)</f>
        <v>1</v>
      </c>
      <c r="B132" t="str">
        <f>TRANSPOSE(T3_[Etiquetas de fila])</f>
        <v>HH Pisco Sour</v>
      </c>
      <c r="C132">
        <f>TRANSPOSE(T3_[Recuento de T3 CODIGO])</f>
        <v>6</v>
      </c>
    </row>
    <row r="133" spans="1:3" x14ac:dyDescent="0.25">
      <c r="A133" t="b">
        <f>IFERROR(IF(MATCH(B133,RECETAS!$A$2:$A$1700,0) &lt;&gt; "", TRUE,""),FALSE)</f>
        <v>1</v>
      </c>
      <c r="B133" t="str">
        <f>TRANSPOSE(T3_[Etiquetas de fila])</f>
        <v>HH Schop Becker</v>
      </c>
      <c r="C133">
        <f>TRANSPOSE(T3_[Recuento de T3 CODIGO])</f>
        <v>5</v>
      </c>
    </row>
    <row r="134" spans="1:3" x14ac:dyDescent="0.25">
      <c r="A134" t="b">
        <f>IFERROR(IF(MATCH(B134,RECETAS!$A$2:$A$1700,0) &lt;&gt; "", TRUE,""),FALSE)</f>
        <v>0</v>
      </c>
      <c r="B134" t="str">
        <f>TRANSPOSE(T3_[Etiquetas de fila])</f>
        <v>HH Totopos</v>
      </c>
      <c r="C134">
        <f>TRANSPOSE(T3_[Recuento de T3 CODIGO])</f>
        <v>5</v>
      </c>
    </row>
    <row r="135" spans="1:3" x14ac:dyDescent="0.25">
      <c r="A135" t="b">
        <f>IFERROR(IF(MATCH(B135,RECETAS!$A$2:$A$1700,0) &lt;&gt; "", TRUE,""),FALSE)</f>
        <v>1</v>
      </c>
      <c r="B135" t="str">
        <f>TRANSPOSE(T3_[Etiquetas de fila])</f>
        <v>Jack Daniels</v>
      </c>
      <c r="C135">
        <f>TRANSPOSE(T3_[Recuento de T3 CODIGO])</f>
        <v>2</v>
      </c>
    </row>
    <row r="136" spans="1:3" x14ac:dyDescent="0.25">
      <c r="A136" t="b">
        <f>IFERROR(IF(MATCH(B136,RECETAS!$A$2:$A$1700,0) &lt;&gt; "", TRUE,""),FALSE)</f>
        <v>1</v>
      </c>
      <c r="B136" t="str">
        <f>TRANSPOSE(T3_[Etiquetas de fila])</f>
        <v>Jack Daniels Fire</v>
      </c>
      <c r="C136">
        <f>TRANSPOSE(T3_[Recuento de T3 CODIGO])</f>
        <v>1</v>
      </c>
    </row>
    <row r="137" spans="1:3" x14ac:dyDescent="0.25">
      <c r="A137" t="b">
        <f>IFERROR(IF(MATCH(B137,RECETAS!$A$2:$A$1700,0) &lt;&gt; "", TRUE,""),FALSE)</f>
        <v>1</v>
      </c>
      <c r="B137" t="str">
        <f>TRANSPOSE(T3_[Etiquetas de fila])</f>
        <v>Jagermeister</v>
      </c>
      <c r="C137">
        <f>TRANSPOSE(T3_[Recuento de T3 CODIGO])</f>
        <v>1</v>
      </c>
    </row>
    <row r="138" spans="1:3" x14ac:dyDescent="0.25">
      <c r="A138" t="b">
        <f>IFERROR(IF(MATCH(B138,RECETAS!$A$2:$A$1700,0) &lt;&gt; "", TRUE,""),FALSE)</f>
        <v>1</v>
      </c>
      <c r="B138" t="str">
        <f>TRANSPOSE(T3_[Etiquetas de fila])</f>
        <v>Jagermeister + Bebida</v>
      </c>
      <c r="C138">
        <f>TRANSPOSE(T3_[Recuento de T3 CODIGO])</f>
        <v>1</v>
      </c>
    </row>
    <row r="139" spans="1:3" x14ac:dyDescent="0.25">
      <c r="A139" t="b">
        <f>IFERROR(IF(MATCH(B139,RECETAS!$A$2:$A$1700,0) &lt;&gt; "", TRUE,""),FALSE)</f>
        <v>1</v>
      </c>
      <c r="B139" t="str">
        <f>TRANSPOSE(T3_[Etiquetas de fila])</f>
        <v>Jagermeister Mojito</v>
      </c>
      <c r="C139">
        <f>TRANSPOSE(T3_[Recuento de T3 CODIGO])</f>
        <v>5</v>
      </c>
    </row>
    <row r="140" spans="1:3" x14ac:dyDescent="0.25">
      <c r="A140" t="b">
        <f>IFERROR(IF(MATCH(B140,RECETAS!$A$2:$A$1700,0) &lt;&gt; "", TRUE,""),FALSE)</f>
        <v>1</v>
      </c>
      <c r="B140" t="str">
        <f>TRANSPOSE(T3_[Etiquetas de fila])</f>
        <v>Jarro Sangria</v>
      </c>
      <c r="C140">
        <f>TRANSPOSE(T3_[Recuento de T3 CODIGO])</f>
        <v>10</v>
      </c>
    </row>
    <row r="141" spans="1:3" x14ac:dyDescent="0.25">
      <c r="A141" t="b">
        <f>IFERROR(IF(MATCH(B141,RECETAS!$A$2:$A$1700,0) &lt;&gt; "", TRUE,""),FALSE)</f>
        <v>0</v>
      </c>
      <c r="B141" t="str">
        <f>TRANSPOSE(T3_[Etiquetas de fila])</f>
        <v>Johnnie Fruity 2X</v>
      </c>
      <c r="C141">
        <f>TRANSPOSE(T3_[Recuento de T3 CODIGO])</f>
        <v>1</v>
      </c>
    </row>
    <row r="142" spans="1:3" x14ac:dyDescent="0.25">
      <c r="A142" t="b">
        <f>IFERROR(IF(MATCH(B142,RECETAS!$A$2:$A$1700,0) &lt;&gt; "", TRUE,""),FALSE)</f>
        <v>0</v>
      </c>
      <c r="B142" t="str">
        <f>TRANSPOSE(T3_[Etiquetas de fila])</f>
        <v>Johnnie Ginger 2X</v>
      </c>
      <c r="C142">
        <f>TRANSPOSE(T3_[Recuento de T3 CODIGO])</f>
        <v>1</v>
      </c>
    </row>
    <row r="143" spans="1:3" x14ac:dyDescent="0.25">
      <c r="A143" t="b">
        <f>IFERROR(IF(MATCH(B143,RECETAS!$A$2:$A$1700,0) &lt;&gt; "", TRUE,""),FALSE)</f>
        <v>1</v>
      </c>
      <c r="B143" t="str">
        <f>TRANSPOSE(T3_[Etiquetas de fila])</f>
        <v>Johnnie Walker Black</v>
      </c>
      <c r="C143">
        <f>TRANSPOSE(T3_[Recuento de T3 CODIGO])</f>
        <v>3</v>
      </c>
    </row>
    <row r="144" spans="1:3" x14ac:dyDescent="0.25">
      <c r="A144" t="b">
        <f>IFERROR(IF(MATCH(B144,RECETAS!$A$2:$A$1700,0) &lt;&gt; "", TRUE,""),FALSE)</f>
        <v>1</v>
      </c>
      <c r="B144" t="str">
        <f>TRANSPOSE(T3_[Etiquetas de fila])</f>
        <v>Jugo Frambuesa</v>
      </c>
      <c r="C144">
        <f>TRANSPOSE(T3_[Recuento de T3 CODIGO])</f>
        <v>34</v>
      </c>
    </row>
    <row r="145" spans="1:3" x14ac:dyDescent="0.25">
      <c r="A145" t="b">
        <f>IFERROR(IF(MATCH(B145,RECETAS!$A$2:$A$1700,0) &lt;&gt; "", TRUE,""),FALSE)</f>
        <v>1</v>
      </c>
      <c r="B145" t="str">
        <f>TRANSPOSE(T3_[Etiquetas de fila])</f>
        <v>Jugo Frutilla</v>
      </c>
      <c r="C145">
        <f>TRANSPOSE(T3_[Recuento de T3 CODIGO])</f>
        <v>23</v>
      </c>
    </row>
    <row r="146" spans="1:3" x14ac:dyDescent="0.25">
      <c r="A146" t="b">
        <f>IFERROR(IF(MATCH(B146,RECETAS!$A$2:$A$1700,0) &lt;&gt; "", TRUE,""),FALSE)</f>
        <v>1</v>
      </c>
      <c r="B146" t="str">
        <f>TRANSPOSE(T3_[Etiquetas de fila])</f>
        <v>Jugo Mango</v>
      </c>
      <c r="C146">
        <f>TRANSPOSE(T3_[Recuento de T3 CODIGO])</f>
        <v>28</v>
      </c>
    </row>
    <row r="147" spans="1:3" x14ac:dyDescent="0.25">
      <c r="A147" t="b">
        <f>IFERROR(IF(MATCH(B147,RECETAS!$A$2:$A$1700,0) &lt;&gt; "", TRUE,""),FALSE)</f>
        <v>1</v>
      </c>
      <c r="B147" t="str">
        <f>TRANSPOSE(T3_[Etiquetas de fila])</f>
        <v>Kamikaze</v>
      </c>
      <c r="C147">
        <f>TRANSPOSE(T3_[Recuento de T3 CODIGO])</f>
        <v>1</v>
      </c>
    </row>
    <row r="148" spans="1:3" x14ac:dyDescent="0.25">
      <c r="A148" t="b">
        <f>IFERROR(IF(MATCH(B148,RECETAS!$A$2:$A$1700,0) &lt;&gt; "", TRUE,""),FALSE)</f>
        <v>1</v>
      </c>
      <c r="B148" t="str">
        <f>TRANSPOSE(T3_[Etiquetas de fila])</f>
        <v>Laguna Azul</v>
      </c>
      <c r="C148">
        <f>TRANSPOSE(T3_[Recuento de T3 CODIGO])</f>
        <v>9</v>
      </c>
    </row>
    <row r="149" spans="1:3" x14ac:dyDescent="0.25">
      <c r="A149" t="b">
        <f>IFERROR(IF(MATCH(B149,RECETAS!$A$2:$A$1700,0) &lt;&gt; "", TRUE,""),FALSE)</f>
        <v>0</v>
      </c>
      <c r="B149" t="str">
        <f>TRANSPOSE(T3_[Etiquetas de fila])</f>
        <v>Laguna Azul 2X</v>
      </c>
      <c r="C149">
        <f>TRANSPOSE(T3_[Recuento de T3 CODIGO])</f>
        <v>11</v>
      </c>
    </row>
    <row r="150" spans="1:3" x14ac:dyDescent="0.25">
      <c r="A150" t="b">
        <f>IFERROR(IF(MATCH(B150,RECETAS!$A$2:$A$1700,0) &lt;&gt; "", TRUE,""),FALSE)</f>
        <v>1</v>
      </c>
      <c r="B150" t="str">
        <f>TRANSPOSE(T3_[Etiquetas de fila])</f>
        <v>Limonada</v>
      </c>
      <c r="C150">
        <f>TRANSPOSE(T3_[Recuento de T3 CODIGO])</f>
        <v>46</v>
      </c>
    </row>
    <row r="151" spans="1:3" x14ac:dyDescent="0.25">
      <c r="A151" t="b">
        <f>IFERROR(IF(MATCH(B151,RECETAS!$A$2:$A$1700,0) &lt;&gt; "", TRUE,""),FALSE)</f>
        <v>1</v>
      </c>
      <c r="B151" t="str">
        <f>TRANSPOSE(T3_[Etiquetas de fila])</f>
        <v>Lomo a lo Pobre</v>
      </c>
      <c r="C151">
        <f>TRANSPOSE(T3_[Recuento de T3 CODIGO])</f>
        <v>6</v>
      </c>
    </row>
    <row r="152" spans="1:3" x14ac:dyDescent="0.25">
      <c r="A152" t="b">
        <f>IFERROR(IF(MATCH(B152,RECETAS!$A$2:$A$1700,0) &lt;&gt; "", TRUE,""),FALSE)</f>
        <v>1</v>
      </c>
      <c r="B152" t="str">
        <f>TRANSPOSE(T3_[Etiquetas de fila])</f>
        <v>London Mule</v>
      </c>
      <c r="C152">
        <f>TRANSPOSE(T3_[Recuento de T3 CODIGO])</f>
        <v>5</v>
      </c>
    </row>
    <row r="153" spans="1:3" x14ac:dyDescent="0.25">
      <c r="A153" t="b">
        <f>IFERROR(IF(MATCH(B153,RECETAS!$A$2:$A$1700,0) &lt;&gt; "", TRUE,""),FALSE)</f>
        <v>1</v>
      </c>
      <c r="B153" t="str">
        <f>TRANSPOSE(T3_[Etiquetas de fila])</f>
        <v>Long Island Ice Tea</v>
      </c>
      <c r="C153">
        <f>TRANSPOSE(T3_[Recuento de T3 CODIGO])</f>
        <v>3</v>
      </c>
    </row>
    <row r="154" spans="1:3" x14ac:dyDescent="0.25">
      <c r="A154" t="b">
        <f>IFERROR(IF(MATCH(B154,RECETAS!$A$2:$A$1700,0) &lt;&gt; "", TRUE,""),FALSE)</f>
        <v>1</v>
      </c>
      <c r="B154" t="str">
        <f>TRANSPOSE(T3_[Etiquetas de fila])</f>
        <v>Maitai</v>
      </c>
      <c r="C154">
        <f>TRANSPOSE(T3_[Recuento de T3 CODIGO])</f>
        <v>5</v>
      </c>
    </row>
    <row r="155" spans="1:3" x14ac:dyDescent="0.25">
      <c r="A155" t="b">
        <f>IFERROR(IF(MATCH(B155,RECETAS!$A$2:$A$1700,0) &lt;&gt; "", TRUE,""),FALSE)</f>
        <v>0</v>
      </c>
      <c r="B155" t="str">
        <f>TRANSPOSE(T3_[Etiquetas de fila])</f>
        <v>Maitai 2X</v>
      </c>
      <c r="C155">
        <f>TRANSPOSE(T3_[Recuento de T3 CODIGO])</f>
        <v>1</v>
      </c>
    </row>
    <row r="156" spans="1:3" x14ac:dyDescent="0.25">
      <c r="A156" t="b">
        <f>IFERROR(IF(MATCH(B156,RECETAS!$A$2:$A$1700,0) &lt;&gt; "", TRUE,""),FALSE)</f>
        <v>0</v>
      </c>
      <c r="B156" t="str">
        <f>TRANSPOSE(T3_[Etiquetas de fila])</f>
        <v>Maleficent</v>
      </c>
      <c r="C156">
        <f>TRANSPOSE(T3_[Recuento de T3 CODIGO])</f>
        <v>2</v>
      </c>
    </row>
    <row r="157" spans="1:3" x14ac:dyDescent="0.25">
      <c r="A157" t="b">
        <f>IFERROR(IF(MATCH(B157,RECETAS!$A$2:$A$1700,0) &lt;&gt; "", TRUE,""),FALSE)</f>
        <v>1</v>
      </c>
      <c r="B157" t="str">
        <f>TRANSPOSE(T3_[Etiquetas de fila])</f>
        <v>Mamacita</v>
      </c>
      <c r="C157">
        <f>TRANSPOSE(T3_[Recuento de T3 CODIGO])</f>
        <v>7</v>
      </c>
    </row>
    <row r="158" spans="1:3" x14ac:dyDescent="0.25">
      <c r="A158" t="b">
        <f>IFERROR(IF(MATCH(B158,RECETAS!$A$2:$A$1700,0) &lt;&gt; "", TRUE,""),FALSE)</f>
        <v>0</v>
      </c>
      <c r="B158" t="str">
        <f>TRANSPOSE(T3_[Etiquetas de fila])</f>
        <v>Mango</v>
      </c>
      <c r="C158">
        <f>TRANSPOSE(T3_[Recuento de T3 CODIGO])</f>
        <v>6</v>
      </c>
    </row>
    <row r="159" spans="1:3" x14ac:dyDescent="0.25">
      <c r="A159" t="b">
        <f>IFERROR(IF(MATCH(B159,RECETAS!$A$2:$A$1700,0) &lt;&gt; "", TRUE,""),FALSE)</f>
        <v>1</v>
      </c>
      <c r="B159" t="str">
        <f>TRANSPOSE(T3_[Etiquetas de fila])</f>
        <v>Mango Colada</v>
      </c>
      <c r="C159">
        <f>TRANSPOSE(T3_[Recuento de T3 CODIGO])</f>
        <v>3</v>
      </c>
    </row>
    <row r="160" spans="1:3" x14ac:dyDescent="0.25">
      <c r="A160" t="b">
        <f>IFERROR(IF(MATCH(B160,RECETAS!$A$2:$A$1700,0) &lt;&gt; "", TRUE,""),FALSE)</f>
        <v>0</v>
      </c>
      <c r="B160" t="str">
        <f>TRANSPOSE(T3_[Etiquetas de fila])</f>
        <v>MARACUYA SOUR</v>
      </c>
      <c r="C160">
        <f>TRANSPOSE(T3_[Recuento de T3 CODIGO])</f>
        <v>12</v>
      </c>
    </row>
    <row r="161" spans="1:3" x14ac:dyDescent="0.25">
      <c r="A161" t="b">
        <f>IFERROR(IF(MATCH(B161,RECETAS!$A$2:$A$1700,0) &lt;&gt; "", TRUE,""),FALSE)</f>
        <v>1</v>
      </c>
      <c r="B161" t="str">
        <f>TRANSPOSE(T3_[Etiquetas de fila])</f>
        <v>Margarita</v>
      </c>
      <c r="C161">
        <f>TRANSPOSE(T3_[Recuento de T3 CODIGO])</f>
        <v>12</v>
      </c>
    </row>
    <row r="162" spans="1:3" x14ac:dyDescent="0.25">
      <c r="A162" t="b">
        <f>IFERROR(IF(MATCH(B162,RECETAS!$A$2:$A$1700,0) &lt;&gt; "", TRUE,""),FALSE)</f>
        <v>1</v>
      </c>
      <c r="B162" t="str">
        <f>TRANSPOSE(T3_[Etiquetas de fila])</f>
        <v>Margarita Blue</v>
      </c>
      <c r="C162">
        <f>TRANSPOSE(T3_[Recuento de T3 CODIGO])</f>
        <v>4</v>
      </c>
    </row>
    <row r="163" spans="1:3" x14ac:dyDescent="0.25">
      <c r="A163" t="b">
        <f>IFERROR(IF(MATCH(B163,RECETAS!$A$2:$A$1700,0) &lt;&gt; "", TRUE,""),FALSE)</f>
        <v>0</v>
      </c>
      <c r="B163" t="str">
        <f>TRANSPOSE(T3_[Etiquetas de fila])</f>
        <v>margarita blue spicy</v>
      </c>
      <c r="C163">
        <f>TRANSPOSE(T3_[Recuento de T3 CODIGO])</f>
        <v>4</v>
      </c>
    </row>
    <row r="164" spans="1:3" x14ac:dyDescent="0.25">
      <c r="A164" t="b">
        <f>IFERROR(IF(MATCH(B164,RECETAS!$A$2:$A$1700,0) &lt;&gt; "", TRUE,""),FALSE)</f>
        <v>1</v>
      </c>
      <c r="B164" t="str">
        <f>TRANSPOSE(T3_[Etiquetas de fila])</f>
        <v>Margarita Frambuesa</v>
      </c>
      <c r="C164">
        <f>TRANSPOSE(T3_[Recuento de T3 CODIGO])</f>
        <v>2</v>
      </c>
    </row>
    <row r="165" spans="1:3" x14ac:dyDescent="0.25">
      <c r="A165" t="b">
        <f>IFERROR(IF(MATCH(B165,RECETAS!$A$2:$A$1700,0) &lt;&gt; "", TRUE,""),FALSE)</f>
        <v>1</v>
      </c>
      <c r="B165" t="str">
        <f>TRANSPOSE(T3_[Etiquetas de fila])</f>
        <v>Margarita Frutilla</v>
      </c>
      <c r="C165">
        <f>TRANSPOSE(T3_[Recuento de T3 CODIGO])</f>
        <v>3</v>
      </c>
    </row>
    <row r="166" spans="1:3" x14ac:dyDescent="0.25">
      <c r="A166" t="b">
        <f>IFERROR(IF(MATCH(B166,RECETAS!$A$2:$A$1700,0) &lt;&gt; "", TRUE,""),FALSE)</f>
        <v>0</v>
      </c>
      <c r="B166" t="str">
        <f>TRANSPOSE(T3_[Etiquetas de fila])</f>
        <v>margarita maracuya spicy</v>
      </c>
      <c r="C166">
        <f>TRANSPOSE(T3_[Recuento de T3 CODIGO])</f>
        <v>1</v>
      </c>
    </row>
    <row r="167" spans="1:3" x14ac:dyDescent="0.25">
      <c r="A167" t="b">
        <f>IFERROR(IF(MATCH(B167,RECETAS!$A$2:$A$1700,0) &lt;&gt; "", TRUE,""),FALSE)</f>
        <v>0</v>
      </c>
      <c r="B167" t="str">
        <f>TRANSPOSE(T3_[Etiquetas de fila])</f>
        <v>Margarita Sabores 2X</v>
      </c>
      <c r="C167">
        <f>TRANSPOSE(T3_[Recuento de T3 CODIGO])</f>
        <v>5</v>
      </c>
    </row>
    <row r="168" spans="1:3" x14ac:dyDescent="0.25">
      <c r="A168" t="b">
        <f>IFERROR(IF(MATCH(B168,RECETAS!$A$2:$A$1700,0) &lt;&gt; "", TRUE,""),FALSE)</f>
        <v>0</v>
      </c>
      <c r="B168" t="str">
        <f>TRANSPOSE(T3_[Etiquetas de fila])</f>
        <v>margarita spicy</v>
      </c>
      <c r="C168">
        <f>TRANSPOSE(T3_[Recuento de T3 CODIGO])</f>
        <v>1</v>
      </c>
    </row>
    <row r="169" spans="1:3" x14ac:dyDescent="0.25">
      <c r="A169" t="b">
        <f>IFERROR(IF(MATCH(B169,RECETAS!$A$2:$A$1700,0) &lt;&gt; "", TRUE,""),FALSE)</f>
        <v>1</v>
      </c>
      <c r="B169" t="str">
        <f>TRANSPOSE(T3_[Etiquetas de fila])</f>
        <v>Margarita XL</v>
      </c>
      <c r="C169">
        <f>TRANSPOSE(T3_[Recuento de T3 CODIGO])</f>
        <v>1</v>
      </c>
    </row>
    <row r="170" spans="1:3" x14ac:dyDescent="0.25">
      <c r="A170" t="b">
        <f>IFERROR(IF(MATCH(B170,RECETAS!$A$2:$A$1700,0) &lt;&gt; "", TRUE,""),FALSE)</f>
        <v>1</v>
      </c>
      <c r="B170" t="str">
        <f>TRANSPOSE(T3_[Etiquetas de fila])</f>
        <v>Martini Dry</v>
      </c>
      <c r="C170">
        <f>TRANSPOSE(T3_[Recuento de T3 CODIGO])</f>
        <v>3</v>
      </c>
    </row>
    <row r="171" spans="1:3" x14ac:dyDescent="0.25">
      <c r="A171" t="b">
        <f>IFERROR(IF(MATCH(B171,RECETAS!$A$2:$A$1700,0) &lt;&gt; "", TRUE,""),FALSE)</f>
        <v>1</v>
      </c>
      <c r="B171" t="str">
        <f>TRANSPOSE(T3_[Etiquetas de fila])</f>
        <v>Menu Ceviche Salmon</v>
      </c>
      <c r="C171">
        <f>TRANSPOSE(T3_[Recuento de T3 CODIGO])</f>
        <v>1</v>
      </c>
    </row>
    <row r="172" spans="1:3" x14ac:dyDescent="0.25">
      <c r="A172" t="b">
        <f>IFERROR(IF(MATCH(B172,RECETAS!$A$2:$A$1700,0) &lt;&gt; "", TRUE,""),FALSE)</f>
        <v>1</v>
      </c>
      <c r="B172" t="str">
        <f>TRANSPOSE(T3_[Etiquetas de fila])</f>
        <v>Menu Coca cola 350cc</v>
      </c>
      <c r="C172">
        <f>TRANSPOSE(T3_[Recuento de T3 CODIGO])</f>
        <v>7</v>
      </c>
    </row>
    <row r="173" spans="1:3" x14ac:dyDescent="0.25">
      <c r="A173" t="b">
        <f>IFERROR(IF(MATCH(B173,RECETAS!$A$2:$A$1700,0) &lt;&gt; "", TRUE,""),FALSE)</f>
        <v>1</v>
      </c>
      <c r="B173" t="str">
        <f>TRANSPOSE(T3_[Etiquetas de fila])</f>
        <v>Menu Coca cola zero 350cc</v>
      </c>
      <c r="C173">
        <f>TRANSPOSE(T3_[Recuento de T3 CODIGO])</f>
        <v>6</v>
      </c>
    </row>
    <row r="174" spans="1:3" x14ac:dyDescent="0.25">
      <c r="A174" t="b">
        <f>IFERROR(IF(MATCH(B174,RECETAS!$A$2:$A$1700,0) &lt;&gt; "", TRUE,""),FALSE)</f>
        <v>1</v>
      </c>
      <c r="B174" t="str">
        <f>TRANSPOSE(T3_[Etiquetas de fila])</f>
        <v>Menu copa de vino blanco</v>
      </c>
      <c r="C174">
        <f>TRANSPOSE(T3_[Recuento de T3 CODIGO])</f>
        <v>1</v>
      </c>
    </row>
    <row r="175" spans="1:3" x14ac:dyDescent="0.25">
      <c r="A175" t="b">
        <f>IFERROR(IF(MATCH(B175,RECETAS!$A$2:$A$1700,0) &lt;&gt; "", TRUE,""),FALSE)</f>
        <v>1</v>
      </c>
      <c r="B175" t="str">
        <f>TRANSPOSE(T3_[Etiquetas de fila])</f>
        <v>Menu copa de vino tinto</v>
      </c>
      <c r="C175">
        <f>TRANSPOSE(T3_[Recuento de T3 CODIGO])</f>
        <v>1</v>
      </c>
    </row>
    <row r="176" spans="1:3" x14ac:dyDescent="0.25">
      <c r="A176" t="b">
        <f>IFERROR(IF(MATCH(B176,RECETAS!$A$2:$A$1700,0) &lt;&gt; "", TRUE,""),FALSE)</f>
        <v>1</v>
      </c>
      <c r="B176" t="str">
        <f>TRANSPOSE(T3_[Etiquetas de fila])</f>
        <v>MENU CRUDO</v>
      </c>
      <c r="C176">
        <f>TRANSPOSE(T3_[Recuento de T3 CODIGO])</f>
        <v>4</v>
      </c>
    </row>
    <row r="177" spans="1:3" x14ac:dyDescent="0.25">
      <c r="A177" t="b">
        <f>IFERROR(IF(MATCH(B177,RECETAS!$A$2:$A$1700,0) &lt;&gt; "", TRUE,""),FALSE)</f>
        <v>1</v>
      </c>
      <c r="B177" t="str">
        <f>TRANSPOSE(T3_[Etiquetas de fila])</f>
        <v>Menu Fanta 350cc</v>
      </c>
      <c r="C177">
        <f>TRANSPOSE(T3_[Recuento de T3 CODIGO])</f>
        <v>1</v>
      </c>
    </row>
    <row r="178" spans="1:3" x14ac:dyDescent="0.25">
      <c r="A178" t="b">
        <f>IFERROR(IF(MATCH(B178,RECETAS!$A$2:$A$1700,0) &lt;&gt; "", TRUE,""),FALSE)</f>
        <v>1</v>
      </c>
      <c r="B178" t="str">
        <f>TRANSPOSE(T3_[Etiquetas de fila])</f>
        <v>Menu Lomo a lo pobre</v>
      </c>
      <c r="C178">
        <f>TRANSPOSE(T3_[Recuento de T3 CODIGO])</f>
        <v>8</v>
      </c>
    </row>
    <row r="179" spans="1:3" x14ac:dyDescent="0.25">
      <c r="A179" t="b">
        <f>IFERROR(IF(MATCH(B179,RECETAS!$A$2:$A$1700,0) &lt;&gt; "", TRUE,""),FALSE)</f>
        <v>1</v>
      </c>
      <c r="B179" t="str">
        <f>TRANSPOSE(T3_[Etiquetas de fila])</f>
        <v>Menu Lomo Saltado</v>
      </c>
      <c r="C179">
        <f>TRANSPOSE(T3_[Recuento de T3 CODIGO])</f>
        <v>9</v>
      </c>
    </row>
    <row r="180" spans="1:3" x14ac:dyDescent="0.25">
      <c r="A180" t="b">
        <f>IFERROR(IF(MATCH(B180,RECETAS!$A$2:$A$1700,0) &lt;&gt; "", TRUE,""),FALSE)</f>
        <v>1</v>
      </c>
      <c r="B180" t="str">
        <f>TRANSPOSE(T3_[Etiquetas de fila])</f>
        <v>Menu Mineral sin gas</v>
      </c>
      <c r="C180">
        <f>TRANSPOSE(T3_[Recuento de T3 CODIGO])</f>
        <v>3</v>
      </c>
    </row>
    <row r="181" spans="1:3" x14ac:dyDescent="0.25">
      <c r="A181" t="b">
        <f>IFERROR(IF(MATCH(B181,RECETAS!$A$2:$A$1700,0) &lt;&gt; "", TRUE,""),FALSE)</f>
        <v>1</v>
      </c>
      <c r="B181" t="str">
        <f>TRANSPOSE(T3_[Etiquetas de fila])</f>
        <v>Menu Pasta con Camarones</v>
      </c>
      <c r="C181">
        <f>TRANSPOSE(T3_[Recuento de T3 CODIGO])</f>
        <v>5</v>
      </c>
    </row>
    <row r="182" spans="1:3" x14ac:dyDescent="0.25">
      <c r="A182" t="b">
        <f>IFERROR(IF(MATCH(B182,RECETAS!$A$2:$A$1700,0) &lt;&gt; "", TRUE,""),FALSE)</f>
        <v>1</v>
      </c>
      <c r="B182" t="str">
        <f>TRANSPOSE(T3_[Etiquetas de fila])</f>
        <v>Menu Pollo a lo pobre</v>
      </c>
      <c r="C182">
        <f>TRANSPOSE(T3_[Recuento de T3 CODIGO])</f>
        <v>2</v>
      </c>
    </row>
    <row r="183" spans="1:3" x14ac:dyDescent="0.25">
      <c r="A183" t="b">
        <f>IFERROR(IF(MATCH(B183,RECETAS!$A$2:$A$1700,0) &lt;&gt; "", TRUE,""),FALSE)</f>
        <v>1</v>
      </c>
      <c r="B183" t="str">
        <f>TRANSPOSE(T3_[Etiquetas de fila])</f>
        <v>Menu Pollo al Curry</v>
      </c>
      <c r="C183">
        <f>TRANSPOSE(T3_[Recuento de T3 CODIGO])</f>
        <v>2</v>
      </c>
    </row>
    <row r="184" spans="1:3" x14ac:dyDescent="0.25">
      <c r="A184" t="b">
        <f>IFERROR(IF(MATCH(B184,RECETAS!$A$2:$A$1700,0) &lt;&gt; "", TRUE,""),FALSE)</f>
        <v>1</v>
      </c>
      <c r="B184" t="str">
        <f>TRANSPOSE(T3_[Etiquetas de fila])</f>
        <v>Menu Pollo al Limon</v>
      </c>
      <c r="C184">
        <f>TRANSPOSE(T3_[Recuento de T3 CODIGO])</f>
        <v>2</v>
      </c>
    </row>
    <row r="185" spans="1:3" x14ac:dyDescent="0.25">
      <c r="A185" t="b">
        <f>IFERROR(IF(MATCH(B185,RECETAS!$A$2:$A$1700,0) &lt;&gt; "", TRUE,""),FALSE)</f>
        <v>1</v>
      </c>
      <c r="B185" t="str">
        <f>TRANSPOSE(T3_[Etiquetas de fila])</f>
        <v>Menu Salmon a la plancha</v>
      </c>
      <c r="C185">
        <f>TRANSPOSE(T3_[Recuento de T3 CODIGO])</f>
        <v>5</v>
      </c>
    </row>
    <row r="186" spans="1:3" x14ac:dyDescent="0.25">
      <c r="A186" t="b">
        <f>IFERROR(IF(MATCH(B186,RECETAS!$A$2:$A$1700,0) &lt;&gt; "", TRUE,""),FALSE)</f>
        <v>1</v>
      </c>
      <c r="B186" t="str">
        <f>TRANSPOSE(T3_[Etiquetas de fila])</f>
        <v>Menu Salmon a lo Pobre</v>
      </c>
      <c r="C186">
        <f>TRANSPOSE(T3_[Recuento de T3 CODIGO])</f>
        <v>3</v>
      </c>
    </row>
    <row r="187" spans="1:3" x14ac:dyDescent="0.25">
      <c r="A187" t="b">
        <f>IFERROR(IF(MATCH(B187,RECETAS!$A$2:$A$1700,0) &lt;&gt; "", TRUE,""),FALSE)</f>
        <v>1</v>
      </c>
      <c r="B187" t="str">
        <f>TRANSPOSE(T3_[Etiquetas de fila])</f>
        <v>Menu Schop Stella</v>
      </c>
      <c r="C187">
        <f>TRANSPOSE(T3_[Recuento de T3 CODIGO])</f>
        <v>8</v>
      </c>
    </row>
    <row r="188" spans="1:3" x14ac:dyDescent="0.25">
      <c r="A188" t="b">
        <f>IFERROR(IF(MATCH(B188,RECETAS!$A$2:$A$1700,0) &lt;&gt; "", TRUE,""),FALSE)</f>
        <v>1</v>
      </c>
      <c r="B188" t="str">
        <f>TRANSPOSE(T3_[Etiquetas de fila])</f>
        <v>Menu Sprite 350cc</v>
      </c>
      <c r="C188">
        <f>TRANSPOSE(T3_[Recuento de T3 CODIGO])</f>
        <v>2</v>
      </c>
    </row>
    <row r="189" spans="1:3" x14ac:dyDescent="0.25">
      <c r="A189" t="b">
        <f>IFERROR(IF(MATCH(B189,RECETAS!$A$2:$A$1700,0) &lt;&gt; "", TRUE,""),FALSE)</f>
        <v>1</v>
      </c>
      <c r="B189" t="str">
        <f>TRANSPOSE(T3_[Etiquetas de fila])</f>
        <v>Menu Sprite Zero 350cc</v>
      </c>
      <c r="C189">
        <f>TRANSPOSE(T3_[Recuento de T3 CODIGO])</f>
        <v>1</v>
      </c>
    </row>
    <row r="190" spans="1:3" x14ac:dyDescent="0.25">
      <c r="A190" t="b">
        <f>IFERROR(IF(MATCH(B190,RECETAS!$A$2:$A$1700,0) &lt;&gt; "", TRUE,""),FALSE)</f>
        <v>1</v>
      </c>
      <c r="B190" t="str">
        <f>TRANSPOSE(T3_[Etiquetas de fila])</f>
        <v>Michelada</v>
      </c>
      <c r="C190">
        <f>TRANSPOSE(T3_[Recuento de T3 CODIGO])</f>
        <v>68</v>
      </c>
    </row>
    <row r="191" spans="1:3" x14ac:dyDescent="0.25">
      <c r="A191" t="b">
        <f>IFERROR(IF(MATCH(B191,RECETAS!$A$2:$A$1700,0) &lt;&gt; "", TRUE,""),FALSE)</f>
        <v>1</v>
      </c>
      <c r="B191" t="str">
        <f>TRANSPOSE(T3_[Etiquetas de fila])</f>
        <v>Michelada Full</v>
      </c>
      <c r="C191">
        <f>TRANSPOSE(T3_[Recuento de T3 CODIGO])</f>
        <v>38</v>
      </c>
    </row>
    <row r="192" spans="1:3" x14ac:dyDescent="0.25">
      <c r="A192" t="b">
        <f>IFERROR(IF(MATCH(B192,RECETAS!$A$2:$A$1700,0) &lt;&gt; "", TRUE,""),FALSE)</f>
        <v>1</v>
      </c>
      <c r="B192" t="str">
        <f>TRANSPOSE(T3_[Etiquetas de fila])</f>
        <v>Mineral con gas</v>
      </c>
      <c r="C192">
        <f>TRANSPOSE(T3_[Recuento de T3 CODIGO])</f>
        <v>14</v>
      </c>
    </row>
    <row r="193" spans="1:3" x14ac:dyDescent="0.25">
      <c r="A193" t="b">
        <f>IFERROR(IF(MATCH(B193,RECETAS!$A$2:$A$1700,0) &lt;&gt; "", TRUE,""),FALSE)</f>
        <v>1</v>
      </c>
      <c r="B193" t="str">
        <f>TRANSPOSE(T3_[Etiquetas de fila])</f>
        <v>Mineral sin gas</v>
      </c>
      <c r="C193">
        <f>TRANSPOSE(T3_[Recuento de T3 CODIGO])</f>
        <v>24</v>
      </c>
    </row>
    <row r="194" spans="1:3" x14ac:dyDescent="0.25">
      <c r="A194" t="b">
        <f>IFERROR(IF(MATCH(B194,RECETAS!$A$2:$A$1700,0) &lt;&gt; "", TRUE,""),FALSE)</f>
        <v>1</v>
      </c>
      <c r="B194" t="str">
        <f>TRANSPOSE(T3_[Etiquetas de fila])</f>
        <v>Mistral 35°</v>
      </c>
      <c r="C194">
        <f>TRANSPOSE(T3_[Recuento de T3 CODIGO])</f>
        <v>4</v>
      </c>
    </row>
    <row r="195" spans="1:3" x14ac:dyDescent="0.25">
      <c r="A195" t="b">
        <f>IFERROR(IF(MATCH(B195,RECETAS!$A$2:$A$1700,0) &lt;&gt; "", TRUE,""),FALSE)</f>
        <v>1</v>
      </c>
      <c r="B195" t="str">
        <f>TRANSPOSE(T3_[Etiquetas de fila])</f>
        <v>Mistral Nobel 40°</v>
      </c>
      <c r="C195">
        <f>TRANSPOSE(T3_[Recuento de T3 CODIGO])</f>
        <v>14</v>
      </c>
    </row>
    <row r="196" spans="1:3" x14ac:dyDescent="0.25">
      <c r="A196" t="b">
        <f>IFERROR(IF(MATCH(B196,RECETAS!$A$2:$A$1700,0) &lt;&gt; "", TRUE,""),FALSE)</f>
        <v>1</v>
      </c>
      <c r="B196" t="str">
        <f>TRANSPOSE(T3_[Etiquetas de fila])</f>
        <v>Mojito Absolut Razz</v>
      </c>
      <c r="C196">
        <f>TRANSPOSE(T3_[Recuento de T3 CODIGO])</f>
        <v>3</v>
      </c>
    </row>
    <row r="197" spans="1:3" x14ac:dyDescent="0.25">
      <c r="A197" t="b">
        <f>IFERROR(IF(MATCH(B197,RECETAS!$A$2:$A$1700,0) &lt;&gt; "", TRUE,""),FALSE)</f>
        <v>1</v>
      </c>
      <c r="B197" t="str">
        <f>TRANSPOSE(T3_[Etiquetas de fila])</f>
        <v>MOJITO BERRIES</v>
      </c>
      <c r="C197">
        <f>TRANSPOSE(T3_[Recuento de T3 CODIGO])</f>
        <v>21</v>
      </c>
    </row>
    <row r="198" spans="1:3" x14ac:dyDescent="0.25">
      <c r="A198" t="b">
        <f>IFERROR(IF(MATCH(B198,RECETAS!$A$2:$A$1700,0) &lt;&gt; "", TRUE,""),FALSE)</f>
        <v>1</v>
      </c>
      <c r="B198" t="str">
        <f>TRANSPOSE(T3_[Etiquetas de fila])</f>
        <v>Mojito Clásico</v>
      </c>
      <c r="C198">
        <f>TRANSPOSE(T3_[Recuento de T3 CODIGO])</f>
        <v>35</v>
      </c>
    </row>
    <row r="199" spans="1:3" x14ac:dyDescent="0.25">
      <c r="A199" t="b">
        <f>IFERROR(IF(MATCH(B199,RECETAS!$A$2:$A$1700,0) &lt;&gt; "", TRUE,""),FALSE)</f>
        <v>0</v>
      </c>
      <c r="B199" t="str">
        <f>TRANSPOSE(T3_[Etiquetas de fila])</f>
        <v>Mojito Clasico 2X</v>
      </c>
      <c r="C199">
        <f>TRANSPOSE(T3_[Recuento de T3 CODIGO])</f>
        <v>2</v>
      </c>
    </row>
    <row r="200" spans="1:3" x14ac:dyDescent="0.25">
      <c r="A200" t="b">
        <f>IFERROR(IF(MATCH(B200,RECETAS!$A$2:$A$1700,0) &lt;&gt; "", TRUE,""),FALSE)</f>
        <v>1</v>
      </c>
      <c r="B200" t="str">
        <f>TRANSPOSE(T3_[Etiquetas de fila])</f>
        <v>Mojito Corona</v>
      </c>
      <c r="C200">
        <f>TRANSPOSE(T3_[Recuento de T3 CODIGO])</f>
        <v>31</v>
      </c>
    </row>
    <row r="201" spans="1:3" x14ac:dyDescent="0.25">
      <c r="A201" t="b">
        <f>IFERROR(IF(MATCH(B201,RECETAS!$A$2:$A$1700,0) &lt;&gt; "", TRUE,""),FALSE)</f>
        <v>0</v>
      </c>
      <c r="B201" t="str">
        <f>TRANSPOSE(T3_[Etiquetas de fila])</f>
        <v>MOJITO CORONA 0.0</v>
      </c>
      <c r="C201">
        <f>TRANSPOSE(T3_[Recuento de T3 CODIGO])</f>
        <v>6</v>
      </c>
    </row>
    <row r="202" spans="1:3" x14ac:dyDescent="0.25">
      <c r="A202" t="b">
        <f>IFERROR(IF(MATCH(B202,RECETAS!$A$2:$A$1700,0) &lt;&gt; "", TRUE,""),FALSE)</f>
        <v>0</v>
      </c>
      <c r="B202" t="str">
        <f>TRANSPOSE(T3_[Etiquetas de fila])</f>
        <v>Mojito Corona 2X</v>
      </c>
      <c r="C202">
        <f>TRANSPOSE(T3_[Recuento de T3 CODIGO])</f>
        <v>13</v>
      </c>
    </row>
    <row r="203" spans="1:3" x14ac:dyDescent="0.25">
      <c r="A203" t="b">
        <f>IFERROR(IF(MATCH(B203,RECETAS!$A$2:$A$1700,0) &lt;&gt; "", TRUE,""),FALSE)</f>
        <v>1</v>
      </c>
      <c r="B203" t="str">
        <f>TRANSPOSE(T3_[Etiquetas de fila])</f>
        <v>MOJITO FRUTILLA</v>
      </c>
      <c r="C203">
        <f>TRANSPOSE(T3_[Recuento de T3 CODIGO])</f>
        <v>140</v>
      </c>
    </row>
    <row r="204" spans="1:3" x14ac:dyDescent="0.25">
      <c r="A204" t="b">
        <f>IFERROR(IF(MATCH(B204,RECETAS!$A$2:$A$1700,0) &lt;&gt; "", TRUE,""),FALSE)</f>
        <v>1</v>
      </c>
      <c r="B204" t="str">
        <f>TRANSPOSE(T3_[Etiquetas de fila])</f>
        <v>Mojito Jack Daniels</v>
      </c>
      <c r="C204">
        <f>TRANSPOSE(T3_[Recuento de T3 CODIGO])</f>
        <v>3</v>
      </c>
    </row>
    <row r="205" spans="1:3" x14ac:dyDescent="0.25">
      <c r="A205" t="b">
        <f>IFERROR(IF(MATCH(B205,RECETAS!$A$2:$A$1700,0) &lt;&gt; "", TRUE,""),FALSE)</f>
        <v>1</v>
      </c>
      <c r="B205" t="str">
        <f>TRANSPOSE(T3_[Etiquetas de fila])</f>
        <v>Mojito Maracuyá</v>
      </c>
      <c r="C205">
        <f>TRANSPOSE(T3_[Recuento de T3 CODIGO])</f>
        <v>40</v>
      </c>
    </row>
    <row r="206" spans="1:3" x14ac:dyDescent="0.25">
      <c r="A206" t="b">
        <f>IFERROR(IF(MATCH(B206,RECETAS!$A$2:$A$1700,0) &lt;&gt; "", TRUE,""),FALSE)</f>
        <v>0</v>
      </c>
      <c r="B206" t="str">
        <f>TRANSPOSE(T3_[Etiquetas de fila])</f>
        <v>Mojito Sabores 2X</v>
      </c>
      <c r="C206">
        <f>TRANSPOSE(T3_[Recuento de T3 CODIGO])</f>
        <v>1</v>
      </c>
    </row>
    <row r="207" spans="1:3" x14ac:dyDescent="0.25">
      <c r="A207" t="b">
        <f>IFERROR(IF(MATCH(B207,RECETAS!$A$2:$A$1700,0) &lt;&gt; "", TRUE,""),FALSE)</f>
        <v>1</v>
      </c>
      <c r="B207" t="str">
        <f>TRANSPOSE(T3_[Etiquetas de fila])</f>
        <v>Mojito Sin Alcohol</v>
      </c>
      <c r="C207">
        <f>TRANSPOSE(T3_[Recuento de T3 CODIGO])</f>
        <v>23</v>
      </c>
    </row>
    <row r="208" spans="1:3" x14ac:dyDescent="0.25">
      <c r="A208" t="b">
        <f>IFERROR(IF(MATCH(B208,RECETAS!$A$2:$A$1700,0) &lt;&gt; "", TRUE,""),FALSE)</f>
        <v>0</v>
      </c>
      <c r="B208" t="str">
        <f>TRANSPOSE(T3_[Etiquetas de fila])</f>
        <v>Mojito Tanqueray Royale</v>
      </c>
      <c r="C208">
        <f>TRANSPOSE(T3_[Recuento de T3 CODIGO])</f>
        <v>3</v>
      </c>
    </row>
    <row r="209" spans="1:3" x14ac:dyDescent="0.25">
      <c r="A209" t="b">
        <f>IFERROR(IF(MATCH(B209,RECETAS!$A$2:$A$1700,0) &lt;&gt; "", TRUE,""),FALSE)</f>
        <v>1</v>
      </c>
      <c r="B209" t="str">
        <f>TRANSPOSE(T3_[Etiquetas de fila])</f>
        <v>Mojito Xl</v>
      </c>
      <c r="C209">
        <f>TRANSPOSE(T3_[Recuento de T3 CODIGO])</f>
        <v>9</v>
      </c>
    </row>
    <row r="210" spans="1:3" x14ac:dyDescent="0.25">
      <c r="A210" t="b">
        <f>IFERROR(IF(MATCH(B210,RECETAS!$A$2:$A$1700,0) &lt;&gt; "", TRUE,""),FALSE)</f>
        <v>1</v>
      </c>
      <c r="B210" t="str">
        <f>TRANSPOSE(T3_[Etiquetas de fila])</f>
        <v>Monster Zero</v>
      </c>
      <c r="C210">
        <f>TRANSPOSE(T3_[Recuento de T3 CODIGO])</f>
        <v>1</v>
      </c>
    </row>
    <row r="211" spans="1:3" x14ac:dyDescent="0.25">
      <c r="A211" t="b">
        <f>IFERROR(IF(MATCH(B211,RECETAS!$A$2:$A$1700,0) &lt;&gt; "", TRUE,""),FALSE)</f>
        <v>1</v>
      </c>
      <c r="B211" t="str">
        <f>TRANSPOSE(T3_[Etiquetas de fila])</f>
        <v>Moscow Mule</v>
      </c>
      <c r="C211">
        <f>TRANSPOSE(T3_[Recuento de T3 CODIGO])</f>
        <v>25</v>
      </c>
    </row>
    <row r="212" spans="1:3" x14ac:dyDescent="0.25">
      <c r="A212" t="b">
        <f>IFERROR(IF(MATCH(B212,RECETAS!$A$2:$A$1700,0) &lt;&gt; "", TRUE,""),FALSE)</f>
        <v>1</v>
      </c>
      <c r="B212" t="str">
        <f>TRANSPOSE(T3_[Etiquetas de fila])</f>
        <v>Nashville Honey</v>
      </c>
      <c r="C212">
        <f>TRANSPOSE(T3_[Recuento de T3 CODIGO])</f>
        <v>2</v>
      </c>
    </row>
    <row r="213" spans="1:3" x14ac:dyDescent="0.25">
      <c r="A213" t="b">
        <f>IFERROR(IF(MATCH(B213,RECETAS!$A$2:$A$1700,0) &lt;&gt; "", TRUE,""),FALSE)</f>
        <v>1</v>
      </c>
      <c r="B213" t="str">
        <f>TRANSPOSE(T3_[Etiquetas de fila])</f>
        <v>Negroni</v>
      </c>
      <c r="C213">
        <f>TRANSPOSE(T3_[Recuento de T3 CODIGO])</f>
        <v>6</v>
      </c>
    </row>
    <row r="214" spans="1:3" x14ac:dyDescent="0.25">
      <c r="A214" t="b">
        <f>IFERROR(IF(MATCH(B214,RECETAS!$A$2:$A$1700,0) &lt;&gt; "", TRUE,""),FALSE)</f>
        <v>1</v>
      </c>
      <c r="B214" t="str">
        <f>TRANSPOSE(T3_[Etiquetas de fila])</f>
        <v>P.CHEESE TECLADOS</v>
      </c>
      <c r="C214">
        <f>TRANSPOSE(T3_[Recuento de T3 CODIGO])</f>
        <v>7</v>
      </c>
    </row>
    <row r="215" spans="1:3" x14ac:dyDescent="0.25">
      <c r="A215" t="b">
        <f>IFERROR(IF(MATCH(B215,RECETAS!$A$2:$A$1700,0) &lt;&gt; "", TRUE,""),FALSE)</f>
        <v>1</v>
      </c>
      <c r="B215" t="str">
        <f>TRANSPOSE(T3_[Etiquetas de fila])</f>
        <v>Palos de Queso</v>
      </c>
      <c r="C215">
        <f>TRANSPOSE(T3_[Recuento de T3 CODIGO])</f>
        <v>10</v>
      </c>
    </row>
    <row r="216" spans="1:3" x14ac:dyDescent="0.25">
      <c r="A216" t="b">
        <f>IFERROR(IF(MATCH(B216,RECETAS!$A$2:$A$1700,0) &lt;&gt; "", TRUE,""),FALSE)</f>
        <v>1</v>
      </c>
      <c r="B216" t="str">
        <f>TRANSPOSE(T3_[Etiquetas de fila])</f>
        <v>Pampero Aniversario</v>
      </c>
      <c r="C216">
        <f>TRANSPOSE(T3_[Recuento de T3 CODIGO])</f>
        <v>4</v>
      </c>
    </row>
    <row r="217" spans="1:3" x14ac:dyDescent="0.25">
      <c r="A217" t="b">
        <f>IFERROR(IF(MATCH(B217,RECETAS!$A$2:$A$1700,0) &lt;&gt; "", TRUE,""),FALSE)</f>
        <v>1</v>
      </c>
      <c r="B217" t="str">
        <f>TRANSPOSE(T3_[Etiquetas de fila])</f>
        <v>Pampero Especial</v>
      </c>
      <c r="C217">
        <f>TRANSPOSE(T3_[Recuento de T3 CODIGO])</f>
        <v>5</v>
      </c>
    </row>
    <row r="218" spans="1:3" x14ac:dyDescent="0.25">
      <c r="A218" t="b">
        <f>IFERROR(IF(MATCH(B218,RECETAS!$A$2:$A$1700,0) &lt;&gt; "", TRUE,""),FALSE)</f>
        <v>1</v>
      </c>
      <c r="B218" t="str">
        <f>TRANSPOSE(T3_[Etiquetas de fila])</f>
        <v>Papas Fritas Grandes</v>
      </c>
      <c r="C218">
        <f>TRANSPOSE(T3_[Recuento de T3 CODIGO])</f>
        <v>9</v>
      </c>
    </row>
    <row r="219" spans="1:3" x14ac:dyDescent="0.25">
      <c r="A219" t="b">
        <f>IFERROR(IF(MATCH(B219,RECETAS!$A$2:$A$1700,0) &lt;&gt; "", TRUE,""),FALSE)</f>
        <v>1</v>
      </c>
      <c r="B219" t="str">
        <f>TRANSPOSE(T3_[Etiquetas de fila])</f>
        <v>Picnic Teclados</v>
      </c>
      <c r="C219">
        <f>TRANSPOSE(T3_[Recuento de T3 CODIGO])</f>
        <v>42</v>
      </c>
    </row>
    <row r="220" spans="1:3" x14ac:dyDescent="0.25">
      <c r="A220" t="b">
        <f>IFERROR(IF(MATCH(B220,RECETAS!$A$2:$A$1700,0) &lt;&gt; "", TRUE,""),FALSE)</f>
        <v>1</v>
      </c>
      <c r="B220" t="str">
        <f>TRANSPOSE(T3_[Etiquetas de fila])</f>
        <v>Piña Colada</v>
      </c>
      <c r="C220">
        <f>TRANSPOSE(T3_[Recuento de T3 CODIGO])</f>
        <v>30</v>
      </c>
    </row>
    <row r="221" spans="1:3" x14ac:dyDescent="0.25">
      <c r="A221" t="b">
        <f>IFERROR(IF(MATCH(B221,RECETAS!$A$2:$A$1700,0) &lt;&gt; "", TRUE,""),FALSE)</f>
        <v>1</v>
      </c>
      <c r="B221" t="str">
        <f>TRANSPOSE(T3_[Etiquetas de fila])</f>
        <v>Piña Colada Sin Alcohol</v>
      </c>
      <c r="C221">
        <f>TRANSPOSE(T3_[Recuento de T3 CODIGO])</f>
        <v>12</v>
      </c>
    </row>
    <row r="222" spans="1:3" x14ac:dyDescent="0.25">
      <c r="A222" t="b">
        <f>IFERROR(IF(MATCH(B222,RECETAS!$A$2:$A$1700,0) &lt;&gt; "", TRUE,""),FALSE)</f>
        <v>1</v>
      </c>
      <c r="B222" t="str">
        <f>TRANSPOSE(T3_[Etiquetas de fila])</f>
        <v>Pisco Sour</v>
      </c>
      <c r="C222">
        <f>TRANSPOSE(T3_[Recuento de T3 CODIGO])</f>
        <v>10</v>
      </c>
    </row>
    <row r="223" spans="1:3" x14ac:dyDescent="0.25">
      <c r="A223" t="b">
        <f>IFERROR(IF(MATCH(B223,RECETAS!$A$2:$A$1700,0) &lt;&gt; "", TRUE,""),FALSE)</f>
        <v>0</v>
      </c>
      <c r="B223" t="str">
        <f>TRANSPOSE(T3_[Etiquetas de fila])</f>
        <v>Pisco Sour 2X</v>
      </c>
      <c r="C223">
        <f>TRANSPOSE(T3_[Recuento de T3 CODIGO])</f>
        <v>1</v>
      </c>
    </row>
    <row r="224" spans="1:3" x14ac:dyDescent="0.25">
      <c r="A224" t="b">
        <f>IFERROR(IF(MATCH(B224,RECETAS!$A$2:$A$1700,0) &lt;&gt; "", TRUE,""),FALSE)</f>
        <v>1</v>
      </c>
      <c r="B224" t="str">
        <f>TRANSPOSE(T3_[Etiquetas de fila])</f>
        <v>Promo Alto 35°</v>
      </c>
      <c r="C224">
        <f>TRANSPOSE(T3_[Recuento de T3 CODIGO])</f>
        <v>4</v>
      </c>
    </row>
    <row r="225" spans="1:3" x14ac:dyDescent="0.25">
      <c r="A225" t="b">
        <f>IFERROR(IF(MATCH(B225,RECETAS!$A$2:$A$1700,0) &lt;&gt; "", TRUE,""),FALSE)</f>
        <v>1</v>
      </c>
      <c r="B225" t="str">
        <f>TRANSPOSE(T3_[Etiquetas de fila])</f>
        <v>Promo Alto 35° + Redbull</v>
      </c>
      <c r="C225">
        <f>TRANSPOSE(T3_[Recuento de T3 CODIGO])</f>
        <v>4</v>
      </c>
    </row>
    <row r="226" spans="1:3" x14ac:dyDescent="0.25">
      <c r="A226" t="b">
        <f>IFERROR(IF(MATCH(B226,RECETAS!$A$2:$A$1700,0) &lt;&gt; "", TRUE,""),FALSE)</f>
        <v>1</v>
      </c>
      <c r="B226" t="str">
        <f>TRANSPOSE(T3_[Etiquetas de fila])</f>
        <v>Promo coca cola 237cc</v>
      </c>
      <c r="C226">
        <f>TRANSPOSE(T3_[Recuento de T3 CODIGO])</f>
        <v>32</v>
      </c>
    </row>
    <row r="227" spans="1:3" x14ac:dyDescent="0.25">
      <c r="A227" t="b">
        <f>IFERROR(IF(MATCH(B227,RECETAS!$A$2:$A$1700,0) &lt;&gt; "", TRUE,""),FALSE)</f>
        <v>1</v>
      </c>
      <c r="B227" t="str">
        <f>TRANSPOSE(T3_[Etiquetas de fila])</f>
        <v>Promo Coca cola 350cc</v>
      </c>
      <c r="C227">
        <f>TRANSPOSE(T3_[Recuento de T3 CODIGO])</f>
        <v>5</v>
      </c>
    </row>
    <row r="228" spans="1:3" x14ac:dyDescent="0.25">
      <c r="A228" t="b">
        <f>IFERROR(IF(MATCH(B228,RECETAS!$A$2:$A$1700,0) &lt;&gt; "", TRUE,""),FALSE)</f>
        <v>1</v>
      </c>
      <c r="B228" t="str">
        <f>TRANSPOSE(T3_[Etiquetas de fila])</f>
        <v>Promo coca cola zero 237cc</v>
      </c>
      <c r="C228">
        <f>TRANSPOSE(T3_[Recuento de T3 CODIGO])</f>
        <v>27</v>
      </c>
    </row>
    <row r="229" spans="1:3" x14ac:dyDescent="0.25">
      <c r="A229" t="b">
        <f>IFERROR(IF(MATCH(B229,RECETAS!$A$2:$A$1700,0) &lt;&gt; "", TRUE,""),FALSE)</f>
        <v>1</v>
      </c>
      <c r="B229" t="str">
        <f>TRANSPOSE(T3_[Etiquetas de fila])</f>
        <v>Promo coca cola zero 350cc</v>
      </c>
      <c r="C229">
        <f>TRANSPOSE(T3_[Recuento de T3 CODIGO])</f>
        <v>3</v>
      </c>
    </row>
    <row r="230" spans="1:3" x14ac:dyDescent="0.25">
      <c r="A230" t="b">
        <f>IFERROR(IF(MATCH(B230,RECETAS!$A$2:$A$1700,0) &lt;&gt; "", TRUE,""),FALSE)</f>
        <v>1</v>
      </c>
      <c r="B230" t="str">
        <f>TRANSPOSE(T3_[Etiquetas de fila])</f>
        <v>Promo Fentimans Tónica</v>
      </c>
      <c r="C230">
        <f>TRANSPOSE(T3_[Recuento de T3 CODIGO])</f>
        <v>2</v>
      </c>
    </row>
    <row r="231" spans="1:3" x14ac:dyDescent="0.25">
      <c r="A231" t="b">
        <f>IFERROR(IF(MATCH(B231,RECETAS!$A$2:$A$1700,0) &lt;&gt; "", TRUE,""),FALSE)</f>
        <v>0</v>
      </c>
      <c r="B231" t="str">
        <f>TRANSPOSE(T3_[Etiquetas de fila])</f>
        <v>Promo Fentimans Tónica Light</v>
      </c>
      <c r="C231">
        <f>TRANSPOSE(T3_[Recuento de T3 CODIGO])</f>
        <v>1</v>
      </c>
    </row>
    <row r="232" spans="1:3" x14ac:dyDescent="0.25">
      <c r="A232" t="b">
        <f>IFERROR(IF(MATCH(B232,RECETAS!$A$2:$A$1700,0) &lt;&gt; "", TRUE,""),FALSE)</f>
        <v>1</v>
      </c>
      <c r="B232" t="str">
        <f>TRANSPOSE(T3_[Etiquetas de fila])</f>
        <v>Promo Margarita</v>
      </c>
      <c r="C232">
        <f>TRANSPOSE(T3_[Recuento de T3 CODIGO])</f>
        <v>14</v>
      </c>
    </row>
    <row r="233" spans="1:3" x14ac:dyDescent="0.25">
      <c r="A233" t="b">
        <f>IFERROR(IF(MATCH(B233,RECETAS!$A$2:$A$1700,0) &lt;&gt; "", TRUE,""),FALSE)</f>
        <v>1</v>
      </c>
      <c r="B233" t="str">
        <f>TRANSPOSE(T3_[Etiquetas de fila])</f>
        <v>Promo Mistral 35° + Redbull</v>
      </c>
      <c r="C233">
        <f>TRANSPOSE(T3_[Recuento de T3 CODIGO])</f>
        <v>1</v>
      </c>
    </row>
    <row r="234" spans="1:3" x14ac:dyDescent="0.25">
      <c r="A234" t="b">
        <f>IFERROR(IF(MATCH(B234,RECETAS!$A$2:$A$1700,0) &lt;&gt; "", TRUE,""),FALSE)</f>
        <v>1</v>
      </c>
      <c r="B234" t="str">
        <f>TRANSPOSE(T3_[Etiquetas de fila])</f>
        <v>Promo pisco Sour</v>
      </c>
      <c r="C234">
        <f>TRANSPOSE(T3_[Recuento de T3 CODIGO])</f>
        <v>1</v>
      </c>
    </row>
    <row r="235" spans="1:3" x14ac:dyDescent="0.25">
      <c r="A235" t="b">
        <f>IFERROR(IF(MATCH(B235,RECETAS!$A$2:$A$1700,0) &lt;&gt; "", TRUE,""),FALSE)</f>
        <v>1</v>
      </c>
      <c r="B235" t="str">
        <f>TRANSPOSE(T3_[Etiquetas de fila])</f>
        <v>Promo Red Bull Light</v>
      </c>
      <c r="C235">
        <f>TRANSPOSE(T3_[Recuento de T3 CODIGO])</f>
        <v>1</v>
      </c>
    </row>
    <row r="236" spans="1:3" x14ac:dyDescent="0.25">
      <c r="A236" t="b">
        <f>IFERROR(IF(MATCH(B236,RECETAS!$A$2:$A$1700,0) &lt;&gt; "", TRUE,""),FALSE)</f>
        <v>1</v>
      </c>
      <c r="B236" t="str">
        <f>TRANSPOSE(T3_[Etiquetas de fila])</f>
        <v>Promo Redbull</v>
      </c>
      <c r="C236">
        <f>TRANSPOSE(T3_[Recuento de T3 CODIGO])</f>
        <v>4</v>
      </c>
    </row>
    <row r="237" spans="1:3" x14ac:dyDescent="0.25">
      <c r="A237" t="b">
        <f>IFERROR(IF(MATCH(B237,RECETAS!$A$2:$A$1700,0) &lt;&gt; "", TRUE,""),FALSE)</f>
        <v>1</v>
      </c>
      <c r="B237" t="str">
        <f>TRANSPOSE(T3_[Etiquetas de fila])</f>
        <v>Promo Schweppes Ginger zero 350cc</v>
      </c>
      <c r="C237">
        <f>TRANSPOSE(T3_[Recuento de T3 CODIGO])</f>
        <v>3</v>
      </c>
    </row>
    <row r="238" spans="1:3" x14ac:dyDescent="0.25">
      <c r="A238" t="b">
        <f>IFERROR(IF(MATCH(B238,RECETAS!$A$2:$A$1700,0) &lt;&gt; "", TRUE,""),FALSE)</f>
        <v>1</v>
      </c>
      <c r="B238" t="str">
        <f>TRANSPOSE(T3_[Etiquetas de fila])</f>
        <v>Promo Schweppes Tonica 350cc</v>
      </c>
      <c r="C238">
        <f>TRANSPOSE(T3_[Recuento de T3 CODIGO])</f>
        <v>16</v>
      </c>
    </row>
    <row r="239" spans="1:3" x14ac:dyDescent="0.25">
      <c r="A239" t="b">
        <f>IFERROR(IF(MATCH(B239,RECETAS!$A$2:$A$1700,0) &lt;&gt; "", TRUE,""),FALSE)</f>
        <v>1</v>
      </c>
      <c r="B239" t="str">
        <f>TRANSPOSE(T3_[Etiquetas de fila])</f>
        <v>Promo Sprite 237cc</v>
      </c>
      <c r="C239">
        <f>TRANSPOSE(T3_[Recuento de T3 CODIGO])</f>
        <v>5</v>
      </c>
    </row>
    <row r="240" spans="1:3" x14ac:dyDescent="0.25">
      <c r="A240" t="b">
        <f>IFERROR(IF(MATCH(B240,RECETAS!$A$2:$A$1700,0) &lt;&gt; "", TRUE,""),FALSE)</f>
        <v>1</v>
      </c>
      <c r="B240" t="str">
        <f>TRANSPOSE(T3_[Etiquetas de fila])</f>
        <v>Promo Sprite 350cc</v>
      </c>
      <c r="C240">
        <f>TRANSPOSE(T3_[Recuento de T3 CODIGO])</f>
        <v>1</v>
      </c>
    </row>
    <row r="241" spans="1:3" x14ac:dyDescent="0.25">
      <c r="A241" t="b">
        <f>IFERROR(IF(MATCH(B241,RECETAS!$A$2:$A$1700,0) &lt;&gt; "", TRUE,""),FALSE)</f>
        <v>1</v>
      </c>
      <c r="B241" t="str">
        <f>TRANSPOSE(T3_[Etiquetas de fila])</f>
        <v>Promo Sprite Zero 350cc</v>
      </c>
      <c r="C241">
        <f>TRANSPOSE(T3_[Recuento de T3 CODIGO])</f>
        <v>7</v>
      </c>
    </row>
    <row r="242" spans="1:3" x14ac:dyDescent="0.25">
      <c r="A242" t="b">
        <f>IFERROR(IF(MATCH(B242,RECETAS!$A$2:$A$1700,0) &lt;&gt; "", TRUE,""),FALSE)</f>
        <v>0</v>
      </c>
      <c r="B242" t="str">
        <f>TRANSPOSE(T3_[Etiquetas de fila])</f>
        <v>Pumpkin</v>
      </c>
      <c r="C242">
        <f>TRANSPOSE(T3_[Recuento de T3 CODIGO])</f>
        <v>1</v>
      </c>
    </row>
    <row r="243" spans="1:3" x14ac:dyDescent="0.25">
      <c r="A243" t="b">
        <f>IFERROR(IF(MATCH(B243,RECETAS!$A$2:$A$1700,0) &lt;&gt; "", TRUE,""),FALSE)</f>
        <v>1</v>
      </c>
      <c r="B243" t="str">
        <f>TRANSPOSE(T3_[Etiquetas de fila])</f>
        <v>Quesadilla Camaron</v>
      </c>
      <c r="C243">
        <f>TRANSPOSE(T3_[Recuento de T3 CODIGO])</f>
        <v>15</v>
      </c>
    </row>
    <row r="244" spans="1:3" x14ac:dyDescent="0.25">
      <c r="A244" t="b">
        <f>IFERROR(IF(MATCH(B244,RECETAS!$A$2:$A$1700,0) &lt;&gt; "", TRUE,""),FALSE)</f>
        <v>1</v>
      </c>
      <c r="B244" t="str">
        <f>TRANSPOSE(T3_[Etiquetas de fila])</f>
        <v>Quesadilla Carne</v>
      </c>
      <c r="C244">
        <f>TRANSPOSE(T3_[Recuento de T3 CODIGO])</f>
        <v>34</v>
      </c>
    </row>
    <row r="245" spans="1:3" x14ac:dyDescent="0.25">
      <c r="A245" t="b">
        <f>IFERROR(IF(MATCH(B245,RECETAS!$A$2:$A$1700,0) &lt;&gt; "", TRUE,""),FALSE)</f>
        <v>0</v>
      </c>
      <c r="B245" t="str">
        <f>TRANSPOSE(T3_[Etiquetas de fila])</f>
        <v>QUESADILLA CHAMPIÑON</v>
      </c>
      <c r="C245">
        <f>TRANSPOSE(T3_[Recuento de T3 CODIGO])</f>
        <v>2</v>
      </c>
    </row>
    <row r="246" spans="1:3" x14ac:dyDescent="0.25">
      <c r="A246" t="b">
        <f>IFERROR(IF(MATCH(B246,RECETAS!$A$2:$A$1700,0) &lt;&gt; "", TRUE,""),FALSE)</f>
        <v>1</v>
      </c>
      <c r="B246" t="str">
        <f>TRANSPOSE(T3_[Etiquetas de fila])</f>
        <v>Quesadilla Pollo - Champignon</v>
      </c>
      <c r="C246">
        <f>TRANSPOSE(T3_[Recuento de T3 CODIGO])</f>
        <v>22</v>
      </c>
    </row>
    <row r="247" spans="1:3" x14ac:dyDescent="0.25">
      <c r="A247" t="b">
        <f>IFERROR(IF(MATCH(B247,RECETAS!$A$2:$A$1700,0) &lt;&gt; "", TRUE,""),FALSE)</f>
        <v>1</v>
      </c>
      <c r="B247" t="str">
        <f>TRANSPOSE(T3_[Etiquetas de fila])</f>
        <v>Ramazzotti</v>
      </c>
      <c r="C247">
        <f>TRANSPOSE(T3_[Recuento de T3 CODIGO])</f>
        <v>20</v>
      </c>
    </row>
    <row r="248" spans="1:3" x14ac:dyDescent="0.25">
      <c r="A248" t="b">
        <f>IFERROR(IF(MATCH(B248,RECETAS!$A$2:$A$1700,0) &lt;&gt; "", TRUE,""),FALSE)</f>
        <v>0</v>
      </c>
      <c r="B248" t="str">
        <f>TRANSPOSE(T3_[Etiquetas de fila])</f>
        <v>RED BULL FRUTA DEL DRAGON</v>
      </c>
      <c r="C248">
        <f>TRANSPOSE(T3_[Recuento de T3 CODIGO])</f>
        <v>5</v>
      </c>
    </row>
    <row r="249" spans="1:3" x14ac:dyDescent="0.25">
      <c r="A249" t="b">
        <f>IFERROR(IF(MATCH(B249,RECETAS!$A$2:$A$1700,0) &lt;&gt; "", TRUE,""),FALSE)</f>
        <v>1</v>
      </c>
      <c r="B249" t="str">
        <f>TRANSPOSE(T3_[Etiquetas de fila])</f>
        <v>Red Bull normal</v>
      </c>
      <c r="C249">
        <f>TRANSPOSE(T3_[Recuento de T3 CODIGO])</f>
        <v>8</v>
      </c>
    </row>
    <row r="250" spans="1:3" x14ac:dyDescent="0.25">
      <c r="A250" t="b">
        <f>IFERROR(IF(MATCH(B250,RECETAS!$A$2:$A$1700,0) &lt;&gt; "", TRUE,""),FALSE)</f>
        <v>1</v>
      </c>
      <c r="B250" t="str">
        <f>TRANSPOSE(T3_[Etiquetas de fila])</f>
        <v>Red Bull sugar free</v>
      </c>
      <c r="C250">
        <f>TRANSPOSE(T3_[Recuento de T3 CODIGO])</f>
        <v>2</v>
      </c>
    </row>
    <row r="251" spans="1:3" x14ac:dyDescent="0.25">
      <c r="A251" t="b">
        <f>IFERROR(IF(MATCH(B251,RECETAS!$A$2:$A$1700,0) &lt;&gt; "", TRUE,""),FALSE)</f>
        <v>1</v>
      </c>
      <c r="B251" t="str">
        <f>TRANSPOSE(T3_[Etiquetas de fila])</f>
        <v>Red Bull yellow</v>
      </c>
      <c r="C251">
        <f>TRANSPOSE(T3_[Recuento de T3 CODIGO])</f>
        <v>1</v>
      </c>
    </row>
    <row r="252" spans="1:3" x14ac:dyDescent="0.25">
      <c r="A252" t="b">
        <f>IFERROR(IF(MATCH(B252,RECETAS!$A$2:$A$1700,0) &lt;&gt; "", TRUE,""),FALSE)</f>
        <v>1</v>
      </c>
      <c r="B252" t="str">
        <f>TRANSPOSE(T3_[Etiquetas de fila])</f>
        <v>Schop Becker</v>
      </c>
      <c r="C252">
        <f>TRANSPOSE(T3_[Recuento de T3 CODIGO])</f>
        <v>31</v>
      </c>
    </row>
    <row r="253" spans="1:3" x14ac:dyDescent="0.25">
      <c r="A253" t="b">
        <f>IFERROR(IF(MATCH(B253,RECETAS!$A$2:$A$1700,0) &lt;&gt; "", TRUE,""),FALSE)</f>
        <v>0</v>
      </c>
      <c r="B253" t="str">
        <f>TRANSPOSE(T3_[Etiquetas de fila])</f>
        <v>Schop Becker 2X</v>
      </c>
      <c r="C253">
        <f>TRANSPOSE(T3_[Recuento de T3 CODIGO])</f>
        <v>6</v>
      </c>
    </row>
    <row r="254" spans="1:3" x14ac:dyDescent="0.25">
      <c r="A254" t="b">
        <f>IFERROR(IF(MATCH(B254,RECETAS!$A$2:$A$1700,0) &lt;&gt; "", TRUE,""),FALSE)</f>
        <v>0</v>
      </c>
      <c r="B254" t="str">
        <f>TRANSPOSE(T3_[Etiquetas de fila])</f>
        <v>Schop Becker Michelado 2X</v>
      </c>
      <c r="C254">
        <f>TRANSPOSE(T3_[Recuento de T3 CODIGO])</f>
        <v>7</v>
      </c>
    </row>
    <row r="255" spans="1:3" x14ac:dyDescent="0.25">
      <c r="A255" t="b">
        <f>IFERROR(IF(MATCH(B255,RECETAS!$A$2:$A$1700,0) &lt;&gt; "", TRUE,""),FALSE)</f>
        <v>1</v>
      </c>
      <c r="B255" t="str">
        <f>TRANSPOSE(T3_[Etiquetas de fila])</f>
        <v>Schop Stella Artois</v>
      </c>
      <c r="C255">
        <f>TRANSPOSE(T3_[Recuento de T3 CODIGO])</f>
        <v>109</v>
      </c>
    </row>
    <row r="256" spans="1:3" x14ac:dyDescent="0.25">
      <c r="A256" t="b">
        <f>IFERROR(IF(MATCH(B256,RECETAS!$A$2:$A$1700,0) &lt;&gt; "", TRUE,""),FALSE)</f>
        <v>1</v>
      </c>
      <c r="B256" t="str">
        <f>TRANSPOSE(T3_[Etiquetas de fila])</f>
        <v>Schweppes Ginger Zero 350cc</v>
      </c>
      <c r="C256">
        <f>TRANSPOSE(T3_[Recuento de T3 CODIGO])</f>
        <v>4</v>
      </c>
    </row>
    <row r="257" spans="1:3" x14ac:dyDescent="0.25">
      <c r="A257" t="b">
        <f>IFERROR(IF(MATCH(B257,RECETAS!$A$2:$A$1700,0) &lt;&gt; "", TRUE,""),FALSE)</f>
        <v>1</v>
      </c>
      <c r="B257" t="str">
        <f>TRANSPOSE(T3_[Etiquetas de fila])</f>
        <v>Schweppes Tonica 350cc</v>
      </c>
      <c r="C257">
        <f>TRANSPOSE(T3_[Recuento de T3 CODIGO])</f>
        <v>1</v>
      </c>
    </row>
    <row r="258" spans="1:3" x14ac:dyDescent="0.25">
      <c r="A258" t="b">
        <f>IFERROR(IF(MATCH(B258,RECETAS!$A$2:$A$1700,0) &lt;&gt; "", TRUE,""),FALSE)</f>
        <v>1</v>
      </c>
      <c r="B258" t="str">
        <f>TRANSPOSE(T3_[Etiquetas de fila])</f>
        <v>Sex on The beach</v>
      </c>
      <c r="C258">
        <f>TRANSPOSE(T3_[Recuento de T3 CODIGO])</f>
        <v>5</v>
      </c>
    </row>
    <row r="259" spans="1:3" x14ac:dyDescent="0.25">
      <c r="A259" t="b">
        <f>IFERROR(IF(MATCH(B259,RECETAS!$A$2:$A$1700,0) &lt;&gt; "", TRUE,""),FALSE)</f>
        <v>1</v>
      </c>
      <c r="B259" t="str">
        <f>TRANSPOSE(T3_[Etiquetas de fila])</f>
        <v>Shot Tequila Jimador</v>
      </c>
      <c r="C259">
        <f>TRANSPOSE(T3_[Recuento de T3 CODIGO])</f>
        <v>1</v>
      </c>
    </row>
    <row r="260" spans="1:3" x14ac:dyDescent="0.25">
      <c r="A260" t="b">
        <f>IFERROR(IF(MATCH(B260,RECETAS!$A$2:$A$1700,0) &lt;&gt; "", TRUE,""),FALSE)</f>
        <v>1</v>
      </c>
      <c r="B260" t="str">
        <f>TRANSPOSE(T3_[Etiquetas de fila])</f>
        <v>Sonata Teclados</v>
      </c>
      <c r="C260">
        <f>TRANSPOSE(T3_[Recuento de T3 CODIGO])</f>
        <v>8</v>
      </c>
    </row>
    <row r="261" spans="1:3" x14ac:dyDescent="0.25">
      <c r="A261" t="b">
        <f>IFERROR(IF(MATCH(B261,RECETAS!$A$2:$A$1700,0) &lt;&gt; "", TRUE,""),FALSE)</f>
        <v>1</v>
      </c>
      <c r="B261" t="str">
        <f>TRANSPOSE(T3_[Etiquetas de fila])</f>
        <v>Sprite 350cc</v>
      </c>
      <c r="C261">
        <f>TRANSPOSE(T3_[Recuento de T3 CODIGO])</f>
        <v>14</v>
      </c>
    </row>
    <row r="262" spans="1:3" x14ac:dyDescent="0.25">
      <c r="A262" t="b">
        <f>IFERROR(IF(MATCH(B262,RECETAS!$A$2:$A$1700,0) &lt;&gt; "", TRUE,""),FALSE)</f>
        <v>1</v>
      </c>
      <c r="B262" t="str">
        <f>TRANSPOSE(T3_[Etiquetas de fila])</f>
        <v>Sprite Zero 350cc</v>
      </c>
      <c r="C262">
        <f>TRANSPOSE(T3_[Recuento de T3 CODIGO])</f>
        <v>6</v>
      </c>
    </row>
    <row r="263" spans="1:3" x14ac:dyDescent="0.25">
      <c r="A263" t="b">
        <f>IFERROR(IF(MATCH(B263,RECETAS!$A$2:$A$1700,0) &lt;&gt; "", TRUE,""),FALSE)</f>
        <v>1</v>
      </c>
      <c r="B263" t="str">
        <f>TRANSPOSE(T3_[Etiquetas de fila])</f>
        <v>Stella Artois</v>
      </c>
      <c r="C263">
        <f>TRANSPOSE(T3_[Recuento de T3 CODIGO])</f>
        <v>2</v>
      </c>
    </row>
    <row r="264" spans="1:3" x14ac:dyDescent="0.25">
      <c r="A264" t="b">
        <f>IFERROR(IF(MATCH(B264,RECETAS!$A$2:$A$1700,0) &lt;&gt; "", TRUE,""),FALSE)</f>
        <v>1</v>
      </c>
      <c r="B264" t="str">
        <f>TRANSPOSE(T3_[Etiquetas de fila])</f>
        <v>Stella Artois Sin Alcohol</v>
      </c>
      <c r="C264">
        <f>TRANSPOSE(T3_[Recuento de T3 CODIGO])</f>
        <v>13</v>
      </c>
    </row>
    <row r="265" spans="1:3" x14ac:dyDescent="0.25">
      <c r="A265" t="b">
        <f>IFERROR(IF(MATCH(B265,RECETAS!$A$2:$A$1700,0) &lt;&gt; "", TRUE,""),FALSE)</f>
        <v>1</v>
      </c>
      <c r="B265" t="str">
        <f>TRANSPOSE(T3_[Etiquetas de fila])</f>
        <v>Stolichnaya Premium</v>
      </c>
      <c r="C265">
        <f>TRANSPOSE(T3_[Recuento de T3 CODIGO])</f>
        <v>4</v>
      </c>
    </row>
    <row r="266" spans="1:3" x14ac:dyDescent="0.25">
      <c r="A266" t="b">
        <f>IFERROR(IF(MATCH(B266,RECETAS!$A$2:$A$1700,0) &lt;&gt; "", TRUE,""),FALSE)</f>
        <v>1</v>
      </c>
      <c r="B266" t="str">
        <f>TRANSPOSE(T3_[Etiquetas de fila])</f>
        <v>Tanqueray Ten</v>
      </c>
      <c r="C266">
        <f>TRANSPOSE(T3_[Recuento de T3 CODIGO])</f>
        <v>3</v>
      </c>
    </row>
    <row r="267" spans="1:3" x14ac:dyDescent="0.25">
      <c r="A267" t="b">
        <f>IFERROR(IF(MATCH(B267,RECETAS!$A$2:$A$1700,0) &lt;&gt; "", TRUE,""),FALSE)</f>
        <v>1</v>
      </c>
      <c r="B267" t="str">
        <f>TRANSPOSE(T3_[Etiquetas de fila])</f>
        <v>Tartaro de Salmón</v>
      </c>
      <c r="C267">
        <f>TRANSPOSE(T3_[Recuento de T3 CODIGO])</f>
        <v>4</v>
      </c>
    </row>
    <row r="268" spans="1:3" x14ac:dyDescent="0.25">
      <c r="A268" t="b">
        <f>IFERROR(IF(MATCH(B268,RECETAS!$A$2:$A$1700,0) &lt;&gt; "", TRUE,""),FALSE)</f>
        <v>1</v>
      </c>
      <c r="B268" t="str">
        <f>TRANSPOSE(T3_[Etiquetas de fila])</f>
        <v>Teclados Burger</v>
      </c>
      <c r="C268">
        <f>TRANSPOSE(T3_[Recuento de T3 CODIGO])</f>
        <v>22</v>
      </c>
    </row>
    <row r="269" spans="1:3" x14ac:dyDescent="0.25">
      <c r="A269" t="b">
        <f>IFERROR(IF(MATCH(B269,RECETAS!$A$2:$A$1700,0) &lt;&gt; "", TRUE,""),FALSE)</f>
        <v>1</v>
      </c>
      <c r="B269" t="str">
        <f>TRANSPOSE(T3_[Etiquetas de fila])</f>
        <v>Tennesse Mule</v>
      </c>
      <c r="C269">
        <f>TRANSPOSE(T3_[Recuento de T3 CODIGO])</f>
        <v>3</v>
      </c>
    </row>
    <row r="270" spans="1:3" x14ac:dyDescent="0.25">
      <c r="A270" t="b">
        <f>IFERROR(IF(MATCH(B270,RECETAS!$A$2:$A$1700,0) &lt;&gt; "", TRUE,""),FALSE)</f>
        <v>1</v>
      </c>
      <c r="B270" t="str">
        <f>TRANSPOSE(T3_[Etiquetas de fila])</f>
        <v>Totopos</v>
      </c>
      <c r="C270">
        <f>TRANSPOSE(T3_[Recuento de T3 CODIGO])</f>
        <v>12</v>
      </c>
    </row>
    <row r="271" spans="1:3" x14ac:dyDescent="0.25">
      <c r="A271" t="b">
        <f>IFERROR(IF(MATCH(B271,RECETAS!$A$2:$A$1700,0) &lt;&gt; "", TRUE,""),FALSE)</f>
        <v>1</v>
      </c>
      <c r="B271" t="str">
        <f>TRANSPOSE(T3_[Etiquetas de fila])</f>
        <v>Tropical Gin</v>
      </c>
      <c r="C271">
        <f>TRANSPOSE(T3_[Recuento de T3 CODIGO])</f>
        <v>11</v>
      </c>
    </row>
    <row r="272" spans="1:3" x14ac:dyDescent="0.25">
      <c r="A272" t="b">
        <f>IFERROR(IF(MATCH(B272,RECETAS!$A$2:$A$1700,0) &lt;&gt; "", TRUE,""),FALSE)</f>
        <v>1</v>
      </c>
      <c r="B272" t="str">
        <f>TRANSPOSE(T3_[Etiquetas de fila])</f>
        <v>Vaso Sangria</v>
      </c>
      <c r="C272">
        <f>TRANSPOSE(T3_[Recuento de T3 CODIGO])</f>
        <v>13</v>
      </c>
    </row>
    <row r="273" spans="1:3" x14ac:dyDescent="0.25">
      <c r="A273" t="b">
        <f>IFERROR(IF(MATCH(B273,RECETAS!$A$2:$A$1700,0) &lt;&gt; "", TRUE,""),FALSE)</f>
        <v>0</v>
      </c>
      <c r="B273" t="str">
        <f>TRANSPOSE(T3_[Etiquetas de fila])</f>
        <v>Whiskey Sour 2X</v>
      </c>
      <c r="C273">
        <f>TRANSPOSE(T3_[Recuento de T3 CODIGO])</f>
        <v>3</v>
      </c>
    </row>
    <row r="274" spans="1:3" x14ac:dyDescent="0.25">
      <c r="A274" t="b">
        <f>IFERROR(IF(MATCH(B274,RECETAS!$A$2:$A$1700,0) &lt;&gt; "", TRUE,""),FALSE)</f>
        <v>1</v>
      </c>
      <c r="B274" t="str">
        <f>TRANSPOSE(T3_[Etiquetas de fila])</f>
        <v>White Russian</v>
      </c>
      <c r="C274">
        <f>TRANSPOSE(T3_[Recuento de T3 CODIGO])</f>
        <v>4</v>
      </c>
    </row>
    <row r="275" spans="1:3" x14ac:dyDescent="0.25">
      <c r="A275" t="b">
        <f>IFERROR(IF(MATCH(B275,RECETAS!$A$2:$A$1700,0) &lt;&gt; "", TRUE,""),FALSE)</f>
        <v>0</v>
      </c>
      <c r="B275" t="str">
        <f>TRANSPOSE(T3_[Etiquetas de fila])</f>
        <v>WRAP ACEVICHADO</v>
      </c>
      <c r="C275">
        <f>TRANSPOSE(T3_[Recuento de T3 CODIGO])</f>
        <v>4</v>
      </c>
    </row>
    <row r="276" spans="1:3" x14ac:dyDescent="0.25">
      <c r="A276" t="b">
        <f>IFERROR(IF(MATCH(B276,RECETAS!$A$2:$A$1700,0) &lt;&gt; "", TRUE,""),FALSE)</f>
        <v>0</v>
      </c>
      <c r="B276" t="str">
        <f>TRANSPOSE(T3_[Etiquetas de fila])</f>
        <v>WRAP DE MECHADA</v>
      </c>
      <c r="C276">
        <f>TRANSPOSE(T3_[Recuento de T3 CODIGO])</f>
        <v>11</v>
      </c>
    </row>
    <row r="277" spans="1:3" x14ac:dyDescent="0.25">
      <c r="A277" t="b">
        <f>IFERROR(IF(MATCH(B277,RECETAS!$A$2:$A$1700,0) &lt;&gt; "", TRUE,""),FALSE)</f>
        <v>0</v>
      </c>
      <c r="B277" t="str">
        <f>TRANSPOSE(T3_[Etiquetas de fila])</f>
        <v>WRAP DE POLLO</v>
      </c>
      <c r="C277">
        <f>TRANSPOSE(T3_[Recuento de T3 CODIGO])</f>
        <v>3</v>
      </c>
    </row>
    <row r="278" spans="1:3" x14ac:dyDescent="0.25">
      <c r="A278" t="b">
        <f>IFERROR(IF(MATCH(B278,RECETAS!$A$2:$A$1700,0) &lt;&gt; "", TRUE,""),FALSE)</f>
        <v>0</v>
      </c>
      <c r="B278" t="str">
        <f>TRANSPOSE(T3_[Etiquetas de fila])</f>
        <v>WRAP VEGGIE</v>
      </c>
      <c r="C278">
        <f>TRANSPOSE(T3_[Recuento de T3 CODIGO])</f>
        <v>10</v>
      </c>
    </row>
    <row r="279" spans="1:3" x14ac:dyDescent="0.25">
      <c r="A279" t="b">
        <f>IFERROR(IF(MATCH(B279,RECETAS!$A$2:$A$1700,0) &lt;&gt; "", TRUE,""),FALSE)</f>
        <v>1</v>
      </c>
      <c r="B279" t="str">
        <f>TRANSPOSE(T3_[Etiquetas de fila])</f>
        <v>Zacapa Ambar</v>
      </c>
      <c r="C279">
        <f>TRANSPOSE(T3_[Recuento de T3 CODIGO])</f>
        <v>5</v>
      </c>
    </row>
    <row r="280" spans="1:3" x14ac:dyDescent="0.25">
      <c r="A280" t="b">
        <f>IFERROR(IF(MATCH(B280,RECETAS!$A$2:$A$1700,0) &lt;&gt; "", TRUE,""),FALSE)</f>
        <v>0</v>
      </c>
      <c r="B280" t="str">
        <f>TRANSPOSE(T3_[Etiquetas de fila])</f>
        <v>Total general</v>
      </c>
      <c r="C280">
        <f>TRANSPOSE(T3_[Recuento de T3 CODIGO])</f>
        <v>3783</v>
      </c>
    </row>
    <row r="281" spans="1:3" x14ac:dyDescent="0.25">
      <c r="A281" t="b">
        <f>IFERROR(IF(MATCH(B281,RECETAS!$A$2:$A$1700,0) &lt;&gt; "", TRUE,""),FALSE)</f>
        <v>0</v>
      </c>
      <c r="B281" t="e">
        <f>TRANSPOSE(T3_[Etiquetas de fila])</f>
        <v>#VALUE!</v>
      </c>
      <c r="C281" t="e">
        <f>TRANSPOSE(T3_[Recuento de T3 CODIGO])</f>
        <v>#VALUE!</v>
      </c>
    </row>
    <row r="282" spans="1:3" x14ac:dyDescent="0.25">
      <c r="A282" t="b">
        <f>IFERROR(IF(MATCH(B282,RECETAS!$A$2:$A$1700,0) &lt;&gt; "", TRUE,""),FALSE)</f>
        <v>0</v>
      </c>
      <c r="B282" t="e">
        <f>TRANSPOSE(T3_[Etiquetas de fila])</f>
        <v>#VALUE!</v>
      </c>
      <c r="C282" t="e">
        <f>TRANSPOSE(T3_[Recuento de T3 CODIGO])</f>
        <v>#VALUE!</v>
      </c>
    </row>
    <row r="283" spans="1:3" x14ac:dyDescent="0.25">
      <c r="A283" t="b">
        <f>IFERROR(IF(MATCH(B283,RECETAS!$A$2:$A$1700,0) &lt;&gt; "", TRUE,""),FALSE)</f>
        <v>0</v>
      </c>
      <c r="B283" t="e">
        <f>TRANSPOSE(T3_[Etiquetas de fila])</f>
        <v>#VALUE!</v>
      </c>
      <c r="C283" t="e">
        <f>TRANSPOSE(T3_[Recuento de T3 CODIGO])</f>
        <v>#VALUE!</v>
      </c>
    </row>
    <row r="284" spans="1:3" x14ac:dyDescent="0.25">
      <c r="A284" t="b">
        <f>IFERROR(IF(MATCH(B284,RECETAS!$A$2:$A$1700,0) &lt;&gt; "", TRUE,""),FALSE)</f>
        <v>0</v>
      </c>
      <c r="B284" t="e">
        <f>TRANSPOSE(T3_[Etiquetas de fila])</f>
        <v>#VALUE!</v>
      </c>
      <c r="C284" t="e">
        <f>TRANSPOSE(T3_[Recuento de T3 CODIGO])</f>
        <v>#VALUE!</v>
      </c>
    </row>
    <row r="285" spans="1:3" x14ac:dyDescent="0.25">
      <c r="A285" t="b">
        <f>IFERROR(IF(MATCH(B285,RECETAS!$A$2:$A$1700,0) &lt;&gt; "", TRUE,""),FALSE)</f>
        <v>0</v>
      </c>
      <c r="B285" t="e">
        <f>TRANSPOSE(T3_[Etiquetas de fila])</f>
        <v>#VALUE!</v>
      </c>
      <c r="C285" t="e">
        <f>TRANSPOSE(T3_[Recuento de T3 CODIGO])</f>
        <v>#VALUE!</v>
      </c>
    </row>
    <row r="286" spans="1:3" x14ac:dyDescent="0.25">
      <c r="A286" t="b">
        <f>IFERROR(IF(MATCH(B286,RECETAS!$A$2:$A$1700,0) &lt;&gt; "", TRUE,""),FALSE)</f>
        <v>0</v>
      </c>
      <c r="B286" t="e">
        <f>TRANSPOSE(T3_[Etiquetas de fila])</f>
        <v>#VALUE!</v>
      </c>
      <c r="C286" t="e">
        <f>TRANSPOSE(T3_[Recuento de T3 CODIGO])</f>
        <v>#VALUE!</v>
      </c>
    </row>
    <row r="287" spans="1:3" x14ac:dyDescent="0.25">
      <c r="A287" t="b">
        <f>IFERROR(IF(MATCH(B287,RECETAS!$A$2:$A$1700,0) &lt;&gt; "", TRUE,""),FALSE)</f>
        <v>0</v>
      </c>
      <c r="B287" t="e">
        <f>TRANSPOSE(T3_[Etiquetas de fila])</f>
        <v>#VALUE!</v>
      </c>
      <c r="C287" t="e">
        <f>TRANSPOSE(T3_[Recuento de T3 CODIGO])</f>
        <v>#VALUE!</v>
      </c>
    </row>
    <row r="288" spans="1:3" x14ac:dyDescent="0.25">
      <c r="A288" t="b">
        <f>IFERROR(IF(MATCH(B288,RECETAS!$A$2:$A$1700,0) &lt;&gt; "", TRUE,""),FALSE)</f>
        <v>0</v>
      </c>
      <c r="B288" t="e">
        <f>TRANSPOSE(T3_[Etiquetas de fila])</f>
        <v>#VALUE!</v>
      </c>
      <c r="C288" t="e">
        <f>TRANSPOSE(T3_[Recuento de T3 CODIGO])</f>
        <v>#VALUE!</v>
      </c>
    </row>
    <row r="289" spans="1:3" x14ac:dyDescent="0.25">
      <c r="A289" t="b">
        <f>IFERROR(IF(MATCH(B289,RECETAS!$A$2:$A$1700,0) &lt;&gt; "", TRUE,""),FALSE)</f>
        <v>0</v>
      </c>
      <c r="B289" t="e">
        <f>TRANSPOSE(T3_[Etiquetas de fila])</f>
        <v>#VALUE!</v>
      </c>
      <c r="C289" t="e">
        <f>TRANSPOSE(T3_[Recuento de T3 CODIGO])</f>
        <v>#VALUE!</v>
      </c>
    </row>
    <row r="290" spans="1:3" x14ac:dyDescent="0.25">
      <c r="A290" t="b">
        <f>IFERROR(IF(MATCH(B290,RECETAS!$A$2:$A$1700,0) &lt;&gt; "", TRUE,""),FALSE)</f>
        <v>0</v>
      </c>
      <c r="B290" t="e">
        <f>TRANSPOSE(T3_[Etiquetas de fila])</f>
        <v>#VALUE!</v>
      </c>
      <c r="C290" t="e">
        <f>TRANSPOSE(T3_[Recuento de T3 CODIGO])</f>
        <v>#VALUE!</v>
      </c>
    </row>
    <row r="291" spans="1:3" x14ac:dyDescent="0.25">
      <c r="A291" t="b">
        <f>IFERROR(IF(MATCH(B291,RECETAS!$A$2:$A$1700,0) &lt;&gt; "", TRUE,""),FALSE)</f>
        <v>0</v>
      </c>
      <c r="B291" t="e">
        <f>TRANSPOSE(T3_[Etiquetas de fila])</f>
        <v>#VALUE!</v>
      </c>
      <c r="C291" t="e">
        <f>TRANSPOSE(T3_[Recuento de T3 CODIGO])</f>
        <v>#VALUE!</v>
      </c>
    </row>
    <row r="292" spans="1:3" x14ac:dyDescent="0.25">
      <c r="A292" t="b">
        <f>IFERROR(IF(MATCH(B292,RECETAS!$A$2:$A$1700,0) &lt;&gt; "", TRUE,""),FALSE)</f>
        <v>0</v>
      </c>
      <c r="B292" t="e">
        <f>TRANSPOSE(T3_[Etiquetas de fila])</f>
        <v>#VALUE!</v>
      </c>
      <c r="C292" t="e">
        <f>TRANSPOSE(T3_[Recuento de T3 CODIGO])</f>
        <v>#VALUE!</v>
      </c>
    </row>
    <row r="293" spans="1:3" x14ac:dyDescent="0.25">
      <c r="A293" t="b">
        <f>IFERROR(IF(MATCH(B293,RECETAS!$A$2:$A$1700,0) &lt;&gt; "", TRUE,""),FALSE)</f>
        <v>0</v>
      </c>
      <c r="B293" t="e">
        <f>TRANSPOSE(T3_[Etiquetas de fila])</f>
        <v>#VALUE!</v>
      </c>
      <c r="C293" t="e">
        <f>TRANSPOSE(T3_[Recuento de T3 CODIGO])</f>
        <v>#VALUE!</v>
      </c>
    </row>
    <row r="294" spans="1:3" x14ac:dyDescent="0.25">
      <c r="A294" t="b">
        <f>IFERROR(IF(MATCH(B294,RECETAS!$A$2:$A$1700,0) &lt;&gt; "", TRUE,""),FALSE)</f>
        <v>0</v>
      </c>
      <c r="B294" t="e">
        <f>TRANSPOSE(T3_[Etiquetas de fila])</f>
        <v>#VALUE!</v>
      </c>
      <c r="C294" t="e">
        <f>TRANSPOSE(T3_[Recuento de T3 CODIGO])</f>
        <v>#VALUE!</v>
      </c>
    </row>
    <row r="295" spans="1:3" x14ac:dyDescent="0.25">
      <c r="A295" t="b">
        <f>IFERROR(IF(MATCH(B295,RECETAS!$A$2:$A$1700,0) &lt;&gt; "", TRUE,""),FALSE)</f>
        <v>0</v>
      </c>
      <c r="B295" t="e">
        <f>TRANSPOSE(T3_[Etiquetas de fila])</f>
        <v>#VALUE!</v>
      </c>
      <c r="C295" t="e">
        <f>TRANSPOSE(T3_[Recuento de T3 CODIGO])</f>
        <v>#VALUE!</v>
      </c>
    </row>
    <row r="296" spans="1:3" x14ac:dyDescent="0.25">
      <c r="A296" t="b">
        <f>IFERROR(IF(MATCH(B296,RECETAS!$A$2:$A$1700,0) &lt;&gt; "", TRUE,""),FALSE)</f>
        <v>0</v>
      </c>
      <c r="B296" t="e">
        <f>TRANSPOSE(T3_[Etiquetas de fila])</f>
        <v>#VALUE!</v>
      </c>
      <c r="C296" t="e">
        <f>TRANSPOSE(T3_[Recuento de T3 CODIGO])</f>
        <v>#VALUE!</v>
      </c>
    </row>
    <row r="297" spans="1:3" x14ac:dyDescent="0.25">
      <c r="A297" t="b">
        <f>IFERROR(IF(MATCH(B297,RECETAS!$A$2:$A$1700,0) &lt;&gt; "", TRUE,""),FALSE)</f>
        <v>0</v>
      </c>
      <c r="B297" t="e">
        <f>TRANSPOSE(T3_[Etiquetas de fila])</f>
        <v>#VALUE!</v>
      </c>
      <c r="C297" t="e">
        <f>TRANSPOSE(T3_[Recuento de T3 CODIGO])</f>
        <v>#VALUE!</v>
      </c>
    </row>
    <row r="298" spans="1:3" x14ac:dyDescent="0.25">
      <c r="A298" t="b">
        <f>IFERROR(IF(MATCH(B298,RECETAS!$A$2:$A$1700,0) &lt;&gt; "", TRUE,""),FALSE)</f>
        <v>0</v>
      </c>
      <c r="B298" t="e">
        <f>TRANSPOSE(T3_[Etiquetas de fila])</f>
        <v>#VALUE!</v>
      </c>
      <c r="C298" t="e">
        <f>TRANSPOSE(T3_[Recuento de T3 CODIGO])</f>
        <v>#VALUE!</v>
      </c>
    </row>
    <row r="299" spans="1:3" x14ac:dyDescent="0.25">
      <c r="A299" t="b">
        <f>IFERROR(IF(MATCH(B299,RECETAS!$A$2:$A$1700,0) &lt;&gt; "", TRUE,""),FALSE)</f>
        <v>0</v>
      </c>
      <c r="B299" t="e">
        <f>TRANSPOSE(T3_[Etiquetas de fila])</f>
        <v>#VALUE!</v>
      </c>
      <c r="C299" t="e">
        <f>TRANSPOSE(T3_[Recuento de T3 CODIGO])</f>
        <v>#VALUE!</v>
      </c>
    </row>
    <row r="300" spans="1:3" x14ac:dyDescent="0.25">
      <c r="A300" t="b">
        <f>IFERROR(IF(MATCH(B300,RECETAS!$A$2:$A$1700,0) &lt;&gt; "", TRUE,""),FALSE)</f>
        <v>0</v>
      </c>
      <c r="B300" t="e">
        <f>TRANSPOSE(T3_[Etiquetas de fila])</f>
        <v>#VALUE!</v>
      </c>
      <c r="C300" t="e">
        <f>TRANSPOSE(T3_[Recuento de T3 CODIGO])</f>
        <v>#VALUE!</v>
      </c>
    </row>
    <row r="301" spans="1:3" x14ac:dyDescent="0.25">
      <c r="A301" t="b">
        <f>IFERROR(IF(MATCH(B301,RECETAS!$A$2:$A$1700,0) &lt;&gt; "", TRUE,""),FALSE)</f>
        <v>0</v>
      </c>
      <c r="B301" t="e">
        <f>TRANSPOSE(T3_[Etiquetas de fila])</f>
        <v>#VALUE!</v>
      </c>
      <c r="C301" t="e">
        <f>TRANSPOSE(T3_[Recuento de T3 CODIGO])</f>
        <v>#VALUE!</v>
      </c>
    </row>
    <row r="302" spans="1:3" x14ac:dyDescent="0.25">
      <c r="A302" t="b">
        <f>IFERROR(IF(MATCH(B302,RECETAS!$A$2:$A$1700,0) &lt;&gt; "", TRUE,""),FALSE)</f>
        <v>0</v>
      </c>
      <c r="B302" t="e">
        <f>TRANSPOSE(T3_[Etiquetas de fila])</f>
        <v>#VALUE!</v>
      </c>
      <c r="C302" t="e">
        <f>TRANSPOSE(T3_[Recuento de T3 CODIGO])</f>
        <v>#VALUE!</v>
      </c>
    </row>
    <row r="303" spans="1:3" x14ac:dyDescent="0.25">
      <c r="A303" t="b">
        <f>IFERROR(IF(MATCH(B303,RECETAS!$A$2:$A$1700,0) &lt;&gt; "", TRUE,""),FALSE)</f>
        <v>0</v>
      </c>
      <c r="B303" t="e">
        <f>TRANSPOSE(T3_[Etiquetas de fila])</f>
        <v>#VALUE!</v>
      </c>
      <c r="C303" t="e">
        <f>TRANSPOSE(T3_[Recuento de T3 CODIGO])</f>
        <v>#VALUE!</v>
      </c>
    </row>
    <row r="304" spans="1:3" x14ac:dyDescent="0.25">
      <c r="A304" t="b">
        <f>IFERROR(IF(MATCH(B304,RECETAS!$A$2:$A$1700,0) &lt;&gt; "", TRUE,""),FALSE)</f>
        <v>0</v>
      </c>
      <c r="B304" t="e">
        <f>TRANSPOSE(T3_[Etiquetas de fila])</f>
        <v>#VALUE!</v>
      </c>
      <c r="C304" t="e">
        <f>TRANSPOSE(T3_[Recuento de T3 CODIGO])</f>
        <v>#VALUE!</v>
      </c>
    </row>
    <row r="305" spans="1:3" x14ac:dyDescent="0.25">
      <c r="A305" t="b">
        <f>IFERROR(IF(MATCH(B305,RECETAS!$A$2:$A$1700,0) &lt;&gt; "", TRUE,""),FALSE)</f>
        <v>0</v>
      </c>
      <c r="B305" t="e">
        <f>TRANSPOSE(T3_[Etiquetas de fila])</f>
        <v>#VALUE!</v>
      </c>
      <c r="C305" t="e">
        <f>TRANSPOSE(T3_[Recuento de T3 CODIGO])</f>
        <v>#VALUE!</v>
      </c>
    </row>
    <row r="306" spans="1:3" x14ac:dyDescent="0.25">
      <c r="A306" t="b">
        <f>IFERROR(IF(MATCH(B306,RECETAS!$A$2:$A$1700,0) &lt;&gt; "", TRUE,""),FALSE)</f>
        <v>0</v>
      </c>
      <c r="B306" t="e">
        <f>TRANSPOSE(T3_[Etiquetas de fila])</f>
        <v>#VALUE!</v>
      </c>
      <c r="C306" t="e">
        <f>TRANSPOSE(T3_[Recuento de T3 CODIGO])</f>
        <v>#VALUE!</v>
      </c>
    </row>
    <row r="307" spans="1:3" x14ac:dyDescent="0.25">
      <c r="A307" t="b">
        <f>IFERROR(IF(MATCH(B307,RECETAS!$A$2:$A$1700,0) &lt;&gt; "", TRUE,""),FALSE)</f>
        <v>0</v>
      </c>
      <c r="B307" t="e">
        <f>TRANSPOSE(T3_[Etiquetas de fila])</f>
        <v>#VALUE!</v>
      </c>
      <c r="C307" t="e">
        <f>TRANSPOSE(T3_[Recuento de T3 CODIGO])</f>
        <v>#VALUE!</v>
      </c>
    </row>
    <row r="308" spans="1:3" x14ac:dyDescent="0.25">
      <c r="A308" t="b">
        <f>IFERROR(IF(MATCH(B308,RECETAS!$A$2:$A$1700,0) &lt;&gt; "", TRUE,""),FALSE)</f>
        <v>0</v>
      </c>
      <c r="B308" t="e">
        <f>TRANSPOSE(T3_[Etiquetas de fila])</f>
        <v>#VALUE!</v>
      </c>
      <c r="C308" t="e">
        <f>TRANSPOSE(T3_[Recuento de T3 CODIGO])</f>
        <v>#VALUE!</v>
      </c>
    </row>
    <row r="309" spans="1:3" x14ac:dyDescent="0.25">
      <c r="A309" t="b">
        <f>IFERROR(IF(MATCH(B309,RECETAS!$A$2:$A$1700,0) &lt;&gt; "", TRUE,""),FALSE)</f>
        <v>0</v>
      </c>
      <c r="B309" t="e">
        <f>TRANSPOSE(T3_[Etiquetas de fila])</f>
        <v>#VALUE!</v>
      </c>
      <c r="C309" t="e">
        <f>TRANSPOSE(T3_[Recuento de T3 CODIGO])</f>
        <v>#VALUE!</v>
      </c>
    </row>
    <row r="310" spans="1:3" x14ac:dyDescent="0.25">
      <c r="A310" t="b">
        <f>IFERROR(IF(MATCH(B310,RECETAS!$A$2:$A$1700,0) &lt;&gt; "", TRUE,""),FALSE)</f>
        <v>0</v>
      </c>
      <c r="B310" t="e">
        <f>TRANSPOSE(T3_[Etiquetas de fila])</f>
        <v>#VALUE!</v>
      </c>
      <c r="C310" t="e">
        <f>TRANSPOSE(T3_[Recuento de T3 CODIGO])</f>
        <v>#VALUE!</v>
      </c>
    </row>
    <row r="311" spans="1:3" x14ac:dyDescent="0.25">
      <c r="A311" t="b">
        <f>IFERROR(IF(MATCH(B311,RECETAS!$A$2:$A$1700,0) &lt;&gt; "", TRUE,""),FALSE)</f>
        <v>0</v>
      </c>
      <c r="B311" t="e">
        <f>TRANSPOSE(T3_[Etiquetas de fila])</f>
        <v>#VALUE!</v>
      </c>
      <c r="C311" t="e">
        <f>TRANSPOSE(T3_[Recuento de T3 CODIGO])</f>
        <v>#VALUE!</v>
      </c>
    </row>
    <row r="312" spans="1:3" x14ac:dyDescent="0.25">
      <c r="A312" t="b">
        <f>IFERROR(IF(MATCH(B312,RECETAS!$A$2:$A$1700,0) &lt;&gt; "", TRUE,""),FALSE)</f>
        <v>0</v>
      </c>
      <c r="B312" t="e">
        <f>TRANSPOSE(T3_[Etiquetas de fila])</f>
        <v>#VALUE!</v>
      </c>
      <c r="C312" t="e">
        <f>TRANSPOSE(T3_[Recuento de T3 CODIGO])</f>
        <v>#VALUE!</v>
      </c>
    </row>
    <row r="313" spans="1:3" x14ac:dyDescent="0.25">
      <c r="A313" t="b">
        <f>IFERROR(IF(MATCH(B313,RECETAS!$A$2:$A$1700,0) &lt;&gt; "", TRUE,""),FALSE)</f>
        <v>0</v>
      </c>
      <c r="B313" t="e">
        <f>TRANSPOSE(T3_[Etiquetas de fila])</f>
        <v>#VALUE!</v>
      </c>
      <c r="C313" t="e">
        <f>TRANSPOSE(T3_[Recuento de T3 CODIGO])</f>
        <v>#VALUE!</v>
      </c>
    </row>
    <row r="314" spans="1:3" x14ac:dyDescent="0.25">
      <c r="A314" t="b">
        <f>IFERROR(IF(MATCH(B314,RECETAS!$A$2:$A$1700,0) &lt;&gt; "", TRUE,""),FALSE)</f>
        <v>0</v>
      </c>
      <c r="B314" t="e">
        <f>TRANSPOSE(T3_[Etiquetas de fila])</f>
        <v>#VALUE!</v>
      </c>
      <c r="C314" t="e">
        <f>TRANSPOSE(T3_[Recuento de T3 CODIGO])</f>
        <v>#VALUE!</v>
      </c>
    </row>
    <row r="315" spans="1:3" x14ac:dyDescent="0.25">
      <c r="A315" t="b">
        <f>IFERROR(IF(MATCH(B315,RECETAS!$A$2:$A$1700,0) &lt;&gt; "", TRUE,""),FALSE)</f>
        <v>0</v>
      </c>
      <c r="B315" t="e">
        <f>TRANSPOSE(T3_[Etiquetas de fila])</f>
        <v>#VALUE!</v>
      </c>
      <c r="C315" t="e">
        <f>TRANSPOSE(T3_[Recuento de T3 CODIGO])</f>
        <v>#VALUE!</v>
      </c>
    </row>
    <row r="316" spans="1:3" x14ac:dyDescent="0.25">
      <c r="A316" t="b">
        <f>IFERROR(IF(MATCH(B316,RECETAS!$A$2:$A$1700,0) &lt;&gt; "", TRUE,""),FALSE)</f>
        <v>0</v>
      </c>
      <c r="B316" t="e">
        <f>TRANSPOSE(T3_[Etiquetas de fila])</f>
        <v>#VALUE!</v>
      </c>
      <c r="C316" t="e">
        <f>TRANSPOSE(T3_[Recuento de T3 CODIGO])</f>
        <v>#VALUE!</v>
      </c>
    </row>
    <row r="317" spans="1:3" x14ac:dyDescent="0.25">
      <c r="A317" t="b">
        <f>IFERROR(IF(MATCH(B317,RECETAS!$A$2:$A$1700,0) &lt;&gt; "", TRUE,""),FALSE)</f>
        <v>0</v>
      </c>
      <c r="B317" t="e">
        <f>TRANSPOSE(T3_[Etiquetas de fila])</f>
        <v>#VALUE!</v>
      </c>
      <c r="C317" t="e">
        <f>TRANSPOSE(T3_[Recuento de T3 CODIGO])</f>
        <v>#VALUE!</v>
      </c>
    </row>
    <row r="318" spans="1:3" x14ac:dyDescent="0.25">
      <c r="A318" t="b">
        <f>IFERROR(IF(MATCH(B318,RECETAS!$A$2:$A$1700,0) &lt;&gt; "", TRUE,""),FALSE)</f>
        <v>0</v>
      </c>
      <c r="B318" t="e">
        <f>TRANSPOSE(T3_[Etiquetas de fila])</f>
        <v>#VALUE!</v>
      </c>
      <c r="C318" t="e">
        <f>TRANSPOSE(T3_[Recuento de T3 CODIGO])</f>
        <v>#VALUE!</v>
      </c>
    </row>
    <row r="319" spans="1:3" x14ac:dyDescent="0.25">
      <c r="A319" t="b">
        <f>IFERROR(IF(MATCH(B319,RECETAS!$A$2:$A$1700,0) &lt;&gt; "", TRUE,""),FALSE)</f>
        <v>0</v>
      </c>
      <c r="B319" t="e">
        <f>TRANSPOSE(T3_[Etiquetas de fila])</f>
        <v>#VALUE!</v>
      </c>
      <c r="C319" t="e">
        <f>TRANSPOSE(T3_[Recuento de T3 CODIGO])</f>
        <v>#VALUE!</v>
      </c>
    </row>
    <row r="320" spans="1:3" x14ac:dyDescent="0.25">
      <c r="A320" t="b">
        <f>IFERROR(IF(MATCH(B320,RECETAS!$A$2:$A$1700,0) &lt;&gt; "", TRUE,""),FALSE)</f>
        <v>0</v>
      </c>
      <c r="B320" t="e">
        <f>TRANSPOSE(T3_[Etiquetas de fila])</f>
        <v>#VALUE!</v>
      </c>
      <c r="C320" t="e">
        <f>TRANSPOSE(T3_[Recuento de T3 CODIGO])</f>
        <v>#VALUE!</v>
      </c>
    </row>
    <row r="321" spans="1:3" x14ac:dyDescent="0.25">
      <c r="A321" t="b">
        <f>IFERROR(IF(MATCH(B321,RECETAS!$A$2:$A$1700,0) &lt;&gt; "", TRUE,""),FALSE)</f>
        <v>0</v>
      </c>
      <c r="B321" t="e">
        <f>TRANSPOSE(T3_[Etiquetas de fila])</f>
        <v>#VALUE!</v>
      </c>
      <c r="C321" t="e">
        <f>TRANSPOSE(T3_[Recuento de T3 CODIGO])</f>
        <v>#VALUE!</v>
      </c>
    </row>
    <row r="322" spans="1:3" x14ac:dyDescent="0.25">
      <c r="A322" t="b">
        <f>IFERROR(IF(MATCH(B322,RECETAS!$A$2:$A$1700,0) &lt;&gt; "", TRUE,""),FALSE)</f>
        <v>0</v>
      </c>
      <c r="B322" t="e">
        <f>TRANSPOSE(T3_[Etiquetas de fila])</f>
        <v>#VALUE!</v>
      </c>
      <c r="C322" t="e">
        <f>TRANSPOSE(T3_[Recuento de T3 CODIGO])</f>
        <v>#VALUE!</v>
      </c>
    </row>
    <row r="323" spans="1:3" x14ac:dyDescent="0.25">
      <c r="A323" t="b">
        <f>IFERROR(IF(MATCH(B323,RECETAS!$A$2:$A$1700,0) &lt;&gt; "", TRUE,""),FALSE)</f>
        <v>0</v>
      </c>
      <c r="B323" t="e">
        <f>TRANSPOSE(T3_[Etiquetas de fila])</f>
        <v>#VALUE!</v>
      </c>
      <c r="C323" t="e">
        <f>TRANSPOSE(T3_[Recuento de T3 CODIGO])</f>
        <v>#VALUE!</v>
      </c>
    </row>
    <row r="324" spans="1:3" x14ac:dyDescent="0.25">
      <c r="A324" t="b">
        <f>IFERROR(IF(MATCH(B324,RECETAS!$A$2:$A$1700,0) &lt;&gt; "", TRUE,""),FALSE)</f>
        <v>0</v>
      </c>
      <c r="B324" t="e">
        <f>TRANSPOSE(T3_[Etiquetas de fila])</f>
        <v>#VALUE!</v>
      </c>
      <c r="C324" t="e">
        <f>TRANSPOSE(T3_[Recuento de T3 CODIGO])</f>
        <v>#VALUE!</v>
      </c>
    </row>
    <row r="325" spans="1:3" x14ac:dyDescent="0.25">
      <c r="A325" t="b">
        <f>IFERROR(IF(MATCH(B325,RECETAS!$A$2:$A$1700,0) &lt;&gt; "", TRUE,""),FALSE)</f>
        <v>0</v>
      </c>
      <c r="B325" t="e">
        <f>TRANSPOSE(T3_[Etiquetas de fila])</f>
        <v>#VALUE!</v>
      </c>
      <c r="C325" t="e">
        <f>TRANSPOSE(T3_[Recuento de T3 CODIGO])</f>
        <v>#VALUE!</v>
      </c>
    </row>
    <row r="326" spans="1:3" x14ac:dyDescent="0.25">
      <c r="A326" t="b">
        <f>IFERROR(IF(MATCH(B326,RECETAS!$A$2:$A$1700,0) &lt;&gt; "", TRUE,""),FALSE)</f>
        <v>0</v>
      </c>
      <c r="B326" t="e">
        <f>TRANSPOSE(T3_[Etiquetas de fila])</f>
        <v>#VALUE!</v>
      </c>
      <c r="C326" t="e">
        <f>TRANSPOSE(T3_[Recuento de T3 CODIGO])</f>
        <v>#VALUE!</v>
      </c>
    </row>
    <row r="327" spans="1:3" x14ac:dyDescent="0.25">
      <c r="A327" t="b">
        <f>IFERROR(IF(MATCH(B327,RECETAS!$A$2:$A$1700,0) &lt;&gt; "", TRUE,""),FALSE)</f>
        <v>0</v>
      </c>
      <c r="B327" t="e">
        <f>TRANSPOSE(T3_[Etiquetas de fila])</f>
        <v>#VALUE!</v>
      </c>
      <c r="C327" t="e">
        <f>TRANSPOSE(T3_[Recuento de T3 CODIGO])</f>
        <v>#VALUE!</v>
      </c>
    </row>
    <row r="328" spans="1:3" x14ac:dyDescent="0.25">
      <c r="A328" t="b">
        <f>IFERROR(IF(MATCH(B328,RECETAS!$A$2:$A$1700,0) &lt;&gt; "", TRUE,""),FALSE)</f>
        <v>0</v>
      </c>
      <c r="B328" t="e">
        <f>TRANSPOSE(T3_[Etiquetas de fila])</f>
        <v>#VALUE!</v>
      </c>
      <c r="C328" t="e">
        <f>TRANSPOSE(T3_[Recuento de T3 CODIGO])</f>
        <v>#VALUE!</v>
      </c>
    </row>
    <row r="329" spans="1:3" x14ac:dyDescent="0.25">
      <c r="A329" t="b">
        <f>IFERROR(IF(MATCH(B329,RECETAS!$A$2:$A$1700,0) &lt;&gt; "", TRUE,""),FALSE)</f>
        <v>0</v>
      </c>
      <c r="B329" t="e">
        <f>TRANSPOSE(T3_[Etiquetas de fila])</f>
        <v>#VALUE!</v>
      </c>
      <c r="C329" t="e">
        <f>TRANSPOSE(T3_[Recuento de T3 CODIGO])</f>
        <v>#VALUE!</v>
      </c>
    </row>
    <row r="330" spans="1:3" x14ac:dyDescent="0.25">
      <c r="A330" t="b">
        <f>IFERROR(IF(MATCH(B330,RECETAS!$A$2:$A$1700,0) &lt;&gt; "", TRUE,""),FALSE)</f>
        <v>0</v>
      </c>
      <c r="B330" t="e">
        <f>TRANSPOSE(T3_[Etiquetas de fila])</f>
        <v>#VALUE!</v>
      </c>
      <c r="C330" t="e">
        <f>TRANSPOSE(T3_[Recuento de T3 CODIGO])</f>
        <v>#VALUE!</v>
      </c>
    </row>
    <row r="331" spans="1:3" x14ac:dyDescent="0.25">
      <c r="A331" t="b">
        <f>IFERROR(IF(MATCH(B331,RECETAS!$A$2:$A$1700,0) &lt;&gt; "", TRUE,""),FALSE)</f>
        <v>0</v>
      </c>
      <c r="B331" t="e">
        <f>TRANSPOSE(T3_[Etiquetas de fila])</f>
        <v>#VALUE!</v>
      </c>
      <c r="C331" t="e">
        <f>TRANSPOSE(T3_[Recuento de T3 CODIGO])</f>
        <v>#VALUE!</v>
      </c>
    </row>
    <row r="332" spans="1:3" x14ac:dyDescent="0.25">
      <c r="A332" t="b">
        <f>IFERROR(IF(MATCH(B332,RECETAS!$A$2:$A$1700,0) &lt;&gt; "", TRUE,""),FALSE)</f>
        <v>0</v>
      </c>
      <c r="B332" t="e">
        <f>TRANSPOSE(T3_[Etiquetas de fila])</f>
        <v>#VALUE!</v>
      </c>
      <c r="C332" t="e">
        <f>TRANSPOSE(T3_[Recuento de T3 CODIGO])</f>
        <v>#VALUE!</v>
      </c>
    </row>
    <row r="333" spans="1:3" x14ac:dyDescent="0.25">
      <c r="A333" t="b">
        <f>IFERROR(IF(MATCH(B333,RECETAS!$A$2:$A$1700,0) &lt;&gt; "", TRUE,""),FALSE)</f>
        <v>0</v>
      </c>
      <c r="B333" t="e">
        <f>TRANSPOSE(T3_[Etiquetas de fila])</f>
        <v>#VALUE!</v>
      </c>
      <c r="C333" t="e">
        <f>TRANSPOSE(T3_[Recuento de T3 CODIGO])</f>
        <v>#VALUE!</v>
      </c>
    </row>
    <row r="334" spans="1:3" x14ac:dyDescent="0.25">
      <c r="A334" t="b">
        <f>IFERROR(IF(MATCH(B334,RECETAS!$A$2:$A$1700,0) &lt;&gt; "", TRUE,""),FALSE)</f>
        <v>0</v>
      </c>
      <c r="B334" t="e">
        <f>TRANSPOSE(T3_[Etiquetas de fila])</f>
        <v>#VALUE!</v>
      </c>
      <c r="C334" t="e">
        <f>TRANSPOSE(T3_[Recuento de T3 CODIGO])</f>
        <v>#VALUE!</v>
      </c>
    </row>
    <row r="335" spans="1:3" x14ac:dyDescent="0.25">
      <c r="A335" t="b">
        <f>IFERROR(IF(MATCH(B335,RECETAS!$A$2:$A$1700,0) &lt;&gt; "", TRUE,""),FALSE)</f>
        <v>0</v>
      </c>
      <c r="B335" t="e">
        <f>TRANSPOSE(T3_[Etiquetas de fila])</f>
        <v>#VALUE!</v>
      </c>
      <c r="C335" t="e">
        <f>TRANSPOSE(T3_[Recuento de T3 CODIGO])</f>
        <v>#VALUE!</v>
      </c>
    </row>
    <row r="336" spans="1:3" x14ac:dyDescent="0.25">
      <c r="A336" t="b">
        <f>IFERROR(IF(MATCH(B336,RECETAS!$A$2:$A$1700,0) &lt;&gt; "", TRUE,""),FALSE)</f>
        <v>0</v>
      </c>
      <c r="B336" t="e">
        <f>TRANSPOSE(T3_[Etiquetas de fila])</f>
        <v>#VALUE!</v>
      </c>
      <c r="C336" t="e">
        <f>TRANSPOSE(T3_[Recuento de T3 CODIGO])</f>
        <v>#VALUE!</v>
      </c>
    </row>
    <row r="337" spans="1:3" x14ac:dyDescent="0.25">
      <c r="A337" t="b">
        <f>IFERROR(IF(MATCH(B337,RECETAS!$A$2:$A$1700,0) &lt;&gt; "", TRUE,""),FALSE)</f>
        <v>0</v>
      </c>
      <c r="B337" t="e">
        <f>TRANSPOSE(T3_[Etiquetas de fila])</f>
        <v>#VALUE!</v>
      </c>
      <c r="C337" t="e">
        <f>TRANSPOSE(T3_[Recuento de T3 CODIGO])</f>
        <v>#VALUE!</v>
      </c>
    </row>
    <row r="338" spans="1:3" x14ac:dyDescent="0.25">
      <c r="A338" t="b">
        <f>IFERROR(IF(MATCH(B338,RECETAS!$A$2:$A$1700,0) &lt;&gt; "", TRUE,""),FALSE)</f>
        <v>0</v>
      </c>
      <c r="B338" t="e">
        <f>TRANSPOSE(T3_[Etiquetas de fila])</f>
        <v>#VALUE!</v>
      </c>
      <c r="C338" t="e">
        <f>TRANSPOSE(T3_[Recuento de T3 CODIGO])</f>
        <v>#VALUE!</v>
      </c>
    </row>
    <row r="339" spans="1:3" x14ac:dyDescent="0.25">
      <c r="A339" t="b">
        <f>IFERROR(IF(MATCH(B339,RECETAS!$A$2:$A$1700,0) &lt;&gt; "", TRUE,""),FALSE)</f>
        <v>0</v>
      </c>
      <c r="B339" t="e">
        <f>TRANSPOSE(T3_[Etiquetas de fila])</f>
        <v>#VALUE!</v>
      </c>
      <c r="C339" t="e">
        <f>TRANSPOSE(T3_[Recuento de T3 CODIGO])</f>
        <v>#VALUE!</v>
      </c>
    </row>
    <row r="340" spans="1:3" x14ac:dyDescent="0.25">
      <c r="A340" t="b">
        <f>IFERROR(IF(MATCH(B340,RECETAS!$A$2:$A$1700,0) &lt;&gt; "", TRUE,""),FALSE)</f>
        <v>0</v>
      </c>
      <c r="B340" t="e">
        <f>TRANSPOSE(T3_[Etiquetas de fila])</f>
        <v>#VALUE!</v>
      </c>
      <c r="C340" t="e">
        <f>TRANSPOSE(T3_[Recuento de T3 CODIGO])</f>
        <v>#VALUE!</v>
      </c>
    </row>
    <row r="341" spans="1:3" x14ac:dyDescent="0.25">
      <c r="A341" t="b">
        <f>IFERROR(IF(MATCH(B341,RECETAS!$A$2:$A$1700,0) &lt;&gt; "", TRUE,""),FALSE)</f>
        <v>0</v>
      </c>
      <c r="B341" t="e">
        <f>TRANSPOSE(T3_[Etiquetas de fila])</f>
        <v>#VALUE!</v>
      </c>
      <c r="C341" t="e">
        <f>TRANSPOSE(T3_[Recuento de T3 CODIGO])</f>
        <v>#VALUE!</v>
      </c>
    </row>
    <row r="342" spans="1:3" x14ac:dyDescent="0.25">
      <c r="A342" t="b">
        <f>IFERROR(IF(MATCH(B342,RECETAS!$A$2:$A$1700,0) &lt;&gt; "", TRUE,""),FALSE)</f>
        <v>0</v>
      </c>
      <c r="B342" t="e">
        <f>TRANSPOSE(T3_[Etiquetas de fila])</f>
        <v>#VALUE!</v>
      </c>
      <c r="C342" t="e">
        <f>TRANSPOSE(T3_[Recuento de T3 CODIGO])</f>
        <v>#VALUE!</v>
      </c>
    </row>
    <row r="343" spans="1:3" x14ac:dyDescent="0.25">
      <c r="A343" t="b">
        <f>IFERROR(IF(MATCH(B343,RECETAS!$A$2:$A$1700,0) &lt;&gt; "", TRUE,""),FALSE)</f>
        <v>0</v>
      </c>
      <c r="B343" t="e">
        <f>TRANSPOSE(T3_[Etiquetas de fila])</f>
        <v>#VALUE!</v>
      </c>
      <c r="C343" t="e">
        <f>TRANSPOSE(T3_[Recuento de T3 CODIGO])</f>
        <v>#VALUE!</v>
      </c>
    </row>
    <row r="344" spans="1:3" x14ac:dyDescent="0.25">
      <c r="A344" t="b">
        <f>IFERROR(IF(MATCH(B344,RECETAS!$A$2:$A$1700,0) &lt;&gt; "", TRUE,""),FALSE)</f>
        <v>0</v>
      </c>
      <c r="B344" t="e">
        <f>TRANSPOSE(T3_[Etiquetas de fila])</f>
        <v>#VALUE!</v>
      </c>
      <c r="C344" t="e">
        <f>TRANSPOSE(T3_[Recuento de T3 CODIGO])</f>
        <v>#VALUE!</v>
      </c>
    </row>
    <row r="345" spans="1:3" x14ac:dyDescent="0.25">
      <c r="A345" t="b">
        <f>IFERROR(IF(MATCH(B345,RECETAS!$A$2:$A$1700,0) &lt;&gt; "", TRUE,""),FALSE)</f>
        <v>0</v>
      </c>
      <c r="B345" t="e">
        <f>TRANSPOSE(T3_[Etiquetas de fila])</f>
        <v>#VALUE!</v>
      </c>
      <c r="C345" t="e">
        <f>TRANSPOSE(T3_[Recuento de T3 CODIGO])</f>
        <v>#VALUE!</v>
      </c>
    </row>
    <row r="346" spans="1:3" x14ac:dyDescent="0.25">
      <c r="A346" t="b">
        <f>IFERROR(IF(MATCH(B346,RECETAS!$A$2:$A$1700,0) &lt;&gt; "", TRUE,""),FALSE)</f>
        <v>0</v>
      </c>
      <c r="B346" t="e">
        <f>TRANSPOSE(T3_[Etiquetas de fila])</f>
        <v>#VALUE!</v>
      </c>
      <c r="C346" t="e">
        <f>TRANSPOSE(T3_[Recuento de T3 CODIGO])</f>
        <v>#VALUE!</v>
      </c>
    </row>
    <row r="347" spans="1:3" x14ac:dyDescent="0.25">
      <c r="A347" t="b">
        <f>IFERROR(IF(MATCH(B347,RECETAS!$A$2:$A$1700,0) &lt;&gt; "", TRUE,""),FALSE)</f>
        <v>0</v>
      </c>
      <c r="B347" t="e">
        <f>TRANSPOSE(T3_[Etiquetas de fila])</f>
        <v>#VALUE!</v>
      </c>
      <c r="C347" t="e">
        <f>TRANSPOSE(T3_[Recuento de T3 CODIGO])</f>
        <v>#VALUE!</v>
      </c>
    </row>
    <row r="348" spans="1:3" x14ac:dyDescent="0.25">
      <c r="A348" t="b">
        <f>IFERROR(IF(MATCH(B348,RECETAS!$A$2:$A$1700,0) &lt;&gt; "", TRUE,""),FALSE)</f>
        <v>0</v>
      </c>
      <c r="B348" t="e">
        <f>TRANSPOSE(T3_[Etiquetas de fila])</f>
        <v>#VALUE!</v>
      </c>
      <c r="C348" t="e">
        <f>TRANSPOSE(T3_[Recuento de T3 CODIGO])</f>
        <v>#VALUE!</v>
      </c>
    </row>
    <row r="349" spans="1:3" x14ac:dyDescent="0.25">
      <c r="A349" t="b">
        <f>IFERROR(IF(MATCH(B349,RECETAS!$A$2:$A$1700,0) &lt;&gt; "", TRUE,""),FALSE)</f>
        <v>0</v>
      </c>
      <c r="B349" t="e">
        <f>TRANSPOSE(T3_[Etiquetas de fila])</f>
        <v>#VALUE!</v>
      </c>
      <c r="C349" t="e">
        <f>TRANSPOSE(T3_[Recuento de T3 CODIGO])</f>
        <v>#VALUE!</v>
      </c>
    </row>
    <row r="350" spans="1:3" x14ac:dyDescent="0.25">
      <c r="A350" t="b">
        <f>IFERROR(IF(MATCH(B350,RECETAS!$A$2:$A$1700,0) &lt;&gt; "", TRUE,""),FALSE)</f>
        <v>0</v>
      </c>
      <c r="B350" t="e">
        <f>TRANSPOSE(T3_[Etiquetas de fila])</f>
        <v>#VALUE!</v>
      </c>
      <c r="C350" t="e">
        <f>TRANSPOSE(T3_[Recuento de T3 CODIGO])</f>
        <v>#VALUE!</v>
      </c>
    </row>
    <row r="351" spans="1:3" x14ac:dyDescent="0.25">
      <c r="A351" t="b">
        <f>IFERROR(IF(MATCH(B351,RECETAS!$A$2:$A$1700,0) &lt;&gt; "", TRUE,""),FALSE)</f>
        <v>0</v>
      </c>
      <c r="B351" t="e">
        <f>TRANSPOSE(T3_[Etiquetas de fila])</f>
        <v>#VALUE!</v>
      </c>
      <c r="C351" t="e">
        <f>TRANSPOSE(T3_[Recuento de T3 CODIGO])</f>
        <v>#VALUE!</v>
      </c>
    </row>
    <row r="352" spans="1:3" x14ac:dyDescent="0.25">
      <c r="A352" t="b">
        <f>IFERROR(IF(MATCH(B352,RECETAS!$A$2:$A$1700,0) &lt;&gt; "", TRUE,""),FALSE)</f>
        <v>0</v>
      </c>
      <c r="B352" t="e">
        <f>TRANSPOSE(T3_[Etiquetas de fila])</f>
        <v>#VALUE!</v>
      </c>
      <c r="C352" t="e">
        <f>TRANSPOSE(T3_[Recuento de T3 CODIGO])</f>
        <v>#VALUE!</v>
      </c>
    </row>
    <row r="353" spans="1:3" x14ac:dyDescent="0.25">
      <c r="A353" t="b">
        <f>IFERROR(IF(MATCH(B353,RECETAS!$A$2:$A$1700,0) &lt;&gt; "", TRUE,""),FALSE)</f>
        <v>0</v>
      </c>
      <c r="B353" t="e">
        <f>TRANSPOSE(T3_[Etiquetas de fila])</f>
        <v>#VALUE!</v>
      </c>
      <c r="C353" t="e">
        <f>TRANSPOSE(T3_[Recuento de T3 CODIGO])</f>
        <v>#VALUE!</v>
      </c>
    </row>
    <row r="354" spans="1:3" x14ac:dyDescent="0.25">
      <c r="A354" t="b">
        <f>IFERROR(IF(MATCH(B354,RECETAS!$A$2:$A$1700,0) &lt;&gt; "", TRUE,""),FALSE)</f>
        <v>0</v>
      </c>
      <c r="B354" t="e">
        <f>TRANSPOSE(T3_[Etiquetas de fila])</f>
        <v>#VALUE!</v>
      </c>
      <c r="C354" t="e">
        <f>TRANSPOSE(T3_[Recuento de T3 CODIGO])</f>
        <v>#VALUE!</v>
      </c>
    </row>
    <row r="355" spans="1:3" x14ac:dyDescent="0.25">
      <c r="A355" t="b">
        <f>IFERROR(IF(MATCH(B355,RECETAS!$A$2:$A$1700,0) &lt;&gt; "", TRUE,""),FALSE)</f>
        <v>0</v>
      </c>
      <c r="B355" t="e">
        <f>TRANSPOSE(T3_[Etiquetas de fila])</f>
        <v>#VALUE!</v>
      </c>
      <c r="C355" t="e">
        <f>TRANSPOSE(T3_[Recuento de T3 CODIGO])</f>
        <v>#VALUE!</v>
      </c>
    </row>
    <row r="356" spans="1:3" x14ac:dyDescent="0.25">
      <c r="A356" t="b">
        <f>IFERROR(IF(MATCH(B356,RECETAS!$A$2:$A$1700,0) &lt;&gt; "", TRUE,""),FALSE)</f>
        <v>0</v>
      </c>
      <c r="B356" t="e">
        <f>TRANSPOSE(T3_[Etiquetas de fila])</f>
        <v>#VALUE!</v>
      </c>
      <c r="C356" t="e">
        <f>TRANSPOSE(T3_[Recuento de T3 CODIGO])</f>
        <v>#VALUE!</v>
      </c>
    </row>
    <row r="357" spans="1:3" x14ac:dyDescent="0.25">
      <c r="A357" t="b">
        <f>IFERROR(IF(MATCH(B357,RECETAS!$A$2:$A$1700,0) &lt;&gt; "", TRUE,""),FALSE)</f>
        <v>0</v>
      </c>
      <c r="B357" t="e">
        <f>TRANSPOSE(T3_[Etiquetas de fila])</f>
        <v>#VALUE!</v>
      </c>
      <c r="C357" t="e">
        <f>TRANSPOSE(T3_[Recuento de T3 CODIGO])</f>
        <v>#VALUE!</v>
      </c>
    </row>
    <row r="358" spans="1:3" x14ac:dyDescent="0.25">
      <c r="A358" t="b">
        <f>IFERROR(IF(MATCH(B358,RECETAS!$A$2:$A$1700,0) &lt;&gt; "", TRUE,""),FALSE)</f>
        <v>0</v>
      </c>
      <c r="B358" t="e">
        <f>TRANSPOSE(T3_[Etiquetas de fila])</f>
        <v>#VALUE!</v>
      </c>
      <c r="C358" t="e">
        <f>TRANSPOSE(T3_[Recuento de T3 CODIGO])</f>
        <v>#VALUE!</v>
      </c>
    </row>
    <row r="359" spans="1:3" x14ac:dyDescent="0.25">
      <c r="A359" t="b">
        <f>IFERROR(IF(MATCH(B359,RECETAS!$A$2:$A$1700,0) &lt;&gt; "", TRUE,""),FALSE)</f>
        <v>0</v>
      </c>
      <c r="B359" t="e">
        <f>TRANSPOSE(T3_[Etiquetas de fila])</f>
        <v>#VALUE!</v>
      </c>
      <c r="C359" t="e">
        <f>TRANSPOSE(T3_[Recuento de T3 CODIGO])</f>
        <v>#VALUE!</v>
      </c>
    </row>
    <row r="360" spans="1:3" x14ac:dyDescent="0.25">
      <c r="A360" t="b">
        <f>IFERROR(IF(MATCH(B360,RECETAS!$A$2:$A$1700,0) &lt;&gt; "", TRUE,""),FALSE)</f>
        <v>0</v>
      </c>
      <c r="B360" t="e">
        <f>TRANSPOSE(T3_[Etiquetas de fila])</f>
        <v>#VALUE!</v>
      </c>
      <c r="C360" t="e">
        <f>TRANSPOSE(T3_[Recuento de T3 CODIGO])</f>
        <v>#VALUE!</v>
      </c>
    </row>
    <row r="361" spans="1:3" x14ac:dyDescent="0.25">
      <c r="A361" t="b">
        <f>IFERROR(IF(MATCH(B361,RECETAS!$A$2:$A$1700,0) &lt;&gt; "", TRUE,""),FALSE)</f>
        <v>0</v>
      </c>
      <c r="B361" t="e">
        <f>TRANSPOSE(T3_[Etiquetas de fila])</f>
        <v>#VALUE!</v>
      </c>
      <c r="C361" t="e">
        <f>TRANSPOSE(T3_[Recuento de T3 CODIGO])</f>
        <v>#VALUE!</v>
      </c>
    </row>
    <row r="362" spans="1:3" x14ac:dyDescent="0.25">
      <c r="A362" t="b">
        <f>IFERROR(IF(MATCH(B362,RECETAS!$A$2:$A$1700,0) &lt;&gt; "", TRUE,""),FALSE)</f>
        <v>0</v>
      </c>
      <c r="B362" t="e">
        <f>TRANSPOSE(T3_[Etiquetas de fila])</f>
        <v>#VALUE!</v>
      </c>
      <c r="C362" t="e">
        <f>TRANSPOSE(T3_[Recuento de T3 CODIGO])</f>
        <v>#VALUE!</v>
      </c>
    </row>
    <row r="363" spans="1:3" x14ac:dyDescent="0.25">
      <c r="A363" t="b">
        <f>IFERROR(IF(MATCH(B363,RECETAS!$A$2:$A$1700,0) &lt;&gt; "", TRUE,""),FALSE)</f>
        <v>0</v>
      </c>
      <c r="B363" t="e">
        <f>TRANSPOSE(T3_[Etiquetas de fila])</f>
        <v>#VALUE!</v>
      </c>
      <c r="C363" t="e">
        <f>TRANSPOSE(T3_[Recuento de T3 CODIGO])</f>
        <v>#VALUE!</v>
      </c>
    </row>
    <row r="364" spans="1:3" x14ac:dyDescent="0.25">
      <c r="A364" t="b">
        <f>IFERROR(IF(MATCH(B364,RECETAS!$A$2:$A$1700,0) &lt;&gt; "", TRUE,""),FALSE)</f>
        <v>0</v>
      </c>
      <c r="B364" t="e">
        <f>TRANSPOSE(T3_[Etiquetas de fila])</f>
        <v>#VALUE!</v>
      </c>
      <c r="C364" t="e">
        <f>TRANSPOSE(T3_[Recuento de T3 CODIGO])</f>
        <v>#VALUE!</v>
      </c>
    </row>
    <row r="365" spans="1:3" x14ac:dyDescent="0.25">
      <c r="A365" t="b">
        <f>IFERROR(IF(MATCH(B365,RECETAS!$A$2:$A$1700,0) &lt;&gt; "", TRUE,""),FALSE)</f>
        <v>0</v>
      </c>
      <c r="B365" t="e">
        <f>TRANSPOSE(T3_[Etiquetas de fila])</f>
        <v>#VALUE!</v>
      </c>
      <c r="C365" t="e">
        <f>TRANSPOSE(T3_[Recuento de T3 CODIGO])</f>
        <v>#VALUE!</v>
      </c>
    </row>
    <row r="366" spans="1:3" x14ac:dyDescent="0.25">
      <c r="A366" t="b">
        <f>IFERROR(IF(MATCH(B366,RECETAS!$A$2:$A$1700,0) &lt;&gt; "", TRUE,""),FALSE)</f>
        <v>0</v>
      </c>
      <c r="B366" t="e">
        <f>TRANSPOSE(T3_[Etiquetas de fila])</f>
        <v>#VALUE!</v>
      </c>
      <c r="C366" t="e">
        <f>TRANSPOSE(T3_[Recuento de T3 CODIGO])</f>
        <v>#VALUE!</v>
      </c>
    </row>
    <row r="367" spans="1:3" x14ac:dyDescent="0.25">
      <c r="A367" t="b">
        <f>IFERROR(IF(MATCH(B367,RECETAS!$A$2:$A$1700,0) &lt;&gt; "", TRUE,""),FALSE)</f>
        <v>0</v>
      </c>
      <c r="B367" t="e">
        <f>TRANSPOSE(T3_[Etiquetas de fila])</f>
        <v>#VALUE!</v>
      </c>
      <c r="C367" t="e">
        <f>TRANSPOSE(T3_[Recuento de T3 CODIGO])</f>
        <v>#VALUE!</v>
      </c>
    </row>
    <row r="368" spans="1:3" x14ac:dyDescent="0.25">
      <c r="A368" t="b">
        <f>IFERROR(IF(MATCH(B368,RECETAS!$A$2:$A$1700,0) &lt;&gt; "", TRUE,""),FALSE)</f>
        <v>0</v>
      </c>
      <c r="B368" t="e">
        <f>TRANSPOSE(T3_[Etiquetas de fila])</f>
        <v>#VALUE!</v>
      </c>
      <c r="C368" t="e">
        <f>TRANSPOSE(T3_[Recuento de T3 CODIGO])</f>
        <v>#VALUE!</v>
      </c>
    </row>
    <row r="369" spans="1:3" x14ac:dyDescent="0.25">
      <c r="A369" t="b">
        <f>IFERROR(IF(MATCH(B369,RECETAS!$A$2:$A$1700,0) &lt;&gt; "", TRUE,""),FALSE)</f>
        <v>0</v>
      </c>
      <c r="B369" t="e">
        <f>TRANSPOSE(T3_[Etiquetas de fila])</f>
        <v>#VALUE!</v>
      </c>
      <c r="C369" t="e">
        <f>TRANSPOSE(T3_[Recuento de T3 CODIGO])</f>
        <v>#VALUE!</v>
      </c>
    </row>
    <row r="370" spans="1:3" x14ac:dyDescent="0.25">
      <c r="A370" t="b">
        <f>IFERROR(IF(MATCH(B370,RECETAS!$A$2:$A$1700,0) &lt;&gt; "", TRUE,""),FALSE)</f>
        <v>0</v>
      </c>
      <c r="B370" t="e">
        <f>TRANSPOSE(T3_[Etiquetas de fila])</f>
        <v>#VALUE!</v>
      </c>
      <c r="C370" t="e">
        <f>TRANSPOSE(T3_[Recuento de T3 CODIGO])</f>
        <v>#VALUE!</v>
      </c>
    </row>
    <row r="371" spans="1:3" x14ac:dyDescent="0.25">
      <c r="A371" t="b">
        <f>IFERROR(IF(MATCH(B371,RECETAS!$A$2:$A$1700,0) &lt;&gt; "", TRUE,""),FALSE)</f>
        <v>0</v>
      </c>
      <c r="B371" t="e">
        <f>TRANSPOSE(T3_[Etiquetas de fila])</f>
        <v>#VALUE!</v>
      </c>
      <c r="C371" t="e">
        <f>TRANSPOSE(T3_[Recuento de T3 CODIGO])</f>
        <v>#VALUE!</v>
      </c>
    </row>
    <row r="372" spans="1:3" x14ac:dyDescent="0.25">
      <c r="A372" t="b">
        <f>IFERROR(IF(MATCH(B372,RECETAS!$A$2:$A$1700,0) &lt;&gt; "", TRUE,""),FALSE)</f>
        <v>0</v>
      </c>
      <c r="B372" t="e">
        <f>TRANSPOSE(T3_[Etiquetas de fila])</f>
        <v>#VALUE!</v>
      </c>
      <c r="C372" t="e">
        <f>TRANSPOSE(T3_[Recuento de T3 CODIGO])</f>
        <v>#VALUE!</v>
      </c>
    </row>
    <row r="373" spans="1:3" x14ac:dyDescent="0.25">
      <c r="A373" t="b">
        <f>IFERROR(IF(MATCH(B373,RECETAS!$A$2:$A$1700,0) &lt;&gt; "", TRUE,""),FALSE)</f>
        <v>0</v>
      </c>
      <c r="B373" t="e">
        <f>TRANSPOSE(T3_[Etiquetas de fila])</f>
        <v>#VALUE!</v>
      </c>
      <c r="C373" t="e">
        <f>TRANSPOSE(T3_[Recuento de T3 CODIGO])</f>
        <v>#VALUE!</v>
      </c>
    </row>
    <row r="374" spans="1:3" x14ac:dyDescent="0.25">
      <c r="A374" t="b">
        <f>IFERROR(IF(MATCH(B374,RECETAS!$A$2:$A$1700,0) &lt;&gt; "", TRUE,""),FALSE)</f>
        <v>0</v>
      </c>
      <c r="B374" t="e">
        <f>TRANSPOSE(T3_[Etiquetas de fila])</f>
        <v>#VALUE!</v>
      </c>
      <c r="C374" t="e">
        <f>TRANSPOSE(T3_[Recuento de T3 CODIGO])</f>
        <v>#VALUE!</v>
      </c>
    </row>
    <row r="375" spans="1:3" x14ac:dyDescent="0.25">
      <c r="A375" t="b">
        <f>IFERROR(IF(MATCH(B375,RECETAS!$A$2:$A$1700,0) &lt;&gt; "", TRUE,""),FALSE)</f>
        <v>0</v>
      </c>
      <c r="B375" t="e">
        <f>TRANSPOSE(T3_[Etiquetas de fila])</f>
        <v>#VALUE!</v>
      </c>
      <c r="C375" t="e">
        <f>TRANSPOSE(T3_[Recuento de T3 CODIGO])</f>
        <v>#VALUE!</v>
      </c>
    </row>
    <row r="376" spans="1:3" x14ac:dyDescent="0.25">
      <c r="A376" t="b">
        <f>IFERROR(IF(MATCH(B376,RECETAS!$A$2:$A$1700,0) &lt;&gt; "", TRUE,""),FALSE)</f>
        <v>0</v>
      </c>
      <c r="B376" t="e">
        <f>TRANSPOSE(T3_[Etiquetas de fila])</f>
        <v>#VALUE!</v>
      </c>
      <c r="C376" t="e">
        <f>TRANSPOSE(T3_[Recuento de T3 CODIGO])</f>
        <v>#VALUE!</v>
      </c>
    </row>
    <row r="377" spans="1:3" x14ac:dyDescent="0.25">
      <c r="A377" t="b">
        <f>IFERROR(IF(MATCH(B377,RECETAS!$A$2:$A$1700,0) &lt;&gt; "", TRUE,""),FALSE)</f>
        <v>0</v>
      </c>
      <c r="B377" t="e">
        <f>TRANSPOSE(T3_[Etiquetas de fila])</f>
        <v>#VALUE!</v>
      </c>
      <c r="C377" t="e">
        <f>TRANSPOSE(T3_[Recuento de T3 CODIGO])</f>
        <v>#VALUE!</v>
      </c>
    </row>
    <row r="378" spans="1:3" x14ac:dyDescent="0.25">
      <c r="A378" t="b">
        <f>IFERROR(IF(MATCH(B378,RECETAS!$A$2:$A$1700,0) &lt;&gt; "", TRUE,""),FALSE)</f>
        <v>0</v>
      </c>
      <c r="B378" t="e">
        <f>TRANSPOSE(T3_[Etiquetas de fila])</f>
        <v>#VALUE!</v>
      </c>
      <c r="C378" t="e">
        <f>TRANSPOSE(T3_[Recuento de T3 CODIGO])</f>
        <v>#VALUE!</v>
      </c>
    </row>
    <row r="379" spans="1:3" x14ac:dyDescent="0.25">
      <c r="A379" t="b">
        <f>IFERROR(IF(MATCH(B379,RECETAS!$A$2:$A$1700,0) &lt;&gt; "", TRUE,""),FALSE)</f>
        <v>0</v>
      </c>
      <c r="B379" t="e">
        <f>TRANSPOSE(T3_[Etiquetas de fila])</f>
        <v>#VALUE!</v>
      </c>
      <c r="C379" t="e">
        <f>TRANSPOSE(T3_[Recuento de T3 CODIGO])</f>
        <v>#VALUE!</v>
      </c>
    </row>
    <row r="380" spans="1:3" x14ac:dyDescent="0.25">
      <c r="A380" t="b">
        <f>IFERROR(IF(MATCH(B380,RECETAS!$A$2:$A$1700,0) &lt;&gt; "", TRUE,""),FALSE)</f>
        <v>0</v>
      </c>
      <c r="B380" t="e">
        <f>TRANSPOSE(T3_[Etiquetas de fila])</f>
        <v>#VALUE!</v>
      </c>
      <c r="C380" t="e">
        <f>TRANSPOSE(T3_[Recuento de T3 CODIGO])</f>
        <v>#VALUE!</v>
      </c>
    </row>
    <row r="381" spans="1:3" x14ac:dyDescent="0.25">
      <c r="A381" t="b">
        <f>IFERROR(IF(MATCH(B381,RECETAS!$A$2:$A$1700,0) &lt;&gt; "", TRUE,""),FALSE)</f>
        <v>0</v>
      </c>
      <c r="B381" t="e">
        <f>TRANSPOSE(T3_[Etiquetas de fila])</f>
        <v>#VALUE!</v>
      </c>
      <c r="C381" t="e">
        <f>TRANSPOSE(T3_[Recuento de T3 CODIGO])</f>
        <v>#VALUE!</v>
      </c>
    </row>
    <row r="382" spans="1:3" x14ac:dyDescent="0.25">
      <c r="A382" t="b">
        <f>IFERROR(IF(MATCH(B382,RECETAS!$A$2:$A$1700,0) &lt;&gt; "", TRUE,""),FALSE)</f>
        <v>0</v>
      </c>
      <c r="B382" t="e">
        <f>TRANSPOSE(T3_[Etiquetas de fila])</f>
        <v>#VALUE!</v>
      </c>
      <c r="C382" t="e">
        <f>TRANSPOSE(T3_[Recuento de T3 CODIGO])</f>
        <v>#VALUE!</v>
      </c>
    </row>
    <row r="383" spans="1:3" x14ac:dyDescent="0.25">
      <c r="A383" t="b">
        <f>IFERROR(IF(MATCH(B383,RECETAS!$A$2:$A$1700,0) &lt;&gt; "", TRUE,""),FALSE)</f>
        <v>0</v>
      </c>
      <c r="B383" t="e">
        <f>TRANSPOSE(T3_[Etiquetas de fila])</f>
        <v>#VALUE!</v>
      </c>
      <c r="C383" t="e">
        <f>TRANSPOSE(T3_[Recuento de T3 CODIGO])</f>
        <v>#VALUE!</v>
      </c>
    </row>
    <row r="384" spans="1:3" x14ac:dyDescent="0.25">
      <c r="A384" t="b">
        <f>IFERROR(IF(MATCH(B384,RECETAS!$A$2:$A$1700,0) &lt;&gt; "", TRUE,""),FALSE)</f>
        <v>0</v>
      </c>
      <c r="B384" t="e">
        <f>TRANSPOSE(T3_[Etiquetas de fila])</f>
        <v>#VALUE!</v>
      </c>
      <c r="C384" t="e">
        <f>TRANSPOSE(T3_[Recuento de T3 CODIGO])</f>
        <v>#VALUE!</v>
      </c>
    </row>
    <row r="385" spans="1:3" x14ac:dyDescent="0.25">
      <c r="A385" t="b">
        <f>IFERROR(IF(MATCH(B385,RECETAS!$A$2:$A$1700,0) &lt;&gt; "", TRUE,""),FALSE)</f>
        <v>0</v>
      </c>
      <c r="B385" t="e">
        <f>TRANSPOSE(T3_[Etiquetas de fila])</f>
        <v>#VALUE!</v>
      </c>
      <c r="C385" t="e">
        <f>TRANSPOSE(T3_[Recuento de T3 CODIGO])</f>
        <v>#VALUE!</v>
      </c>
    </row>
    <row r="386" spans="1:3" x14ac:dyDescent="0.25">
      <c r="A386" t="b">
        <f>IFERROR(IF(MATCH(B386,RECETAS!$A$2:$A$1700,0) &lt;&gt; "", TRUE,""),FALSE)</f>
        <v>0</v>
      </c>
      <c r="B386" t="e">
        <f>TRANSPOSE(T3_[Etiquetas de fila])</f>
        <v>#VALUE!</v>
      </c>
      <c r="C386" t="e">
        <f>TRANSPOSE(T3_[Recuento de T3 CODIGO])</f>
        <v>#VALUE!</v>
      </c>
    </row>
    <row r="387" spans="1:3" x14ac:dyDescent="0.25">
      <c r="A387" t="b">
        <f>IFERROR(IF(MATCH(B387,RECETAS!$A$2:$A$1700,0) &lt;&gt; "", TRUE,""),FALSE)</f>
        <v>0</v>
      </c>
      <c r="B387" t="e">
        <f>TRANSPOSE(T3_[Etiquetas de fila])</f>
        <v>#VALUE!</v>
      </c>
      <c r="C387" t="e">
        <f>TRANSPOSE(T3_[Recuento de T3 CODIGO])</f>
        <v>#VALUE!</v>
      </c>
    </row>
    <row r="388" spans="1:3" x14ac:dyDescent="0.25">
      <c r="A388" t="b">
        <f>IFERROR(IF(MATCH(B388,RECETAS!$A$2:$A$1700,0) &lt;&gt; "", TRUE,""),FALSE)</f>
        <v>0</v>
      </c>
      <c r="B388" t="e">
        <f>TRANSPOSE(T3_[Etiquetas de fila])</f>
        <v>#VALUE!</v>
      </c>
      <c r="C388" t="e">
        <f>TRANSPOSE(T3_[Recuento de T3 CODIGO])</f>
        <v>#VALUE!</v>
      </c>
    </row>
    <row r="389" spans="1:3" x14ac:dyDescent="0.25">
      <c r="A389" t="b">
        <f>IFERROR(IF(MATCH(B389,RECETAS!$A$2:$A$1700,0) &lt;&gt; "", TRUE,""),FALSE)</f>
        <v>0</v>
      </c>
      <c r="B389" t="e">
        <f>TRANSPOSE(T3_[Etiquetas de fila])</f>
        <v>#VALUE!</v>
      </c>
      <c r="C389" t="e">
        <f>TRANSPOSE(T3_[Recuento de T3 CODIGO])</f>
        <v>#VALUE!</v>
      </c>
    </row>
    <row r="390" spans="1:3" x14ac:dyDescent="0.25">
      <c r="A390" t="b">
        <f>IFERROR(IF(MATCH(B390,RECETAS!$A$2:$A$1700,0) &lt;&gt; "", TRUE,""),FALSE)</f>
        <v>0</v>
      </c>
      <c r="B390" t="e">
        <f>TRANSPOSE(T3_[Etiquetas de fila])</f>
        <v>#VALUE!</v>
      </c>
      <c r="C390" t="e">
        <f>TRANSPOSE(T3_[Recuento de T3 CODIGO])</f>
        <v>#VALUE!</v>
      </c>
    </row>
    <row r="391" spans="1:3" x14ac:dyDescent="0.25">
      <c r="A391" t="b">
        <f>IFERROR(IF(MATCH(B391,RECETAS!$A$2:$A$1700,0) &lt;&gt; "", TRUE,""),FALSE)</f>
        <v>0</v>
      </c>
      <c r="B391" t="e">
        <f>TRANSPOSE(T3_[Etiquetas de fila])</f>
        <v>#VALUE!</v>
      </c>
      <c r="C391" t="e">
        <f>TRANSPOSE(T3_[Recuento de T3 CODIGO])</f>
        <v>#VALUE!</v>
      </c>
    </row>
    <row r="392" spans="1:3" x14ac:dyDescent="0.25">
      <c r="A392" t="b">
        <f>IFERROR(IF(MATCH(B392,RECETAS!$A$2:$A$1700,0) &lt;&gt; "", TRUE,""),FALSE)</f>
        <v>0</v>
      </c>
      <c r="B392" t="e">
        <f>TRANSPOSE(T3_[Etiquetas de fila])</f>
        <v>#VALUE!</v>
      </c>
      <c r="C392" t="e">
        <f>TRANSPOSE(T3_[Recuento de T3 CODIGO])</f>
        <v>#VALUE!</v>
      </c>
    </row>
    <row r="393" spans="1:3" x14ac:dyDescent="0.25">
      <c r="A393" t="b">
        <f>IFERROR(IF(MATCH(B393,RECETAS!$A$2:$A$1700,0) &lt;&gt; "", TRUE,""),FALSE)</f>
        <v>0</v>
      </c>
      <c r="B393" t="e">
        <f>TRANSPOSE(T3_[Etiquetas de fila])</f>
        <v>#VALUE!</v>
      </c>
      <c r="C393" t="e">
        <f>TRANSPOSE(T3_[Recuento de T3 CODIGO])</f>
        <v>#VALUE!</v>
      </c>
    </row>
    <row r="394" spans="1:3" x14ac:dyDescent="0.25">
      <c r="A394" t="b">
        <f>IFERROR(IF(MATCH(B394,RECETAS!$A$2:$A$1700,0) &lt;&gt; "", TRUE,""),FALSE)</f>
        <v>0</v>
      </c>
      <c r="B394" t="e">
        <f>TRANSPOSE(T3_[Etiquetas de fila])</f>
        <v>#VALUE!</v>
      </c>
      <c r="C394" t="e">
        <f>TRANSPOSE(T3_[Recuento de T3 CODIGO])</f>
        <v>#VALUE!</v>
      </c>
    </row>
    <row r="395" spans="1:3" x14ac:dyDescent="0.25">
      <c r="A395" t="b">
        <f>IFERROR(IF(MATCH(B395,RECETAS!$A$2:$A$1700,0) &lt;&gt; "", TRUE,""),FALSE)</f>
        <v>0</v>
      </c>
      <c r="B395" t="e">
        <f>TRANSPOSE(T3_[Etiquetas de fila])</f>
        <v>#VALUE!</v>
      </c>
      <c r="C395" t="e">
        <f>TRANSPOSE(T3_[Recuento de T3 CODIGO])</f>
        <v>#VALUE!</v>
      </c>
    </row>
    <row r="396" spans="1:3" x14ac:dyDescent="0.25">
      <c r="A396" t="b">
        <f>IFERROR(IF(MATCH(B396,RECETAS!$A$2:$A$1700,0) &lt;&gt; "", TRUE,""),FALSE)</f>
        <v>0</v>
      </c>
      <c r="B396" t="e">
        <f>TRANSPOSE(T3_[Etiquetas de fila])</f>
        <v>#VALUE!</v>
      </c>
      <c r="C396" t="e">
        <f>TRANSPOSE(T3_[Recuento de T3 CODIGO])</f>
        <v>#VALUE!</v>
      </c>
    </row>
    <row r="397" spans="1:3" x14ac:dyDescent="0.25">
      <c r="A397" t="b">
        <f>IFERROR(IF(MATCH(B397,RECETAS!$A$2:$A$1700,0) &lt;&gt; "", TRUE,""),FALSE)</f>
        <v>0</v>
      </c>
      <c r="B397" t="e">
        <f>TRANSPOSE(T3_[Etiquetas de fila])</f>
        <v>#VALUE!</v>
      </c>
      <c r="C397" t="e">
        <f>TRANSPOSE(T3_[Recuento de T3 CODIGO])</f>
        <v>#VALUE!</v>
      </c>
    </row>
    <row r="398" spans="1:3" x14ac:dyDescent="0.25">
      <c r="A398" t="b">
        <f>IFERROR(IF(MATCH(B398,RECETAS!$A$2:$A$1700,0) &lt;&gt; "", TRUE,""),FALSE)</f>
        <v>0</v>
      </c>
      <c r="B398" t="e">
        <f>TRANSPOSE(T3_[Etiquetas de fila])</f>
        <v>#VALUE!</v>
      </c>
      <c r="C398" t="e">
        <f>TRANSPOSE(T3_[Recuento de T3 CODIGO])</f>
        <v>#VALUE!</v>
      </c>
    </row>
    <row r="399" spans="1:3" x14ac:dyDescent="0.25">
      <c r="A399" t="b">
        <f>IFERROR(IF(MATCH(B399,RECETAS!$A$2:$A$1700,0) &lt;&gt; "", TRUE,""),FALSE)</f>
        <v>0</v>
      </c>
      <c r="B399" t="e">
        <f>TRANSPOSE(T3_[Etiquetas de fila])</f>
        <v>#VALUE!</v>
      </c>
      <c r="C399" t="e">
        <f>TRANSPOSE(T3_[Recuento de T3 CODIGO])</f>
        <v>#VALUE!</v>
      </c>
    </row>
    <row r="400" spans="1:3" x14ac:dyDescent="0.25">
      <c r="A400" t="b">
        <f>IFERROR(IF(MATCH(B400,RECETAS!$A$2:$A$1700,0) &lt;&gt; "", TRUE,""),FALSE)</f>
        <v>0</v>
      </c>
      <c r="B400" t="e">
        <f>TRANSPOSE(T3_[Etiquetas de fila])</f>
        <v>#VALUE!</v>
      </c>
      <c r="C400" t="e">
        <f>TRANSPOSE(T3_[Recuento de T3 CODIGO])</f>
        <v>#VALUE!</v>
      </c>
    </row>
  </sheetData>
  <conditionalFormatting sqref="A3:A400">
    <cfRule type="cellIs" dxfId="45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2E58-72B5-4DEC-A959-BFDA07477D41}">
  <dimension ref="A1:D280"/>
  <sheetViews>
    <sheetView workbookViewId="0">
      <selection activeCell="A2" sqref="A2"/>
    </sheetView>
  </sheetViews>
  <sheetFormatPr baseColWidth="10" defaultRowHeight="15" x14ac:dyDescent="0.25"/>
  <cols>
    <col min="1" max="1" width="34.5703125" bestFit="1" customWidth="1"/>
    <col min="2" max="2" width="24.85546875" bestFit="1" customWidth="1"/>
  </cols>
  <sheetData>
    <row r="1" spans="1:4" x14ac:dyDescent="0.25">
      <c r="A1" t="s">
        <v>897</v>
      </c>
      <c r="B1" t="s">
        <v>1034</v>
      </c>
      <c r="C1" t="s">
        <v>1083</v>
      </c>
      <c r="D1" t="s">
        <v>1086</v>
      </c>
    </row>
    <row r="2" spans="1:4" x14ac:dyDescent="0.25">
      <c r="A2" t="s">
        <v>405</v>
      </c>
      <c r="B2">
        <v>1</v>
      </c>
      <c r="C2" s="251">
        <f>LOOKUP(T3_[[#This Row],[Etiquetas de fila]],'VALORIZACION CARTA'!B:B,'VALORIZACION CARTA'!C:C)</f>
        <v>311.02222499999999</v>
      </c>
      <c r="D2" s="251">
        <f>SUM(T3_[[#This Row],[Recuento de T3 CODIGO]]*T3_[[#This Row],[Columna1]])</f>
        <v>311.02222499999999</v>
      </c>
    </row>
    <row r="3" spans="1:4" x14ac:dyDescent="0.25">
      <c r="A3" s="250" t="s">
        <v>899</v>
      </c>
      <c r="B3">
        <v>5</v>
      </c>
      <c r="C3" s="251">
        <f>LOOKUP(T3_[[#This Row],[Etiquetas de fila]],'VALORIZACION CARTA'!B:B,'VALORIZACION CARTA'!C:C)</f>
        <v>2963.8265999999999</v>
      </c>
      <c r="D3" s="251">
        <f>SUM(T3_[[#This Row],[Recuento de T3 CODIGO]]*T3_[[#This Row],[Columna1]])</f>
        <v>14819.133</v>
      </c>
    </row>
    <row r="4" spans="1:4" x14ac:dyDescent="0.25">
      <c r="A4" s="250" t="s">
        <v>900</v>
      </c>
      <c r="B4">
        <v>3</v>
      </c>
      <c r="C4" s="251">
        <f>LOOKUP(T3_[[#This Row],[Etiquetas de fila]],'VALORIZACION CARTA'!B:B,'VALORIZACION CARTA'!C:C)</f>
        <v>1330.5275000000001</v>
      </c>
      <c r="D4" s="251">
        <f>SUM(T3_[[#This Row],[Recuento de T3 CODIGO]]*T3_[[#This Row],[Columna1]])</f>
        <v>3991.5825000000004</v>
      </c>
    </row>
    <row r="5" spans="1:4" x14ac:dyDescent="0.25">
      <c r="A5" s="250" t="s">
        <v>1035</v>
      </c>
      <c r="B5">
        <v>1</v>
      </c>
      <c r="C5" s="251">
        <f>LOOKUP(T3_[[#This Row],[Etiquetas de fila]],'VALORIZACION CARTA'!B:B,'VALORIZACION CARTA'!C:C)</f>
        <v>1469.5895</v>
      </c>
      <c r="D5" s="251">
        <f>SUM(T3_[[#This Row],[Recuento de T3 CODIGO]]*T3_[[#This Row],[Columna1]])</f>
        <v>1469.5895</v>
      </c>
    </row>
    <row r="6" spans="1:4" x14ac:dyDescent="0.25">
      <c r="A6" s="250" t="s">
        <v>1036</v>
      </c>
      <c r="B6">
        <v>7</v>
      </c>
      <c r="C6" s="251">
        <f>LOOKUP(T3_[[#This Row],[Etiquetas de fila]],'VALORIZACION CARTA'!B:B,'VALORIZACION CARTA'!C:C)</f>
        <v>1231.047</v>
      </c>
      <c r="D6" s="251">
        <f>SUM(T3_[[#This Row],[Recuento de T3 CODIGO]]*T3_[[#This Row],[Columna1]])</f>
        <v>8617.3289999999997</v>
      </c>
    </row>
    <row r="7" spans="1:4" x14ac:dyDescent="0.25">
      <c r="A7" s="250" t="s">
        <v>314</v>
      </c>
      <c r="B7">
        <v>8</v>
      </c>
      <c r="C7" s="251">
        <f>LOOKUP(T3_[[#This Row],[Etiquetas de fila]],'VALORIZACION CARTA'!B:B,'VALORIZACION CARTA'!C:C)</f>
        <v>1023.3517325</v>
      </c>
      <c r="D7" s="251">
        <f>SUM(T3_[[#This Row],[Recuento de T3 CODIGO]]*T3_[[#This Row],[Columna1]])</f>
        <v>8186.8138600000002</v>
      </c>
    </row>
    <row r="8" spans="1:4" x14ac:dyDescent="0.25">
      <c r="A8" s="250" t="s">
        <v>315</v>
      </c>
      <c r="B8">
        <v>21</v>
      </c>
      <c r="C8" s="251">
        <f>LOOKUP(T3_[[#This Row],[Etiquetas de fila]],'VALORIZACION CARTA'!B:B,'VALORIZACION CARTA'!C:C)</f>
        <v>735.52575000000002</v>
      </c>
      <c r="D8" s="251">
        <f>SUM(T3_[[#This Row],[Recuento de T3 CODIGO]]*T3_[[#This Row],[Columna1]])</f>
        <v>15446.04075</v>
      </c>
    </row>
    <row r="9" spans="1:4" x14ac:dyDescent="0.25">
      <c r="A9" s="250" t="s">
        <v>534</v>
      </c>
      <c r="B9">
        <v>6</v>
      </c>
      <c r="C9" s="251">
        <f>LOOKUP(T3_[[#This Row],[Etiquetas de fila]],'VALORIZACION CARTA'!B:B,'VALORIZACION CARTA'!C:C)</f>
        <v>908.22450000000003</v>
      </c>
      <c r="D9" s="251">
        <f>SUM(T3_[[#This Row],[Recuento de T3 CODIGO]]*T3_[[#This Row],[Columna1]])</f>
        <v>5449.3469999999998</v>
      </c>
    </row>
    <row r="10" spans="1:4" x14ac:dyDescent="0.25">
      <c r="A10" s="250" t="s">
        <v>844</v>
      </c>
      <c r="B10">
        <v>13</v>
      </c>
      <c r="C10" s="251">
        <f>LOOKUP(T3_[[#This Row],[Etiquetas de fila]],'VALORIZACION CARTA'!B:B,'VALORIZACION CARTA'!C:C)</f>
        <v>1640.1064499999998</v>
      </c>
      <c r="D10" s="251">
        <f>SUM(T3_[[#This Row],[Recuento de T3 CODIGO]]*T3_[[#This Row],[Columna1]])</f>
        <v>21321.383849999998</v>
      </c>
    </row>
    <row r="11" spans="1:4" x14ac:dyDescent="0.25">
      <c r="A11" s="250" t="s">
        <v>901</v>
      </c>
      <c r="B11">
        <v>3</v>
      </c>
      <c r="C11" s="251">
        <f>LOOKUP(T3_[[#This Row],[Etiquetas de fila]],'VALORIZACION CARTA'!B:B,'VALORIZACION CARTA'!C:C)</f>
        <v>1640.1064499999998</v>
      </c>
      <c r="D11" s="251">
        <f>SUM(T3_[[#This Row],[Recuento de T3 CODIGO]]*T3_[[#This Row],[Columna1]])</f>
        <v>4920.3193499999998</v>
      </c>
    </row>
    <row r="12" spans="1:4" x14ac:dyDescent="0.25">
      <c r="A12" s="250" t="s">
        <v>902</v>
      </c>
      <c r="B12">
        <v>2</v>
      </c>
      <c r="C12" s="251">
        <f>LOOKUP(T3_[[#This Row],[Etiquetas de fila]],'VALORIZACION CARTA'!B:B,'VALORIZACION CARTA'!C:C)</f>
        <v>783.2898275</v>
      </c>
      <c r="D12" s="251">
        <f>SUM(T3_[[#This Row],[Recuento de T3 CODIGO]]*T3_[[#This Row],[Columna1]])</f>
        <v>1566.579655</v>
      </c>
    </row>
    <row r="13" spans="1:4" x14ac:dyDescent="0.25">
      <c r="A13" s="250" t="s">
        <v>904</v>
      </c>
      <c r="B13">
        <v>4</v>
      </c>
      <c r="C13" s="251">
        <f>LOOKUP(T3_[[#This Row],[Etiquetas de fila]],'VALORIZACION CARTA'!B:B,'VALORIZACION CARTA'!C:C)</f>
        <v>1143.8172</v>
      </c>
      <c r="D13" s="251">
        <f>SUM(T3_[[#This Row],[Recuento de T3 CODIGO]]*T3_[[#This Row],[Columna1]])</f>
        <v>4575.2687999999998</v>
      </c>
    </row>
    <row r="14" spans="1:4" x14ac:dyDescent="0.25">
      <c r="A14" s="250" t="s">
        <v>863</v>
      </c>
      <c r="B14">
        <v>21</v>
      </c>
      <c r="C14" s="251">
        <f>LOOKUP(T3_[[#This Row],[Etiquetas de fila]],'VALORIZACION CARTA'!B:B,'VALORIZACION CARTA'!C:C)</f>
        <v>1472.6250000000002</v>
      </c>
      <c r="D14" s="251">
        <f>SUM(T3_[[#This Row],[Recuento de T3 CODIGO]]*T3_[[#This Row],[Columna1]])</f>
        <v>30925.125000000004</v>
      </c>
    </row>
    <row r="15" spans="1:4" x14ac:dyDescent="0.25">
      <c r="A15" s="250" t="s">
        <v>906</v>
      </c>
      <c r="B15">
        <v>2</v>
      </c>
      <c r="C15" s="251">
        <f>LOOKUP(T3_[[#This Row],[Etiquetas de fila]],'VALORIZACION CARTA'!B:B,'VALORIZACION CARTA'!C:C)</f>
        <v>469.48409666666663</v>
      </c>
      <c r="D15" s="251">
        <f>SUM(T3_[[#This Row],[Recuento de T3 CODIGO]]*T3_[[#This Row],[Columna1]])</f>
        <v>938.96819333333326</v>
      </c>
    </row>
    <row r="16" spans="1:4" x14ac:dyDescent="0.25">
      <c r="A16" s="250" t="s">
        <v>606</v>
      </c>
      <c r="B16">
        <v>5</v>
      </c>
      <c r="C16" s="251">
        <f>LOOKUP(T3_[[#This Row],[Etiquetas de fila]],'VALORIZACION CARTA'!B:B,'VALORIZACION CARTA'!C:C)</f>
        <v>452.69583333333333</v>
      </c>
      <c r="D16" s="251">
        <f>SUM(T3_[[#This Row],[Recuento de T3 CODIGO]]*T3_[[#This Row],[Columna1]])</f>
        <v>2263.4791666666665</v>
      </c>
    </row>
    <row r="17" spans="1:4" x14ac:dyDescent="0.25">
      <c r="A17" s="250" t="s">
        <v>535</v>
      </c>
      <c r="B17">
        <v>1</v>
      </c>
      <c r="C17" s="251">
        <f>LOOKUP(T3_[[#This Row],[Etiquetas de fila]],'VALORIZACION CARTA'!B:B,'VALORIZACION CARTA'!C:C)</f>
        <v>835.21243500000003</v>
      </c>
      <c r="D17" s="251">
        <f>SUM(T3_[[#This Row],[Recuento de T3 CODIGO]]*T3_[[#This Row],[Columna1]])</f>
        <v>835.21243500000003</v>
      </c>
    </row>
    <row r="18" spans="1:4" x14ac:dyDescent="0.25">
      <c r="A18" s="250" t="s">
        <v>536</v>
      </c>
      <c r="B18">
        <v>1</v>
      </c>
      <c r="C18" s="251">
        <f>LOOKUP(T3_[[#This Row],[Etiquetas de fila]],'VALORIZACION CARTA'!B:B,'VALORIZACION CARTA'!C:C)</f>
        <v>930.67007000000012</v>
      </c>
      <c r="D18" s="251">
        <f>SUM(T3_[[#This Row],[Recuento de T3 CODIGO]]*T3_[[#This Row],[Columna1]])</f>
        <v>930.67007000000012</v>
      </c>
    </row>
    <row r="19" spans="1:4" x14ac:dyDescent="0.25">
      <c r="A19" s="250" t="s">
        <v>878</v>
      </c>
      <c r="B19">
        <v>5</v>
      </c>
      <c r="C19" s="251">
        <f>LOOKUP(T3_[[#This Row],[Etiquetas de fila]],'VALORIZACION CARTA'!B:B,'VALORIZACION CARTA'!C:C)</f>
        <v>824.44499999999994</v>
      </c>
      <c r="D19" s="251">
        <f>SUM(T3_[[#This Row],[Recuento de T3 CODIGO]]*T3_[[#This Row],[Columna1]])</f>
        <v>4122.2249999999995</v>
      </c>
    </row>
    <row r="20" spans="1:4" x14ac:dyDescent="0.25">
      <c r="A20" s="250" t="s">
        <v>909</v>
      </c>
      <c r="B20">
        <v>1</v>
      </c>
      <c r="C20" s="251">
        <f>LOOKUP(T3_[[#This Row],[Etiquetas de fila]],'VALORIZACION CARTA'!B:B,'VALORIZACION CARTA'!C:C)</f>
        <v>824.44499999999994</v>
      </c>
      <c r="D20" s="251">
        <f>SUM(T3_[[#This Row],[Recuento de T3 CODIGO]]*T3_[[#This Row],[Columna1]])</f>
        <v>824.44499999999994</v>
      </c>
    </row>
    <row r="21" spans="1:4" x14ac:dyDescent="0.25">
      <c r="A21" s="250" t="s">
        <v>715</v>
      </c>
      <c r="B21">
        <v>1</v>
      </c>
      <c r="C21" s="251">
        <f>LOOKUP(T3_[[#This Row],[Etiquetas de fila]],'VALORIZACION CARTA'!B:B,'VALORIZACION CARTA'!C:C)</f>
        <v>824.44499999999994</v>
      </c>
      <c r="D21" s="251">
        <f>SUM(T3_[[#This Row],[Recuento de T3 CODIGO]]*T3_[[#This Row],[Columna1]])</f>
        <v>824.44499999999994</v>
      </c>
    </row>
    <row r="22" spans="1:4" x14ac:dyDescent="0.25">
      <c r="A22" s="250" t="s">
        <v>910</v>
      </c>
      <c r="B22">
        <v>2</v>
      </c>
      <c r="C22" s="251">
        <f>LOOKUP(T3_[[#This Row],[Etiquetas de fila]],'VALORIZACION CARTA'!B:B,'VALORIZACION CARTA'!C:C)</f>
        <v>557.9765625</v>
      </c>
      <c r="D22" s="251">
        <f>SUM(T3_[[#This Row],[Recuento de T3 CODIGO]]*T3_[[#This Row],[Columna1]])</f>
        <v>1115.953125</v>
      </c>
    </row>
    <row r="23" spans="1:4" x14ac:dyDescent="0.25">
      <c r="A23" s="250" t="s">
        <v>1037</v>
      </c>
      <c r="B23">
        <v>3</v>
      </c>
      <c r="C23" s="251">
        <f>LOOKUP(T3_[[#This Row],[Etiquetas de fila]],'VALORIZACION CARTA'!B:B,'VALORIZACION CARTA'!C:C)</f>
        <v>552.1753124999999</v>
      </c>
      <c r="D23" s="251">
        <f>SUM(T3_[[#This Row],[Recuento de T3 CODIGO]]*T3_[[#This Row],[Columna1]])</f>
        <v>1656.5259374999996</v>
      </c>
    </row>
    <row r="24" spans="1:4" x14ac:dyDescent="0.25">
      <c r="A24" s="250" t="s">
        <v>1038</v>
      </c>
      <c r="B24">
        <v>1</v>
      </c>
      <c r="C24" s="251">
        <f>LOOKUP(T3_[[#This Row],[Etiquetas de fila]],'VALORIZACION CARTA'!B:B,'VALORIZACION CARTA'!C:C)</f>
        <v>560.41606249999995</v>
      </c>
      <c r="D24" s="251">
        <f>SUM(T3_[[#This Row],[Recuento de T3 CODIGO]]*T3_[[#This Row],[Columna1]])</f>
        <v>560.41606249999995</v>
      </c>
    </row>
    <row r="25" spans="1:4" x14ac:dyDescent="0.25">
      <c r="A25" s="250" t="s">
        <v>911</v>
      </c>
      <c r="B25">
        <v>5</v>
      </c>
      <c r="C25" s="251">
        <f>LOOKUP(T3_[[#This Row],[Etiquetas de fila]],'VALORIZACION CARTA'!B:B,'VALORIZACION CARTA'!C:C)</f>
        <v>560.41606249999995</v>
      </c>
      <c r="D25" s="251">
        <f>SUM(T3_[[#This Row],[Recuento de T3 CODIGO]]*T3_[[#This Row],[Columna1]])</f>
        <v>2802.0803124999998</v>
      </c>
    </row>
    <row r="26" spans="1:4" x14ac:dyDescent="0.25">
      <c r="A26" s="250" t="s">
        <v>888</v>
      </c>
      <c r="B26">
        <v>5</v>
      </c>
      <c r="C26" s="251">
        <f>LOOKUP(T3_[[#This Row],[Etiquetas de fila]],'VALORIZACION CARTA'!B:B,'VALORIZACION CARTA'!C:C)</f>
        <v>536.40037499999994</v>
      </c>
      <c r="D26" s="251">
        <f>SUM(T3_[[#This Row],[Recuento de T3 CODIGO]]*T3_[[#This Row],[Columna1]])</f>
        <v>2682.0018749999999</v>
      </c>
    </row>
    <row r="27" spans="1:4" x14ac:dyDescent="0.25">
      <c r="A27" s="250" t="s">
        <v>1039</v>
      </c>
      <c r="B27">
        <v>2</v>
      </c>
      <c r="C27" s="251">
        <f>LOOKUP(T3_[[#This Row],[Etiquetas de fila]],'VALORIZACION CARTA'!B:B,'VALORIZACION CARTA'!C:C)</f>
        <v>364.37887499999999</v>
      </c>
      <c r="D27" s="251">
        <f>SUM(T3_[[#This Row],[Recuento de T3 CODIGO]]*T3_[[#This Row],[Columna1]])</f>
        <v>728.75774999999999</v>
      </c>
    </row>
    <row r="28" spans="1:4" x14ac:dyDescent="0.25">
      <c r="A28" s="250" t="s">
        <v>608</v>
      </c>
      <c r="B28">
        <v>2</v>
      </c>
      <c r="C28" s="251">
        <f>LOOKUP(T3_[[#This Row],[Etiquetas de fila]],'VALORIZACION CARTA'!B:B,'VALORIZACION CARTA'!C:C)</f>
        <v>385.9550625</v>
      </c>
      <c r="D28" s="251">
        <f>SUM(T3_[[#This Row],[Recuento de T3 CODIGO]]*T3_[[#This Row],[Columna1]])</f>
        <v>771.91012499999999</v>
      </c>
    </row>
    <row r="29" spans="1:4" x14ac:dyDescent="0.25">
      <c r="A29" s="250" t="s">
        <v>912</v>
      </c>
      <c r="B29">
        <v>7</v>
      </c>
      <c r="C29" s="251">
        <f>LOOKUP(T3_[[#This Row],[Etiquetas de fila]],'VALORIZACION CARTA'!B:B,'VALORIZACION CARTA'!C:C)</f>
        <v>385.9550625</v>
      </c>
      <c r="D29" s="251">
        <f>SUM(T3_[[#This Row],[Recuento de T3 CODIGO]]*T3_[[#This Row],[Columna1]])</f>
        <v>2701.6854374999998</v>
      </c>
    </row>
    <row r="30" spans="1:4" x14ac:dyDescent="0.25">
      <c r="A30" s="250" t="s">
        <v>913</v>
      </c>
      <c r="B30">
        <v>4</v>
      </c>
      <c r="C30" s="251">
        <f>LOOKUP(T3_[[#This Row],[Etiquetas de fila]],'VALORIZACION CARTA'!B:B,'VALORIZACION CARTA'!C:C)</f>
        <v>1291.4972599999999</v>
      </c>
      <c r="D30" s="251">
        <f>SUM(T3_[[#This Row],[Recuento de T3 CODIGO]]*T3_[[#This Row],[Columna1]])</f>
        <v>5165.9890399999995</v>
      </c>
    </row>
    <row r="31" spans="1:4" x14ac:dyDescent="0.25">
      <c r="A31" s="250" t="s">
        <v>609</v>
      </c>
      <c r="B31">
        <v>4</v>
      </c>
      <c r="C31" s="251">
        <f>LOOKUP(T3_[[#This Row],[Etiquetas de fila]],'VALORIZACION CARTA'!B:B,'VALORIZACION CARTA'!C:C)</f>
        <v>5020.5566775956286</v>
      </c>
      <c r="D31" s="251">
        <f>SUM(T3_[[#This Row],[Recuento de T3 CODIGO]]*T3_[[#This Row],[Columna1]])</f>
        <v>20082.226710382514</v>
      </c>
    </row>
    <row r="32" spans="1:4" x14ac:dyDescent="0.25">
      <c r="A32" s="250" t="s">
        <v>914</v>
      </c>
      <c r="B32">
        <v>9</v>
      </c>
      <c r="C32" s="251">
        <f>LOOKUP(T3_[[#This Row],[Etiquetas de fila]],'VALORIZACION CARTA'!B:B,'VALORIZACION CARTA'!C:C)</f>
        <v>5020.5566775956286</v>
      </c>
      <c r="D32" s="251">
        <f>SUM(T3_[[#This Row],[Recuento de T3 CODIGO]]*T3_[[#This Row],[Columna1]])</f>
        <v>45185.010098360654</v>
      </c>
    </row>
    <row r="33" spans="1:4" x14ac:dyDescent="0.25">
      <c r="A33" s="250" t="s">
        <v>915</v>
      </c>
      <c r="B33">
        <v>2</v>
      </c>
      <c r="C33" s="251">
        <f>LOOKUP(T3_[[#This Row],[Etiquetas de fila]],'VALORIZACION CARTA'!B:B,'VALORIZACION CARTA'!C:C)</f>
        <v>5020.5566775956286</v>
      </c>
      <c r="D33" s="251">
        <f>SUM(T3_[[#This Row],[Recuento de T3 CODIGO]]*T3_[[#This Row],[Columna1]])</f>
        <v>10041.113355191257</v>
      </c>
    </row>
    <row r="34" spans="1:4" x14ac:dyDescent="0.25">
      <c r="A34" s="250" t="s">
        <v>876</v>
      </c>
      <c r="B34">
        <v>25</v>
      </c>
      <c r="C34" s="251">
        <f>LOOKUP(T3_[[#This Row],[Etiquetas de fila]],'VALORIZACION CARTA'!B:B,'VALORIZACION CARTA'!C:C)</f>
        <v>5736.3950000000004</v>
      </c>
      <c r="D34" s="251">
        <f>SUM(T3_[[#This Row],[Recuento de T3 CODIGO]]*T3_[[#This Row],[Columna1]])</f>
        <v>143409.875</v>
      </c>
    </row>
    <row r="35" spans="1:4" x14ac:dyDescent="0.25">
      <c r="A35" s="250" t="s">
        <v>916</v>
      </c>
      <c r="B35">
        <v>64</v>
      </c>
      <c r="C35" s="251">
        <f>LOOKUP(T3_[[#This Row],[Etiquetas de fila]],'VALORIZACION CARTA'!B:B,'VALORIZACION CARTA'!C:C)</f>
        <v>3519.4250000000002</v>
      </c>
      <c r="D35" s="251">
        <f>SUM(T3_[[#This Row],[Recuento de T3 CODIGO]]*T3_[[#This Row],[Columna1]])</f>
        <v>225243.2</v>
      </c>
    </row>
    <row r="36" spans="1:4" x14ac:dyDescent="0.25">
      <c r="A36" s="250" t="s">
        <v>917</v>
      </c>
      <c r="B36">
        <v>19</v>
      </c>
      <c r="C36" s="251">
        <f>LOOKUP(T3_[[#This Row],[Etiquetas de fila]],'VALORIZACION CARTA'!B:B,'VALORIZACION CARTA'!C:C)</f>
        <v>2751.875</v>
      </c>
      <c r="D36" s="251">
        <f>SUM(T3_[[#This Row],[Recuento de T3 CODIGO]]*T3_[[#This Row],[Columna1]])</f>
        <v>52285.625</v>
      </c>
    </row>
    <row r="37" spans="1:4" x14ac:dyDescent="0.25">
      <c r="A37" s="250" t="s">
        <v>853</v>
      </c>
      <c r="B37">
        <v>60</v>
      </c>
      <c r="C37" s="251">
        <f>LOOKUP(T3_[[#This Row],[Etiquetas de fila]],'VALORIZACION CARTA'!B:B,'VALORIZACION CARTA'!C:C)</f>
        <v>3628.0124999999998</v>
      </c>
      <c r="D37" s="251">
        <f>SUM(T3_[[#This Row],[Recuento de T3 CODIGO]]*T3_[[#This Row],[Columna1]])</f>
        <v>217680.75</v>
      </c>
    </row>
    <row r="38" spans="1:4" x14ac:dyDescent="0.25">
      <c r="A38" s="250" t="s">
        <v>610</v>
      </c>
      <c r="B38">
        <v>93</v>
      </c>
      <c r="C38" s="251">
        <f>LOOKUP(T3_[[#This Row],[Etiquetas de fila]],'VALORIZACION CARTA'!B:B,'VALORIZACION CARTA'!C:C)</f>
        <v>3943.0650000000001</v>
      </c>
      <c r="D38" s="251">
        <f>SUM(T3_[[#This Row],[Recuento de T3 CODIGO]]*T3_[[#This Row],[Columna1]])</f>
        <v>366705.04499999998</v>
      </c>
    </row>
    <row r="39" spans="1:4" x14ac:dyDescent="0.25">
      <c r="A39" s="250" t="s">
        <v>611</v>
      </c>
      <c r="B39">
        <v>2</v>
      </c>
      <c r="C39" s="251">
        <f>LOOKUP(T3_[[#This Row],[Etiquetas de fila]],'VALORIZACION CARTA'!B:B,'VALORIZACION CARTA'!C:C)</f>
        <v>2932.5</v>
      </c>
      <c r="D39" s="251">
        <f>SUM(T3_[[#This Row],[Recuento de T3 CODIGO]]*T3_[[#This Row],[Columna1]])</f>
        <v>5865</v>
      </c>
    </row>
    <row r="40" spans="1:4" x14ac:dyDescent="0.25">
      <c r="A40" s="250" t="s">
        <v>724</v>
      </c>
      <c r="B40">
        <v>16</v>
      </c>
      <c r="C40" s="251">
        <f>LOOKUP(T3_[[#This Row],[Etiquetas de fila]],'VALORIZACION CARTA'!B:B,'VALORIZACION CARTA'!C:C)</f>
        <v>1087.0650000000001</v>
      </c>
      <c r="D40" s="251">
        <f>SUM(T3_[[#This Row],[Recuento de T3 CODIGO]]*T3_[[#This Row],[Columna1]])</f>
        <v>17393.04</v>
      </c>
    </row>
    <row r="41" spans="1:4" x14ac:dyDescent="0.25">
      <c r="A41" s="250" t="s">
        <v>918</v>
      </c>
      <c r="B41">
        <v>2</v>
      </c>
      <c r="C41" s="251">
        <f>LOOKUP(T3_[[#This Row],[Etiquetas de fila]],'VALORIZACION CARTA'!B:B,'VALORIZACION CARTA'!C:C)</f>
        <v>1087.0650000000001</v>
      </c>
      <c r="D41" s="251">
        <f>SUM(T3_[[#This Row],[Recuento de T3 CODIGO]]*T3_[[#This Row],[Columna1]])</f>
        <v>2174.13</v>
      </c>
    </row>
    <row r="42" spans="1:4" x14ac:dyDescent="0.25">
      <c r="A42" s="250" t="s">
        <v>870</v>
      </c>
      <c r="B42">
        <v>2</v>
      </c>
      <c r="C42" s="251">
        <f>LOOKUP(T3_[[#This Row],[Etiquetas de fila]],'VALORIZACION CARTA'!B:B,'VALORIZACION CARTA'!C:C)</f>
        <v>1151.1932600000002</v>
      </c>
      <c r="D42" s="251">
        <f>SUM(T3_[[#This Row],[Recuento de T3 CODIGO]]*T3_[[#This Row],[Columna1]])</f>
        <v>2302.3865200000005</v>
      </c>
    </row>
    <row r="43" spans="1:4" x14ac:dyDescent="0.25">
      <c r="A43" s="250" t="s">
        <v>841</v>
      </c>
      <c r="B43">
        <v>54</v>
      </c>
      <c r="C43" s="251">
        <f>LOOKUP(T3_[[#This Row],[Etiquetas de fila]],'VALORIZACION CARTA'!B:B,'VALORIZACION CARTA'!C:C)</f>
        <v>664.35</v>
      </c>
      <c r="D43" s="251">
        <f>SUM(T3_[[#This Row],[Recuento de T3 CODIGO]]*T3_[[#This Row],[Columna1]])</f>
        <v>35874.9</v>
      </c>
    </row>
    <row r="44" spans="1:4" x14ac:dyDescent="0.25">
      <c r="A44" s="250" t="s">
        <v>869</v>
      </c>
      <c r="B44">
        <v>4</v>
      </c>
      <c r="C44" s="251">
        <f>LOOKUP(T3_[[#This Row],[Etiquetas de fila]],'VALORIZACION CARTA'!B:B,'VALORIZACION CARTA'!C:C)</f>
        <v>664.24679999999989</v>
      </c>
      <c r="D44" s="251">
        <f>SUM(T3_[[#This Row],[Recuento de T3 CODIGO]]*T3_[[#This Row],[Columna1]])</f>
        <v>2656.9871999999996</v>
      </c>
    </row>
    <row r="45" spans="1:4" x14ac:dyDescent="0.25">
      <c r="A45" s="250" t="s">
        <v>316</v>
      </c>
      <c r="B45">
        <v>37</v>
      </c>
      <c r="C45" s="251">
        <f>LOOKUP(T3_[[#This Row],[Etiquetas de fila]],'VALORIZACION CARTA'!B:B,'VALORIZACION CARTA'!C:C)</f>
        <v>664.24679999999989</v>
      </c>
      <c r="D45" s="251">
        <f>SUM(T3_[[#This Row],[Recuento de T3 CODIGO]]*T3_[[#This Row],[Columna1]])</f>
        <v>24577.131599999997</v>
      </c>
    </row>
    <row r="46" spans="1:4" x14ac:dyDescent="0.25">
      <c r="A46" s="250" t="s">
        <v>859</v>
      </c>
      <c r="B46">
        <v>13</v>
      </c>
      <c r="C46" s="251">
        <f>LOOKUP(T3_[[#This Row],[Etiquetas de fila]],'VALORIZACION CARTA'!B:B,'VALORIZACION CARTA'!C:C)</f>
        <v>855.13499999999999</v>
      </c>
      <c r="D46" s="251">
        <f>SUM(T3_[[#This Row],[Recuento de T3 CODIGO]]*T3_[[#This Row],[Columna1]])</f>
        <v>11116.754999999999</v>
      </c>
    </row>
    <row r="47" spans="1:4" x14ac:dyDescent="0.25">
      <c r="A47" s="250" t="s">
        <v>919</v>
      </c>
      <c r="B47">
        <v>10</v>
      </c>
      <c r="C47" s="251">
        <f>LOOKUP(T3_[[#This Row],[Etiquetas de fila]],'VALORIZACION CARTA'!B:B,'VALORIZACION CARTA'!C:C)</f>
        <v>855.13499999999999</v>
      </c>
      <c r="D47" s="251">
        <f>SUM(T3_[[#This Row],[Recuento de T3 CODIGO]]*T3_[[#This Row],[Columna1]])</f>
        <v>8551.35</v>
      </c>
    </row>
    <row r="48" spans="1:4" x14ac:dyDescent="0.25">
      <c r="A48" s="250" t="s">
        <v>920</v>
      </c>
      <c r="B48">
        <v>6</v>
      </c>
      <c r="C48" s="251">
        <f>LOOKUP(T3_[[#This Row],[Etiquetas de fila]],'VALORIZACION CARTA'!B:B,'VALORIZACION CARTA'!C:C)</f>
        <v>855.13499999999999</v>
      </c>
      <c r="D48" s="251">
        <f>SUM(T3_[[#This Row],[Recuento de T3 CODIGO]]*T3_[[#This Row],[Columna1]])</f>
        <v>5130.8099999999995</v>
      </c>
    </row>
    <row r="49" spans="1:4" x14ac:dyDescent="0.25">
      <c r="A49" s="250" t="s">
        <v>886</v>
      </c>
      <c r="B49">
        <v>18</v>
      </c>
      <c r="C49" s="251">
        <f>LOOKUP(T3_[[#This Row],[Etiquetas de fila]],'VALORIZACION CARTA'!B:B,'VALORIZACION CARTA'!C:C)</f>
        <v>855.13499999999999</v>
      </c>
      <c r="D49" s="251">
        <f>SUM(T3_[[#This Row],[Recuento de T3 CODIGO]]*T3_[[#This Row],[Columna1]])</f>
        <v>15392.43</v>
      </c>
    </row>
    <row r="50" spans="1:4" x14ac:dyDescent="0.25">
      <c r="A50" s="250" t="s">
        <v>882</v>
      </c>
      <c r="B50">
        <v>1</v>
      </c>
      <c r="C50" s="251">
        <f>LOOKUP(T3_[[#This Row],[Etiquetas de fila]],'VALORIZACION CARTA'!B:B,'VALORIZACION CARTA'!C:C)</f>
        <v>855.13499999999999</v>
      </c>
      <c r="D50" s="251">
        <f>SUM(T3_[[#This Row],[Recuento de T3 CODIGO]]*T3_[[#This Row],[Columna1]])</f>
        <v>855.13499999999999</v>
      </c>
    </row>
    <row r="51" spans="1:4" x14ac:dyDescent="0.25">
      <c r="A51" s="250" t="s">
        <v>921</v>
      </c>
      <c r="B51">
        <v>12</v>
      </c>
      <c r="C51" s="251">
        <f>LOOKUP(T3_[[#This Row],[Etiquetas de fila]],'VALORIZACION CARTA'!B:B,'VALORIZACION CARTA'!C:C)</f>
        <v>427.84008749999998</v>
      </c>
      <c r="D51" s="251">
        <f>SUM(T3_[[#This Row],[Recuento de T3 CODIGO]]*T3_[[#This Row],[Columna1]])</f>
        <v>5134.0810499999998</v>
      </c>
    </row>
    <row r="52" spans="1:4" x14ac:dyDescent="0.25">
      <c r="A52" s="250" t="s">
        <v>843</v>
      </c>
      <c r="B52">
        <v>12</v>
      </c>
      <c r="C52" s="251">
        <f>LOOKUP(T3_[[#This Row],[Etiquetas de fila]],'VALORIZACION CARTA'!B:B,'VALORIZACION CARTA'!C:C)</f>
        <v>2207.8986885245899</v>
      </c>
      <c r="D52" s="251">
        <f>SUM(T3_[[#This Row],[Recuento de T3 CODIGO]]*T3_[[#This Row],[Columna1]])</f>
        <v>26494.784262295077</v>
      </c>
    </row>
    <row r="53" spans="1:4" x14ac:dyDescent="0.25">
      <c r="A53" s="250" t="s">
        <v>666</v>
      </c>
      <c r="B53">
        <v>1</v>
      </c>
      <c r="C53" s="251">
        <f>LOOKUP(T3_[[#This Row],[Etiquetas de fila]],'VALORIZACION CARTA'!B:B,'VALORIZACION CARTA'!C:C)</f>
        <v>9073.875</v>
      </c>
      <c r="D53" s="251">
        <f>SUM(T3_[[#This Row],[Recuento de T3 CODIGO]]*T3_[[#This Row],[Columna1]])</f>
        <v>9073.875</v>
      </c>
    </row>
    <row r="54" spans="1:4" x14ac:dyDescent="0.25">
      <c r="A54" s="250" t="s">
        <v>569</v>
      </c>
      <c r="B54">
        <v>1</v>
      </c>
      <c r="C54" s="251">
        <f>LOOKUP(T3_[[#This Row],[Etiquetas de fila]],'VALORIZACION CARTA'!B:B,'VALORIZACION CARTA'!C:C)</f>
        <v>1446.6830000000002</v>
      </c>
      <c r="D54" s="251">
        <f>SUM(T3_[[#This Row],[Recuento de T3 CODIGO]]*T3_[[#This Row],[Columna1]])</f>
        <v>1446.6830000000002</v>
      </c>
    </row>
    <row r="55" spans="1:4" x14ac:dyDescent="0.25">
      <c r="A55" s="250" t="s">
        <v>531</v>
      </c>
      <c r="B55">
        <v>6</v>
      </c>
      <c r="C55" s="251">
        <f>LOOKUP(T3_[[#This Row],[Etiquetas de fila]],'VALORIZACION CARTA'!B:B,'VALORIZACION CARTA'!C:C)</f>
        <v>3519.4250000000002</v>
      </c>
      <c r="D55" s="251">
        <f>SUM(T3_[[#This Row],[Recuento de T3 CODIGO]]*T3_[[#This Row],[Columna1]])</f>
        <v>21116.550000000003</v>
      </c>
    </row>
    <row r="56" spans="1:4" x14ac:dyDescent="0.25">
      <c r="A56" s="250" t="s">
        <v>532</v>
      </c>
      <c r="B56">
        <v>19</v>
      </c>
      <c r="C56" s="251">
        <f>LOOKUP(T3_[[#This Row],[Etiquetas de fila]],'VALORIZACION CARTA'!B:B,'VALORIZACION CARTA'!C:C)</f>
        <v>2751.875</v>
      </c>
      <c r="D56" s="251">
        <f>SUM(T3_[[#This Row],[Recuento de T3 CODIGO]]*T3_[[#This Row],[Columna1]])</f>
        <v>52285.625</v>
      </c>
    </row>
    <row r="57" spans="1:4" x14ac:dyDescent="0.25">
      <c r="A57" s="250" t="s">
        <v>612</v>
      </c>
      <c r="B57">
        <v>8</v>
      </c>
      <c r="C57" s="251">
        <f>LOOKUP(T3_[[#This Row],[Etiquetas de fila]],'VALORIZACION CARTA'!B:B,'VALORIZACION CARTA'!C:C)</f>
        <v>2751.875</v>
      </c>
      <c r="D57" s="251">
        <f>SUM(T3_[[#This Row],[Recuento de T3 CODIGO]]*T3_[[#This Row],[Columna1]])</f>
        <v>22015</v>
      </c>
    </row>
    <row r="58" spans="1:4" x14ac:dyDescent="0.25">
      <c r="A58" s="250" t="s">
        <v>524</v>
      </c>
      <c r="B58">
        <v>16</v>
      </c>
      <c r="C58" s="251">
        <f>LOOKUP(T3_[[#This Row],[Etiquetas de fila]],'VALORIZACION CARTA'!B:B,'VALORIZACION CARTA'!C:C)</f>
        <v>3717.6790000000005</v>
      </c>
      <c r="D58" s="251">
        <f>SUM(T3_[[#This Row],[Recuento de T3 CODIGO]]*T3_[[#This Row],[Columna1]])</f>
        <v>59482.864000000009</v>
      </c>
    </row>
    <row r="59" spans="1:4" x14ac:dyDescent="0.25">
      <c r="A59" s="250" t="s">
        <v>1040</v>
      </c>
      <c r="B59">
        <v>1</v>
      </c>
      <c r="C59" s="251">
        <f>LOOKUP(T3_[[#This Row],[Etiquetas de fila]],'VALORIZACION CARTA'!B:B,'VALORIZACION CARTA'!C:C)</f>
        <v>1087.0650000000001</v>
      </c>
      <c r="D59" s="251">
        <f>SUM(T3_[[#This Row],[Recuento de T3 CODIGO]]*T3_[[#This Row],[Columna1]])</f>
        <v>1087.0650000000001</v>
      </c>
    </row>
    <row r="60" spans="1:4" x14ac:dyDescent="0.25">
      <c r="A60" s="250" t="s">
        <v>528</v>
      </c>
      <c r="B60">
        <v>1</v>
      </c>
      <c r="C60" s="251">
        <f>LOOKUP(T3_[[#This Row],[Etiquetas de fila]],'VALORIZACION CARTA'!B:B,'VALORIZACION CARTA'!C:C)</f>
        <v>2207.8986885245899</v>
      </c>
      <c r="D60" s="251">
        <f>SUM(T3_[[#This Row],[Recuento de T3 CODIGO]]*T3_[[#This Row],[Columna1]])</f>
        <v>2207.8986885245899</v>
      </c>
    </row>
    <row r="61" spans="1:4" x14ac:dyDescent="0.25">
      <c r="A61" s="250" t="s">
        <v>527</v>
      </c>
      <c r="B61">
        <v>4</v>
      </c>
      <c r="C61" s="251">
        <f>LOOKUP(T3_[[#This Row],[Etiquetas de fila]],'VALORIZACION CARTA'!B:B,'VALORIZACION CARTA'!C:C)</f>
        <v>4426.8</v>
      </c>
      <c r="D61" s="251">
        <f>SUM(T3_[[#This Row],[Recuento de T3 CODIGO]]*T3_[[#This Row],[Columna1]])</f>
        <v>17707.2</v>
      </c>
    </row>
    <row r="62" spans="1:4" x14ac:dyDescent="0.25">
      <c r="A62" s="250" t="s">
        <v>542</v>
      </c>
      <c r="B62">
        <v>3</v>
      </c>
      <c r="C62" s="251">
        <f>LOOKUP(T3_[[#This Row],[Etiquetas de fila]],'VALORIZACION CARTA'!B:B,'VALORIZACION CARTA'!C:C)</f>
        <v>7062.8060655737709</v>
      </c>
      <c r="D62" s="251">
        <f>SUM(T3_[[#This Row],[Recuento de T3 CODIGO]]*T3_[[#This Row],[Columna1]])</f>
        <v>21188.418196721312</v>
      </c>
    </row>
    <row r="63" spans="1:4" x14ac:dyDescent="0.25">
      <c r="A63" s="250" t="s">
        <v>514</v>
      </c>
      <c r="B63">
        <v>1</v>
      </c>
      <c r="C63" s="251">
        <f>LOOKUP(T3_[[#This Row],[Etiquetas de fila]],'VALORIZACION CARTA'!B:B,'VALORIZACION CARTA'!C:C)</f>
        <v>3134.7</v>
      </c>
      <c r="D63" s="251">
        <f>SUM(T3_[[#This Row],[Recuento de T3 CODIGO]]*T3_[[#This Row],[Columna1]])</f>
        <v>3134.7</v>
      </c>
    </row>
    <row r="64" spans="1:4" x14ac:dyDescent="0.25">
      <c r="A64" s="250" t="s">
        <v>544</v>
      </c>
      <c r="B64">
        <v>4</v>
      </c>
      <c r="C64" s="251">
        <f>LOOKUP(T3_[[#This Row],[Etiquetas de fila]],'VALORIZACION CARTA'!B:B,'VALORIZACION CARTA'!C:C)</f>
        <v>3146.3599999999997</v>
      </c>
      <c r="D64" s="251">
        <f>SUM(T3_[[#This Row],[Recuento de T3 CODIGO]]*T3_[[#This Row],[Columna1]])</f>
        <v>12585.439999999999</v>
      </c>
    </row>
    <row r="65" spans="1:4" x14ac:dyDescent="0.25">
      <c r="A65" s="250" t="s">
        <v>587</v>
      </c>
      <c r="B65">
        <v>1</v>
      </c>
      <c r="C65" s="251">
        <f>LOOKUP(T3_[[#This Row],[Etiquetas de fila]],'VALORIZACION CARTA'!B:B,'VALORIZACION CARTA'!C:C)</f>
        <v>1037.68</v>
      </c>
      <c r="D65" s="251">
        <f>SUM(T3_[[#This Row],[Recuento de T3 CODIGO]]*T3_[[#This Row],[Columna1]])</f>
        <v>1037.68</v>
      </c>
    </row>
    <row r="66" spans="1:4" x14ac:dyDescent="0.25">
      <c r="A66" s="250" t="s">
        <v>545</v>
      </c>
      <c r="B66">
        <v>2</v>
      </c>
      <c r="C66" s="251">
        <f>LOOKUP(T3_[[#This Row],[Etiquetas de fila]],'VALORIZACION CARTA'!B:B,'VALORIZACION CARTA'!C:C)</f>
        <v>7892.8534999999993</v>
      </c>
      <c r="D66" s="251">
        <f>SUM(T3_[[#This Row],[Recuento de T3 CODIGO]]*T3_[[#This Row],[Columna1]])</f>
        <v>15785.706999999999</v>
      </c>
    </row>
    <row r="67" spans="1:4" x14ac:dyDescent="0.25">
      <c r="A67" s="250" t="s">
        <v>485</v>
      </c>
      <c r="B67">
        <v>2</v>
      </c>
      <c r="C67" s="251">
        <f>LOOKUP(T3_[[#This Row],[Etiquetas de fila]],'VALORIZACION CARTA'!B:B,'VALORIZACION CARTA'!C:C)</f>
        <v>5471.9520624999996</v>
      </c>
      <c r="D67" s="251">
        <f>SUM(T3_[[#This Row],[Recuento de T3 CODIGO]]*T3_[[#This Row],[Columna1]])</f>
        <v>10943.904124999999</v>
      </c>
    </row>
    <row r="68" spans="1:4" x14ac:dyDescent="0.25">
      <c r="A68" s="250" t="s">
        <v>1041</v>
      </c>
      <c r="B68">
        <v>1</v>
      </c>
      <c r="C68" s="251">
        <f>LOOKUP(T3_[[#This Row],[Etiquetas de fila]],'VALORIZACION CARTA'!B:B,'VALORIZACION CARTA'!C:C)</f>
        <v>3706.1527999999998</v>
      </c>
      <c r="D68" s="251">
        <f>SUM(T3_[[#This Row],[Recuento de T3 CODIGO]]*T3_[[#This Row],[Columna1]])</f>
        <v>3706.1527999999998</v>
      </c>
    </row>
    <row r="69" spans="1:4" x14ac:dyDescent="0.25">
      <c r="A69" s="250" t="s">
        <v>590</v>
      </c>
      <c r="B69">
        <v>1</v>
      </c>
      <c r="C69" s="251">
        <f>LOOKUP(T3_[[#This Row],[Etiquetas de fila]],'VALORIZACION CARTA'!B:B,'VALORIZACION CARTA'!C:C)</f>
        <v>2462.7632924999998</v>
      </c>
      <c r="D69" s="251">
        <f>SUM(T3_[[#This Row],[Recuento de T3 CODIGO]]*T3_[[#This Row],[Columna1]])</f>
        <v>2462.7632924999998</v>
      </c>
    </row>
    <row r="70" spans="1:4" x14ac:dyDescent="0.25">
      <c r="A70" s="250" t="s">
        <v>669</v>
      </c>
      <c r="B70">
        <v>3</v>
      </c>
      <c r="C70" s="251">
        <f>LOOKUP(T3_[[#This Row],[Etiquetas de fila]],'VALORIZACION CARTA'!B:B,'VALORIZACION CARTA'!C:C)</f>
        <v>1163.4689039999998</v>
      </c>
      <c r="D70" s="251">
        <f>SUM(T3_[[#This Row],[Recuento de T3 CODIGO]]*T3_[[#This Row],[Columna1]])</f>
        <v>3490.4067119999995</v>
      </c>
    </row>
    <row r="71" spans="1:4" x14ac:dyDescent="0.25">
      <c r="A71" s="250" t="s">
        <v>670</v>
      </c>
      <c r="B71">
        <v>3</v>
      </c>
      <c r="C71" s="251">
        <f>LOOKUP(T3_[[#This Row],[Etiquetas de fila]],'VALORIZACION CARTA'!B:B,'VALORIZACION CARTA'!C:C)</f>
        <v>5106.5339039999999</v>
      </c>
      <c r="D71" s="251">
        <f>SUM(T3_[[#This Row],[Recuento de T3 CODIGO]]*T3_[[#This Row],[Columna1]])</f>
        <v>15319.601712</v>
      </c>
    </row>
    <row r="72" spans="1:4" x14ac:dyDescent="0.25">
      <c r="A72" s="250" t="s">
        <v>529</v>
      </c>
      <c r="B72">
        <v>3</v>
      </c>
      <c r="C72" s="251">
        <f>LOOKUP(T3_[[#This Row],[Etiquetas de fila]],'VALORIZACION CARTA'!B:B,'VALORIZACION CARTA'!C:C)</f>
        <v>2202.8982500000002</v>
      </c>
      <c r="D72" s="251">
        <f>SUM(T3_[[#This Row],[Recuento de T3 CODIGO]]*T3_[[#This Row],[Columna1]])</f>
        <v>6608.6947500000006</v>
      </c>
    </row>
    <row r="73" spans="1:4" x14ac:dyDescent="0.25">
      <c r="A73" s="250" t="s">
        <v>530</v>
      </c>
      <c r="B73">
        <v>8</v>
      </c>
      <c r="C73" s="251">
        <f>LOOKUP(T3_[[#This Row],[Etiquetas de fila]],'VALORIZACION CARTA'!B:B,'VALORIZACION CARTA'!C:C)</f>
        <v>1804.2482499999999</v>
      </c>
      <c r="D73" s="251">
        <f>SUM(T3_[[#This Row],[Recuento de T3 CODIGO]]*T3_[[#This Row],[Columna1]])</f>
        <v>14433.985999999999</v>
      </c>
    </row>
    <row r="74" spans="1:4" x14ac:dyDescent="0.25">
      <c r="A74" s="250" t="s">
        <v>616</v>
      </c>
      <c r="B74">
        <v>5</v>
      </c>
      <c r="C74" s="251">
        <f>LOOKUP(T3_[[#This Row],[Etiquetas de fila]],'VALORIZACION CARTA'!B:B,'VALORIZACION CARTA'!C:C)</f>
        <v>1744.7482500000001</v>
      </c>
      <c r="D74" s="251">
        <f>SUM(T3_[[#This Row],[Recuento de T3 CODIGO]]*T3_[[#This Row],[Columna1]])</f>
        <v>8723.7412500000009</v>
      </c>
    </row>
    <row r="75" spans="1:4" x14ac:dyDescent="0.25">
      <c r="A75" s="250" t="s">
        <v>477</v>
      </c>
      <c r="B75">
        <v>1</v>
      </c>
      <c r="C75" s="251">
        <f>LOOKUP(T3_[[#This Row],[Etiquetas de fila]],'VALORIZACION CARTA'!B:B,'VALORIZACION CARTA'!C:C)</f>
        <v>5130.8099999999995</v>
      </c>
      <c r="D75" s="251">
        <f>SUM(T3_[[#This Row],[Recuento de T3 CODIGO]]*T3_[[#This Row],[Columna1]])</f>
        <v>5130.8099999999995</v>
      </c>
    </row>
    <row r="76" spans="1:4" x14ac:dyDescent="0.25">
      <c r="A76" s="250" t="s">
        <v>533</v>
      </c>
      <c r="B76">
        <v>5</v>
      </c>
      <c r="C76" s="251">
        <f>LOOKUP(T3_[[#This Row],[Etiquetas de fila]],'VALORIZACION CARTA'!B:B,'VALORIZACION CARTA'!C:C)</f>
        <v>9038.2820499999998</v>
      </c>
      <c r="D76" s="251">
        <f>SUM(T3_[[#This Row],[Recuento de T3 CODIGO]]*T3_[[#This Row],[Columna1]])</f>
        <v>45191.410250000001</v>
      </c>
    </row>
    <row r="77" spans="1:4" x14ac:dyDescent="0.25">
      <c r="A77" s="250" t="s">
        <v>547</v>
      </c>
      <c r="B77">
        <v>1</v>
      </c>
      <c r="C77" s="251">
        <f>LOOKUP(T3_[[#This Row],[Etiquetas de fila]],'VALORIZACION CARTA'!B:B,'VALORIZACION CARTA'!C:C)</f>
        <v>778.26</v>
      </c>
      <c r="D77" s="251">
        <f>SUM(T3_[[#This Row],[Recuento de T3 CODIGO]]*T3_[[#This Row],[Columna1]])</f>
        <v>778.26</v>
      </c>
    </row>
    <row r="78" spans="1:4" x14ac:dyDescent="0.25">
      <c r="A78" s="250" t="s">
        <v>526</v>
      </c>
      <c r="B78">
        <v>1</v>
      </c>
      <c r="C78" s="251">
        <f>LOOKUP(T3_[[#This Row],[Etiquetas de fila]],'VALORIZACION CARTA'!B:B,'VALORIZACION CARTA'!C:C)</f>
        <v>4263.1154999999999</v>
      </c>
      <c r="D78" s="251">
        <f>SUM(T3_[[#This Row],[Recuento de T3 CODIGO]]*T3_[[#This Row],[Columna1]])</f>
        <v>4263.1154999999999</v>
      </c>
    </row>
    <row r="79" spans="1:4" x14ac:dyDescent="0.25">
      <c r="A79" s="250" t="s">
        <v>927</v>
      </c>
      <c r="B79">
        <v>15</v>
      </c>
      <c r="C79" s="251">
        <f>LOOKUP(T3_[[#This Row],[Etiquetas de fila]],'VALORIZACION CARTA'!B:B,'VALORIZACION CARTA'!C:C)</f>
        <v>573.38798125000005</v>
      </c>
      <c r="D79" s="251">
        <f>SUM(T3_[[#This Row],[Recuento de T3 CODIGO]]*T3_[[#This Row],[Columna1]])</f>
        <v>8600.8197187500009</v>
      </c>
    </row>
    <row r="80" spans="1:4" x14ac:dyDescent="0.25">
      <c r="A80" s="250" t="s">
        <v>617</v>
      </c>
      <c r="B80">
        <v>7</v>
      </c>
      <c r="C80" s="251">
        <f>LOOKUP(T3_[[#This Row],[Etiquetas de fila]],'VALORIZACION CARTA'!B:B,'VALORIZACION CARTA'!C:C)</f>
        <v>529.87860624999996</v>
      </c>
      <c r="D80" s="251">
        <f>SUM(T3_[[#This Row],[Recuento de T3 CODIGO]]*T3_[[#This Row],[Columna1]])</f>
        <v>3709.1502437499998</v>
      </c>
    </row>
    <row r="81" spans="1:4" x14ac:dyDescent="0.25">
      <c r="A81" s="250" t="s">
        <v>654</v>
      </c>
      <c r="B81">
        <v>1</v>
      </c>
      <c r="C81" s="251">
        <f>LOOKUP(T3_[[#This Row],[Etiquetas de fila]],'VALORIZACION CARTA'!B:B,'VALORIZACION CARTA'!C:C)</f>
        <v>386.74912499999999</v>
      </c>
      <c r="D81" s="251">
        <f>SUM(T3_[[#This Row],[Recuento de T3 CODIGO]]*T3_[[#This Row],[Columna1]])</f>
        <v>386.74912499999999</v>
      </c>
    </row>
    <row r="82" spans="1:4" x14ac:dyDescent="0.25">
      <c r="A82" s="250" t="s">
        <v>928</v>
      </c>
      <c r="B82">
        <v>4</v>
      </c>
      <c r="C82" s="251">
        <f>LOOKUP(T3_[[#This Row],[Etiquetas de fila]],'VALORIZACION CARTA'!B:B,'VALORIZACION CARTA'!C:C)</f>
        <v>591.68423125000004</v>
      </c>
      <c r="D82" s="251">
        <f>SUM(T3_[[#This Row],[Recuento de T3 CODIGO]]*T3_[[#This Row],[Columna1]])</f>
        <v>2366.7369250000002</v>
      </c>
    </row>
    <row r="83" spans="1:4" x14ac:dyDescent="0.25">
      <c r="A83" s="250" t="s">
        <v>548</v>
      </c>
      <c r="B83">
        <v>1</v>
      </c>
      <c r="C83" s="251">
        <f>LOOKUP(T3_[[#This Row],[Etiquetas de fila]],'VALORIZACION CARTA'!B:B,'VALORIZACION CARTA'!C:C)</f>
        <v>1995.91520625</v>
      </c>
      <c r="D83" s="251">
        <f>SUM(T3_[[#This Row],[Recuento de T3 CODIGO]]*T3_[[#This Row],[Columna1]])</f>
        <v>1995.91520625</v>
      </c>
    </row>
    <row r="84" spans="1:4" x14ac:dyDescent="0.25">
      <c r="A84" s="250" t="s">
        <v>873</v>
      </c>
      <c r="B84">
        <v>18</v>
      </c>
      <c r="C84" s="251">
        <f>LOOKUP(T3_[[#This Row],[Etiquetas de fila]],'VALORIZACION CARTA'!B:B,'VALORIZACION CARTA'!C:C)</f>
        <v>3667.1136333333334</v>
      </c>
      <c r="D84" s="251">
        <f>SUM(T3_[[#This Row],[Recuento de T3 CODIGO]]*T3_[[#This Row],[Columna1]])</f>
        <v>66008.045400000003</v>
      </c>
    </row>
    <row r="85" spans="1:4" x14ac:dyDescent="0.25">
      <c r="A85" s="250" t="s">
        <v>865</v>
      </c>
      <c r="B85">
        <v>6</v>
      </c>
      <c r="C85" s="251">
        <f>LOOKUP(T3_[[#This Row],[Etiquetas de fila]],'VALORIZACION CARTA'!B:B,'VALORIZACION CARTA'!C:C)</f>
        <v>3698.7449666666666</v>
      </c>
      <c r="D85" s="251">
        <f>SUM(T3_[[#This Row],[Recuento de T3 CODIGO]]*T3_[[#This Row],[Columna1]])</f>
        <v>22192.469799999999</v>
      </c>
    </row>
    <row r="86" spans="1:4" x14ac:dyDescent="0.25">
      <c r="A86" s="250" t="s">
        <v>872</v>
      </c>
      <c r="B86">
        <v>15</v>
      </c>
      <c r="C86" s="251">
        <f>LOOKUP(T3_[[#This Row],[Etiquetas de fila]],'VALORIZACION CARTA'!B:B,'VALORIZACION CARTA'!C:C)</f>
        <v>4426.8</v>
      </c>
      <c r="D86" s="251">
        <f>SUM(T3_[[#This Row],[Recuento de T3 CODIGO]]*T3_[[#This Row],[Columna1]])</f>
        <v>66402</v>
      </c>
    </row>
    <row r="87" spans="1:4" x14ac:dyDescent="0.25">
      <c r="A87" s="250" t="s">
        <v>896</v>
      </c>
      <c r="B87">
        <v>3</v>
      </c>
      <c r="C87" s="251">
        <f>LOOKUP(T3_[[#This Row],[Etiquetas de fila]],'VALORIZACION CARTA'!B:B,'VALORIZACION CARTA'!C:C)</f>
        <v>3675.8249999999998</v>
      </c>
      <c r="D87" s="251">
        <f>SUM(T3_[[#This Row],[Recuento de T3 CODIGO]]*T3_[[#This Row],[Columna1]])</f>
        <v>11027.474999999999</v>
      </c>
    </row>
    <row r="88" spans="1:4" x14ac:dyDescent="0.25">
      <c r="A88" s="250" t="s">
        <v>930</v>
      </c>
      <c r="B88">
        <v>4</v>
      </c>
      <c r="C88" s="251">
        <f>LOOKUP(T3_[[#This Row],[Etiquetas de fila]],'VALORIZACION CARTA'!B:B,'VALORIZACION CARTA'!C:C)</f>
        <v>745.45679833333338</v>
      </c>
      <c r="D88" s="251">
        <f>SUM(T3_[[#This Row],[Recuento de T3 CODIGO]]*T3_[[#This Row],[Columna1]])</f>
        <v>2981.8271933333335</v>
      </c>
    </row>
    <row r="89" spans="1:4" x14ac:dyDescent="0.25">
      <c r="A89" s="250" t="s">
        <v>717</v>
      </c>
      <c r="B89">
        <v>1</v>
      </c>
      <c r="C89" s="251">
        <f>LOOKUP(T3_[[#This Row],[Etiquetas de fila]],'VALORIZACION CARTA'!B:B,'VALORIZACION CARTA'!C:C)</f>
        <v>745.45679833333338</v>
      </c>
      <c r="D89" s="251">
        <f>SUM(T3_[[#This Row],[Recuento de T3 CODIGO]]*T3_[[#This Row],[Columna1]])</f>
        <v>745.45679833333338</v>
      </c>
    </row>
    <row r="90" spans="1:4" x14ac:dyDescent="0.25">
      <c r="A90" s="250" t="s">
        <v>707</v>
      </c>
      <c r="B90">
        <v>2</v>
      </c>
      <c r="C90" s="251">
        <f>LOOKUP(T3_[[#This Row],[Etiquetas de fila]],'VALORIZACION CARTA'!B:B,'VALORIZACION CARTA'!C:C)</f>
        <v>745.45679833333338</v>
      </c>
      <c r="D90" s="251">
        <f>SUM(T3_[[#This Row],[Recuento de T3 CODIGO]]*T3_[[#This Row],[Columna1]])</f>
        <v>1490.9135966666668</v>
      </c>
    </row>
    <row r="91" spans="1:4" x14ac:dyDescent="0.25">
      <c r="A91" s="250" t="s">
        <v>708</v>
      </c>
      <c r="B91">
        <v>3</v>
      </c>
      <c r="C91" s="251">
        <f>LOOKUP(T3_[[#This Row],[Etiquetas de fila]],'VALORIZACION CARTA'!B:B,'VALORIZACION CARTA'!C:C)</f>
        <v>745.45679833333338</v>
      </c>
      <c r="D91" s="251">
        <f>SUM(T3_[[#This Row],[Recuento de T3 CODIGO]]*T3_[[#This Row],[Columna1]])</f>
        <v>2236.3703949999999</v>
      </c>
    </row>
    <row r="92" spans="1:4" x14ac:dyDescent="0.25">
      <c r="A92" s="250" t="s">
        <v>621</v>
      </c>
      <c r="B92">
        <v>3</v>
      </c>
      <c r="C92" s="251">
        <f>LOOKUP(T3_[[#This Row],[Etiquetas de fila]],'VALORIZACION CARTA'!B:B,'VALORIZACION CARTA'!C:C)</f>
        <v>745.45679833333338</v>
      </c>
      <c r="D92" s="251">
        <f>SUM(T3_[[#This Row],[Recuento de T3 CODIGO]]*T3_[[#This Row],[Columna1]])</f>
        <v>2236.3703949999999</v>
      </c>
    </row>
    <row r="93" spans="1:4" x14ac:dyDescent="0.25">
      <c r="A93" s="250" t="s">
        <v>931</v>
      </c>
      <c r="B93">
        <v>9</v>
      </c>
      <c r="C93" s="251">
        <f>LOOKUP(T3_[[#This Row],[Etiquetas de fila]],'VALORIZACION CARTA'!B:B,'VALORIZACION CARTA'!C:C)</f>
        <v>745.45679833333338</v>
      </c>
      <c r="D93" s="251">
        <f>SUM(T3_[[#This Row],[Recuento de T3 CODIGO]]*T3_[[#This Row],[Columna1]])</f>
        <v>6709.1111850000007</v>
      </c>
    </row>
    <row r="94" spans="1:4" x14ac:dyDescent="0.25">
      <c r="A94" s="250" t="s">
        <v>932</v>
      </c>
      <c r="B94">
        <v>1</v>
      </c>
      <c r="C94" s="251">
        <f>LOOKUP(T3_[[#This Row],[Etiquetas de fila]],'VALORIZACION CARTA'!B:B,'VALORIZACION CARTA'!C:C)</f>
        <v>745.45679833333338</v>
      </c>
      <c r="D94" s="251">
        <f>SUM(T3_[[#This Row],[Recuento de T3 CODIGO]]*T3_[[#This Row],[Columna1]])</f>
        <v>745.45679833333338</v>
      </c>
    </row>
    <row r="95" spans="1:4" x14ac:dyDescent="0.25">
      <c r="A95" s="250" t="s">
        <v>718</v>
      </c>
      <c r="B95">
        <v>2</v>
      </c>
      <c r="C95" s="251">
        <f>LOOKUP(T3_[[#This Row],[Etiquetas de fila]],'VALORIZACION CARTA'!B:B,'VALORIZACION CARTA'!C:C)</f>
        <v>745.45679833333338</v>
      </c>
      <c r="D95" s="251">
        <f>SUM(T3_[[#This Row],[Recuento de T3 CODIGO]]*T3_[[#This Row],[Columna1]])</f>
        <v>1490.9135966666668</v>
      </c>
    </row>
    <row r="96" spans="1:4" x14ac:dyDescent="0.25">
      <c r="A96" s="250" t="s">
        <v>618</v>
      </c>
      <c r="B96">
        <v>4</v>
      </c>
      <c r="C96" s="251">
        <f>LOOKUP(T3_[[#This Row],[Etiquetas de fila]],'VALORIZACION CARTA'!B:B,'VALORIZACION CARTA'!C:C)</f>
        <v>745.45679833333338</v>
      </c>
      <c r="D96" s="251">
        <f>SUM(T3_[[#This Row],[Recuento de T3 CODIGO]]*T3_[[#This Row],[Columna1]])</f>
        <v>2981.8271933333335</v>
      </c>
    </row>
    <row r="97" spans="1:4" x14ac:dyDescent="0.25">
      <c r="A97" s="250" t="s">
        <v>933</v>
      </c>
      <c r="B97">
        <v>1</v>
      </c>
      <c r="C97" s="251">
        <f>LOOKUP(T3_[[#This Row],[Etiquetas de fila]],'VALORIZACION CARTA'!B:B,'VALORIZACION CARTA'!C:C)</f>
        <v>745.45679833333338</v>
      </c>
      <c r="D97" s="251">
        <f>SUM(T3_[[#This Row],[Recuento de T3 CODIGO]]*T3_[[#This Row],[Columna1]])</f>
        <v>745.45679833333338</v>
      </c>
    </row>
    <row r="98" spans="1:4" x14ac:dyDescent="0.25">
      <c r="A98" s="250" t="s">
        <v>619</v>
      </c>
      <c r="B98">
        <v>6</v>
      </c>
      <c r="C98" s="251">
        <f>LOOKUP(T3_[[#This Row],[Etiquetas de fila]],'VALORIZACION CARTA'!B:B,'VALORIZACION CARTA'!C:C)</f>
        <v>745.45679833333338</v>
      </c>
      <c r="D98" s="251">
        <f>SUM(T3_[[#This Row],[Recuento de T3 CODIGO]]*T3_[[#This Row],[Columna1]])</f>
        <v>4472.7407899999998</v>
      </c>
    </row>
    <row r="99" spans="1:4" x14ac:dyDescent="0.25">
      <c r="A99" s="250" t="s">
        <v>936</v>
      </c>
      <c r="B99">
        <v>8</v>
      </c>
      <c r="C99" s="251">
        <f>LOOKUP(T3_[[#This Row],[Etiquetas de fila]],'VALORIZACION CARTA'!B:B,'VALORIZACION CARTA'!C:C)</f>
        <v>704.62379999999996</v>
      </c>
      <c r="D99" s="251">
        <f>SUM(T3_[[#This Row],[Recuento de T3 CODIGO]]*T3_[[#This Row],[Columna1]])</f>
        <v>5636.9903999999997</v>
      </c>
    </row>
    <row r="100" spans="1:4" x14ac:dyDescent="0.25">
      <c r="A100" s="250" t="s">
        <v>937</v>
      </c>
      <c r="B100">
        <v>1</v>
      </c>
      <c r="C100" s="251">
        <f>LOOKUP(T3_[[#This Row],[Etiquetas de fila]],'VALORIZACION CARTA'!B:B,'VALORIZACION CARTA'!C:C)</f>
        <v>1292.5800000000002</v>
      </c>
      <c r="D100" s="251">
        <f>SUM(T3_[[#This Row],[Recuento de T3 CODIGO]]*T3_[[#This Row],[Columna1]])</f>
        <v>1292.5800000000002</v>
      </c>
    </row>
    <row r="101" spans="1:4" x14ac:dyDescent="0.25">
      <c r="A101" s="250" t="s">
        <v>938</v>
      </c>
      <c r="B101">
        <v>1</v>
      </c>
      <c r="C101" s="251">
        <f>LOOKUP(T3_[[#This Row],[Etiquetas de fila]],'VALORIZACION CARTA'!B:B,'VALORIZACION CARTA'!C:C)</f>
        <v>661.29699999999991</v>
      </c>
      <c r="D101" s="251">
        <f>SUM(T3_[[#This Row],[Recuento de T3 CODIGO]]*T3_[[#This Row],[Columna1]])</f>
        <v>661.29699999999991</v>
      </c>
    </row>
    <row r="102" spans="1:4" x14ac:dyDescent="0.25">
      <c r="A102" s="250" t="s">
        <v>834</v>
      </c>
      <c r="B102">
        <v>11</v>
      </c>
      <c r="C102" s="251">
        <f>LOOKUP(T3_[[#This Row],[Etiquetas de fila]],'VALORIZACION CARTA'!B:B,'VALORIZACION CARTA'!C:C)</f>
        <v>7062.8060655737709</v>
      </c>
      <c r="D102" s="251">
        <f>SUM(T3_[[#This Row],[Recuento de T3 CODIGO]]*T3_[[#This Row],[Columna1]])</f>
        <v>77690.866721311482</v>
      </c>
    </row>
    <row r="103" spans="1:4" x14ac:dyDescent="0.25">
      <c r="A103" s="250" t="s">
        <v>893</v>
      </c>
      <c r="B103">
        <v>1</v>
      </c>
      <c r="C103" s="251">
        <f>LOOKUP(T3_[[#This Row],[Etiquetas de fila]],'VALORIZACION CARTA'!B:B,'VALORIZACION CARTA'!C:C)</f>
        <v>2050.8890333333334</v>
      </c>
      <c r="D103" s="251">
        <f>SUM(T3_[[#This Row],[Recuento de T3 CODIGO]]*T3_[[#This Row],[Columna1]])</f>
        <v>2050.8890333333334</v>
      </c>
    </row>
    <row r="104" spans="1:4" x14ac:dyDescent="0.25">
      <c r="A104" s="250" t="s">
        <v>939</v>
      </c>
      <c r="B104">
        <v>1</v>
      </c>
      <c r="C104" s="251">
        <f>LOOKUP(T3_[[#This Row],[Etiquetas de fila]],'VALORIZACION CARTA'!B:B,'VALORIZACION CARTA'!C:C)</f>
        <v>2050.8890333333334</v>
      </c>
      <c r="D104" s="251">
        <f>SUM(T3_[[#This Row],[Recuento de T3 CODIGO]]*T3_[[#This Row],[Columna1]])</f>
        <v>2050.8890333333334</v>
      </c>
    </row>
    <row r="105" spans="1:4" x14ac:dyDescent="0.25">
      <c r="A105" s="250" t="s">
        <v>940</v>
      </c>
      <c r="B105">
        <v>29</v>
      </c>
      <c r="C105" s="251">
        <f>LOOKUP(T3_[[#This Row],[Etiquetas de fila]],'VALORIZACION CARTA'!B:B,'VALORIZACION CARTA'!C:C)</f>
        <v>638.72610374999999</v>
      </c>
      <c r="D105" s="251">
        <f>SUM(T3_[[#This Row],[Recuento de T3 CODIGO]]*T3_[[#This Row],[Columna1]])</f>
        <v>18523.057008749998</v>
      </c>
    </row>
    <row r="106" spans="1:4" x14ac:dyDescent="0.25">
      <c r="A106" s="250" t="s">
        <v>1042</v>
      </c>
      <c r="B106">
        <v>1</v>
      </c>
      <c r="C106" s="251">
        <f>LOOKUP(T3_[[#This Row],[Etiquetas de fila]],'VALORIZACION CARTA'!B:B,'VALORIZACION CARTA'!C:C)</f>
        <v>638.72610374999999</v>
      </c>
      <c r="D106" s="251">
        <f>SUM(T3_[[#This Row],[Recuento de T3 CODIGO]]*T3_[[#This Row],[Columna1]])</f>
        <v>638.72610374999999</v>
      </c>
    </row>
    <row r="107" spans="1:4" x14ac:dyDescent="0.25">
      <c r="A107" s="250" t="s">
        <v>941</v>
      </c>
      <c r="B107">
        <v>1172</v>
      </c>
      <c r="C107" s="251">
        <f>LOOKUP(T3_[[#This Row],[Etiquetas de fila]],'VALORIZACION CARTA'!B:B,'VALORIZACION CARTA'!C:C)</f>
        <v>638.72610374999999</v>
      </c>
      <c r="D107" s="251">
        <f>SUM(T3_[[#This Row],[Recuento de T3 CODIGO]]*T3_[[#This Row],[Columna1]])</f>
        <v>748586.99359500001</v>
      </c>
    </row>
    <row r="108" spans="1:4" x14ac:dyDescent="0.25">
      <c r="A108" s="250" t="s">
        <v>877</v>
      </c>
      <c r="B108">
        <v>1</v>
      </c>
      <c r="C108" s="251">
        <f>LOOKUP(T3_[[#This Row],[Etiquetas de fila]],'VALORIZACION CARTA'!B:B,'VALORIZACION CARTA'!C:C)</f>
        <v>1321.691</v>
      </c>
      <c r="D108" s="251">
        <f>SUM(T3_[[#This Row],[Recuento de T3 CODIGO]]*T3_[[#This Row],[Columna1]])</f>
        <v>1321.691</v>
      </c>
    </row>
    <row r="109" spans="1:4" x14ac:dyDescent="0.25">
      <c r="A109" s="250" t="s">
        <v>1043</v>
      </c>
      <c r="B109">
        <v>1</v>
      </c>
      <c r="C109" s="251">
        <f>LOOKUP(T3_[[#This Row],[Etiquetas de fila]],'VALORIZACION CARTA'!B:B,'VALORIZACION CARTA'!C:C)</f>
        <v>1241.55</v>
      </c>
      <c r="D109" s="251">
        <f>SUM(T3_[[#This Row],[Recuento de T3 CODIGO]]*T3_[[#This Row],[Columna1]])</f>
        <v>1241.55</v>
      </c>
    </row>
    <row r="110" spans="1:4" x14ac:dyDescent="0.25">
      <c r="A110" s="250" t="s">
        <v>879</v>
      </c>
      <c r="B110">
        <v>6</v>
      </c>
      <c r="C110" s="251">
        <f>LOOKUP(T3_[[#This Row],[Etiquetas de fila]],'VALORIZACION CARTA'!B:B,'VALORIZACION CARTA'!C:C)</f>
        <v>2383.69425</v>
      </c>
      <c r="D110" s="251">
        <f>SUM(T3_[[#This Row],[Recuento de T3 CODIGO]]*T3_[[#This Row],[Columna1]])</f>
        <v>14302.165499999999</v>
      </c>
    </row>
    <row r="111" spans="1:4" x14ac:dyDescent="0.25">
      <c r="A111" s="250" t="s">
        <v>591</v>
      </c>
      <c r="B111">
        <v>1</v>
      </c>
      <c r="C111" s="251">
        <f>LOOKUP(T3_[[#This Row],[Etiquetas de fila]],'VALORIZACION CARTA'!B:B,'VALORIZACION CARTA'!C:C)</f>
        <v>536.40037499999994</v>
      </c>
      <c r="D111" s="251">
        <f>SUM(T3_[[#This Row],[Recuento de T3 CODIGO]]*T3_[[#This Row],[Columna1]])</f>
        <v>536.40037499999994</v>
      </c>
    </row>
    <row r="112" spans="1:4" x14ac:dyDescent="0.25">
      <c r="A112" s="250" t="s">
        <v>593</v>
      </c>
      <c r="B112">
        <v>1</v>
      </c>
      <c r="C112" s="251">
        <f>LOOKUP(T3_[[#This Row],[Etiquetas de fila]],'VALORIZACION CARTA'!B:B,'VALORIZACION CARTA'!C:C)</f>
        <v>552.1753124999999</v>
      </c>
      <c r="D112" s="251">
        <f>SUM(T3_[[#This Row],[Recuento de T3 CODIGO]]*T3_[[#This Row],[Columna1]])</f>
        <v>552.1753124999999</v>
      </c>
    </row>
    <row r="113" spans="1:4" x14ac:dyDescent="0.25">
      <c r="A113" s="250" t="s">
        <v>942</v>
      </c>
      <c r="B113">
        <v>1</v>
      </c>
      <c r="C113" s="251">
        <f>LOOKUP(T3_[[#This Row],[Etiquetas de fila]],'VALORIZACION CARTA'!B:B,'VALORIZACION CARTA'!C:C)</f>
        <v>560.41606249999995</v>
      </c>
      <c r="D113" s="251">
        <f>SUM(T3_[[#This Row],[Recuento de T3 CODIGO]]*T3_[[#This Row],[Columna1]])</f>
        <v>560.41606249999995</v>
      </c>
    </row>
    <row r="114" spans="1:4" x14ac:dyDescent="0.25">
      <c r="A114" s="250" t="s">
        <v>595</v>
      </c>
      <c r="B114">
        <v>2</v>
      </c>
      <c r="C114" s="251">
        <f>LOOKUP(T3_[[#This Row],[Etiquetas de fila]],'VALORIZACION CARTA'!B:B,'VALORIZACION CARTA'!C:C)</f>
        <v>427.84008749999998</v>
      </c>
      <c r="D114" s="251">
        <f>SUM(T3_[[#This Row],[Recuento de T3 CODIGO]]*T3_[[#This Row],[Columna1]])</f>
        <v>855.68017499999996</v>
      </c>
    </row>
    <row r="115" spans="1:4" x14ac:dyDescent="0.25">
      <c r="A115" s="250" t="s">
        <v>943</v>
      </c>
      <c r="B115">
        <v>10</v>
      </c>
      <c r="C115" s="251">
        <f>LOOKUP(T3_[[#This Row],[Etiquetas de fila]],'VALORIZACION CARTA'!B:B,'VALORIZACION CARTA'!C:C)</f>
        <v>427.84008749999998</v>
      </c>
      <c r="D115" s="251">
        <f>SUM(T3_[[#This Row],[Recuento de T3 CODIGO]]*T3_[[#This Row],[Columna1]])</f>
        <v>4278.4008749999994</v>
      </c>
    </row>
    <row r="116" spans="1:4" x14ac:dyDescent="0.25">
      <c r="A116" s="250" t="s">
        <v>596</v>
      </c>
      <c r="B116">
        <v>7</v>
      </c>
      <c r="C116" s="251">
        <f>LOOKUP(T3_[[#This Row],[Etiquetas de fila]],'VALORIZACION CARTA'!B:B,'VALORIZACION CARTA'!C:C)</f>
        <v>573.38798125000005</v>
      </c>
      <c r="D116" s="251">
        <f>SUM(T3_[[#This Row],[Recuento de T3 CODIGO]]*T3_[[#This Row],[Columna1]])</f>
        <v>4013.7158687500005</v>
      </c>
    </row>
    <row r="117" spans="1:4" x14ac:dyDescent="0.25">
      <c r="A117" s="250" t="s">
        <v>597</v>
      </c>
      <c r="B117">
        <v>3</v>
      </c>
      <c r="C117" s="251">
        <f>LOOKUP(T3_[[#This Row],[Etiquetas de fila]],'VALORIZACION CARTA'!B:B,'VALORIZACION CARTA'!C:C)</f>
        <v>529.87860624999996</v>
      </c>
      <c r="D117" s="251">
        <f>SUM(T3_[[#This Row],[Recuento de T3 CODIGO]]*T3_[[#This Row],[Columna1]])</f>
        <v>1589.63581875</v>
      </c>
    </row>
    <row r="118" spans="1:4" x14ac:dyDescent="0.25">
      <c r="A118" s="250" t="s">
        <v>598</v>
      </c>
      <c r="B118">
        <v>2</v>
      </c>
      <c r="C118" s="251">
        <f>LOOKUP(T3_[[#This Row],[Etiquetas de fila]],'VALORIZACION CARTA'!B:B,'VALORIZACION CARTA'!C:C)</f>
        <v>591.68423125000004</v>
      </c>
      <c r="D118" s="251">
        <f>SUM(T3_[[#This Row],[Recuento de T3 CODIGO]]*T3_[[#This Row],[Columna1]])</f>
        <v>1183.3684625000001</v>
      </c>
    </row>
    <row r="119" spans="1:4" x14ac:dyDescent="0.25">
      <c r="A119" s="250" t="s">
        <v>889</v>
      </c>
      <c r="B119">
        <v>3</v>
      </c>
      <c r="C119" s="251">
        <f>LOOKUP(T3_[[#This Row],[Etiquetas de fila]],'VALORIZACION CARTA'!B:B,'VALORIZACION CARTA'!C:C)</f>
        <v>591.68423125000004</v>
      </c>
      <c r="D119" s="251">
        <f>SUM(T3_[[#This Row],[Recuento de T3 CODIGO]]*T3_[[#This Row],[Columna1]])</f>
        <v>1775.0526937500001</v>
      </c>
    </row>
    <row r="120" spans="1:4" x14ac:dyDescent="0.25">
      <c r="A120" s="250" t="s">
        <v>890</v>
      </c>
      <c r="B120">
        <v>9</v>
      </c>
      <c r="C120" s="251">
        <f>LOOKUP(T3_[[#This Row],[Etiquetas de fila]],'VALORIZACION CARTA'!B:B,'VALORIZACION CARTA'!C:C)</f>
        <v>591.68423125000004</v>
      </c>
      <c r="D120" s="251">
        <f>SUM(T3_[[#This Row],[Recuento de T3 CODIGO]]*T3_[[#This Row],[Columna1]])</f>
        <v>5325.1580812500006</v>
      </c>
    </row>
    <row r="121" spans="1:4" x14ac:dyDescent="0.25">
      <c r="A121" s="250" t="s">
        <v>1044</v>
      </c>
      <c r="B121">
        <v>8</v>
      </c>
      <c r="C121" s="251">
        <f>LOOKUP(T3_[[#This Row],[Etiquetas de fila]],'VALORIZACION CARTA'!B:B,'VALORIZACION CARTA'!C:C)</f>
        <v>591.68423125000004</v>
      </c>
      <c r="D121" s="251">
        <f>SUM(T3_[[#This Row],[Recuento de T3 CODIGO]]*T3_[[#This Row],[Columna1]])</f>
        <v>4733.4738500000003</v>
      </c>
    </row>
    <row r="122" spans="1:4" x14ac:dyDescent="0.25">
      <c r="A122" s="250" t="s">
        <v>599</v>
      </c>
      <c r="B122">
        <v>5</v>
      </c>
      <c r="C122" s="251">
        <f>LOOKUP(T3_[[#This Row],[Etiquetas de fila]],'VALORIZACION CARTA'!B:B,'VALORIZACION CARTA'!C:C)</f>
        <v>915.41563749999989</v>
      </c>
      <c r="D122" s="251">
        <f>SUM(T3_[[#This Row],[Recuento de T3 CODIGO]]*T3_[[#This Row],[Columna1]])</f>
        <v>4577.0781874999993</v>
      </c>
    </row>
    <row r="123" spans="1:4" x14ac:dyDescent="0.25">
      <c r="A123" s="250" t="s">
        <v>600</v>
      </c>
      <c r="B123">
        <v>1</v>
      </c>
      <c r="C123" s="251">
        <f>LOOKUP(T3_[[#This Row],[Etiquetas de fila]],'VALORIZACION CARTA'!B:B,'VALORIZACION CARTA'!C:C)</f>
        <v>1049.9626625000001</v>
      </c>
      <c r="D123" s="251">
        <f>SUM(T3_[[#This Row],[Recuento de T3 CODIGO]]*T3_[[#This Row],[Columna1]])</f>
        <v>1049.9626625000001</v>
      </c>
    </row>
    <row r="124" spans="1:4" x14ac:dyDescent="0.25">
      <c r="A124" s="250" t="s">
        <v>601</v>
      </c>
      <c r="B124">
        <v>1</v>
      </c>
      <c r="C124" s="251">
        <f>LOOKUP(T3_[[#This Row],[Etiquetas de fila]],'VALORIZACION CARTA'!B:B,'VALORIZACION CARTA'!C:C)</f>
        <v>919.50254374999997</v>
      </c>
      <c r="D124" s="251">
        <f>SUM(T3_[[#This Row],[Recuento de T3 CODIGO]]*T3_[[#This Row],[Columna1]])</f>
        <v>919.50254374999997</v>
      </c>
    </row>
    <row r="125" spans="1:4" x14ac:dyDescent="0.25">
      <c r="A125" s="250" t="s">
        <v>602</v>
      </c>
      <c r="B125">
        <v>1</v>
      </c>
      <c r="C125" s="251">
        <f>LOOKUP(T3_[[#This Row],[Etiquetas de fila]],'VALORIZACION CARTA'!B:B,'VALORIZACION CARTA'!C:C)</f>
        <v>868.31766874999994</v>
      </c>
      <c r="D125" s="251">
        <f>SUM(T3_[[#This Row],[Recuento de T3 CODIGO]]*T3_[[#This Row],[Columna1]])</f>
        <v>868.31766874999994</v>
      </c>
    </row>
    <row r="126" spans="1:4" x14ac:dyDescent="0.25">
      <c r="A126" s="250" t="s">
        <v>946</v>
      </c>
      <c r="B126">
        <v>13</v>
      </c>
      <c r="C126" s="251">
        <f>LOOKUP(T3_[[#This Row],[Etiquetas de fila]],'VALORIZACION CARTA'!B:B,'VALORIZACION CARTA'!C:C)</f>
        <v>868.31766874999994</v>
      </c>
      <c r="D126" s="251">
        <f>SUM(T3_[[#This Row],[Recuento de T3 CODIGO]]*T3_[[#This Row],[Columna1]])</f>
        <v>11288.129693749999</v>
      </c>
    </row>
    <row r="127" spans="1:4" x14ac:dyDescent="0.25">
      <c r="A127" s="250" t="s">
        <v>317</v>
      </c>
      <c r="B127">
        <v>22</v>
      </c>
      <c r="C127" s="251">
        <f>LOOKUP(T3_[[#This Row],[Etiquetas de fila]],'VALORIZACION CARTA'!B:B,'VALORIZACION CARTA'!C:C)</f>
        <v>496.56381249999998</v>
      </c>
      <c r="D127" s="251">
        <f>SUM(T3_[[#This Row],[Recuento de T3 CODIGO]]*T3_[[#This Row],[Columna1]])</f>
        <v>10924.403875</v>
      </c>
    </row>
    <row r="128" spans="1:4" x14ac:dyDescent="0.25">
      <c r="A128" s="250" t="s">
        <v>552</v>
      </c>
      <c r="B128">
        <v>15</v>
      </c>
      <c r="C128" s="251">
        <f>LOOKUP(T3_[[#This Row],[Etiquetas de fila]],'VALORIZACION CARTA'!B:B,'VALORIZACION CARTA'!C:C)</f>
        <v>1351.6988125</v>
      </c>
      <c r="D128" s="251">
        <f>SUM(T3_[[#This Row],[Recuento de T3 CODIGO]]*T3_[[#This Row],[Columna1]])</f>
        <v>20275.482187500002</v>
      </c>
    </row>
    <row r="129" spans="1:4" x14ac:dyDescent="0.25">
      <c r="A129" s="250" t="s">
        <v>947</v>
      </c>
      <c r="B129">
        <v>26</v>
      </c>
      <c r="C129" s="251">
        <f>LOOKUP(T3_[[#This Row],[Etiquetas de fila]],'VALORIZACION CARTA'!B:B,'VALORIZACION CARTA'!C:C)</f>
        <v>1351.6988125</v>
      </c>
      <c r="D129" s="251">
        <f>SUM(T3_[[#This Row],[Recuento de T3 CODIGO]]*T3_[[#This Row],[Columna1]])</f>
        <v>35144.169125</v>
      </c>
    </row>
    <row r="130" spans="1:4" x14ac:dyDescent="0.25">
      <c r="A130" s="250" t="s">
        <v>948</v>
      </c>
      <c r="B130">
        <v>22</v>
      </c>
      <c r="C130" s="251">
        <f>LOOKUP(T3_[[#This Row],[Etiquetas de fila]],'VALORIZACION CARTA'!B:B,'VALORIZACION CARTA'!C:C)</f>
        <v>1351.6988125</v>
      </c>
      <c r="D130" s="251">
        <f>SUM(T3_[[#This Row],[Recuento de T3 CODIGO]]*T3_[[#This Row],[Columna1]])</f>
        <v>29737.373875000001</v>
      </c>
    </row>
    <row r="131" spans="1:4" x14ac:dyDescent="0.25">
      <c r="A131" s="250" t="s">
        <v>318</v>
      </c>
      <c r="B131">
        <v>16</v>
      </c>
      <c r="C131" s="251">
        <f>LOOKUP(T3_[[#This Row],[Etiquetas de fila]],'VALORIZACION CARTA'!B:B,'VALORIZACION CARTA'!C:C)</f>
        <v>618.27850000000001</v>
      </c>
      <c r="D131" s="251">
        <f>SUM(T3_[[#This Row],[Recuento de T3 CODIGO]]*T3_[[#This Row],[Columna1]])</f>
        <v>9892.4560000000001</v>
      </c>
    </row>
    <row r="132" spans="1:4" x14ac:dyDescent="0.25">
      <c r="A132" s="250" t="s">
        <v>603</v>
      </c>
      <c r="B132">
        <v>6</v>
      </c>
      <c r="C132" s="251">
        <f>LOOKUP(T3_[[#This Row],[Etiquetas de fila]],'VALORIZACION CARTA'!B:B,'VALORIZACION CARTA'!C:C)</f>
        <v>627.93800999999996</v>
      </c>
      <c r="D132" s="251">
        <f>SUM(T3_[[#This Row],[Recuento de T3 CODIGO]]*T3_[[#This Row],[Columna1]])</f>
        <v>3767.62806</v>
      </c>
    </row>
    <row r="133" spans="1:4" x14ac:dyDescent="0.25">
      <c r="A133" s="250" t="s">
        <v>693</v>
      </c>
      <c r="B133">
        <v>5</v>
      </c>
      <c r="C133" s="251">
        <f>LOOKUP(T3_[[#This Row],[Etiquetas de fila]],'VALORIZACION CARTA'!B:B,'VALORIZACION CARTA'!C:C)</f>
        <v>1674.93</v>
      </c>
      <c r="D133" s="251">
        <f>SUM(T3_[[#This Row],[Recuento de T3 CODIGO]]*T3_[[#This Row],[Columna1]])</f>
        <v>8374.65</v>
      </c>
    </row>
    <row r="134" spans="1:4" x14ac:dyDescent="0.25">
      <c r="A134" s="250" t="s">
        <v>949</v>
      </c>
      <c r="B134">
        <v>5</v>
      </c>
      <c r="C134" s="251">
        <f>LOOKUP(T3_[[#This Row],[Etiquetas de fila]],'VALORIZACION CARTA'!B:B,'VALORIZACION CARTA'!C:C)</f>
        <v>1674.93</v>
      </c>
      <c r="D134" s="251">
        <f>SUM(T3_[[#This Row],[Recuento de T3 CODIGO]]*T3_[[#This Row],[Columna1]])</f>
        <v>8374.65</v>
      </c>
    </row>
    <row r="135" spans="1:4" x14ac:dyDescent="0.25">
      <c r="A135" s="250" t="s">
        <v>854</v>
      </c>
      <c r="B135">
        <v>2</v>
      </c>
      <c r="C135" s="251">
        <f>LOOKUP(T3_[[#This Row],[Etiquetas de fila]],'VALORIZACION CARTA'!B:B,'VALORIZACION CARTA'!C:C)</f>
        <v>2204.0295000000001</v>
      </c>
      <c r="D135" s="251">
        <f>SUM(T3_[[#This Row],[Recuento de T3 CODIGO]]*T3_[[#This Row],[Columna1]])</f>
        <v>4408.0590000000002</v>
      </c>
    </row>
    <row r="136" spans="1:4" x14ac:dyDescent="0.25">
      <c r="A136" s="250" t="s">
        <v>622</v>
      </c>
      <c r="B136">
        <v>1</v>
      </c>
      <c r="C136" s="251">
        <f>LOOKUP(T3_[[#This Row],[Etiquetas de fila]],'VALORIZACION CARTA'!B:B,'VALORIZACION CARTA'!C:C)</f>
        <v>2392.3049999999998</v>
      </c>
      <c r="D136" s="251">
        <f>SUM(T3_[[#This Row],[Recuento de T3 CODIGO]]*T3_[[#This Row],[Columna1]])</f>
        <v>2392.3049999999998</v>
      </c>
    </row>
    <row r="137" spans="1:4" x14ac:dyDescent="0.25">
      <c r="A137" s="250" t="s">
        <v>623</v>
      </c>
      <c r="B137">
        <v>1</v>
      </c>
      <c r="C137" s="251">
        <f>LOOKUP(T3_[[#This Row],[Etiquetas de fila]],'VALORIZACION CARTA'!B:B,'VALORIZACION CARTA'!C:C)</f>
        <v>1331.2800000000002</v>
      </c>
      <c r="D137" s="251">
        <f>SUM(T3_[[#This Row],[Recuento de T3 CODIGO]]*T3_[[#This Row],[Columna1]])</f>
        <v>1331.2800000000002</v>
      </c>
    </row>
    <row r="138" spans="1:4" x14ac:dyDescent="0.25">
      <c r="A138" s="250" t="s">
        <v>1045</v>
      </c>
      <c r="B138">
        <v>1</v>
      </c>
      <c r="C138" s="251">
        <f>LOOKUP(T3_[[#This Row],[Etiquetas de fila]],'VALORIZACION CARTA'!B:B,'VALORIZACION CARTA'!C:C)</f>
        <v>1358.70712</v>
      </c>
      <c r="D138" s="251">
        <f>SUM(T3_[[#This Row],[Recuento de T3 CODIGO]]*T3_[[#This Row],[Columna1]])</f>
        <v>1358.70712</v>
      </c>
    </row>
    <row r="139" spans="1:4" x14ac:dyDescent="0.25">
      <c r="A139" s="250" t="s">
        <v>742</v>
      </c>
      <c r="B139">
        <v>5</v>
      </c>
      <c r="C139" s="251">
        <f>LOOKUP(T3_[[#This Row],[Etiquetas de fila]],'VALORIZACION CARTA'!B:B,'VALORIZACION CARTA'!C:C)</f>
        <v>1358.70712</v>
      </c>
      <c r="D139" s="251">
        <f>SUM(T3_[[#This Row],[Recuento de T3 CODIGO]]*T3_[[#This Row],[Columna1]])</f>
        <v>6793.5356000000002</v>
      </c>
    </row>
    <row r="140" spans="1:4" x14ac:dyDescent="0.25">
      <c r="A140" s="250" t="s">
        <v>951</v>
      </c>
      <c r="B140">
        <v>10</v>
      </c>
      <c r="C140" s="251">
        <f>LOOKUP(T3_[[#This Row],[Etiquetas de fila]],'VALORIZACION CARTA'!B:B,'VALORIZACION CARTA'!C:C)</f>
        <v>1163.4689039999998</v>
      </c>
      <c r="D140" s="251">
        <f>SUM(T3_[[#This Row],[Recuento de T3 CODIGO]]*T3_[[#This Row],[Columna1]])</f>
        <v>11634.689039999997</v>
      </c>
    </row>
    <row r="141" spans="1:4" x14ac:dyDescent="0.25">
      <c r="A141" s="250" t="s">
        <v>952</v>
      </c>
      <c r="B141">
        <v>1</v>
      </c>
      <c r="C141" s="251">
        <f>LOOKUP(T3_[[#This Row],[Etiquetas de fila]],'VALORIZACION CARTA'!B:B,'VALORIZACION CARTA'!C:C)</f>
        <v>1163.4689039999998</v>
      </c>
      <c r="D141" s="251">
        <f>SUM(T3_[[#This Row],[Recuento de T3 CODIGO]]*T3_[[#This Row],[Columna1]])</f>
        <v>1163.4689039999998</v>
      </c>
    </row>
    <row r="142" spans="1:4" x14ac:dyDescent="0.25">
      <c r="A142" s="250" t="s">
        <v>953</v>
      </c>
      <c r="B142">
        <v>1</v>
      </c>
      <c r="C142" s="251">
        <f>LOOKUP(T3_[[#This Row],[Etiquetas de fila]],'VALORIZACION CARTA'!B:B,'VALORIZACION CARTA'!C:C)</f>
        <v>1163.4689039999998</v>
      </c>
      <c r="D142" s="251">
        <f>SUM(T3_[[#This Row],[Recuento de T3 CODIGO]]*T3_[[#This Row],[Columna1]])</f>
        <v>1163.4689039999998</v>
      </c>
    </row>
    <row r="143" spans="1:4" x14ac:dyDescent="0.25">
      <c r="A143" s="250" t="s">
        <v>624</v>
      </c>
      <c r="B143">
        <v>3</v>
      </c>
      <c r="C143" s="251">
        <f>LOOKUP(T3_[[#This Row],[Etiquetas de fila]],'VALORIZACION CARTA'!B:B,'VALORIZACION CARTA'!C:C)</f>
        <v>2952.4660000000003</v>
      </c>
      <c r="D143" s="251">
        <f>SUM(T3_[[#This Row],[Recuento de T3 CODIGO]]*T3_[[#This Row],[Columna1]])</f>
        <v>8857.398000000001</v>
      </c>
    </row>
    <row r="144" spans="1:4" x14ac:dyDescent="0.25">
      <c r="A144" s="250" t="s">
        <v>954</v>
      </c>
      <c r="B144">
        <v>34</v>
      </c>
      <c r="C144" s="251">
        <f>LOOKUP(T3_[[#This Row],[Etiquetas de fila]],'VALORIZACION CARTA'!B:B,'VALORIZACION CARTA'!C:C)</f>
        <v>356.00709375000002</v>
      </c>
      <c r="D144" s="251">
        <f>SUM(T3_[[#This Row],[Recuento de T3 CODIGO]]*T3_[[#This Row],[Columna1]])</f>
        <v>12104.241187500002</v>
      </c>
    </row>
    <row r="145" spans="1:4" x14ac:dyDescent="0.25">
      <c r="A145" s="250" t="s">
        <v>880</v>
      </c>
      <c r="B145">
        <v>23</v>
      </c>
      <c r="C145" s="251">
        <f>LOOKUP(T3_[[#This Row],[Etiquetas de fila]],'VALORIZACION CARTA'!B:B,'VALORIZACION CARTA'!C:C)</f>
        <v>260.28646875000004</v>
      </c>
      <c r="D145" s="251">
        <f>SUM(T3_[[#This Row],[Recuento de T3 CODIGO]]*T3_[[#This Row],[Columna1]])</f>
        <v>5986.5887812500005</v>
      </c>
    </row>
    <row r="146" spans="1:4" x14ac:dyDescent="0.25">
      <c r="A146" s="250" t="s">
        <v>857</v>
      </c>
      <c r="B146">
        <v>28</v>
      </c>
      <c r="C146" s="251">
        <f>LOOKUP(T3_[[#This Row],[Etiquetas de fila]],'VALORIZACION CARTA'!B:B,'VALORIZACION CARTA'!C:C)</f>
        <v>396.25884374999998</v>
      </c>
      <c r="D146" s="251">
        <f>SUM(T3_[[#This Row],[Recuento de T3 CODIGO]]*T3_[[#This Row],[Columna1]])</f>
        <v>11095.247625</v>
      </c>
    </row>
    <row r="147" spans="1:4" x14ac:dyDescent="0.25">
      <c r="A147" s="250" t="s">
        <v>955</v>
      </c>
      <c r="B147">
        <v>1</v>
      </c>
      <c r="C147" s="251">
        <f>LOOKUP(T3_[[#This Row],[Etiquetas de fila]],'VALORIZACION CARTA'!B:B,'VALORIZACION CARTA'!C:C)</f>
        <v>445.37771249999997</v>
      </c>
      <c r="D147" s="251">
        <f>SUM(T3_[[#This Row],[Recuento de T3 CODIGO]]*T3_[[#This Row],[Columna1]])</f>
        <v>445.37771249999997</v>
      </c>
    </row>
    <row r="148" spans="1:4" x14ac:dyDescent="0.25">
      <c r="A148" s="250" t="s">
        <v>957</v>
      </c>
      <c r="B148">
        <v>9</v>
      </c>
      <c r="C148" s="251">
        <f>LOOKUP(T3_[[#This Row],[Etiquetas de fila]],'VALORIZACION CARTA'!B:B,'VALORIZACION CARTA'!C:C)</f>
        <v>553.29974000000004</v>
      </c>
      <c r="D148" s="251">
        <f>SUM(T3_[[#This Row],[Recuento de T3 CODIGO]]*T3_[[#This Row],[Columna1]])</f>
        <v>4979.6976600000007</v>
      </c>
    </row>
    <row r="149" spans="1:4" x14ac:dyDescent="0.25">
      <c r="A149" s="250" t="s">
        <v>958</v>
      </c>
      <c r="B149">
        <v>11</v>
      </c>
      <c r="C149" s="251">
        <f>LOOKUP(T3_[[#This Row],[Etiquetas de fila]],'VALORIZACION CARTA'!B:B,'VALORIZACION CARTA'!C:C)</f>
        <v>553.29974000000004</v>
      </c>
      <c r="D149" s="251">
        <f>SUM(T3_[[#This Row],[Recuento de T3 CODIGO]]*T3_[[#This Row],[Columna1]])</f>
        <v>6086.2971400000006</v>
      </c>
    </row>
    <row r="150" spans="1:4" x14ac:dyDescent="0.25">
      <c r="A150" s="250" t="s">
        <v>862</v>
      </c>
      <c r="B150">
        <v>46</v>
      </c>
      <c r="C150" s="251">
        <f>LOOKUP(T3_[[#This Row],[Etiquetas de fila]],'VALORIZACION CARTA'!B:B,'VALORIZACION CARTA'!C:C)</f>
        <v>466.57668750000005</v>
      </c>
      <c r="D150" s="251">
        <f>SUM(T3_[[#This Row],[Recuento de T3 CODIGO]]*T3_[[#This Row],[Columna1]])</f>
        <v>21462.527625000002</v>
      </c>
    </row>
    <row r="151" spans="1:4" x14ac:dyDescent="0.25">
      <c r="A151" s="250" t="s">
        <v>959</v>
      </c>
      <c r="B151">
        <v>6</v>
      </c>
      <c r="C151" s="251">
        <f>LOOKUP(T3_[[#This Row],[Etiquetas de fila]],'VALORIZACION CARTA'!B:B,'VALORIZACION CARTA'!C:C)</f>
        <v>3360.56</v>
      </c>
      <c r="D151" s="251">
        <f>SUM(T3_[[#This Row],[Recuento de T3 CODIGO]]*T3_[[#This Row],[Columna1]])</f>
        <v>20163.36</v>
      </c>
    </row>
    <row r="152" spans="1:4" x14ac:dyDescent="0.25">
      <c r="A152" s="250" t="s">
        <v>875</v>
      </c>
      <c r="B152">
        <v>5</v>
      </c>
      <c r="C152" s="251">
        <f>LOOKUP(T3_[[#This Row],[Etiquetas de fila]],'VALORIZACION CARTA'!B:B,'VALORIZACION CARTA'!C:C)</f>
        <v>2215.8185750000002</v>
      </c>
      <c r="D152" s="251">
        <f>SUM(T3_[[#This Row],[Recuento de T3 CODIGO]]*T3_[[#This Row],[Columna1]])</f>
        <v>11079.092875000002</v>
      </c>
    </row>
    <row r="153" spans="1:4" x14ac:dyDescent="0.25">
      <c r="A153" s="250" t="s">
        <v>960</v>
      </c>
      <c r="B153">
        <v>3</v>
      </c>
      <c r="C153" s="251">
        <f>LOOKUP(T3_[[#This Row],[Etiquetas de fila]],'VALORIZACION CARTA'!B:B,'VALORIZACION CARTA'!C:C)</f>
        <v>1235.3842666666667</v>
      </c>
      <c r="D153" s="251">
        <f>SUM(T3_[[#This Row],[Recuento de T3 CODIGO]]*T3_[[#This Row],[Columna1]])</f>
        <v>3706.1527999999998</v>
      </c>
    </row>
    <row r="154" spans="1:4" x14ac:dyDescent="0.25">
      <c r="A154" s="250" t="s">
        <v>961</v>
      </c>
      <c r="B154">
        <v>5</v>
      </c>
      <c r="C154" s="251">
        <f>LOOKUP(T3_[[#This Row],[Etiquetas de fila]],'VALORIZACION CARTA'!B:B,'VALORIZACION CARTA'!C:C)</f>
        <v>475.18470374999993</v>
      </c>
      <c r="D154" s="251">
        <f>SUM(T3_[[#This Row],[Recuento de T3 CODIGO]]*T3_[[#This Row],[Columna1]])</f>
        <v>2375.9235187499999</v>
      </c>
    </row>
    <row r="155" spans="1:4" x14ac:dyDescent="0.25">
      <c r="A155" s="250" t="s">
        <v>962</v>
      </c>
      <c r="B155">
        <v>1</v>
      </c>
      <c r="C155" s="251">
        <f>LOOKUP(T3_[[#This Row],[Etiquetas de fila]],'VALORIZACION CARTA'!B:B,'VALORIZACION CARTA'!C:C)</f>
        <v>475.18470374999993</v>
      </c>
      <c r="D155" s="251">
        <f>SUM(T3_[[#This Row],[Recuento de T3 CODIGO]]*T3_[[#This Row],[Columna1]])</f>
        <v>475.18470374999993</v>
      </c>
    </row>
    <row r="156" spans="1:4" x14ac:dyDescent="0.25">
      <c r="A156" s="250" t="s">
        <v>1046</v>
      </c>
      <c r="B156">
        <v>2</v>
      </c>
      <c r="C156" s="251">
        <f>LOOKUP(T3_[[#This Row],[Etiquetas de fila]],'VALORIZACION CARTA'!B:B,'VALORIZACION CARTA'!C:C)</f>
        <v>475.18470374999993</v>
      </c>
      <c r="D156" s="251">
        <f>SUM(T3_[[#This Row],[Recuento de T3 CODIGO]]*T3_[[#This Row],[Columna1]])</f>
        <v>950.36940749999985</v>
      </c>
    </row>
    <row r="157" spans="1:4" x14ac:dyDescent="0.25">
      <c r="A157" s="250" t="s">
        <v>881</v>
      </c>
      <c r="B157">
        <v>7</v>
      </c>
      <c r="C157" s="251">
        <f>LOOKUP(T3_[[#This Row],[Etiquetas de fila]],'VALORIZACION CARTA'!B:B,'VALORIZACION CARTA'!C:C)</f>
        <v>991.76869749999992</v>
      </c>
      <c r="D157" s="251">
        <f>SUM(T3_[[#This Row],[Recuento de T3 CODIGO]]*T3_[[#This Row],[Columna1]])</f>
        <v>6942.3808824999996</v>
      </c>
    </row>
    <row r="158" spans="1:4" x14ac:dyDescent="0.25">
      <c r="A158" s="250" t="s">
        <v>963</v>
      </c>
      <c r="B158">
        <v>6</v>
      </c>
      <c r="C158" s="251">
        <f>LOOKUP(T3_[[#This Row],[Etiquetas de fila]],'VALORIZACION CARTA'!B:B,'VALORIZACION CARTA'!C:C)</f>
        <v>991.76869749999992</v>
      </c>
      <c r="D158" s="251">
        <f>SUM(T3_[[#This Row],[Recuento de T3 CODIGO]]*T3_[[#This Row],[Columna1]])</f>
        <v>5950.612185</v>
      </c>
    </row>
    <row r="159" spans="1:4" x14ac:dyDescent="0.25">
      <c r="A159" s="250" t="s">
        <v>845</v>
      </c>
      <c r="B159">
        <v>3</v>
      </c>
      <c r="C159" s="251">
        <f>LOOKUP(T3_[[#This Row],[Etiquetas de fila]],'VALORIZACION CARTA'!B:B,'VALORIZACION CARTA'!C:C)</f>
        <v>806.65921874999992</v>
      </c>
      <c r="D159" s="251">
        <f>SUM(T3_[[#This Row],[Recuento de T3 CODIGO]]*T3_[[#This Row],[Columna1]])</f>
        <v>2419.9776562499997</v>
      </c>
    </row>
    <row r="160" spans="1:4" x14ac:dyDescent="0.25">
      <c r="A160" s="250" t="s">
        <v>894</v>
      </c>
      <c r="B160">
        <v>12</v>
      </c>
      <c r="C160" s="251">
        <f>LOOKUP(T3_[[#This Row],[Etiquetas de fila]],'VALORIZACION CARTA'!B:B,'VALORIZACION CARTA'!C:C)</f>
        <v>512.87973333333332</v>
      </c>
      <c r="D160" s="251">
        <f>SUM(T3_[[#This Row],[Recuento de T3 CODIGO]]*T3_[[#This Row],[Columna1]])</f>
        <v>6154.5568000000003</v>
      </c>
    </row>
    <row r="161" spans="1:4" x14ac:dyDescent="0.25">
      <c r="A161" s="250" t="s">
        <v>874</v>
      </c>
      <c r="B161">
        <v>12</v>
      </c>
      <c r="C161" s="251">
        <f>LOOKUP(T3_[[#This Row],[Etiquetas de fila]],'VALORIZACION CARTA'!B:B,'VALORIZACION CARTA'!C:C)</f>
        <v>915.41563749999989</v>
      </c>
      <c r="D161" s="251">
        <f>SUM(T3_[[#This Row],[Recuento de T3 CODIGO]]*T3_[[#This Row],[Columna1]])</f>
        <v>10984.987649999999</v>
      </c>
    </row>
    <row r="162" spans="1:4" x14ac:dyDescent="0.25">
      <c r="A162" s="250" t="s">
        <v>655</v>
      </c>
      <c r="B162">
        <v>4</v>
      </c>
      <c r="C162" s="251">
        <f>LOOKUP(T3_[[#This Row],[Etiquetas de fila]],'VALORIZACION CARTA'!B:B,'VALORIZACION CARTA'!C:C)</f>
        <v>1049.9626625000001</v>
      </c>
      <c r="D162" s="251">
        <f>SUM(T3_[[#This Row],[Recuento de T3 CODIGO]]*T3_[[#This Row],[Columna1]])</f>
        <v>4199.8506500000003</v>
      </c>
    </row>
    <row r="163" spans="1:4" x14ac:dyDescent="0.25">
      <c r="A163" s="250" t="s">
        <v>965</v>
      </c>
      <c r="B163">
        <v>4</v>
      </c>
      <c r="C163" s="251">
        <f>LOOKUP(T3_[[#This Row],[Etiquetas de fila]],'VALORIZACION CARTA'!B:B,'VALORIZACION CARTA'!C:C)</f>
        <v>1049.9626625000001</v>
      </c>
      <c r="D163" s="251">
        <f>SUM(T3_[[#This Row],[Recuento de T3 CODIGO]]*T3_[[#This Row],[Columna1]])</f>
        <v>4199.8506500000003</v>
      </c>
    </row>
    <row r="164" spans="1:4" x14ac:dyDescent="0.25">
      <c r="A164" s="250" t="s">
        <v>891</v>
      </c>
      <c r="B164">
        <v>2</v>
      </c>
      <c r="C164" s="251">
        <f>LOOKUP(T3_[[#This Row],[Etiquetas de fila]],'VALORIZACION CARTA'!B:B,'VALORIZACION CARTA'!C:C)</f>
        <v>919.50254374999997</v>
      </c>
      <c r="D164" s="251">
        <f>SUM(T3_[[#This Row],[Recuento de T3 CODIGO]]*T3_[[#This Row],[Columna1]])</f>
        <v>1839.0050874999999</v>
      </c>
    </row>
    <row r="165" spans="1:4" x14ac:dyDescent="0.25">
      <c r="A165" s="250" t="s">
        <v>966</v>
      </c>
      <c r="B165">
        <v>3</v>
      </c>
      <c r="C165" s="251">
        <f>LOOKUP(T3_[[#This Row],[Etiquetas de fila]],'VALORIZACION CARTA'!B:B,'VALORIZACION CARTA'!C:C)</f>
        <v>868.31766874999994</v>
      </c>
      <c r="D165" s="251">
        <f>SUM(T3_[[#This Row],[Recuento de T3 CODIGO]]*T3_[[#This Row],[Columna1]])</f>
        <v>2604.9530062499998</v>
      </c>
    </row>
    <row r="166" spans="1:4" x14ac:dyDescent="0.25">
      <c r="A166" s="250" t="s">
        <v>1047</v>
      </c>
      <c r="B166">
        <v>1</v>
      </c>
      <c r="C166" s="251">
        <f>LOOKUP(T3_[[#This Row],[Etiquetas de fila]],'VALORIZACION CARTA'!B:B,'VALORIZACION CARTA'!C:C)</f>
        <v>868.31766874999994</v>
      </c>
      <c r="D166" s="251">
        <f>SUM(T3_[[#This Row],[Recuento de T3 CODIGO]]*T3_[[#This Row],[Columna1]])</f>
        <v>868.31766874999994</v>
      </c>
    </row>
    <row r="167" spans="1:4" x14ac:dyDescent="0.25">
      <c r="A167" s="250" t="s">
        <v>967</v>
      </c>
      <c r="B167">
        <v>5</v>
      </c>
      <c r="C167" s="251">
        <f>LOOKUP(T3_[[#This Row],[Etiquetas de fila]],'VALORIZACION CARTA'!B:B,'VALORIZACION CARTA'!C:C)</f>
        <v>868.31766874999994</v>
      </c>
      <c r="D167" s="251">
        <f>SUM(T3_[[#This Row],[Recuento de T3 CODIGO]]*T3_[[#This Row],[Columna1]])</f>
        <v>4341.5883437499997</v>
      </c>
    </row>
    <row r="168" spans="1:4" x14ac:dyDescent="0.25">
      <c r="A168" s="250" t="s">
        <v>1048</v>
      </c>
      <c r="B168">
        <v>1</v>
      </c>
      <c r="C168" s="251">
        <f>LOOKUP(T3_[[#This Row],[Etiquetas de fila]],'VALORIZACION CARTA'!B:B,'VALORIZACION CARTA'!C:C)</f>
        <v>868.31766874999994</v>
      </c>
      <c r="D168" s="251">
        <f>SUM(T3_[[#This Row],[Recuento de T3 CODIGO]]*T3_[[#This Row],[Columna1]])</f>
        <v>868.31766874999994</v>
      </c>
    </row>
    <row r="169" spans="1:4" x14ac:dyDescent="0.25">
      <c r="A169" s="250" t="s">
        <v>1049</v>
      </c>
      <c r="B169">
        <v>1</v>
      </c>
      <c r="C169" s="251">
        <f>LOOKUP(T3_[[#This Row],[Etiquetas de fila]],'VALORIZACION CARTA'!B:B,'VALORIZACION CARTA'!C:C)</f>
        <v>2661.4147874999999</v>
      </c>
      <c r="D169" s="251">
        <f>SUM(T3_[[#This Row],[Recuento de T3 CODIGO]]*T3_[[#This Row],[Columna1]])</f>
        <v>2661.4147874999999</v>
      </c>
    </row>
    <row r="170" spans="1:4" x14ac:dyDescent="0.25">
      <c r="A170" s="250" t="s">
        <v>895</v>
      </c>
      <c r="B170">
        <v>3</v>
      </c>
      <c r="C170" s="251">
        <f>LOOKUP(T3_[[#This Row],[Etiquetas de fila]],'VALORIZACION CARTA'!B:B,'VALORIZACION CARTA'!C:C)</f>
        <v>704.66899999999998</v>
      </c>
      <c r="D170" s="251">
        <f>SUM(T3_[[#This Row],[Recuento de T3 CODIGO]]*T3_[[#This Row],[Columna1]])</f>
        <v>2114.0070000000001</v>
      </c>
    </row>
    <row r="171" spans="1:4" x14ac:dyDescent="0.25">
      <c r="A171" s="250" t="s">
        <v>743</v>
      </c>
      <c r="B171">
        <v>1</v>
      </c>
      <c r="C171" s="251">
        <f>LOOKUP(T3_[[#This Row],[Etiquetas de fila]],'VALORIZACION CARTA'!B:B,'VALORIZACION CARTA'!C:C)</f>
        <v>2394.61</v>
      </c>
      <c r="D171" s="251">
        <f>SUM(T3_[[#This Row],[Recuento de T3 CODIGO]]*T3_[[#This Row],[Columna1]])</f>
        <v>2394.61</v>
      </c>
    </row>
    <row r="172" spans="1:4" x14ac:dyDescent="0.25">
      <c r="A172" s="250" t="s">
        <v>968</v>
      </c>
      <c r="B172">
        <v>7</v>
      </c>
      <c r="C172" s="251">
        <f>LOOKUP(T3_[[#This Row],[Etiquetas de fila]],'VALORIZACION CARTA'!B:B,'VALORIZACION CARTA'!C:C)</f>
        <v>664.35</v>
      </c>
      <c r="D172" s="251">
        <f>SUM(T3_[[#This Row],[Recuento de T3 CODIGO]]*T3_[[#This Row],[Columna1]])</f>
        <v>4650.45</v>
      </c>
    </row>
    <row r="173" spans="1:4" x14ac:dyDescent="0.25">
      <c r="A173" s="250" t="s">
        <v>970</v>
      </c>
      <c r="B173">
        <v>6</v>
      </c>
      <c r="C173" s="251">
        <f>LOOKUP(T3_[[#This Row],[Etiquetas de fila]],'VALORIZACION CARTA'!B:B,'VALORIZACION CARTA'!C:C)</f>
        <v>664.24679999999989</v>
      </c>
      <c r="D173" s="251">
        <f>SUM(T3_[[#This Row],[Recuento de T3 CODIGO]]*T3_[[#This Row],[Columna1]])</f>
        <v>3985.4807999999994</v>
      </c>
    </row>
    <row r="174" spans="1:4" x14ac:dyDescent="0.25">
      <c r="A174" s="250" t="s">
        <v>556</v>
      </c>
      <c r="B174">
        <v>1</v>
      </c>
      <c r="C174" s="251">
        <f>LOOKUP(T3_[[#This Row],[Etiquetas de fila]],'VALORIZACION CARTA'!B:B,'VALORIZACION CARTA'!C:C)</f>
        <v>0</v>
      </c>
      <c r="D174" s="251">
        <f>SUM(T3_[[#This Row],[Recuento de T3 CODIGO]]*T3_[[#This Row],[Columna1]])</f>
        <v>0</v>
      </c>
    </row>
    <row r="175" spans="1:4" x14ac:dyDescent="0.25">
      <c r="A175" s="250" t="s">
        <v>557</v>
      </c>
      <c r="B175">
        <v>1</v>
      </c>
      <c r="C175" s="251">
        <f>LOOKUP(T3_[[#This Row],[Etiquetas de fila]],'VALORIZACION CARTA'!B:B,'VALORIZACION CARTA'!C:C)</f>
        <v>0</v>
      </c>
      <c r="D175" s="251">
        <f>SUM(T3_[[#This Row],[Recuento de T3 CODIGO]]*T3_[[#This Row],[Columna1]])</f>
        <v>0</v>
      </c>
    </row>
    <row r="176" spans="1:4" x14ac:dyDescent="0.25">
      <c r="A176" s="250" t="s">
        <v>716</v>
      </c>
      <c r="B176">
        <v>4</v>
      </c>
      <c r="C176" s="251">
        <f>LOOKUP(T3_[[#This Row],[Etiquetas de fila]],'VALORIZACION CARTA'!B:B,'VALORIZACION CARTA'!C:C)</f>
        <v>0</v>
      </c>
      <c r="D176" s="251">
        <f>SUM(T3_[[#This Row],[Recuento de T3 CODIGO]]*T3_[[#This Row],[Columna1]])</f>
        <v>0</v>
      </c>
    </row>
    <row r="177" spans="1:4" x14ac:dyDescent="0.25">
      <c r="A177" s="250" t="s">
        <v>971</v>
      </c>
      <c r="B177">
        <v>1</v>
      </c>
      <c r="C177" s="251">
        <f>LOOKUP(T3_[[#This Row],[Etiquetas de fila]],'VALORIZACION CARTA'!B:B,'VALORIZACION CARTA'!C:C)</f>
        <v>704.62379999999996</v>
      </c>
      <c r="D177" s="251">
        <f>SUM(T3_[[#This Row],[Recuento de T3 CODIGO]]*T3_[[#This Row],[Columna1]])</f>
        <v>704.62379999999996</v>
      </c>
    </row>
    <row r="178" spans="1:4" x14ac:dyDescent="0.25">
      <c r="A178" s="250" t="s">
        <v>972</v>
      </c>
      <c r="B178">
        <v>8</v>
      </c>
      <c r="C178" s="251">
        <f>LOOKUP(T3_[[#This Row],[Etiquetas de fila]],'VALORIZACION CARTA'!B:B,'VALORIZACION CARTA'!C:C)</f>
        <v>3994.56</v>
      </c>
      <c r="D178" s="251">
        <f>SUM(T3_[[#This Row],[Recuento de T3 CODIGO]]*T3_[[#This Row],[Columna1]])</f>
        <v>31956.48</v>
      </c>
    </row>
    <row r="179" spans="1:4" x14ac:dyDescent="0.25">
      <c r="A179" s="250" t="s">
        <v>973</v>
      </c>
      <c r="B179">
        <v>9</v>
      </c>
      <c r="C179" s="251">
        <f>LOOKUP(T3_[[#This Row],[Etiquetas de fila]],'VALORIZACION CARTA'!B:B,'VALORIZACION CARTA'!C:C)</f>
        <v>3662.6923076923072</v>
      </c>
      <c r="D179" s="251">
        <f>SUM(T3_[[#This Row],[Recuento de T3 CODIGO]]*T3_[[#This Row],[Columna1]])</f>
        <v>32964.230769230766</v>
      </c>
    </row>
    <row r="180" spans="1:4" x14ac:dyDescent="0.25">
      <c r="A180" s="250" t="s">
        <v>975</v>
      </c>
      <c r="B180">
        <v>3</v>
      </c>
      <c r="C180" s="251">
        <f>LOOKUP(T3_[[#This Row],[Etiquetas de fila]],'VALORIZACION CARTA'!B:B,'VALORIZACION CARTA'!C:C)</f>
        <v>467.67</v>
      </c>
      <c r="D180" s="251">
        <f>SUM(T3_[[#This Row],[Recuento de T3 CODIGO]]*T3_[[#This Row],[Columna1]])</f>
        <v>1403.01</v>
      </c>
    </row>
    <row r="181" spans="1:4" x14ac:dyDescent="0.25">
      <c r="A181" s="250" t="s">
        <v>976</v>
      </c>
      <c r="B181">
        <v>5</v>
      </c>
      <c r="C181" s="251">
        <f>LOOKUP(T3_[[#This Row],[Etiquetas de fila]],'VALORIZACION CARTA'!B:B,'VALORIZACION CARTA'!C:C)</f>
        <v>4533.476333333334</v>
      </c>
      <c r="D181" s="251">
        <f>SUM(T3_[[#This Row],[Recuento de T3 CODIGO]]*T3_[[#This Row],[Columna1]])</f>
        <v>22667.381666666668</v>
      </c>
    </row>
    <row r="182" spans="1:4" x14ac:dyDescent="0.25">
      <c r="A182" s="250" t="s">
        <v>977</v>
      </c>
      <c r="B182">
        <v>2</v>
      </c>
      <c r="C182" s="251">
        <f>LOOKUP(T3_[[#This Row],[Etiquetas de fila]],'VALORIZACION CARTA'!B:B,'VALORIZACION CARTA'!C:C)</f>
        <v>2001.9100000000003</v>
      </c>
      <c r="D182" s="251">
        <f>SUM(T3_[[#This Row],[Recuento de T3 CODIGO]]*T3_[[#This Row],[Columna1]])</f>
        <v>4003.8200000000006</v>
      </c>
    </row>
    <row r="183" spans="1:4" x14ac:dyDescent="0.25">
      <c r="A183" s="250" t="s">
        <v>978</v>
      </c>
      <c r="B183">
        <v>2</v>
      </c>
      <c r="C183" s="251">
        <f>LOOKUP(T3_[[#This Row],[Etiquetas de fila]],'VALORIZACION CARTA'!B:B,'VALORIZACION CARTA'!C:C)</f>
        <v>1942.4580576923076</v>
      </c>
      <c r="D183" s="251">
        <f>SUM(T3_[[#This Row],[Recuento de T3 CODIGO]]*T3_[[#This Row],[Columna1]])</f>
        <v>3884.9161153846153</v>
      </c>
    </row>
    <row r="184" spans="1:4" x14ac:dyDescent="0.25">
      <c r="A184" s="250" t="s">
        <v>979</v>
      </c>
      <c r="B184">
        <v>2</v>
      </c>
      <c r="C184" s="251">
        <f>LOOKUP(T3_[[#This Row],[Etiquetas de fila]],'VALORIZACION CARTA'!B:B,'VALORIZACION CARTA'!C:C)</f>
        <v>2157.8183076923078</v>
      </c>
      <c r="D184" s="251">
        <f>SUM(T3_[[#This Row],[Recuento de T3 CODIGO]]*T3_[[#This Row],[Columna1]])</f>
        <v>4315.6366153846157</v>
      </c>
    </row>
    <row r="185" spans="1:4" x14ac:dyDescent="0.25">
      <c r="A185" s="250" t="s">
        <v>980</v>
      </c>
      <c r="B185">
        <v>5</v>
      </c>
      <c r="C185" s="251">
        <f>LOOKUP(T3_[[#This Row],[Etiquetas de fila]],'VALORIZACION CARTA'!B:B,'VALORIZACION CARTA'!C:C)</f>
        <v>5087.5800000000008</v>
      </c>
      <c r="D185" s="251">
        <f>SUM(T3_[[#This Row],[Recuento de T3 CODIGO]]*T3_[[#This Row],[Columna1]])</f>
        <v>25437.900000000005</v>
      </c>
    </row>
    <row r="186" spans="1:4" x14ac:dyDescent="0.25">
      <c r="A186" s="250" t="s">
        <v>981</v>
      </c>
      <c r="B186">
        <v>3</v>
      </c>
      <c r="C186" s="251">
        <f>LOOKUP(T3_[[#This Row],[Etiquetas de fila]],'VALORIZACION CARTA'!B:B,'VALORIZACION CARTA'!C:C)</f>
        <v>5214.9100000000008</v>
      </c>
      <c r="D186" s="251">
        <f>SUM(T3_[[#This Row],[Recuento de T3 CODIGO]]*T3_[[#This Row],[Columna1]])</f>
        <v>15644.730000000003</v>
      </c>
    </row>
    <row r="187" spans="1:4" x14ac:dyDescent="0.25">
      <c r="A187" s="250" t="s">
        <v>982</v>
      </c>
      <c r="B187">
        <v>8</v>
      </c>
      <c r="C187" s="251">
        <f>LOOKUP(T3_[[#This Row],[Etiquetas de fila]],'VALORIZACION CARTA'!B:B,'VALORIZACION CARTA'!C:C)</f>
        <v>879.64050000000009</v>
      </c>
      <c r="D187" s="251">
        <f>SUM(T3_[[#This Row],[Recuento de T3 CODIGO]]*T3_[[#This Row],[Columna1]])</f>
        <v>7037.1240000000007</v>
      </c>
    </row>
    <row r="188" spans="1:4" x14ac:dyDescent="0.25">
      <c r="A188" s="250" t="s">
        <v>984</v>
      </c>
      <c r="B188">
        <v>2</v>
      </c>
      <c r="C188" s="251">
        <f>LOOKUP(T3_[[#This Row],[Etiquetas de fila]],'VALORIZACION CARTA'!B:B,'VALORIZACION CARTA'!C:C)</f>
        <v>704.64960000000008</v>
      </c>
      <c r="D188" s="251">
        <f>SUM(T3_[[#This Row],[Recuento de T3 CODIGO]]*T3_[[#This Row],[Columna1]])</f>
        <v>1409.2992000000002</v>
      </c>
    </row>
    <row r="189" spans="1:4" x14ac:dyDescent="0.25">
      <c r="A189" s="250" t="s">
        <v>985</v>
      </c>
      <c r="B189">
        <v>1</v>
      </c>
      <c r="C189" s="251">
        <f>LOOKUP(T3_[[#This Row],[Etiquetas de fila]],'VALORIZACION CARTA'!B:B,'VALORIZACION CARTA'!C:C)</f>
        <v>704.62379999999996</v>
      </c>
      <c r="D189" s="251">
        <f>SUM(T3_[[#This Row],[Recuento de T3 CODIGO]]*T3_[[#This Row],[Columna1]])</f>
        <v>704.62379999999996</v>
      </c>
    </row>
    <row r="190" spans="1:4" x14ac:dyDescent="0.25">
      <c r="A190" s="250" t="s">
        <v>626</v>
      </c>
      <c r="B190">
        <v>68</v>
      </c>
      <c r="C190" s="251">
        <f>LOOKUP(T3_[[#This Row],[Etiquetas de fila]],'VALORIZACION CARTA'!B:B,'VALORIZACION CARTA'!C:C)</f>
        <v>106.04015625000002</v>
      </c>
      <c r="D190" s="251">
        <f>SUM(T3_[[#This Row],[Recuento de T3 CODIGO]]*T3_[[#This Row],[Columna1]])</f>
        <v>7210.730625000002</v>
      </c>
    </row>
    <row r="191" spans="1:4" x14ac:dyDescent="0.25">
      <c r="A191" s="250" t="s">
        <v>205</v>
      </c>
      <c r="B191">
        <v>38</v>
      </c>
      <c r="C191" s="251">
        <f>LOOKUP(T3_[[#This Row],[Etiquetas de fila]],'VALORIZACION CARTA'!B:B,'VALORIZACION CARTA'!C:C)</f>
        <v>106.04015625000002</v>
      </c>
      <c r="D191" s="251">
        <f>SUM(T3_[[#This Row],[Recuento de T3 CODIGO]]*T3_[[#This Row],[Columna1]])</f>
        <v>4029.525937500001</v>
      </c>
    </row>
    <row r="192" spans="1:4" x14ac:dyDescent="0.25">
      <c r="A192" s="250" t="s">
        <v>885</v>
      </c>
      <c r="B192">
        <v>14</v>
      </c>
      <c r="C192" s="251">
        <f>LOOKUP(T3_[[#This Row],[Etiquetas de fila]],'VALORIZACION CARTA'!B:B,'VALORIZACION CARTA'!C:C)</f>
        <v>349.86</v>
      </c>
      <c r="D192" s="251">
        <f>SUM(T3_[[#This Row],[Recuento de T3 CODIGO]]*T3_[[#This Row],[Columna1]])</f>
        <v>4898.04</v>
      </c>
    </row>
    <row r="193" spans="1:4" x14ac:dyDescent="0.25">
      <c r="A193" s="250" t="s">
        <v>858</v>
      </c>
      <c r="B193">
        <v>24</v>
      </c>
      <c r="C193" s="251">
        <f>LOOKUP(T3_[[#This Row],[Etiquetas de fila]],'VALORIZACION CARTA'!B:B,'VALORIZACION CARTA'!C:C)</f>
        <v>467.67</v>
      </c>
      <c r="D193" s="251">
        <f>SUM(T3_[[#This Row],[Recuento de T3 CODIGO]]*T3_[[#This Row],[Columna1]])</f>
        <v>11224.08</v>
      </c>
    </row>
    <row r="194" spans="1:4" x14ac:dyDescent="0.25">
      <c r="A194" s="250" t="s">
        <v>558</v>
      </c>
      <c r="B194">
        <v>4</v>
      </c>
      <c r="C194" s="251">
        <f>LOOKUP(T3_[[#This Row],[Etiquetas de fila]],'VALORIZACION CARTA'!B:B,'VALORIZACION CARTA'!C:C)</f>
        <v>852.38900000000001</v>
      </c>
      <c r="D194" s="251">
        <f>SUM(T3_[[#This Row],[Recuento de T3 CODIGO]]*T3_[[#This Row],[Columna1]])</f>
        <v>3409.556</v>
      </c>
    </row>
    <row r="195" spans="1:4" x14ac:dyDescent="0.25">
      <c r="A195" s="250" t="s">
        <v>559</v>
      </c>
      <c r="B195">
        <v>14</v>
      </c>
      <c r="C195" s="251">
        <f>LOOKUP(T3_[[#This Row],[Etiquetas de fila]],'VALORIZACION CARTA'!B:B,'VALORIZACION CARTA'!C:C)</f>
        <v>1392.5335</v>
      </c>
      <c r="D195" s="251">
        <f>SUM(T3_[[#This Row],[Recuento de T3 CODIGO]]*T3_[[#This Row],[Columna1]])</f>
        <v>19495.469000000001</v>
      </c>
    </row>
    <row r="196" spans="1:4" x14ac:dyDescent="0.25">
      <c r="A196" s="250" t="s">
        <v>988</v>
      </c>
      <c r="B196">
        <v>3</v>
      </c>
      <c r="C196" s="251">
        <f>LOOKUP(T3_[[#This Row],[Etiquetas de fila]],'VALORIZACION CARTA'!B:B,'VALORIZACION CARTA'!C:C)</f>
        <v>1375.6343125000001</v>
      </c>
      <c r="D196" s="251">
        <f>SUM(T3_[[#This Row],[Recuento de T3 CODIGO]]*T3_[[#This Row],[Columna1]])</f>
        <v>4126.9029375</v>
      </c>
    </row>
    <row r="197" spans="1:4" x14ac:dyDescent="0.25">
      <c r="A197" s="250" t="s">
        <v>990</v>
      </c>
      <c r="B197">
        <v>21</v>
      </c>
      <c r="C197" s="251">
        <f>LOOKUP(T3_[[#This Row],[Etiquetas de fila]],'VALORIZACION CARTA'!B:B,'VALORIZACION CARTA'!C:C)</f>
        <v>1137.0918125000001</v>
      </c>
      <c r="D197" s="251">
        <f>SUM(T3_[[#This Row],[Recuento de T3 CODIGO]]*T3_[[#This Row],[Columna1]])</f>
        <v>23878.928062500003</v>
      </c>
    </row>
    <row r="198" spans="1:4" x14ac:dyDescent="0.25">
      <c r="A198" s="250" t="s">
        <v>320</v>
      </c>
      <c r="B198">
        <v>35</v>
      </c>
      <c r="C198" s="251">
        <f>LOOKUP(T3_[[#This Row],[Etiquetas de fila]],'VALORIZACION CARTA'!B:B,'VALORIZACION CARTA'!C:C)</f>
        <v>496.56381249999998</v>
      </c>
      <c r="D198" s="251">
        <f>SUM(T3_[[#This Row],[Recuento de T3 CODIGO]]*T3_[[#This Row],[Columna1]])</f>
        <v>17379.733437499999</v>
      </c>
    </row>
    <row r="199" spans="1:4" x14ac:dyDescent="0.25">
      <c r="A199" s="250" t="s">
        <v>1050</v>
      </c>
      <c r="B199">
        <v>2</v>
      </c>
      <c r="C199" s="251">
        <f>LOOKUP(T3_[[#This Row],[Etiquetas de fila]],'VALORIZACION CARTA'!B:B,'VALORIZACION CARTA'!C:C)</f>
        <v>496.56381249999998</v>
      </c>
      <c r="D199" s="251">
        <f>SUM(T3_[[#This Row],[Recuento de T3 CODIGO]]*T3_[[#This Row],[Columna1]])</f>
        <v>993.12762499999997</v>
      </c>
    </row>
    <row r="200" spans="1:4" x14ac:dyDescent="0.25">
      <c r="A200" s="250" t="s">
        <v>838</v>
      </c>
      <c r="B200">
        <v>31</v>
      </c>
      <c r="C200" s="251">
        <f>LOOKUP(T3_[[#This Row],[Etiquetas de fila]],'VALORIZACION CARTA'!B:B,'VALORIZACION CARTA'!C:C)</f>
        <v>1560.506625</v>
      </c>
      <c r="D200" s="251">
        <f>SUM(T3_[[#This Row],[Recuento de T3 CODIGO]]*T3_[[#This Row],[Columna1]])</f>
        <v>48375.705374999998</v>
      </c>
    </row>
    <row r="201" spans="1:4" x14ac:dyDescent="0.25">
      <c r="A201" s="250" t="s">
        <v>991</v>
      </c>
      <c r="B201">
        <v>6</v>
      </c>
      <c r="C201" s="251">
        <f>LOOKUP(T3_[[#This Row],[Etiquetas de fila]],'VALORIZACION CARTA'!B:B,'VALORIZACION CARTA'!C:C)</f>
        <v>1560.506625</v>
      </c>
      <c r="D201" s="251">
        <f>SUM(T3_[[#This Row],[Recuento de T3 CODIGO]]*T3_[[#This Row],[Columna1]])</f>
        <v>9363.0397499999999</v>
      </c>
    </row>
    <row r="202" spans="1:4" x14ac:dyDescent="0.25">
      <c r="A202" s="250" t="s">
        <v>992</v>
      </c>
      <c r="B202">
        <v>13</v>
      </c>
      <c r="C202" s="251">
        <f>LOOKUP(T3_[[#This Row],[Etiquetas de fila]],'VALORIZACION CARTA'!B:B,'VALORIZACION CARTA'!C:C)</f>
        <v>1560.506625</v>
      </c>
      <c r="D202" s="251">
        <f>SUM(T3_[[#This Row],[Recuento de T3 CODIGO]]*T3_[[#This Row],[Columna1]])</f>
        <v>20286.586125000002</v>
      </c>
    </row>
    <row r="203" spans="1:4" x14ac:dyDescent="0.25">
      <c r="A203" s="250" t="s">
        <v>993</v>
      </c>
      <c r="B203">
        <v>140</v>
      </c>
      <c r="C203" s="251">
        <f>LOOKUP(T3_[[#This Row],[Etiquetas de fila]],'VALORIZACION CARTA'!B:B,'VALORIZACION CARTA'!C:C)</f>
        <v>1560.506625</v>
      </c>
      <c r="D203" s="251">
        <f>SUM(T3_[[#This Row],[Recuento de T3 CODIGO]]*T3_[[#This Row],[Columna1]])</f>
        <v>218470.92749999999</v>
      </c>
    </row>
    <row r="204" spans="1:4" x14ac:dyDescent="0.25">
      <c r="A204" s="250" t="s">
        <v>994</v>
      </c>
      <c r="B204">
        <v>3</v>
      </c>
      <c r="C204" s="251">
        <f>LOOKUP(T3_[[#This Row],[Etiquetas de fila]],'VALORIZACION CARTA'!B:B,'VALORIZACION CARTA'!C:C)</f>
        <v>2110.0743124999999</v>
      </c>
      <c r="D204" s="251">
        <f>SUM(T3_[[#This Row],[Recuento de T3 CODIGO]]*T3_[[#This Row],[Columna1]])</f>
        <v>6330.2229374999997</v>
      </c>
    </row>
    <row r="205" spans="1:4" x14ac:dyDescent="0.25">
      <c r="A205" s="250" t="s">
        <v>321</v>
      </c>
      <c r="B205">
        <v>40</v>
      </c>
      <c r="C205" s="251">
        <f>LOOKUP(T3_[[#This Row],[Etiquetas de fila]],'VALORIZACION CARTA'!B:B,'VALORIZACION CARTA'!C:C)</f>
        <v>618.27850000000001</v>
      </c>
      <c r="D205" s="251">
        <f>SUM(T3_[[#This Row],[Recuento de T3 CODIGO]]*T3_[[#This Row],[Columna1]])</f>
        <v>24731.14</v>
      </c>
    </row>
    <row r="206" spans="1:4" x14ac:dyDescent="0.25">
      <c r="A206" s="250" t="s">
        <v>996</v>
      </c>
      <c r="B206">
        <v>1</v>
      </c>
      <c r="C206" s="251">
        <f>LOOKUP(T3_[[#This Row],[Etiquetas de fila]],'VALORIZACION CARTA'!B:B,'VALORIZACION CARTA'!C:C)</f>
        <v>618.27850000000001</v>
      </c>
      <c r="D206" s="251">
        <f>SUM(T3_[[#This Row],[Recuento de T3 CODIGO]]*T3_[[#This Row],[Columna1]])</f>
        <v>618.27850000000001</v>
      </c>
    </row>
    <row r="207" spans="1:4" x14ac:dyDescent="0.25">
      <c r="A207" s="250" t="s">
        <v>997</v>
      </c>
      <c r="B207">
        <v>23</v>
      </c>
      <c r="C207" s="251">
        <f>LOOKUP(T3_[[#This Row],[Etiquetas de fila]],'VALORIZACION CARTA'!B:B,'VALORIZACION CARTA'!C:C)</f>
        <v>485.19437499999998</v>
      </c>
      <c r="D207" s="251">
        <f>SUM(T3_[[#This Row],[Recuento de T3 CODIGO]]*T3_[[#This Row],[Columna1]])</f>
        <v>11159.470625</v>
      </c>
    </row>
    <row r="208" spans="1:4" x14ac:dyDescent="0.25">
      <c r="A208" s="250" t="s">
        <v>1051</v>
      </c>
      <c r="B208">
        <v>3</v>
      </c>
      <c r="C208" s="251">
        <f>LOOKUP(T3_[[#This Row],[Etiquetas de fila]],'VALORIZACION CARTA'!B:B,'VALORIZACION CARTA'!C:C)</f>
        <v>485.19437499999998</v>
      </c>
      <c r="D208" s="251">
        <f>SUM(T3_[[#This Row],[Recuento de T3 CODIGO]]*T3_[[#This Row],[Columna1]])</f>
        <v>1455.5831249999999</v>
      </c>
    </row>
    <row r="209" spans="1:4" x14ac:dyDescent="0.25">
      <c r="A209" s="250" t="s">
        <v>999</v>
      </c>
      <c r="B209">
        <v>9</v>
      </c>
      <c r="C209" s="251">
        <f>LOOKUP(T3_[[#This Row],[Etiquetas de fila]],'VALORIZACION CARTA'!B:B,'VALORIZACION CARTA'!C:C)</f>
        <v>1532.1075000000001</v>
      </c>
      <c r="D209" s="251">
        <f>SUM(T3_[[#This Row],[Recuento de T3 CODIGO]]*T3_[[#This Row],[Columna1]])</f>
        <v>13788.967500000001</v>
      </c>
    </row>
    <row r="210" spans="1:4" x14ac:dyDescent="0.25">
      <c r="A210" s="250" t="s">
        <v>627</v>
      </c>
      <c r="B210">
        <v>1</v>
      </c>
      <c r="C210" s="251">
        <f>LOOKUP(T3_[[#This Row],[Etiquetas de fila]],'VALORIZACION CARTA'!B:B,'VALORIZACION CARTA'!C:C)</f>
        <v>1532.1075000000001</v>
      </c>
      <c r="D210" s="251">
        <f>SUM(T3_[[#This Row],[Recuento de T3 CODIGO]]*T3_[[#This Row],[Columna1]])</f>
        <v>1532.1075000000001</v>
      </c>
    </row>
    <row r="211" spans="1:4" x14ac:dyDescent="0.25">
      <c r="A211" s="250" t="s">
        <v>864</v>
      </c>
      <c r="B211">
        <v>25</v>
      </c>
      <c r="C211" s="251">
        <f>LOOKUP(T3_[[#This Row],[Etiquetas de fila]],'VALORIZACION CARTA'!B:B,'VALORIZACION CARTA'!C:C)</f>
        <v>2252.9318750000002</v>
      </c>
      <c r="D211" s="251">
        <f>SUM(T3_[[#This Row],[Recuento de T3 CODIGO]]*T3_[[#This Row],[Columna1]])</f>
        <v>56323.296875000007</v>
      </c>
    </row>
    <row r="212" spans="1:4" x14ac:dyDescent="0.25">
      <c r="A212" s="250" t="s">
        <v>1052</v>
      </c>
      <c r="B212">
        <v>2</v>
      </c>
      <c r="C212" s="251">
        <f>LOOKUP(T3_[[#This Row],[Etiquetas de fila]],'VALORIZACION CARTA'!B:B,'VALORIZACION CARTA'!C:C)</f>
        <v>1978.2297499999997</v>
      </c>
      <c r="D212" s="251">
        <f>SUM(T3_[[#This Row],[Recuento de T3 CODIGO]]*T3_[[#This Row],[Columna1]])</f>
        <v>3956.4594999999995</v>
      </c>
    </row>
    <row r="213" spans="1:4" x14ac:dyDescent="0.25">
      <c r="A213" s="250" t="s">
        <v>846</v>
      </c>
      <c r="B213">
        <v>6</v>
      </c>
      <c r="C213" s="251">
        <f>LOOKUP(T3_[[#This Row],[Etiquetas de fila]],'VALORIZACION CARTA'!B:B,'VALORIZACION CARTA'!C:C)</f>
        <v>2458.1767</v>
      </c>
      <c r="D213" s="251">
        <f>SUM(T3_[[#This Row],[Recuento de T3 CODIGO]]*T3_[[#This Row],[Columna1]])</f>
        <v>14749.0602</v>
      </c>
    </row>
    <row r="214" spans="1:4" x14ac:dyDescent="0.25">
      <c r="A214" s="250" t="s">
        <v>805</v>
      </c>
      <c r="B214">
        <v>7</v>
      </c>
      <c r="C214" s="251">
        <f>LOOKUP(T3_[[#This Row],[Etiquetas de fila]],'VALORIZACION CARTA'!B:B,'VALORIZACION CARTA'!C:C)</f>
        <v>2458.1767</v>
      </c>
      <c r="D214" s="251">
        <f>SUM(T3_[[#This Row],[Recuento de T3 CODIGO]]*T3_[[#This Row],[Columna1]])</f>
        <v>17207.2369</v>
      </c>
    </row>
    <row r="215" spans="1:4" x14ac:dyDescent="0.25">
      <c r="A215" s="250" t="s">
        <v>1000</v>
      </c>
      <c r="B215">
        <v>10</v>
      </c>
      <c r="C215" s="251">
        <f>LOOKUP(T3_[[#This Row],[Etiquetas de fila]],'VALORIZACION CARTA'!B:B,'VALORIZACION CARTA'!C:C)</f>
        <v>3146.3599999999997</v>
      </c>
      <c r="D215" s="251">
        <f>SUM(T3_[[#This Row],[Recuento de T3 CODIGO]]*T3_[[#This Row],[Columna1]])</f>
        <v>31463.599999999999</v>
      </c>
    </row>
    <row r="216" spans="1:4" x14ac:dyDescent="0.25">
      <c r="A216" s="250" t="s">
        <v>1001</v>
      </c>
      <c r="B216">
        <v>4</v>
      </c>
      <c r="C216" s="251">
        <f>LOOKUP(T3_[[#This Row],[Etiquetas de fila]],'VALORIZACION CARTA'!B:B,'VALORIZACION CARTA'!C:C)</f>
        <v>2867.7345</v>
      </c>
      <c r="D216" s="251">
        <f>SUM(T3_[[#This Row],[Recuento de T3 CODIGO]]*T3_[[#This Row],[Columna1]])</f>
        <v>11470.938</v>
      </c>
    </row>
    <row r="217" spans="1:4" x14ac:dyDescent="0.25">
      <c r="A217" s="250" t="s">
        <v>1002</v>
      </c>
      <c r="B217">
        <v>5</v>
      </c>
      <c r="C217" s="251">
        <f>LOOKUP(T3_[[#This Row],[Etiquetas de fila]],'VALORIZACION CARTA'!B:B,'VALORIZACION CARTA'!C:C)</f>
        <v>1369.8509999999999</v>
      </c>
      <c r="D217" s="251">
        <f>SUM(T3_[[#This Row],[Recuento de T3 CODIGO]]*T3_[[#This Row],[Columna1]])</f>
        <v>6849.2549999999992</v>
      </c>
    </row>
    <row r="218" spans="1:4" x14ac:dyDescent="0.25">
      <c r="A218" s="250" t="s">
        <v>871</v>
      </c>
      <c r="B218">
        <v>9</v>
      </c>
      <c r="C218" s="251">
        <f>LOOKUP(T3_[[#This Row],[Etiquetas de fila]],'VALORIZACION CARTA'!B:B,'VALORIZACION CARTA'!C:C)</f>
        <v>1037.68</v>
      </c>
      <c r="D218" s="251">
        <f>SUM(T3_[[#This Row],[Recuento de T3 CODIGO]]*T3_[[#This Row],[Columna1]])</f>
        <v>9339.1200000000008</v>
      </c>
    </row>
    <row r="219" spans="1:4" x14ac:dyDescent="0.25">
      <c r="A219" s="250" t="s">
        <v>839</v>
      </c>
      <c r="B219">
        <v>42</v>
      </c>
      <c r="C219" s="251">
        <f>LOOKUP(T3_[[#This Row],[Etiquetas de fila]],'VALORIZACION CARTA'!B:B,'VALORIZACION CARTA'!C:C)</f>
        <v>7892.8534999999993</v>
      </c>
      <c r="D219" s="251">
        <f>SUM(T3_[[#This Row],[Recuento de T3 CODIGO]]*T3_[[#This Row],[Columna1]])</f>
        <v>331499.84699999995</v>
      </c>
    </row>
    <row r="220" spans="1:4" x14ac:dyDescent="0.25">
      <c r="A220" s="250" t="s">
        <v>322</v>
      </c>
      <c r="B220">
        <v>30</v>
      </c>
      <c r="C220" s="251">
        <f>LOOKUP(T3_[[#This Row],[Etiquetas de fila]],'VALORIZACION CARTA'!B:B,'VALORIZACION CARTA'!C:C)</f>
        <v>820.92109749999997</v>
      </c>
      <c r="D220" s="251">
        <f>SUM(T3_[[#This Row],[Recuento de T3 CODIGO]]*T3_[[#This Row],[Columna1]])</f>
        <v>24627.632924999998</v>
      </c>
    </row>
    <row r="221" spans="1:4" x14ac:dyDescent="0.25">
      <c r="A221" s="250" t="s">
        <v>1003</v>
      </c>
      <c r="B221">
        <v>12</v>
      </c>
      <c r="C221" s="251">
        <f>LOOKUP(T3_[[#This Row],[Etiquetas de fila]],'VALORIZACION CARTA'!B:B,'VALORIZACION CARTA'!C:C)</f>
        <v>664.11019499999998</v>
      </c>
      <c r="D221" s="251">
        <f>SUM(T3_[[#This Row],[Recuento de T3 CODIGO]]*T3_[[#This Row],[Columna1]])</f>
        <v>7969.3223399999997</v>
      </c>
    </row>
    <row r="222" spans="1:4" x14ac:dyDescent="0.25">
      <c r="A222" s="250" t="s">
        <v>856</v>
      </c>
      <c r="B222">
        <v>10</v>
      </c>
      <c r="C222" s="251">
        <f>LOOKUP(T3_[[#This Row],[Etiquetas de fila]],'VALORIZACION CARTA'!B:B,'VALORIZACION CARTA'!C:C)</f>
        <v>627.93800999999996</v>
      </c>
      <c r="D222" s="251">
        <f>SUM(T3_[[#This Row],[Recuento de T3 CODIGO]]*T3_[[#This Row],[Columna1]])</f>
        <v>6279.3800999999994</v>
      </c>
    </row>
    <row r="223" spans="1:4" x14ac:dyDescent="0.25">
      <c r="A223" s="250" t="s">
        <v>1004</v>
      </c>
      <c r="B223">
        <v>1</v>
      </c>
      <c r="C223" s="251">
        <f>LOOKUP(T3_[[#This Row],[Etiquetas de fila]],'VALORIZACION CARTA'!B:B,'VALORIZACION CARTA'!C:C)</f>
        <v>627.93800999999996</v>
      </c>
      <c r="D223" s="251">
        <f>SUM(T3_[[#This Row],[Recuento de T3 CODIGO]]*T3_[[#This Row],[Columna1]])</f>
        <v>627.93800999999996</v>
      </c>
    </row>
    <row r="224" spans="1:4" x14ac:dyDescent="0.25">
      <c r="A224" s="250" t="s">
        <v>323</v>
      </c>
      <c r="B224">
        <v>4</v>
      </c>
      <c r="C224" s="251">
        <f>LOOKUP(T3_[[#This Row],[Etiquetas de fila]],'VALORIZACION CARTA'!B:B,'VALORIZACION CARTA'!C:C)</f>
        <v>865.52550000000008</v>
      </c>
      <c r="D224" s="251">
        <f>SUM(T3_[[#This Row],[Recuento de T3 CODIGO]]*T3_[[#This Row],[Columna1]])</f>
        <v>3462.1020000000003</v>
      </c>
    </row>
    <row r="225" spans="1:4" x14ac:dyDescent="0.25">
      <c r="A225" s="250" t="s">
        <v>564</v>
      </c>
      <c r="B225">
        <v>4</v>
      </c>
      <c r="C225" s="251">
        <f>LOOKUP(T3_[[#This Row],[Etiquetas de fila]],'VALORIZACION CARTA'!B:B,'VALORIZACION CARTA'!C:C)</f>
        <v>2572.4454999999998</v>
      </c>
      <c r="D225" s="251">
        <f>SUM(T3_[[#This Row],[Recuento de T3 CODIGO]]*T3_[[#This Row],[Columna1]])</f>
        <v>10289.781999999999</v>
      </c>
    </row>
    <row r="226" spans="1:4" x14ac:dyDescent="0.25">
      <c r="A226" s="250" t="s">
        <v>1005</v>
      </c>
      <c r="B226">
        <v>32</v>
      </c>
      <c r="C226" s="251">
        <f>LOOKUP(T3_[[#This Row],[Etiquetas de fila]],'VALORIZACION CARTA'!B:B,'VALORIZACION CARTA'!C:C)</f>
        <v>302.76300000000003</v>
      </c>
      <c r="D226" s="251">
        <f>SUM(T3_[[#This Row],[Recuento de T3 CODIGO]]*T3_[[#This Row],[Columna1]])</f>
        <v>9688.4160000000011</v>
      </c>
    </row>
    <row r="227" spans="1:4" x14ac:dyDescent="0.25">
      <c r="A227" s="250" t="s">
        <v>1006</v>
      </c>
      <c r="B227">
        <v>5</v>
      </c>
      <c r="C227" s="251">
        <f>LOOKUP(T3_[[#This Row],[Etiquetas de fila]],'VALORIZACION CARTA'!B:B,'VALORIZACION CARTA'!C:C)</f>
        <v>664.35</v>
      </c>
      <c r="D227" s="251">
        <f>SUM(T3_[[#This Row],[Recuento de T3 CODIGO]]*T3_[[#This Row],[Columna1]])</f>
        <v>3321.75</v>
      </c>
    </row>
    <row r="228" spans="1:4" x14ac:dyDescent="0.25">
      <c r="A228" s="250" t="s">
        <v>850</v>
      </c>
      <c r="B228">
        <v>27</v>
      </c>
      <c r="C228" s="251">
        <f>LOOKUP(T3_[[#This Row],[Etiquetas de fila]],'VALORIZACION CARTA'!B:B,'VALORIZACION CARTA'!C:C)</f>
        <v>317.40450000000004</v>
      </c>
      <c r="D228" s="251">
        <f>SUM(T3_[[#This Row],[Recuento de T3 CODIGO]]*T3_[[#This Row],[Columna1]])</f>
        <v>8569.9215000000004</v>
      </c>
    </row>
    <row r="229" spans="1:4" x14ac:dyDescent="0.25">
      <c r="A229" s="250" t="s">
        <v>849</v>
      </c>
      <c r="B229">
        <v>3</v>
      </c>
      <c r="C229" s="251">
        <f>LOOKUP(T3_[[#This Row],[Etiquetas de fila]],'VALORIZACION CARTA'!B:B,'VALORIZACION CARTA'!C:C)</f>
        <v>664.24679999999989</v>
      </c>
      <c r="D229" s="251">
        <f>SUM(T3_[[#This Row],[Recuento de T3 CODIGO]]*T3_[[#This Row],[Columna1]])</f>
        <v>1992.7403999999997</v>
      </c>
    </row>
    <row r="230" spans="1:4" x14ac:dyDescent="0.25">
      <c r="A230" s="250" t="s">
        <v>631</v>
      </c>
      <c r="B230">
        <v>2</v>
      </c>
      <c r="C230" s="251">
        <f>LOOKUP(T3_[[#This Row],[Etiquetas de fila]],'VALORIZACION CARTA'!B:B,'VALORIZACION CARTA'!C:C)</f>
        <v>1305.48</v>
      </c>
      <c r="D230" s="251">
        <f>SUM(T3_[[#This Row],[Recuento de T3 CODIGO]]*T3_[[#This Row],[Columna1]])</f>
        <v>2610.96</v>
      </c>
    </row>
    <row r="231" spans="1:4" x14ac:dyDescent="0.25">
      <c r="A231" s="250" t="s">
        <v>1007</v>
      </c>
      <c r="B231">
        <v>1</v>
      </c>
      <c r="C231" s="251">
        <f>LOOKUP(T3_[[#This Row],[Etiquetas de fila]],'VALORIZACION CARTA'!B:B,'VALORIZACION CARTA'!C:C)</f>
        <v>1305.48</v>
      </c>
      <c r="D231" s="251">
        <f>SUM(T3_[[#This Row],[Recuento de T3 CODIGO]]*T3_[[#This Row],[Columna1]])</f>
        <v>1305.48</v>
      </c>
    </row>
    <row r="232" spans="1:4" x14ac:dyDescent="0.25">
      <c r="A232" s="250" t="s">
        <v>1053</v>
      </c>
      <c r="B232">
        <v>14</v>
      </c>
      <c r="C232" s="251">
        <f>LOOKUP(T3_[[#This Row],[Etiquetas de fila]],'VALORIZACION CARTA'!B:B,'VALORIZACION CARTA'!C:C)</f>
        <v>1305.48</v>
      </c>
      <c r="D232" s="251">
        <f>SUM(T3_[[#This Row],[Recuento de T3 CODIGO]]*T3_[[#This Row],[Columna1]])</f>
        <v>18276.72</v>
      </c>
    </row>
    <row r="233" spans="1:4" x14ac:dyDescent="0.25">
      <c r="A233" s="250" t="s">
        <v>566</v>
      </c>
      <c r="B233">
        <v>1</v>
      </c>
      <c r="C233" s="251">
        <f>LOOKUP(T3_[[#This Row],[Etiquetas de fila]],'VALORIZACION CARTA'!B:B,'VALORIZACION CARTA'!C:C)</f>
        <v>2806.172</v>
      </c>
      <c r="D233" s="251">
        <f>SUM(T3_[[#This Row],[Recuento de T3 CODIGO]]*T3_[[#This Row],[Columna1]])</f>
        <v>2806.172</v>
      </c>
    </row>
    <row r="234" spans="1:4" x14ac:dyDescent="0.25">
      <c r="A234" s="250" t="s">
        <v>1008</v>
      </c>
      <c r="B234">
        <v>1</v>
      </c>
      <c r="C234" s="251">
        <f>LOOKUP(T3_[[#This Row],[Etiquetas de fila]],'VALORIZACION CARTA'!B:B,'VALORIZACION CARTA'!C:C)</f>
        <v>1255.8760199999999</v>
      </c>
      <c r="D234" s="251">
        <f>SUM(T3_[[#This Row],[Recuento de T3 CODIGO]]*T3_[[#This Row],[Columna1]])</f>
        <v>1255.8760199999999</v>
      </c>
    </row>
    <row r="235" spans="1:4" x14ac:dyDescent="0.25">
      <c r="A235" s="250" t="s">
        <v>808</v>
      </c>
      <c r="B235">
        <v>1</v>
      </c>
      <c r="C235" s="251">
        <f>LOOKUP(T3_[[#This Row],[Etiquetas de fila]],'VALORIZACION CARTA'!B:B,'VALORIZACION CARTA'!C:C)</f>
        <v>1255.8760199999999</v>
      </c>
      <c r="D235" s="251">
        <f>SUM(T3_[[#This Row],[Recuento de T3 CODIGO]]*T3_[[#This Row],[Columna1]])</f>
        <v>1255.8760199999999</v>
      </c>
    </row>
    <row r="236" spans="1:4" x14ac:dyDescent="0.25">
      <c r="A236" s="250" t="s">
        <v>604</v>
      </c>
      <c r="B236">
        <v>4</v>
      </c>
      <c r="C236" s="251">
        <f>LOOKUP(T3_[[#This Row],[Etiquetas de fila]],'VALORIZACION CARTA'!B:B,'VALORIZACION CARTA'!C:C)</f>
        <v>1255.8760199999999</v>
      </c>
      <c r="D236" s="251">
        <f>SUM(T3_[[#This Row],[Recuento de T3 CODIGO]]*T3_[[#This Row],[Columna1]])</f>
        <v>5023.5040799999997</v>
      </c>
    </row>
    <row r="237" spans="1:4" x14ac:dyDescent="0.25">
      <c r="A237" s="250" t="s">
        <v>867</v>
      </c>
      <c r="B237">
        <v>3</v>
      </c>
      <c r="C237" s="251">
        <f>LOOKUP(T3_[[#This Row],[Etiquetas de fila]],'VALORIZACION CARTA'!B:B,'VALORIZACION CARTA'!C:C)</f>
        <v>704.62379999999996</v>
      </c>
      <c r="D237" s="251">
        <f>SUM(T3_[[#This Row],[Recuento de T3 CODIGO]]*T3_[[#This Row],[Columna1]])</f>
        <v>2113.8714</v>
      </c>
    </row>
    <row r="238" spans="1:4" x14ac:dyDescent="0.25">
      <c r="A238" s="250" t="s">
        <v>847</v>
      </c>
      <c r="B238">
        <v>16</v>
      </c>
      <c r="C238" s="251">
        <f>LOOKUP(T3_[[#This Row],[Etiquetas de fila]],'VALORIZACION CARTA'!B:B,'VALORIZACION CARTA'!C:C)</f>
        <v>665.51099999999997</v>
      </c>
      <c r="D238" s="251">
        <f>SUM(T3_[[#This Row],[Recuento de T3 CODIGO]]*T3_[[#This Row],[Columna1]])</f>
        <v>10648.175999999999</v>
      </c>
    </row>
    <row r="239" spans="1:4" x14ac:dyDescent="0.25">
      <c r="A239" s="250" t="s">
        <v>1009</v>
      </c>
      <c r="B239">
        <v>5</v>
      </c>
      <c r="C239" s="251">
        <f>LOOKUP(T3_[[#This Row],[Etiquetas de fila]],'VALORIZACION CARTA'!B:B,'VALORIZACION CARTA'!C:C)</f>
        <v>301.85999999999996</v>
      </c>
      <c r="D239" s="251">
        <f>SUM(T3_[[#This Row],[Recuento de T3 CODIGO]]*T3_[[#This Row],[Columna1]])</f>
        <v>1509.2999999999997</v>
      </c>
    </row>
    <row r="240" spans="1:4" x14ac:dyDescent="0.25">
      <c r="A240" s="250" t="s">
        <v>1054</v>
      </c>
      <c r="B240">
        <v>1</v>
      </c>
      <c r="C240" s="251">
        <f>LOOKUP(T3_[[#This Row],[Etiquetas de fila]],'VALORIZACION CARTA'!B:B,'VALORIZACION CARTA'!C:C)</f>
        <v>704.64960000000008</v>
      </c>
      <c r="D240" s="251">
        <f>SUM(T3_[[#This Row],[Recuento de T3 CODIGO]]*T3_[[#This Row],[Columna1]])</f>
        <v>704.64960000000008</v>
      </c>
    </row>
    <row r="241" spans="1:4" x14ac:dyDescent="0.25">
      <c r="A241" s="250" t="s">
        <v>1055</v>
      </c>
      <c r="B241">
        <v>7</v>
      </c>
      <c r="C241" s="251">
        <f>LOOKUP(T3_[[#This Row],[Etiquetas de fila]],'VALORIZACION CARTA'!B:B,'VALORIZACION CARTA'!C:C)</f>
        <v>704.62379999999996</v>
      </c>
      <c r="D241" s="251">
        <f>SUM(T3_[[#This Row],[Recuento de T3 CODIGO]]*T3_[[#This Row],[Columna1]])</f>
        <v>4932.3665999999994</v>
      </c>
    </row>
    <row r="242" spans="1:4" x14ac:dyDescent="0.25">
      <c r="A242" s="250" t="s">
        <v>1010</v>
      </c>
      <c r="B242">
        <v>1</v>
      </c>
      <c r="C242" s="251">
        <f>LOOKUP(T3_[[#This Row],[Etiquetas de fila]],'VALORIZACION CARTA'!B:B,'VALORIZACION CARTA'!C:C)</f>
        <v>2420.6849999999999</v>
      </c>
      <c r="D242" s="251">
        <f>SUM(T3_[[#This Row],[Recuento de T3 CODIGO]]*T3_[[#This Row],[Columna1]])</f>
        <v>2420.6849999999999</v>
      </c>
    </row>
    <row r="243" spans="1:4" x14ac:dyDescent="0.25">
      <c r="A243" s="250" t="s">
        <v>855</v>
      </c>
      <c r="B243">
        <v>15</v>
      </c>
      <c r="C243" s="251">
        <f>LOOKUP(T3_[[#This Row],[Etiquetas de fila]],'VALORIZACION CARTA'!B:B,'VALORIZACION CARTA'!C:C)</f>
        <v>2202.8982500000002</v>
      </c>
      <c r="D243" s="251">
        <f>SUM(T3_[[#This Row],[Recuento de T3 CODIGO]]*T3_[[#This Row],[Columna1]])</f>
        <v>33043.473750000005</v>
      </c>
    </row>
    <row r="244" spans="1:4" x14ac:dyDescent="0.25">
      <c r="A244" s="250" t="s">
        <v>860</v>
      </c>
      <c r="B244">
        <v>34</v>
      </c>
      <c r="C244" s="251">
        <f>LOOKUP(T3_[[#This Row],[Etiquetas de fila]],'VALORIZACION CARTA'!B:B,'VALORIZACION CARTA'!C:C)</f>
        <v>1804.2482499999999</v>
      </c>
      <c r="D244" s="251">
        <f>SUM(T3_[[#This Row],[Recuento de T3 CODIGO]]*T3_[[#This Row],[Columna1]])</f>
        <v>61344.440499999997</v>
      </c>
    </row>
    <row r="245" spans="1:4" x14ac:dyDescent="0.25">
      <c r="A245" s="250" t="s">
        <v>1011</v>
      </c>
      <c r="B245">
        <v>2</v>
      </c>
      <c r="C245" s="251">
        <f>LOOKUP(T3_[[#This Row],[Etiquetas de fila]],'VALORIZACION CARTA'!B:B,'VALORIZACION CARTA'!C:C)</f>
        <v>1804.2482499999999</v>
      </c>
      <c r="D245" s="251">
        <f>SUM(T3_[[#This Row],[Recuento de T3 CODIGO]]*T3_[[#This Row],[Columna1]])</f>
        <v>3608.4964999999997</v>
      </c>
    </row>
    <row r="246" spans="1:4" x14ac:dyDescent="0.25">
      <c r="A246" s="250" t="s">
        <v>324</v>
      </c>
      <c r="B246">
        <v>22</v>
      </c>
      <c r="C246" s="251">
        <f>LOOKUP(T3_[[#This Row],[Etiquetas de fila]],'VALORIZACION CARTA'!B:B,'VALORIZACION CARTA'!C:C)</f>
        <v>1744.7482500000001</v>
      </c>
      <c r="D246" s="251">
        <f>SUM(T3_[[#This Row],[Recuento de T3 CODIGO]]*T3_[[#This Row],[Columna1]])</f>
        <v>38384.461500000005</v>
      </c>
    </row>
    <row r="247" spans="1:4" x14ac:dyDescent="0.25">
      <c r="A247" s="250" t="s">
        <v>835</v>
      </c>
      <c r="B247">
        <v>20</v>
      </c>
      <c r="C247" s="251">
        <f>LOOKUP(T3_[[#This Row],[Etiquetas de fila]],'VALORIZACION CARTA'!B:B,'VALORIZACION CARTA'!C:C)</f>
        <v>1674.93</v>
      </c>
      <c r="D247" s="251">
        <f>SUM(T3_[[#This Row],[Recuento de T3 CODIGO]]*T3_[[#This Row],[Columna1]])</f>
        <v>33498.6</v>
      </c>
    </row>
    <row r="248" spans="1:4" x14ac:dyDescent="0.25">
      <c r="A248" s="250" t="s">
        <v>1056</v>
      </c>
      <c r="B248">
        <v>5</v>
      </c>
      <c r="C248" s="251">
        <f>LOOKUP(T3_[[#This Row],[Etiquetas de fila]],'VALORIZACION CARTA'!B:B,'VALORIZACION CARTA'!C:C)</f>
        <v>1674.93</v>
      </c>
      <c r="D248" s="251">
        <f>SUM(T3_[[#This Row],[Recuento de T3 CODIGO]]*T3_[[#This Row],[Columna1]])</f>
        <v>8374.65</v>
      </c>
    </row>
    <row r="249" spans="1:4" x14ac:dyDescent="0.25">
      <c r="A249" s="250" t="s">
        <v>1012</v>
      </c>
      <c r="B249">
        <v>8</v>
      </c>
      <c r="C249" s="251">
        <f>LOOKUP(T3_[[#This Row],[Etiquetas de fila]],'VALORIZACION CARTA'!B:B,'VALORIZACION CARTA'!C:C)</f>
        <v>1042.57</v>
      </c>
      <c r="D249" s="251">
        <f>SUM(T3_[[#This Row],[Recuento de T3 CODIGO]]*T3_[[#This Row],[Columna1]])</f>
        <v>8340.56</v>
      </c>
    </row>
    <row r="250" spans="1:4" x14ac:dyDescent="0.25">
      <c r="A250" s="250" t="s">
        <v>1013</v>
      </c>
      <c r="B250">
        <v>2</v>
      </c>
      <c r="C250" s="251">
        <f>LOOKUP(T3_[[#This Row],[Etiquetas de fila]],'VALORIZACION CARTA'!B:B,'VALORIZACION CARTA'!C:C)</f>
        <v>1106.96</v>
      </c>
      <c r="D250" s="251">
        <f>SUM(T3_[[#This Row],[Recuento de T3 CODIGO]]*T3_[[#This Row],[Columna1]])</f>
        <v>2213.92</v>
      </c>
    </row>
    <row r="251" spans="1:4" x14ac:dyDescent="0.25">
      <c r="A251" s="250" t="s">
        <v>1014</v>
      </c>
      <c r="B251">
        <v>1</v>
      </c>
      <c r="C251" s="251">
        <f>LOOKUP(T3_[[#This Row],[Etiquetas de fila]],'VALORIZACION CARTA'!B:B,'VALORIZACION CARTA'!C:C)</f>
        <v>1046.6799999999998</v>
      </c>
      <c r="D251" s="251">
        <f>SUM(T3_[[#This Row],[Recuento de T3 CODIGO]]*T3_[[#This Row],[Columna1]])</f>
        <v>1046.6799999999998</v>
      </c>
    </row>
    <row r="252" spans="1:4" x14ac:dyDescent="0.25">
      <c r="A252" s="250" t="s">
        <v>1015</v>
      </c>
      <c r="B252">
        <v>31</v>
      </c>
      <c r="C252" s="251">
        <f>LOOKUP(T3_[[#This Row],[Etiquetas de fila]],'VALORIZACION CARTA'!B:B,'VALORIZACION CARTA'!C:C)</f>
        <v>311.02222499999999</v>
      </c>
      <c r="D252" s="251">
        <f>SUM(T3_[[#This Row],[Recuento de T3 CODIGO]]*T3_[[#This Row],[Columna1]])</f>
        <v>9641.6889749999991</v>
      </c>
    </row>
    <row r="253" spans="1:4" x14ac:dyDescent="0.25">
      <c r="A253" s="250" t="s">
        <v>1016</v>
      </c>
      <c r="B253">
        <v>6</v>
      </c>
      <c r="C253" s="251">
        <f>LOOKUP(T3_[[#This Row],[Etiquetas de fila]],'VALORIZACION CARTA'!B:B,'VALORIZACION CARTA'!C:C)</f>
        <v>311.02222499999999</v>
      </c>
      <c r="D253" s="251">
        <f>SUM(T3_[[#This Row],[Recuento de T3 CODIGO]]*T3_[[#This Row],[Columna1]])</f>
        <v>1866.1333500000001</v>
      </c>
    </row>
    <row r="254" spans="1:4" x14ac:dyDescent="0.25">
      <c r="A254" s="250" t="s">
        <v>1017</v>
      </c>
      <c r="B254">
        <v>7</v>
      </c>
      <c r="C254" s="251">
        <f>LOOKUP(T3_[[#This Row],[Etiquetas de fila]],'VALORIZACION CARTA'!B:B,'VALORIZACION CARTA'!C:C)</f>
        <v>311.02222499999999</v>
      </c>
      <c r="D254" s="251">
        <f>SUM(T3_[[#This Row],[Recuento de T3 CODIGO]]*T3_[[#This Row],[Columna1]])</f>
        <v>2177.1555749999998</v>
      </c>
    </row>
    <row r="255" spans="1:4" x14ac:dyDescent="0.25">
      <c r="A255" s="250" t="s">
        <v>836</v>
      </c>
      <c r="B255">
        <v>109</v>
      </c>
      <c r="C255" s="251">
        <f>LOOKUP(T3_[[#This Row],[Etiquetas de fila]],'VALORIZACION CARTA'!B:B,'VALORIZACION CARTA'!C:C)</f>
        <v>879.64050000000009</v>
      </c>
      <c r="D255" s="251">
        <f>SUM(T3_[[#This Row],[Recuento de T3 CODIGO]]*T3_[[#This Row],[Columna1]])</f>
        <v>95880.814500000008</v>
      </c>
    </row>
    <row r="256" spans="1:4" x14ac:dyDescent="0.25">
      <c r="A256" s="250" t="s">
        <v>633</v>
      </c>
      <c r="B256">
        <v>4</v>
      </c>
      <c r="C256" s="251">
        <f>LOOKUP(T3_[[#This Row],[Etiquetas de fila]],'VALORIZACION CARTA'!B:B,'VALORIZACION CARTA'!C:C)</f>
        <v>879.64050000000009</v>
      </c>
      <c r="D256" s="251">
        <f>SUM(T3_[[#This Row],[Recuento de T3 CODIGO]]*T3_[[#This Row],[Columna1]])</f>
        <v>3518.5620000000004</v>
      </c>
    </row>
    <row r="257" spans="1:4" x14ac:dyDescent="0.25">
      <c r="A257" s="250" t="s">
        <v>691</v>
      </c>
      <c r="B257">
        <v>1</v>
      </c>
      <c r="C257" s="251">
        <f>LOOKUP(T3_[[#This Row],[Etiquetas de fila]],'VALORIZACION CARTA'!B:B,'VALORIZACION CARTA'!C:C)</f>
        <v>879.64050000000009</v>
      </c>
      <c r="D257" s="251">
        <f>SUM(T3_[[#This Row],[Recuento de T3 CODIGO]]*T3_[[#This Row],[Columna1]])</f>
        <v>879.64050000000009</v>
      </c>
    </row>
    <row r="258" spans="1:4" x14ac:dyDescent="0.25">
      <c r="A258" s="250" t="s">
        <v>1018</v>
      </c>
      <c r="B258">
        <v>5</v>
      </c>
      <c r="C258" s="251">
        <f>LOOKUP(T3_[[#This Row],[Etiquetas de fila]],'VALORIZACION CARTA'!B:B,'VALORIZACION CARTA'!C:C)</f>
        <v>576.65332750000005</v>
      </c>
      <c r="D258" s="251">
        <f>SUM(T3_[[#This Row],[Recuento de T3 CODIGO]]*T3_[[#This Row],[Columna1]])</f>
        <v>2883.2666375000003</v>
      </c>
    </row>
    <row r="259" spans="1:4" x14ac:dyDescent="0.25">
      <c r="A259" s="250" t="s">
        <v>1020</v>
      </c>
      <c r="B259">
        <v>1</v>
      </c>
      <c r="C259" s="251">
        <f>LOOKUP(T3_[[#This Row],[Etiquetas de fila]],'VALORIZACION CARTA'!B:B,'VALORIZACION CARTA'!C:C)</f>
        <v>1481.9132999999999</v>
      </c>
      <c r="D259" s="251">
        <f>SUM(T3_[[#This Row],[Recuento de T3 CODIGO]]*T3_[[#This Row],[Columna1]])</f>
        <v>1481.9132999999999</v>
      </c>
    </row>
    <row r="260" spans="1:4" x14ac:dyDescent="0.25">
      <c r="A260" s="250" t="s">
        <v>837</v>
      </c>
      <c r="B260">
        <v>8</v>
      </c>
      <c r="C260" s="251">
        <f>LOOKUP(T3_[[#This Row],[Etiquetas de fila]],'VALORIZACION CARTA'!B:B,'VALORIZACION CARTA'!C:C)</f>
        <v>9038.2820499999998</v>
      </c>
      <c r="D260" s="251">
        <f>SUM(T3_[[#This Row],[Recuento de T3 CODIGO]]*T3_[[#This Row],[Columna1]])</f>
        <v>72306.256399999998</v>
      </c>
    </row>
    <row r="261" spans="1:4" x14ac:dyDescent="0.25">
      <c r="A261" s="250" t="s">
        <v>840</v>
      </c>
      <c r="B261">
        <v>14</v>
      </c>
      <c r="C261" s="251">
        <f>LOOKUP(T3_[[#This Row],[Etiquetas de fila]],'VALORIZACION CARTA'!B:B,'VALORIZACION CARTA'!C:C)</f>
        <v>704.64960000000008</v>
      </c>
      <c r="D261" s="251">
        <f>SUM(T3_[[#This Row],[Recuento de T3 CODIGO]]*T3_[[#This Row],[Columna1]])</f>
        <v>9865.0944000000018</v>
      </c>
    </row>
    <row r="262" spans="1:4" x14ac:dyDescent="0.25">
      <c r="A262" s="250" t="s">
        <v>1021</v>
      </c>
      <c r="B262">
        <v>6</v>
      </c>
      <c r="C262" s="251">
        <f>LOOKUP(T3_[[#This Row],[Etiquetas de fila]],'VALORIZACION CARTA'!B:B,'VALORIZACION CARTA'!C:C)</f>
        <v>704.62379999999996</v>
      </c>
      <c r="D262" s="251">
        <f>SUM(T3_[[#This Row],[Recuento de T3 CODIGO]]*T3_[[#This Row],[Columna1]])</f>
        <v>4227.7428</v>
      </c>
    </row>
    <row r="263" spans="1:4" x14ac:dyDescent="0.25">
      <c r="A263" s="250" t="s">
        <v>1022</v>
      </c>
      <c r="B263">
        <v>2</v>
      </c>
      <c r="C263" s="251">
        <f>LOOKUP(T3_[[#This Row],[Etiquetas de fila]],'VALORIZACION CARTA'!B:B,'VALORIZACION CARTA'!C:C)</f>
        <v>816.07499999999993</v>
      </c>
      <c r="D263" s="251">
        <f>SUM(T3_[[#This Row],[Recuento de T3 CODIGO]]*T3_[[#This Row],[Columna1]])</f>
        <v>1632.1499999999999</v>
      </c>
    </row>
    <row r="264" spans="1:4" x14ac:dyDescent="0.25">
      <c r="A264" s="250" t="s">
        <v>848</v>
      </c>
      <c r="B264">
        <v>13</v>
      </c>
      <c r="C264" s="251">
        <f>LOOKUP(T3_[[#This Row],[Etiquetas de fila]],'VALORIZACION CARTA'!B:B,'VALORIZACION CARTA'!C:C)</f>
        <v>802.1090999999999</v>
      </c>
      <c r="D264" s="251">
        <f>SUM(T3_[[#This Row],[Recuento de T3 CODIGO]]*T3_[[#This Row],[Columna1]])</f>
        <v>10427.418299999999</v>
      </c>
    </row>
    <row r="265" spans="1:4" x14ac:dyDescent="0.25">
      <c r="A265" s="250" t="s">
        <v>567</v>
      </c>
      <c r="B265">
        <v>4</v>
      </c>
      <c r="C265" s="251">
        <f>LOOKUP(T3_[[#This Row],[Etiquetas de fila]],'VALORIZACION CARTA'!B:B,'VALORIZACION CARTA'!C:C)</f>
        <v>1180.9304999999999</v>
      </c>
      <c r="D265" s="251">
        <f>SUM(T3_[[#This Row],[Recuento de T3 CODIGO]]*T3_[[#This Row],[Columna1]])</f>
        <v>4723.7219999999998</v>
      </c>
    </row>
    <row r="266" spans="1:4" x14ac:dyDescent="0.25">
      <c r="A266" s="250" t="s">
        <v>1057</v>
      </c>
      <c r="B266">
        <v>3</v>
      </c>
      <c r="C266" s="251">
        <f>LOOKUP(T3_[[#This Row],[Etiquetas de fila]],'VALORIZACION CARTA'!B:B,'VALORIZACION CARTA'!C:C)</f>
        <v>3030.5755000000004</v>
      </c>
      <c r="D266" s="251">
        <f>SUM(T3_[[#This Row],[Recuento de T3 CODIGO]]*T3_[[#This Row],[Columna1]])</f>
        <v>9091.7265000000007</v>
      </c>
    </row>
    <row r="267" spans="1:4" x14ac:dyDescent="0.25">
      <c r="A267" s="250" t="s">
        <v>326</v>
      </c>
      <c r="B267">
        <v>4</v>
      </c>
      <c r="C267" s="251">
        <f>LOOKUP(T3_[[#This Row],[Etiquetas de fila]],'VALORIZACION CARTA'!B:B,'VALORIZACION CARTA'!C:C)</f>
        <v>15478.01006557377</v>
      </c>
      <c r="D267" s="251">
        <f>SUM(T3_[[#This Row],[Recuento de T3 CODIGO]]*T3_[[#This Row],[Columna1]])</f>
        <v>61912.040262295079</v>
      </c>
    </row>
    <row r="268" spans="1:4" x14ac:dyDescent="0.25">
      <c r="A268" s="250" t="s">
        <v>852</v>
      </c>
      <c r="B268">
        <v>22</v>
      </c>
      <c r="C268" s="251">
        <f>LOOKUP(T3_[[#This Row],[Etiquetas de fila]],'VALORIZACION CARTA'!B:B,'VALORIZACION CARTA'!C:C)</f>
        <v>4127.4879841666661</v>
      </c>
      <c r="D268" s="251">
        <f>SUM(T3_[[#This Row],[Recuento de T3 CODIGO]]*T3_[[#This Row],[Columna1]])</f>
        <v>90804.735651666648</v>
      </c>
    </row>
    <row r="269" spans="1:4" x14ac:dyDescent="0.25">
      <c r="A269" s="250" t="s">
        <v>1025</v>
      </c>
      <c r="B269">
        <v>3</v>
      </c>
      <c r="C269" s="251">
        <f>LOOKUP(T3_[[#This Row],[Etiquetas de fila]],'VALORIZACION CARTA'!B:B,'VALORIZACION CARTA'!C:C)</f>
        <v>3276.0308749999999</v>
      </c>
      <c r="D269" s="251">
        <f>SUM(T3_[[#This Row],[Recuento de T3 CODIGO]]*T3_[[#This Row],[Columna1]])</f>
        <v>9828.0926249999993</v>
      </c>
    </row>
    <row r="270" spans="1:4" x14ac:dyDescent="0.25">
      <c r="A270" s="250" t="s">
        <v>861</v>
      </c>
      <c r="B270">
        <v>12</v>
      </c>
      <c r="C270" s="251">
        <f>LOOKUP(T3_[[#This Row],[Etiquetas de fila]],'VALORIZACION CARTA'!B:B,'VALORIZACION CARTA'!C:C)</f>
        <v>4263.1154999999999</v>
      </c>
      <c r="D270" s="251">
        <f>SUM(T3_[[#This Row],[Recuento de T3 CODIGO]]*T3_[[#This Row],[Columna1]])</f>
        <v>51157.385999999999</v>
      </c>
    </row>
    <row r="271" spans="1:4" x14ac:dyDescent="0.25">
      <c r="A271" s="250" t="s">
        <v>842</v>
      </c>
      <c r="B271">
        <v>11</v>
      </c>
      <c r="C271" s="251">
        <f>LOOKUP(T3_[[#This Row],[Etiquetas de fila]],'VALORIZACION CARTA'!B:B,'VALORIZACION CARTA'!C:C)</f>
        <v>841.05419999999992</v>
      </c>
      <c r="D271" s="251">
        <f>SUM(T3_[[#This Row],[Recuento de T3 CODIGO]]*T3_[[#This Row],[Columna1]])</f>
        <v>9251.5962</v>
      </c>
    </row>
    <row r="272" spans="1:4" x14ac:dyDescent="0.25">
      <c r="A272" s="250" t="s">
        <v>883</v>
      </c>
      <c r="B272">
        <v>13</v>
      </c>
      <c r="C272" s="251">
        <f>LOOKUP(T3_[[#This Row],[Etiquetas de fila]],'VALORIZACION CARTA'!B:B,'VALORIZACION CARTA'!C:C)</f>
        <v>623.55092999999999</v>
      </c>
      <c r="D272" s="251">
        <f>SUM(T3_[[#This Row],[Recuento de T3 CODIGO]]*T3_[[#This Row],[Columna1]])</f>
        <v>8106.1620899999998</v>
      </c>
    </row>
    <row r="273" spans="1:4" x14ac:dyDescent="0.25">
      <c r="A273" s="250" t="s">
        <v>1027</v>
      </c>
      <c r="B273">
        <v>3</v>
      </c>
      <c r="C273" s="251">
        <f>LOOKUP(T3_[[#This Row],[Etiquetas de fila]],'VALORIZACION CARTA'!B:B,'VALORIZACION CARTA'!C:C)</f>
        <v>855.89262500000007</v>
      </c>
      <c r="D273" s="251">
        <f>SUM(T3_[[#This Row],[Recuento de T3 CODIGO]]*T3_[[#This Row],[Columna1]])</f>
        <v>2567.6778750000003</v>
      </c>
    </row>
    <row r="274" spans="1:4" x14ac:dyDescent="0.25">
      <c r="A274" s="250" t="s">
        <v>1028</v>
      </c>
      <c r="B274">
        <v>4</v>
      </c>
      <c r="C274" s="251">
        <f>LOOKUP(T3_[[#This Row],[Etiquetas de fila]],'VALORIZACION CARTA'!B:B,'VALORIZACION CARTA'!C:C)</f>
        <v>1011.9253666666666</v>
      </c>
      <c r="D274" s="251">
        <f>SUM(T3_[[#This Row],[Recuento de T3 CODIGO]]*T3_[[#This Row],[Columna1]])</f>
        <v>4047.7014666666664</v>
      </c>
    </row>
    <row r="275" spans="1:4" x14ac:dyDescent="0.25">
      <c r="A275" s="250" t="s">
        <v>1029</v>
      </c>
      <c r="B275">
        <v>4</v>
      </c>
      <c r="C275" s="251">
        <f>LOOKUP(T3_[[#This Row],[Etiquetas de fila]],'VALORIZACION CARTA'!B:B,'VALORIZACION CARTA'!C:C)</f>
        <v>1011.9253666666666</v>
      </c>
      <c r="D275" s="251">
        <f>SUM(T3_[[#This Row],[Recuento de T3 CODIGO]]*T3_[[#This Row],[Columna1]])</f>
        <v>4047.7014666666664</v>
      </c>
    </row>
    <row r="276" spans="1:4" x14ac:dyDescent="0.25">
      <c r="A276" s="250" t="s">
        <v>1030</v>
      </c>
      <c r="B276">
        <v>11</v>
      </c>
      <c r="C276" s="251">
        <f>LOOKUP(T3_[[#This Row],[Etiquetas de fila]],'VALORIZACION CARTA'!B:B,'VALORIZACION CARTA'!C:C)</f>
        <v>1011.9253666666666</v>
      </c>
      <c r="D276" s="251">
        <f>SUM(T3_[[#This Row],[Recuento de T3 CODIGO]]*T3_[[#This Row],[Columna1]])</f>
        <v>11131.179033333332</v>
      </c>
    </row>
    <row r="277" spans="1:4" x14ac:dyDescent="0.25">
      <c r="A277" s="250" t="s">
        <v>866</v>
      </c>
      <c r="B277">
        <v>3</v>
      </c>
      <c r="C277" s="251">
        <f>LOOKUP(T3_[[#This Row],[Etiquetas de fila]],'VALORIZACION CARTA'!B:B,'VALORIZACION CARTA'!C:C)</f>
        <v>1011.9253666666666</v>
      </c>
      <c r="D277" s="251">
        <f>SUM(T3_[[#This Row],[Recuento de T3 CODIGO]]*T3_[[#This Row],[Columna1]])</f>
        <v>3035.7761</v>
      </c>
    </row>
    <row r="278" spans="1:4" x14ac:dyDescent="0.25">
      <c r="A278" s="250" t="s">
        <v>868</v>
      </c>
      <c r="B278">
        <v>10</v>
      </c>
      <c r="C278" s="251">
        <f>LOOKUP(T3_[[#This Row],[Etiquetas de fila]],'VALORIZACION CARTA'!B:B,'VALORIZACION CARTA'!C:C)</f>
        <v>1011.9253666666666</v>
      </c>
      <c r="D278" s="251">
        <f>SUM(T3_[[#This Row],[Recuento de T3 CODIGO]]*T3_[[#This Row],[Columna1]])</f>
        <v>10119.253666666666</v>
      </c>
    </row>
    <row r="279" spans="1:4" x14ac:dyDescent="0.25">
      <c r="A279" s="250" t="s">
        <v>1058</v>
      </c>
      <c r="B279">
        <v>5</v>
      </c>
      <c r="C279" s="251">
        <f>LOOKUP(T3_[[#This Row],[Etiquetas de fila]],'VALORIZACION CARTA'!B:B,'VALORIZACION CARTA'!C:C)</f>
        <v>2635.3624999999997</v>
      </c>
      <c r="D279" s="251">
        <f>SUM(T3_[[#This Row],[Recuento de T3 CODIGO]]*T3_[[#This Row],[Columna1]])</f>
        <v>13176.812499999998</v>
      </c>
    </row>
    <row r="280" spans="1:4" x14ac:dyDescent="0.25">
      <c r="A280" s="250" t="s">
        <v>1031</v>
      </c>
      <c r="B280">
        <v>3783</v>
      </c>
      <c r="C280" s="251">
        <f>LOOKUP(T3_[[#This Row],[Etiquetas de fila]],'VALORIZACION CARTA'!B:B,'VALORIZACION CARTA'!C:C)</f>
        <v>675.04281250000008</v>
      </c>
      <c r="D280" s="251">
        <f>SUM(T3_[[#This Row],[Recuento de T3 CODIGO]]*T3_[[#This Row],[Columna1]])</f>
        <v>2553686.9596875003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CBF58-51F9-44C1-A2A2-3330DD2C14E7}">
  <sheetPr codeName="Hoja7"/>
  <dimension ref="A2:C400"/>
  <sheetViews>
    <sheetView zoomScale="90" zoomScaleNormal="90" workbookViewId="0">
      <selection activeCell="C4" sqref="C4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1</v>
      </c>
      <c r="B3" t="str">
        <f>TRANSPOSE(T4_[Etiquetas de fila])</f>
        <v>Absolut Blue</v>
      </c>
      <c r="C3">
        <f>TRANSPOSE(T4_[Recuento de T4 CODIGO])</f>
        <v>1</v>
      </c>
    </row>
    <row r="4" spans="1:3" x14ac:dyDescent="0.25">
      <c r="A4" t="b">
        <f>IFERROR(IF(MATCH(B4,RECETAS!$A$2:$A$1700,0) &lt;&gt; "", TRUE,""),FALSE)</f>
        <v>0</v>
      </c>
      <c r="B4" t="str">
        <f>TRANSPOSE(T4_[Etiquetas de fila])</f>
        <v>AJI VERDE SOUR</v>
      </c>
      <c r="C4">
        <f>TRANSPOSE(T4_[Recuento de T4 CODIGO])</f>
        <v>3</v>
      </c>
    </row>
    <row r="5" spans="1:3" x14ac:dyDescent="0.25">
      <c r="A5" t="b">
        <f>IFERROR(IF(MATCH(B5,RECETAS!$A$2:$A$1700,0) &lt;&gt; "", TRUE,""),FALSE)</f>
        <v>1</v>
      </c>
      <c r="B5" t="str">
        <f>TRANSPOSE(T4_[Etiquetas de fila])</f>
        <v>Alto 40° Transparente</v>
      </c>
      <c r="C5">
        <f>TRANSPOSE(T4_[Recuento de T4 CODIGO])</f>
        <v>2</v>
      </c>
    </row>
    <row r="6" spans="1:3" x14ac:dyDescent="0.25">
      <c r="A6" t="b">
        <f>IFERROR(IF(MATCH(B6,RECETAS!$A$2:$A$1700,0) &lt;&gt; "", TRUE,""),FALSE)</f>
        <v>1</v>
      </c>
      <c r="B6" t="str">
        <f>TRANSPOSE(T4_[Etiquetas de fila])</f>
        <v>Alto del Carmen 35°</v>
      </c>
      <c r="C6">
        <f>TRANSPOSE(T4_[Recuento de T4 CODIGO])</f>
        <v>5</v>
      </c>
    </row>
    <row r="7" spans="1:3" x14ac:dyDescent="0.25">
      <c r="A7" t="b">
        <f>IFERROR(IF(MATCH(B7,RECETAS!$A$2:$A$1700,0) &lt;&gt; "", TRUE,""),FALSE)</f>
        <v>1</v>
      </c>
      <c r="B7" t="str">
        <f>TRANSPOSE(T4_[Etiquetas de fila])</f>
        <v>Alto del Carmen 40°</v>
      </c>
      <c r="C7">
        <f>TRANSPOSE(T4_[Recuento de T4 CODIGO])</f>
        <v>2</v>
      </c>
    </row>
    <row r="8" spans="1:3" x14ac:dyDescent="0.25">
      <c r="A8" t="b">
        <f>IFERROR(IF(MATCH(B8,RECETAS!$A$2:$A$1700,0) &lt;&gt; "", TRUE,""),FALSE)</f>
        <v>1</v>
      </c>
      <c r="B8" t="str">
        <f>TRANSPOSE(T4_[Etiquetas de fila])</f>
        <v>Aperol Spritz</v>
      </c>
      <c r="C8">
        <f>TRANSPOSE(T4_[Recuento de T4 CODIGO])</f>
        <v>19</v>
      </c>
    </row>
    <row r="9" spans="1:3" x14ac:dyDescent="0.25">
      <c r="A9" t="b">
        <f>IFERROR(IF(MATCH(B9,RECETAS!$A$2:$A$1700,0) &lt;&gt; "", TRUE,""),FALSE)</f>
        <v>0</v>
      </c>
      <c r="B9" t="str">
        <f>TRANSPOSE(T4_[Etiquetas de fila])</f>
        <v>B.CRUDO</v>
      </c>
      <c r="C9">
        <f>TRANSPOSE(T4_[Recuento de T4 CODIGO])</f>
        <v>4</v>
      </c>
    </row>
    <row r="10" spans="1:3" x14ac:dyDescent="0.25">
      <c r="A10" t="b">
        <f>IFERROR(IF(MATCH(B10,RECETAS!$A$2:$A$1700,0) &lt;&gt; "", TRUE,""),FALSE)</f>
        <v>1</v>
      </c>
      <c r="B10" t="str">
        <f>TRANSPOSE(T4_[Etiquetas de fila])</f>
        <v>Baileys</v>
      </c>
      <c r="C10">
        <f>TRANSPOSE(T4_[Recuento de T4 CODIGO])</f>
        <v>2</v>
      </c>
    </row>
    <row r="11" spans="1:3" x14ac:dyDescent="0.25">
      <c r="A11" t="b">
        <f>IFERROR(IF(MATCH(B11,RECETAS!$A$2:$A$1700,0) &lt;&gt; "", TRUE,""),FALSE)</f>
        <v>1</v>
      </c>
      <c r="B11" t="str">
        <f>TRANSPOSE(T4_[Etiquetas de fila])</f>
        <v>Beach Boys</v>
      </c>
      <c r="C11">
        <f>TRANSPOSE(T4_[Recuento de T4 CODIGO])</f>
        <v>4</v>
      </c>
    </row>
    <row r="12" spans="1:3" x14ac:dyDescent="0.25">
      <c r="A12" t="b">
        <f>IFERROR(IF(MATCH(B12,RECETAS!$A$2:$A$1700,0) &lt;&gt; "", TRUE,""),FALSE)</f>
        <v>1</v>
      </c>
      <c r="B12" t="str">
        <f>TRANSPOSE(T4_[Etiquetas de fila])</f>
        <v>Berlin Mule</v>
      </c>
      <c r="C12">
        <f>TRANSPOSE(T4_[Recuento de T4 CODIGO])</f>
        <v>1</v>
      </c>
    </row>
    <row r="13" spans="1:3" x14ac:dyDescent="0.25">
      <c r="A13" t="b">
        <f>IFERROR(IF(MATCH(B13,RECETAS!$A$2:$A$1700,0) &lt;&gt; "", TRUE,""),FALSE)</f>
        <v>1</v>
      </c>
      <c r="B13" t="str">
        <f>TRANSPOSE(T4_[Etiquetas de fila])</f>
        <v>Big Mechada</v>
      </c>
      <c r="C13">
        <f>TRANSPOSE(T4_[Recuento de T4 CODIGO])</f>
        <v>39</v>
      </c>
    </row>
    <row r="14" spans="1:3" x14ac:dyDescent="0.25">
      <c r="A14" t="b">
        <f>IFERROR(IF(MATCH(B14,RECETAS!$A$2:$A$1700,0) &lt;&gt; "", TRUE,""),FALSE)</f>
        <v>1</v>
      </c>
      <c r="B14" t="str">
        <f>TRANSPOSE(T4_[Etiquetas de fila])</f>
        <v>Black Russian</v>
      </c>
      <c r="C14">
        <f>TRANSPOSE(T4_[Recuento de T4 CODIGO])</f>
        <v>2</v>
      </c>
    </row>
    <row r="15" spans="1:3" x14ac:dyDescent="0.25">
      <c r="A15" t="b">
        <f>IFERROR(IF(MATCH(B15,RECETAS!$A$2:$A$1700,0) &lt;&gt; "", TRUE,""),FALSE)</f>
        <v>1</v>
      </c>
      <c r="B15" t="str">
        <f>TRANSPOSE(T4_[Etiquetas de fila])</f>
        <v>Brownie con Helado</v>
      </c>
      <c r="C15">
        <f>TRANSPOSE(T4_[Recuento de T4 CODIGO])</f>
        <v>3</v>
      </c>
    </row>
    <row r="16" spans="1:3" x14ac:dyDescent="0.25">
      <c r="A16" t="b">
        <f>IFERROR(IF(MATCH(B16,RECETAS!$A$2:$A$1700,0) &lt;&gt; "", TRUE,""),FALSE)</f>
        <v>1</v>
      </c>
      <c r="B16" t="str">
        <f>TRANSPOSE(T4_[Etiquetas de fila])</f>
        <v>Brujas de Salamanca 40°</v>
      </c>
      <c r="C16">
        <f>TRANSPOSE(T4_[Recuento de T4 CODIGO])</f>
        <v>1</v>
      </c>
    </row>
    <row r="17" spans="1:3" x14ac:dyDescent="0.25">
      <c r="A17" t="b">
        <f>IFERROR(IF(MATCH(B17,RECETAS!$A$2:$A$1700,0) &lt;&gt; "", TRUE,""),FALSE)</f>
        <v>1</v>
      </c>
      <c r="B17" t="str">
        <f>TRANSPOSE(T4_[Etiquetas de fila])</f>
        <v>Budweiser</v>
      </c>
      <c r="C17">
        <f>TRANSPOSE(T4_[Recuento de T4 CODIGO])</f>
        <v>3</v>
      </c>
    </row>
    <row r="18" spans="1:3" x14ac:dyDescent="0.25">
      <c r="A18" t="b">
        <f>IFERROR(IF(MATCH(B18,RECETAS!$A$2:$A$1700,0) &lt;&gt; "", TRUE,""),FALSE)</f>
        <v>1</v>
      </c>
      <c r="B18" t="str">
        <f>TRANSPOSE(T4_[Etiquetas de fila])</f>
        <v>Caipirinha Frambuesa</v>
      </c>
      <c r="C18">
        <f>TRANSPOSE(T4_[Recuento de T4 CODIGO])</f>
        <v>2</v>
      </c>
    </row>
    <row r="19" spans="1:3" x14ac:dyDescent="0.25">
      <c r="A19" t="b">
        <f>IFERROR(IF(MATCH(B19,RECETAS!$A$2:$A$1700,0) &lt;&gt; "", TRUE,""),FALSE)</f>
        <v>1</v>
      </c>
      <c r="B19" t="str">
        <f>TRANSPOSE(T4_[Etiquetas de fila])</f>
        <v>Caipirinha Mango</v>
      </c>
      <c r="C19">
        <f>TRANSPOSE(T4_[Recuento de T4 CODIGO])</f>
        <v>2</v>
      </c>
    </row>
    <row r="20" spans="1:3" x14ac:dyDescent="0.25">
      <c r="A20" t="b">
        <f>IFERROR(IF(MATCH(B20,RECETAS!$A$2:$A$1700,0) &lt;&gt; "", TRUE,""),FALSE)</f>
        <v>1</v>
      </c>
      <c r="B20" t="str">
        <f>TRANSPOSE(T4_[Etiquetas de fila])</f>
        <v>Caipirinha Tradicional</v>
      </c>
      <c r="C20">
        <f>TRANSPOSE(T4_[Recuento de T4 CODIGO])</f>
        <v>6</v>
      </c>
    </row>
    <row r="21" spans="1:3" x14ac:dyDescent="0.25">
      <c r="A21" t="b">
        <f>IFERROR(IF(MATCH(B21,RECETAS!$A$2:$A$1700,0) &lt;&gt; "", TRUE,""),FALSE)</f>
        <v>1</v>
      </c>
      <c r="B21" t="str">
        <f>TRANSPOSE(T4_[Etiquetas de fila])</f>
        <v>Caiproska Frambuesa</v>
      </c>
      <c r="C21">
        <f>TRANSPOSE(T4_[Recuento de T4 CODIGO])</f>
        <v>1</v>
      </c>
    </row>
    <row r="22" spans="1:3" x14ac:dyDescent="0.25">
      <c r="A22" t="b">
        <f>IFERROR(IF(MATCH(B22,RECETAS!$A$2:$A$1700,0) &lt;&gt; "", TRUE,""),FALSE)</f>
        <v>1</v>
      </c>
      <c r="B22" t="str">
        <f>TRANSPOSE(T4_[Etiquetas de fila])</f>
        <v>Ceviche Mixto</v>
      </c>
      <c r="C22">
        <f>TRANSPOSE(T4_[Recuento de T4 CODIGO])</f>
        <v>6</v>
      </c>
    </row>
    <row r="23" spans="1:3" x14ac:dyDescent="0.25">
      <c r="A23" t="b">
        <f>IFERROR(IF(MATCH(B23,RECETAS!$A$2:$A$1700,0) &lt;&gt; "", TRUE,""),FALSE)</f>
        <v>1</v>
      </c>
      <c r="B23" t="str">
        <f>TRANSPOSE(T4_[Etiquetas de fila])</f>
        <v>Cheese Camarones</v>
      </c>
      <c r="C23">
        <f>TRANSPOSE(T4_[Recuento de T4 CODIGO])</f>
        <v>26</v>
      </c>
    </row>
    <row r="24" spans="1:3" x14ac:dyDescent="0.25">
      <c r="A24" t="b">
        <f>IFERROR(IF(MATCH(B24,RECETAS!$A$2:$A$1700,0) &lt;&gt; "", TRUE,""),FALSE)</f>
        <v>1</v>
      </c>
      <c r="B24" t="str">
        <f>TRANSPOSE(T4_[Etiquetas de fila])</f>
        <v>Cheese Champiñones</v>
      </c>
      <c r="C24">
        <f>TRANSPOSE(T4_[Recuento de T4 CODIGO])</f>
        <v>88</v>
      </c>
    </row>
    <row r="25" spans="1:3" x14ac:dyDescent="0.25">
      <c r="A25" t="b">
        <f>IFERROR(IF(MATCH(B25,RECETAS!$A$2:$A$1700,0) &lt;&gt; "", TRUE,""),FALSE)</f>
        <v>1</v>
      </c>
      <c r="B25" t="str">
        <f>TRANSPOSE(T4_[Etiquetas de fila])</f>
        <v>Cheese Fritas Grandes</v>
      </c>
      <c r="C25">
        <f>TRANSPOSE(T4_[Recuento de T4 CODIGO])</f>
        <v>41</v>
      </c>
    </row>
    <row r="26" spans="1:3" x14ac:dyDescent="0.25">
      <c r="A26" t="b">
        <f>IFERROR(IF(MATCH(B26,RECETAS!$A$2:$A$1700,0) &lt;&gt; "", TRUE,""),FALSE)</f>
        <v>1</v>
      </c>
      <c r="B26" t="str">
        <f>TRANSPOSE(T4_[Etiquetas de fila])</f>
        <v>Cheese Mechada</v>
      </c>
      <c r="C26">
        <f>TRANSPOSE(T4_[Recuento de T4 CODIGO])</f>
        <v>67</v>
      </c>
    </row>
    <row r="27" spans="1:3" x14ac:dyDescent="0.25">
      <c r="A27" t="b">
        <f>IFERROR(IF(MATCH(B27,RECETAS!$A$2:$A$1700,0) &lt;&gt; "", TRUE,""),FALSE)</f>
        <v>1</v>
      </c>
      <c r="B27" t="str">
        <f>TRANSPOSE(T4_[Etiquetas de fila])</f>
        <v>Cheese Teclados</v>
      </c>
      <c r="C27">
        <f>TRANSPOSE(T4_[Recuento de T4 CODIGO])</f>
        <v>91</v>
      </c>
    </row>
    <row r="28" spans="1:3" x14ac:dyDescent="0.25">
      <c r="A28" t="b">
        <f>IFERROR(IF(MATCH(B28,RECETAS!$A$2:$A$1700,0) &lt;&gt; "", TRUE,""),FALSE)</f>
        <v>1</v>
      </c>
      <c r="B28" t="str">
        <f>TRANSPOSE(T4_[Etiquetas de fila])</f>
        <v>Chicken Finger</v>
      </c>
      <c r="C28">
        <f>TRANSPOSE(T4_[Recuento de T4 CODIGO])</f>
        <v>19</v>
      </c>
    </row>
    <row r="29" spans="1:3" x14ac:dyDescent="0.25">
      <c r="A29" t="b">
        <f>IFERROR(IF(MATCH(B29,RECETAS!$A$2:$A$1700,0) &lt;&gt; "", TRUE,""),FALSE)</f>
        <v>0</v>
      </c>
      <c r="B29" t="str">
        <f>TRANSPOSE(T4_[Etiquetas de fila])</f>
        <v>CHURRASCO MARINO</v>
      </c>
      <c r="C29">
        <f>TRANSPOSE(T4_[Recuento de T4 CODIGO])</f>
        <v>1</v>
      </c>
    </row>
    <row r="30" spans="1:3" x14ac:dyDescent="0.25">
      <c r="A30" t="b">
        <f>IFERROR(IF(MATCH(B30,RECETAS!$A$2:$A$1700,0) &lt;&gt; "", TRUE,""),FALSE)</f>
        <v>1</v>
      </c>
      <c r="B30" t="str">
        <f>TRANSPOSE(T4_[Etiquetas de fila])</f>
        <v>Coca Cola 350cc</v>
      </c>
      <c r="C30">
        <f>TRANSPOSE(T4_[Recuento de T4 CODIGO])</f>
        <v>43</v>
      </c>
    </row>
    <row r="31" spans="1:3" x14ac:dyDescent="0.25">
      <c r="A31" t="b">
        <f>IFERROR(IF(MATCH(B31,RECETAS!$A$2:$A$1700,0) &lt;&gt; "", TRUE,""),FALSE)</f>
        <v>1</v>
      </c>
      <c r="B31" t="str">
        <f>TRANSPOSE(T4_[Etiquetas de fila])</f>
        <v>Coca Cola Light 350cc</v>
      </c>
      <c r="C31">
        <f>TRANSPOSE(T4_[Recuento de T4 CODIGO])</f>
        <v>2</v>
      </c>
    </row>
    <row r="32" spans="1:3" x14ac:dyDescent="0.25">
      <c r="A32" t="b">
        <f>IFERROR(IF(MATCH(B32,RECETAS!$A$2:$A$1700,0) &lt;&gt; "", TRUE,""),FALSE)</f>
        <v>1</v>
      </c>
      <c r="B32" t="str">
        <f>TRANSPOSE(T4_[Etiquetas de fila])</f>
        <v>Coca Cola Zero  350cc</v>
      </c>
      <c r="C32">
        <f>TRANSPOSE(T4_[Recuento de T4 CODIGO])</f>
        <v>29</v>
      </c>
    </row>
    <row r="33" spans="1:3" x14ac:dyDescent="0.25">
      <c r="A33" t="b">
        <f>IFERROR(IF(MATCH(B33,RECETAS!$A$2:$A$1700,0) &lt;&gt; "", TRUE,""),FALSE)</f>
        <v>1</v>
      </c>
      <c r="B33" t="str">
        <f>TRANSPOSE(T4_[Etiquetas de fila])</f>
        <v>Corona</v>
      </c>
      <c r="C33">
        <f>TRANSPOSE(T4_[Recuento de T4 CODIGO])</f>
        <v>8</v>
      </c>
    </row>
    <row r="34" spans="1:3" x14ac:dyDescent="0.25">
      <c r="A34" t="b">
        <f>IFERROR(IF(MATCH(B34,RECETAS!$A$2:$A$1700,0) &lt;&gt; "", TRUE,""),FALSE)</f>
        <v>0</v>
      </c>
      <c r="B34" t="str">
        <f>TRANSPOSE(T4_[Etiquetas de fila])</f>
        <v>CORONA 0.0</v>
      </c>
      <c r="C34">
        <f>TRANSPOSE(T4_[Recuento de T4 CODIGO])</f>
        <v>17</v>
      </c>
    </row>
    <row r="35" spans="1:3" x14ac:dyDescent="0.25">
      <c r="A35" t="b">
        <f>IFERROR(IF(MATCH(B35,RECETAS!$A$2:$A$1700,0) &lt;&gt; "", TRUE,""),FALSE)</f>
        <v>0</v>
      </c>
      <c r="B35" t="str">
        <f>TRANSPOSE(T4_[Etiquetas de fila])</f>
        <v>CORONA DEEP BLUE</v>
      </c>
      <c r="C35">
        <f>TRANSPOSE(T4_[Recuento de T4 CODIGO])</f>
        <v>2</v>
      </c>
    </row>
    <row r="36" spans="1:3" x14ac:dyDescent="0.25">
      <c r="A36" t="b">
        <f>IFERROR(IF(MATCH(B36,RECETAS!$A$2:$A$1700,0) &lt;&gt; "", TRUE,""),FALSE)</f>
        <v>0</v>
      </c>
      <c r="B36" t="str">
        <f>TRANSPOSE(T4_[Etiquetas de fila])</f>
        <v>CORONA SUNRISE</v>
      </c>
      <c r="C36">
        <f>TRANSPOSE(T4_[Recuento de T4 CODIGO])</f>
        <v>4</v>
      </c>
    </row>
    <row r="37" spans="1:3" x14ac:dyDescent="0.25">
      <c r="A37" t="b">
        <f>IFERROR(IF(MATCH(B37,RECETAS!$A$2:$A$1700,0) &lt;&gt; "", TRUE,""),FALSE)</f>
        <v>0</v>
      </c>
      <c r="B37" t="str">
        <f>TRANSPOSE(T4_[Etiquetas de fila])</f>
        <v>CORONA TROPICAL</v>
      </c>
      <c r="C37">
        <f>TRANSPOSE(T4_[Recuento de T4 CODIGO])</f>
        <v>6</v>
      </c>
    </row>
    <row r="38" spans="1:3" x14ac:dyDescent="0.25">
      <c r="A38" t="b">
        <f>IFERROR(IF(MATCH(B38,RECETAS!$A$2:$A$1700,0) &lt;&gt; "", TRUE,""),FALSE)</f>
        <v>1</v>
      </c>
      <c r="B38" t="str">
        <f>TRANSPOSE(T4_[Etiquetas de fila])</f>
        <v>Cosmopolitan</v>
      </c>
      <c r="C38">
        <f>TRANSPOSE(T4_[Recuento de T4 CODIGO])</f>
        <v>13</v>
      </c>
    </row>
    <row r="39" spans="1:3" x14ac:dyDescent="0.25">
      <c r="A39" t="b">
        <f>IFERROR(IF(MATCH(B39,RECETAS!$A$2:$A$1700,0) &lt;&gt; "", TRUE,""),FALSE)</f>
        <v>1</v>
      </c>
      <c r="B39" t="str">
        <f>TRANSPOSE(T4_[Etiquetas de fila])</f>
        <v>Crudo</v>
      </c>
      <c r="C39">
        <f>TRANSPOSE(T4_[Recuento de T4 CODIGO])</f>
        <v>4</v>
      </c>
    </row>
    <row r="40" spans="1:3" x14ac:dyDescent="0.25">
      <c r="A40" t="b">
        <f>IFERROR(IF(MATCH(B40,RECETAS!$A$2:$A$1700,0) &lt;&gt; "", TRUE,""),FALSE)</f>
        <v>1</v>
      </c>
      <c r="B40" t="str">
        <f>TRANSPOSE(T4_[Etiquetas de fila])</f>
        <v>D.CHEESE CHAMPIGNON</v>
      </c>
      <c r="C40">
        <f>TRANSPOSE(T4_[Recuento de T4 CODIGO])</f>
        <v>3</v>
      </c>
    </row>
    <row r="41" spans="1:3" x14ac:dyDescent="0.25">
      <c r="A41" t="b">
        <f>IFERROR(IF(MATCH(B41,RECETAS!$A$2:$A$1700,0) &lt;&gt; "", TRUE,""),FALSE)</f>
        <v>1</v>
      </c>
      <c r="B41" t="str">
        <f>TRANSPOSE(T4_[Etiquetas de fila])</f>
        <v>D.CHEESE FRITAS GRANDES</v>
      </c>
      <c r="C41">
        <f>TRANSPOSE(T4_[Recuento de T4 CODIGO])</f>
        <v>5</v>
      </c>
    </row>
    <row r="42" spans="1:3" x14ac:dyDescent="0.25">
      <c r="A42" t="b">
        <f>IFERROR(IF(MATCH(B42,RECETAS!$A$2:$A$1700,0) &lt;&gt; "", TRUE,""),FALSE)</f>
        <v>1</v>
      </c>
      <c r="B42" t="str">
        <f>TRANSPOSE(T4_[Etiquetas de fila])</f>
        <v>D.CHEESE MECHADA</v>
      </c>
      <c r="C42">
        <f>TRANSPOSE(T4_[Recuento de T4 CODIGO])</f>
        <v>3</v>
      </c>
    </row>
    <row r="43" spans="1:3" x14ac:dyDescent="0.25">
      <c r="A43" t="b">
        <f>IFERROR(IF(MATCH(B43,RECETAS!$A$2:$A$1700,0) &lt;&gt; "", TRUE,""),FALSE)</f>
        <v>1</v>
      </c>
      <c r="B43" t="str">
        <f>TRANSPOSE(T4_[Etiquetas de fila])</f>
        <v>D.CHEESE TECLADOS</v>
      </c>
      <c r="C43">
        <f>TRANSPOSE(T4_[Recuento de T4 CODIGO])</f>
        <v>3</v>
      </c>
    </row>
    <row r="44" spans="1:3" x14ac:dyDescent="0.25">
      <c r="A44" t="b">
        <f>IFERROR(IF(MATCH(B44,RECETAS!$A$2:$A$1700,0) &lt;&gt; "", TRUE,""),FALSE)</f>
        <v>1</v>
      </c>
      <c r="B44" t="str">
        <f>TRANSPOSE(T4_[Etiquetas de fila])</f>
        <v>D.DOBLE CHEESE BURGER</v>
      </c>
      <c r="C44">
        <f>TRANSPOSE(T4_[Recuento de T4 CODIGO])</f>
        <v>1</v>
      </c>
    </row>
    <row r="45" spans="1:3" x14ac:dyDescent="0.25">
      <c r="A45" t="b">
        <f>IFERROR(IF(MATCH(B45,RECETAS!$A$2:$A$1700,0) &lt;&gt; "", TRUE,""),FALSE)</f>
        <v>1</v>
      </c>
      <c r="B45" t="str">
        <f>TRANSPOSE(T4_[Etiquetas de fila])</f>
        <v>D.EMPANADAS</v>
      </c>
      <c r="C45">
        <f>TRANSPOSE(T4_[Recuento de T4 CODIGO])</f>
        <v>1</v>
      </c>
    </row>
    <row r="46" spans="1:3" x14ac:dyDescent="0.25">
      <c r="A46" t="b">
        <f>IFERROR(IF(MATCH(B46,RECETAS!$A$2:$A$1700,0) &lt;&gt; "", TRUE,""),FALSE)</f>
        <v>1</v>
      </c>
      <c r="B46" t="str">
        <f>TRANSPOSE(T4_[Etiquetas de fila])</f>
        <v>D.PAPAS GRANDES</v>
      </c>
      <c r="C46">
        <f>TRANSPOSE(T4_[Recuento de T4 CODIGO])</f>
        <v>1</v>
      </c>
    </row>
    <row r="47" spans="1:3" x14ac:dyDescent="0.25">
      <c r="A47" t="b">
        <f>IFERROR(IF(MATCH(B47,RECETAS!$A$2:$A$1700,0) &lt;&gt; "", TRUE,""),FALSE)</f>
        <v>1</v>
      </c>
      <c r="B47" t="str">
        <f>TRANSPOSE(T4_[Etiquetas de fila])</f>
        <v>D.PICNIC TECLADOS</v>
      </c>
      <c r="C47">
        <f>TRANSPOSE(T4_[Recuento de T4 CODIGO])</f>
        <v>1</v>
      </c>
    </row>
    <row r="48" spans="1:3" x14ac:dyDescent="0.25">
      <c r="A48" t="b">
        <f>IFERROR(IF(MATCH(B48,RECETAS!$A$2:$A$1700,0) &lt;&gt; "", TRUE,""),FALSE)</f>
        <v>1</v>
      </c>
      <c r="B48" t="str">
        <f>TRANSPOSE(T4_[Etiquetas de fila])</f>
        <v>D.PROMO MOJITO</v>
      </c>
      <c r="C48">
        <f>TRANSPOSE(T4_[Recuento de T4 CODIGO])</f>
        <v>1</v>
      </c>
    </row>
    <row r="49" spans="1:3" x14ac:dyDescent="0.25">
      <c r="A49" t="b">
        <f>IFERROR(IF(MATCH(B49,RECETAS!$A$2:$A$1700,0) &lt;&gt; "", TRUE,""),FALSE)</f>
        <v>1</v>
      </c>
      <c r="B49" t="str">
        <f>TRANSPOSE(T4_[Etiquetas de fila])</f>
        <v>Daiquiri Frambuesa</v>
      </c>
      <c r="C49">
        <f>TRANSPOSE(T4_[Recuento de T4 CODIGO])</f>
        <v>17</v>
      </c>
    </row>
    <row r="50" spans="1:3" x14ac:dyDescent="0.25">
      <c r="A50" t="b">
        <f>IFERROR(IF(MATCH(B50,RECETAS!$A$2:$A$1700,0) &lt;&gt; "", TRUE,""),FALSE)</f>
        <v>1</v>
      </c>
      <c r="B50" t="str">
        <f>TRANSPOSE(T4_[Etiquetas de fila])</f>
        <v>Daiquiri Futilla</v>
      </c>
      <c r="C50">
        <f>TRANSPOSE(T4_[Recuento de T4 CODIGO])</f>
        <v>8</v>
      </c>
    </row>
    <row r="51" spans="1:3" x14ac:dyDescent="0.25">
      <c r="A51" t="b">
        <f>IFERROR(IF(MATCH(B51,RECETAS!$A$2:$A$1700,0) &lt;&gt; "", TRUE,""),FALSE)</f>
        <v>1</v>
      </c>
      <c r="B51" t="str">
        <f>TRANSPOSE(T4_[Etiquetas de fila])</f>
        <v>Daiquiri Mango</v>
      </c>
      <c r="C51">
        <f>TRANSPOSE(T4_[Recuento de T4 CODIGO])</f>
        <v>11</v>
      </c>
    </row>
    <row r="52" spans="1:3" x14ac:dyDescent="0.25">
      <c r="A52" t="b">
        <f>IFERROR(IF(MATCH(B52,RECETAS!$A$2:$A$1700,0) &lt;&gt; "", TRUE,""),FALSE)</f>
        <v>1</v>
      </c>
      <c r="B52" t="str">
        <f>TRANSPOSE(T4_[Etiquetas de fila])</f>
        <v>Daiquiri XL Frambuesa</v>
      </c>
      <c r="C52">
        <f>TRANSPOSE(T4_[Recuento de T4 CODIGO])</f>
        <v>4</v>
      </c>
    </row>
    <row r="53" spans="1:3" x14ac:dyDescent="0.25">
      <c r="A53" t="b">
        <f>IFERROR(IF(MATCH(B53,RECETAS!$A$2:$A$1700,0) &lt;&gt; "", TRUE,""),FALSE)</f>
        <v>1</v>
      </c>
      <c r="B53" t="str">
        <f>TRANSPOSE(T4_[Etiquetas de fila])</f>
        <v>Doble Cheese Burger</v>
      </c>
      <c r="C53">
        <f>TRANSPOSE(T4_[Recuento de T4 CODIGO])</f>
        <v>14</v>
      </c>
    </row>
    <row r="54" spans="1:3" x14ac:dyDescent="0.25">
      <c r="A54" t="b">
        <f>IFERROR(IF(MATCH(B54,RECETAS!$A$2:$A$1700,0) &lt;&gt; "", TRUE,""),FALSE)</f>
        <v>1</v>
      </c>
      <c r="B54" t="str">
        <f>TRANSPOSE(T4_[Etiquetas de fila])</f>
        <v>Doble Cheese NOT Burger</v>
      </c>
      <c r="C54">
        <f>TRANSPOSE(T4_[Recuento de T4 CODIGO])</f>
        <v>11</v>
      </c>
    </row>
    <row r="55" spans="1:3" x14ac:dyDescent="0.25">
      <c r="A55" t="b">
        <f>IFERROR(IF(MATCH(B55,RECETAS!$A$2:$A$1700,0) &lt;&gt; "", TRUE,""),FALSE)</f>
        <v>1</v>
      </c>
      <c r="B55" t="str">
        <f>TRANSPOSE(T4_[Etiquetas de fila])</f>
        <v>Empanadas Mixtas</v>
      </c>
      <c r="C55">
        <f>TRANSPOSE(T4_[Recuento de T4 CODIGO])</f>
        <v>19</v>
      </c>
    </row>
    <row r="56" spans="1:3" x14ac:dyDescent="0.25">
      <c r="A56" t="b">
        <f>IFERROR(IF(MATCH(B56,RECETAS!$A$2:$A$1700,0) &lt;&gt; "", TRUE,""),FALSE)</f>
        <v>1</v>
      </c>
      <c r="B56" t="str">
        <f>TRANSPOSE(T4_[Etiquetas de fila])</f>
        <v>Espumante de la casa</v>
      </c>
      <c r="C56">
        <f>TRANSPOSE(T4_[Recuento de T4 CODIGO])</f>
        <v>1</v>
      </c>
    </row>
    <row r="57" spans="1:3" x14ac:dyDescent="0.25">
      <c r="A57" t="b">
        <f>IFERROR(IF(MATCH(B57,RECETAS!$A$2:$A$1700,0) &lt;&gt; "", TRUE,""),FALSE)</f>
        <v>0</v>
      </c>
      <c r="B57" t="str">
        <f>TRANSPOSE(T4_[Etiquetas de fila])</f>
        <v>EXPRESO MARTINI</v>
      </c>
      <c r="C57">
        <f>TRANSPOSE(T4_[Recuento de T4 CODIGO])</f>
        <v>15</v>
      </c>
    </row>
    <row r="58" spans="1:3" x14ac:dyDescent="0.25">
      <c r="A58" t="b">
        <f>IFERROR(IF(MATCH(B58,RECETAS!$A$2:$A$1700,0) &lt;&gt; "", TRUE,""),FALSE)</f>
        <v>1</v>
      </c>
      <c r="B58" t="str">
        <f>TRANSPOSE(T4_[Etiquetas de fila])</f>
        <v>Extasis</v>
      </c>
      <c r="C58">
        <f>TRANSPOSE(T4_[Recuento de T4 CODIGO])</f>
        <v>2</v>
      </c>
    </row>
    <row r="59" spans="1:3" x14ac:dyDescent="0.25">
      <c r="A59" t="b">
        <f>IFERROR(IF(MATCH(B59,RECETAS!$A$2:$A$1700,0) &lt;&gt; "", TRUE,""),FALSE)</f>
        <v>1</v>
      </c>
      <c r="B59" t="str">
        <f>TRANSPOSE(T4_[Etiquetas de fila])</f>
        <v>Extra Camaron</v>
      </c>
      <c r="C59">
        <f>TRANSPOSE(T4_[Recuento de T4 CODIGO])</f>
        <v>2</v>
      </c>
    </row>
    <row r="60" spans="1:3" x14ac:dyDescent="0.25">
      <c r="A60" t="b">
        <f>IFERROR(IF(MATCH(B60,RECETAS!$A$2:$A$1700,0) &lt;&gt; "", TRUE,""),FALSE)</f>
        <v>1</v>
      </c>
      <c r="B60" t="str">
        <f>TRANSPOSE(T4_[Etiquetas de fila])</f>
        <v>Extra Champignon</v>
      </c>
      <c r="C60">
        <f>TRANSPOSE(T4_[Recuento de T4 CODIGO])</f>
        <v>1</v>
      </c>
    </row>
    <row r="61" spans="1:3" x14ac:dyDescent="0.25">
      <c r="A61" t="b">
        <f>IFERROR(IF(MATCH(B61,RECETAS!$A$2:$A$1700,0) &lt;&gt; "", TRUE,""),FALSE)</f>
        <v>1</v>
      </c>
      <c r="B61" t="str">
        <f>TRANSPOSE(T4_[Etiquetas de fila])</f>
        <v>EXTRA CREMA ACIDA</v>
      </c>
      <c r="C61">
        <f>TRANSPOSE(T4_[Recuento de T4 CODIGO])</f>
        <v>6</v>
      </c>
    </row>
    <row r="62" spans="1:3" x14ac:dyDescent="0.25">
      <c r="A62" t="b">
        <f>IFERROR(IF(MATCH(B62,RECETAS!$A$2:$A$1700,0) &lt;&gt; "", TRUE,""),FALSE)</f>
        <v>1</v>
      </c>
      <c r="B62" t="str">
        <f>TRANSPOSE(T4_[Etiquetas de fila])</f>
        <v>EXTRA GUACAMOLE</v>
      </c>
      <c r="C62">
        <f>TRANSPOSE(T4_[Recuento de T4 CODIGO])</f>
        <v>1</v>
      </c>
    </row>
    <row r="63" spans="1:3" x14ac:dyDescent="0.25">
      <c r="A63" t="b">
        <f>IFERROR(IF(MATCH(B63,RECETAS!$A$2:$A$1700,0) &lt;&gt; "", TRUE,""),FALSE)</f>
        <v>1</v>
      </c>
      <c r="B63" t="str">
        <f>TRANSPOSE(T4_[Etiquetas de fila])</f>
        <v>Extra Palta</v>
      </c>
      <c r="C63">
        <f>TRANSPOSE(T4_[Recuento de T4 CODIGO])</f>
        <v>2</v>
      </c>
    </row>
    <row r="64" spans="1:3" x14ac:dyDescent="0.25">
      <c r="A64" t="b">
        <f>IFERROR(IF(MATCH(B64,RECETAS!$A$2:$A$1700,0) &lt;&gt; "", TRUE,""),FALSE)</f>
        <v>1</v>
      </c>
      <c r="B64" t="str">
        <f>TRANSPOSE(T4_[Etiquetas de fila])</f>
        <v>Extra Pollo</v>
      </c>
      <c r="C64">
        <f>TRANSPOSE(T4_[Recuento de T4 CODIGO])</f>
        <v>2</v>
      </c>
    </row>
    <row r="65" spans="1:3" x14ac:dyDescent="0.25">
      <c r="A65" t="b">
        <f>IFERROR(IF(MATCH(B65,RECETAS!$A$2:$A$1700,0) &lt;&gt; "", TRUE,""),FALSE)</f>
        <v>1</v>
      </c>
      <c r="B65" t="str">
        <f>TRANSPOSE(T4_[Etiquetas de fila])</f>
        <v>EXTRA SALSA CHEDDAR</v>
      </c>
      <c r="C65">
        <f>TRANSPOSE(T4_[Recuento de T4 CODIGO])</f>
        <v>1</v>
      </c>
    </row>
    <row r="66" spans="1:3" x14ac:dyDescent="0.25">
      <c r="A66" t="b">
        <f>IFERROR(IF(MATCH(B66,RECETAS!$A$2:$A$1700,0) &lt;&gt; "", TRUE,""),FALSE)</f>
        <v>0</v>
      </c>
      <c r="B66" t="str">
        <f>TRANSPOSE(T4_[Etiquetas de fila])</f>
        <v>EXTRA SALSA de AJO</v>
      </c>
      <c r="C66">
        <f>TRANSPOSE(T4_[Recuento de T4 CODIGO])</f>
        <v>1</v>
      </c>
    </row>
    <row r="67" spans="1:3" x14ac:dyDescent="0.25">
      <c r="A67" t="b">
        <f>IFERROR(IF(MATCH(B67,RECETAS!$A$2:$A$1700,0) &lt;&gt; "", TRUE,""),FALSE)</f>
        <v>1</v>
      </c>
      <c r="B67" t="str">
        <f>TRANSPOSE(T4_[Etiquetas de fila])</f>
        <v>EXTRA TOSTADAS</v>
      </c>
      <c r="C67">
        <f>TRANSPOSE(T4_[Recuento de T4 CODIGO])</f>
        <v>2</v>
      </c>
    </row>
    <row r="68" spans="1:3" x14ac:dyDescent="0.25">
      <c r="A68" t="b">
        <f>IFERROR(IF(MATCH(B68,RECETAS!$A$2:$A$1700,0) &lt;&gt; "", TRUE,""),FALSE)</f>
        <v>1</v>
      </c>
      <c r="B68" t="str">
        <f>TRANSPOSE(T4_[Etiquetas de fila])</f>
        <v>Fanta 350cc</v>
      </c>
      <c r="C68">
        <f>TRANSPOSE(T4_[Recuento de T4 CODIGO])</f>
        <v>4</v>
      </c>
    </row>
    <row r="69" spans="1:3" x14ac:dyDescent="0.25">
      <c r="A69" t="b">
        <f>IFERROR(IF(MATCH(B69,RECETAS!$A$2:$A$1700,0) &lt;&gt; "", TRUE,""),FALSE)</f>
        <v>1</v>
      </c>
      <c r="B69" t="str">
        <f>TRANSPOSE(T4_[Etiquetas de fila])</f>
        <v>Fernet Branca</v>
      </c>
      <c r="C69">
        <f>TRANSPOSE(T4_[Recuento de T4 CODIGO])</f>
        <v>1</v>
      </c>
    </row>
    <row r="70" spans="1:3" x14ac:dyDescent="0.25">
      <c r="A70" t="b">
        <f>IFERROR(IF(MATCH(B70,RECETAS!$A$2:$A$1700,0) &lt;&gt; "", TRUE,""),FALSE)</f>
        <v>1</v>
      </c>
      <c r="B70" t="str">
        <f>TRANSPOSE(T4_[Etiquetas de fila])</f>
        <v>Festival Teclados</v>
      </c>
      <c r="C70">
        <f>TRANSPOSE(T4_[Recuento de T4 CODIGO])</f>
        <v>7</v>
      </c>
    </row>
    <row r="71" spans="1:3" x14ac:dyDescent="0.25">
      <c r="A71" t="b">
        <f>IFERROR(IF(MATCH(B71,RECETAS!$A$2:$A$1700,0) &lt;&gt; "", TRUE,""),FALSE)</f>
        <v>1</v>
      </c>
      <c r="B71" t="str">
        <f>TRANSPOSE(T4_[Etiquetas de fila])</f>
        <v>Florence Spritz</v>
      </c>
      <c r="C71">
        <f>TRANSPOSE(T4_[Recuento de T4 CODIGO])</f>
        <v>4</v>
      </c>
    </row>
    <row r="72" spans="1:3" x14ac:dyDescent="0.25">
      <c r="A72" t="b">
        <f>IFERROR(IF(MATCH(B72,RECETAS!$A$2:$A$1700,0) &lt;&gt; "", TRUE,""),FALSE)</f>
        <v>0</v>
      </c>
      <c r="B72" t="str">
        <f>TRANSPOSE(T4_[Etiquetas de fila])</f>
        <v>Frutilla</v>
      </c>
      <c r="C72">
        <f>TRANSPOSE(T4_[Recuento de T4 CODIGO])</f>
        <v>16</v>
      </c>
    </row>
    <row r="73" spans="1:3" x14ac:dyDescent="0.25">
      <c r="A73" t="b">
        <f>IFERROR(IF(MATCH(B73,RECETAS!$A$2:$A$1700,0) &lt;&gt; "", TRUE,""),FALSE)</f>
        <v>0</v>
      </c>
      <c r="B73" t="str">
        <f>TRANSPOSE(T4_[Etiquetas de fila])</f>
        <v>GIN DE VERANO</v>
      </c>
      <c r="C73">
        <f>TRANSPOSE(T4_[Recuento de T4 CODIGO])</f>
        <v>846</v>
      </c>
    </row>
    <row r="74" spans="1:3" x14ac:dyDescent="0.25">
      <c r="A74" t="b">
        <f>IFERROR(IF(MATCH(B74,RECETAS!$A$2:$A$1700,0) &lt;&gt; "", TRUE,""),FALSE)</f>
        <v>1</v>
      </c>
      <c r="B74" t="str">
        <f>TRANSPOSE(T4_[Etiquetas de fila])</f>
        <v>God Father</v>
      </c>
      <c r="C74">
        <f>TRANSPOSE(T4_[Recuento de T4 CODIGO])</f>
        <v>3</v>
      </c>
    </row>
    <row r="75" spans="1:3" x14ac:dyDescent="0.25">
      <c r="A75" t="b">
        <f>IFERROR(IF(MATCH(B75,RECETAS!$A$2:$A$1700,0) &lt;&gt; "", TRUE,""),FALSE)</f>
        <v>1</v>
      </c>
      <c r="B75" t="str">
        <f>TRANSPOSE(T4_[Etiquetas de fila])</f>
        <v>Hendricks</v>
      </c>
      <c r="C75">
        <f>TRANSPOSE(T4_[Recuento de T4 CODIGO])</f>
        <v>1</v>
      </c>
    </row>
    <row r="76" spans="1:3" x14ac:dyDescent="0.25">
      <c r="A76" t="b">
        <f>IFERROR(IF(MATCH(B76,RECETAS!$A$2:$A$1700,0) &lt;&gt; "", TRUE,""),FALSE)</f>
        <v>1</v>
      </c>
      <c r="B76" t="str">
        <f>TRANSPOSE(T4_[Etiquetas de fila])</f>
        <v>HH Caipirinha</v>
      </c>
      <c r="C76">
        <f>TRANSPOSE(T4_[Recuento de T4 CODIGO])</f>
        <v>13</v>
      </c>
    </row>
    <row r="77" spans="1:3" x14ac:dyDescent="0.25">
      <c r="A77" t="b">
        <f>IFERROR(IF(MATCH(B77,RECETAS!$A$2:$A$1700,0) &lt;&gt; "", TRUE,""),FALSE)</f>
        <v>1</v>
      </c>
      <c r="B77" t="str">
        <f>TRANSPOSE(T4_[Etiquetas de fila])</f>
        <v>HH Caipirinha Frambuesa</v>
      </c>
      <c r="C77">
        <f>TRANSPOSE(T4_[Recuento de T4 CODIGO])</f>
        <v>3</v>
      </c>
    </row>
    <row r="78" spans="1:3" x14ac:dyDescent="0.25">
      <c r="A78" t="b">
        <f>IFERROR(IF(MATCH(B78,RECETAS!$A$2:$A$1700,0) &lt;&gt; "", TRUE,""),FALSE)</f>
        <v>1</v>
      </c>
      <c r="B78" t="str">
        <f>TRANSPOSE(T4_[Etiquetas de fila])</f>
        <v>HH Caipirinha Frutilla</v>
      </c>
      <c r="C78">
        <f>TRANSPOSE(T4_[Recuento de T4 CODIGO])</f>
        <v>1</v>
      </c>
    </row>
    <row r="79" spans="1:3" x14ac:dyDescent="0.25">
      <c r="A79" t="b">
        <f>IFERROR(IF(MATCH(B79,RECETAS!$A$2:$A$1700,0) &lt;&gt; "", TRUE,""),FALSE)</f>
        <v>1</v>
      </c>
      <c r="B79" t="str">
        <f>TRANSPOSE(T4_[Etiquetas de fila])</f>
        <v>HH Caipirinha Mango</v>
      </c>
      <c r="C79">
        <f>TRANSPOSE(T4_[Recuento de T4 CODIGO])</f>
        <v>2</v>
      </c>
    </row>
    <row r="80" spans="1:3" x14ac:dyDescent="0.25">
      <c r="A80" t="b">
        <f>IFERROR(IF(MATCH(B80,RECETAS!$A$2:$A$1700,0) &lt;&gt; "", TRUE,""),FALSE)</f>
        <v>0</v>
      </c>
      <c r="B80" t="str">
        <f>TRANSPOSE(T4_[Etiquetas de fila])</f>
        <v>HH Chardonnay sour</v>
      </c>
      <c r="C80">
        <f>TRANSPOSE(T4_[Recuento de T4 CODIGO])</f>
        <v>2</v>
      </c>
    </row>
    <row r="81" spans="1:3" x14ac:dyDescent="0.25">
      <c r="A81" t="b">
        <f>IFERROR(IF(MATCH(B81,RECETAS!$A$2:$A$1700,0) &lt;&gt; "", TRUE,""),FALSE)</f>
        <v>1</v>
      </c>
      <c r="B81" t="str">
        <f>TRANSPOSE(T4_[Etiquetas de fila])</f>
        <v>HH Cosmopolitan</v>
      </c>
      <c r="C81">
        <f>TRANSPOSE(T4_[Recuento de T4 CODIGO])</f>
        <v>12</v>
      </c>
    </row>
    <row r="82" spans="1:3" x14ac:dyDescent="0.25">
      <c r="A82" t="b">
        <f>IFERROR(IF(MATCH(B82,RECETAS!$A$2:$A$1700,0) &lt;&gt; "", TRUE,""),FALSE)</f>
        <v>0</v>
      </c>
      <c r="B82" t="str">
        <f>TRANSPOSE(T4_[Etiquetas de fila])</f>
        <v>HH Crudo</v>
      </c>
      <c r="C82">
        <f>TRANSPOSE(T4_[Recuento de T4 CODIGO])</f>
        <v>4</v>
      </c>
    </row>
    <row r="83" spans="1:3" x14ac:dyDescent="0.25">
      <c r="A83" t="b">
        <f>IFERROR(IF(MATCH(B83,RECETAS!$A$2:$A$1700,0) &lt;&gt; "", TRUE,""),FALSE)</f>
        <v>1</v>
      </c>
      <c r="B83" t="str">
        <f>TRANSPOSE(T4_[Etiquetas de fila])</f>
        <v>HH Daiquiri Frambuesa</v>
      </c>
      <c r="C83">
        <f>TRANSPOSE(T4_[Recuento de T4 CODIGO])</f>
        <v>46</v>
      </c>
    </row>
    <row r="84" spans="1:3" x14ac:dyDescent="0.25">
      <c r="A84" t="b">
        <f>IFERROR(IF(MATCH(B84,RECETAS!$A$2:$A$1700,0) &lt;&gt; "", TRUE,""),FALSE)</f>
        <v>1</v>
      </c>
      <c r="B84" t="str">
        <f>TRANSPOSE(T4_[Etiquetas de fila])</f>
        <v>HH Daiquiri Frutilla</v>
      </c>
      <c r="C84">
        <f>TRANSPOSE(T4_[Recuento de T4 CODIGO])</f>
        <v>25</v>
      </c>
    </row>
    <row r="85" spans="1:3" x14ac:dyDescent="0.25">
      <c r="A85" t="b">
        <f>IFERROR(IF(MATCH(B85,RECETAS!$A$2:$A$1700,0) &lt;&gt; "", TRUE,""),FALSE)</f>
        <v>1</v>
      </c>
      <c r="B85" t="str">
        <f>TRANSPOSE(T4_[Etiquetas de fila])</f>
        <v>HH Daiquiri Mango</v>
      </c>
      <c r="C85">
        <f>TRANSPOSE(T4_[Recuento de T4 CODIGO])</f>
        <v>20</v>
      </c>
    </row>
    <row r="86" spans="1:3" x14ac:dyDescent="0.25">
      <c r="A86" t="b">
        <f>IFERROR(IF(MATCH(B86,RECETAS!$A$2:$A$1700,0) &lt;&gt; "", TRUE,""),FALSE)</f>
        <v>0</v>
      </c>
      <c r="B86" t="str">
        <f>TRANSPOSE(T4_[Etiquetas de fila])</f>
        <v>HH Doble Cheese Bruger</v>
      </c>
      <c r="C86">
        <f>TRANSPOSE(T4_[Recuento de T4 CODIGO])</f>
        <v>10</v>
      </c>
    </row>
    <row r="87" spans="1:3" x14ac:dyDescent="0.25">
      <c r="A87" t="b">
        <f>IFERROR(IF(MATCH(B87,RECETAS!$A$2:$A$1700,0) &lt;&gt; "", TRUE,""),FALSE)</f>
        <v>0</v>
      </c>
      <c r="B87" t="str">
        <f>TRANSPOSE(T4_[Etiquetas de fila])</f>
        <v>HH Laguna azul</v>
      </c>
      <c r="C87">
        <f>TRANSPOSE(T4_[Recuento de T4 CODIGO])</f>
        <v>2</v>
      </c>
    </row>
    <row r="88" spans="1:3" x14ac:dyDescent="0.25">
      <c r="A88" t="b">
        <f>IFERROR(IF(MATCH(B88,RECETAS!$A$2:$A$1700,0) &lt;&gt; "", TRUE,""),FALSE)</f>
        <v>1</v>
      </c>
      <c r="B88" t="str">
        <f>TRANSPOSE(T4_[Etiquetas de fila])</f>
        <v>HH Margarita</v>
      </c>
      <c r="C88">
        <f>TRANSPOSE(T4_[Recuento de T4 CODIGO])</f>
        <v>7</v>
      </c>
    </row>
    <row r="89" spans="1:3" x14ac:dyDescent="0.25">
      <c r="A89" t="b">
        <f>IFERROR(IF(MATCH(B89,RECETAS!$A$2:$A$1700,0) &lt;&gt; "", TRUE,""),FALSE)</f>
        <v>1</v>
      </c>
      <c r="B89" t="str">
        <f>TRANSPOSE(T4_[Etiquetas de fila])</f>
        <v>HH Margarita Blue</v>
      </c>
      <c r="C89">
        <f>TRANSPOSE(T4_[Recuento de T4 CODIGO])</f>
        <v>5</v>
      </c>
    </row>
    <row r="90" spans="1:3" x14ac:dyDescent="0.25">
      <c r="A90" t="b">
        <f>IFERROR(IF(MATCH(B90,RECETAS!$A$2:$A$1700,0) &lt;&gt; "", TRUE,""),FALSE)</f>
        <v>1</v>
      </c>
      <c r="B90" t="str">
        <f>TRANSPOSE(T4_[Etiquetas de fila])</f>
        <v>HH Margarita Frambuesa</v>
      </c>
      <c r="C90">
        <f>TRANSPOSE(T4_[Recuento de T4 CODIGO])</f>
        <v>8</v>
      </c>
    </row>
    <row r="91" spans="1:3" x14ac:dyDescent="0.25">
      <c r="A91" t="b">
        <f>IFERROR(IF(MATCH(B91,RECETAS!$A$2:$A$1700,0) &lt;&gt; "", TRUE,""),FALSE)</f>
        <v>1</v>
      </c>
      <c r="B91" t="str">
        <f>TRANSPOSE(T4_[Etiquetas de fila])</f>
        <v>HH Margarita Frutilla</v>
      </c>
      <c r="C91">
        <f>TRANSPOSE(T4_[Recuento de T4 CODIGO])</f>
        <v>7</v>
      </c>
    </row>
    <row r="92" spans="1:3" x14ac:dyDescent="0.25">
      <c r="A92" t="b">
        <f>IFERROR(IF(MATCH(B92,RECETAS!$A$2:$A$1700,0) &lt;&gt; "", TRUE,""),FALSE)</f>
        <v>1</v>
      </c>
      <c r="B92" t="str">
        <f>TRANSPOSE(T4_[Etiquetas de fila])</f>
        <v>HH MOJITO BERRIES</v>
      </c>
      <c r="C92">
        <f>TRANSPOSE(T4_[Recuento de T4 CODIGO])</f>
        <v>59</v>
      </c>
    </row>
    <row r="93" spans="1:3" x14ac:dyDescent="0.25">
      <c r="A93" t="b">
        <f>IFERROR(IF(MATCH(B93,RECETAS!$A$2:$A$1700,0) &lt;&gt; "", TRUE,""),FALSE)</f>
        <v>1</v>
      </c>
      <c r="B93" t="str">
        <f>TRANSPOSE(T4_[Etiquetas de fila])</f>
        <v>HH Mojito Clásico</v>
      </c>
      <c r="C93">
        <f>TRANSPOSE(T4_[Recuento de T4 CODIGO])</f>
        <v>86</v>
      </c>
    </row>
    <row r="94" spans="1:3" x14ac:dyDescent="0.25">
      <c r="A94" t="b">
        <f>IFERROR(IF(MATCH(B94,RECETAS!$A$2:$A$1700,0) &lt;&gt; "", TRUE,""),FALSE)</f>
        <v>1</v>
      </c>
      <c r="B94" t="str">
        <f>TRANSPOSE(T4_[Etiquetas de fila])</f>
        <v>HH Mojito Corona</v>
      </c>
      <c r="C94">
        <f>TRANSPOSE(T4_[Recuento de T4 CODIGO])</f>
        <v>74</v>
      </c>
    </row>
    <row r="95" spans="1:3" x14ac:dyDescent="0.25">
      <c r="A95" t="b">
        <f>IFERROR(IF(MATCH(B95,RECETAS!$A$2:$A$1700,0) &lt;&gt; "", TRUE,""),FALSE)</f>
        <v>1</v>
      </c>
      <c r="B95" t="str">
        <f>TRANSPOSE(T4_[Etiquetas de fila])</f>
        <v>HH MOJITO FRUTILLA</v>
      </c>
      <c r="C95">
        <f>TRANSPOSE(T4_[Recuento de T4 CODIGO])</f>
        <v>32</v>
      </c>
    </row>
    <row r="96" spans="1:3" x14ac:dyDescent="0.25">
      <c r="A96" t="b">
        <f>IFERROR(IF(MATCH(B96,RECETAS!$A$2:$A$1700,0) &lt;&gt; "", TRUE,""),FALSE)</f>
        <v>1</v>
      </c>
      <c r="B96" t="str">
        <f>TRANSPOSE(T4_[Etiquetas de fila])</f>
        <v>HH MOJITO MANGO</v>
      </c>
      <c r="C96">
        <f>TRANSPOSE(T4_[Recuento de T4 CODIGO])</f>
        <v>51</v>
      </c>
    </row>
    <row r="97" spans="1:3" x14ac:dyDescent="0.25">
      <c r="A97" t="b">
        <f>IFERROR(IF(MATCH(B97,RECETAS!$A$2:$A$1700,0) &lt;&gt; "", TRUE,""),FALSE)</f>
        <v>1</v>
      </c>
      <c r="B97" t="str">
        <f>TRANSPOSE(T4_[Etiquetas de fila])</f>
        <v>HH Mojito Maracuyá</v>
      </c>
      <c r="C97">
        <f>TRANSPOSE(T4_[Recuento de T4 CODIGO])</f>
        <v>100</v>
      </c>
    </row>
    <row r="98" spans="1:3" x14ac:dyDescent="0.25">
      <c r="A98" t="b">
        <f>IFERROR(IF(MATCH(B98,RECETAS!$A$2:$A$1700,0) &lt;&gt; "", TRUE,""),FALSE)</f>
        <v>1</v>
      </c>
      <c r="B98" t="str">
        <f>TRANSPOSE(T4_[Etiquetas de fila])</f>
        <v>HH Pisco Sour</v>
      </c>
      <c r="C98">
        <f>TRANSPOSE(T4_[Recuento de T4 CODIGO])</f>
        <v>9</v>
      </c>
    </row>
    <row r="99" spans="1:3" x14ac:dyDescent="0.25">
      <c r="A99" t="b">
        <f>IFERROR(IF(MATCH(B99,RECETAS!$A$2:$A$1700,0) &lt;&gt; "", TRUE,""),FALSE)</f>
        <v>1</v>
      </c>
      <c r="B99" t="str">
        <f>TRANSPOSE(T4_[Etiquetas de fila])</f>
        <v>HH Schop Becker</v>
      </c>
      <c r="C99">
        <f>TRANSPOSE(T4_[Recuento de T4 CODIGO])</f>
        <v>14</v>
      </c>
    </row>
    <row r="100" spans="1:3" x14ac:dyDescent="0.25">
      <c r="A100" t="b">
        <f>IFERROR(IF(MATCH(B100,RECETAS!$A$2:$A$1700,0) &lt;&gt; "", TRUE,""),FALSE)</f>
        <v>1</v>
      </c>
      <c r="B100" t="str">
        <f>TRANSPOSE(T4_[Etiquetas de fila])</f>
        <v>Jack Daniels</v>
      </c>
      <c r="C100">
        <f>TRANSPOSE(T4_[Recuento de T4 CODIGO])</f>
        <v>5</v>
      </c>
    </row>
    <row r="101" spans="1:3" x14ac:dyDescent="0.25">
      <c r="A101" t="b">
        <f>IFERROR(IF(MATCH(B101,RECETAS!$A$2:$A$1700,0) &lt;&gt; "", TRUE,""),FALSE)</f>
        <v>1</v>
      </c>
      <c r="B101" t="str">
        <f>TRANSPOSE(T4_[Etiquetas de fila])</f>
        <v>Jack Daniels Fire</v>
      </c>
      <c r="C101">
        <f>TRANSPOSE(T4_[Recuento de T4 CODIGO])</f>
        <v>1</v>
      </c>
    </row>
    <row r="102" spans="1:3" x14ac:dyDescent="0.25">
      <c r="A102" t="b">
        <f>IFERROR(IF(MATCH(B102,RECETAS!$A$2:$A$1700,0) &lt;&gt; "", TRUE,""),FALSE)</f>
        <v>1</v>
      </c>
      <c r="B102" t="str">
        <f>TRANSPOSE(T4_[Etiquetas de fila])</f>
        <v>Jack Daniels Honey</v>
      </c>
      <c r="C102">
        <f>TRANSPOSE(T4_[Recuento de T4 CODIGO])</f>
        <v>1</v>
      </c>
    </row>
    <row r="103" spans="1:3" x14ac:dyDescent="0.25">
      <c r="A103" t="b">
        <f>IFERROR(IF(MATCH(B103,RECETAS!$A$2:$A$1700,0) &lt;&gt; "", TRUE,""),FALSE)</f>
        <v>1</v>
      </c>
      <c r="B103" t="str">
        <f>TRANSPOSE(T4_[Etiquetas de fila])</f>
        <v>Jagermeister</v>
      </c>
      <c r="C103">
        <f>TRANSPOSE(T4_[Recuento de T4 CODIGO])</f>
        <v>1</v>
      </c>
    </row>
    <row r="104" spans="1:3" x14ac:dyDescent="0.25">
      <c r="A104" t="b">
        <f>IFERROR(IF(MATCH(B104,RECETAS!$A$2:$A$1700,0) &lt;&gt; "", TRUE,""),FALSE)</f>
        <v>1</v>
      </c>
      <c r="B104" t="str">
        <f>TRANSPOSE(T4_[Etiquetas de fila])</f>
        <v>Jagermeister + Bebida</v>
      </c>
      <c r="C104">
        <f>TRANSPOSE(T4_[Recuento de T4 CODIGO])</f>
        <v>2</v>
      </c>
    </row>
    <row r="105" spans="1:3" x14ac:dyDescent="0.25">
      <c r="A105" t="b">
        <f>IFERROR(IF(MATCH(B105,RECETAS!$A$2:$A$1700,0) &lt;&gt; "", TRUE,""),FALSE)</f>
        <v>1</v>
      </c>
      <c r="B105" t="str">
        <f>TRANSPOSE(T4_[Etiquetas de fila])</f>
        <v>Jagermeister Mojito</v>
      </c>
      <c r="C105">
        <f>TRANSPOSE(T4_[Recuento de T4 CODIGO])</f>
        <v>6</v>
      </c>
    </row>
    <row r="106" spans="1:3" x14ac:dyDescent="0.25">
      <c r="A106" t="b">
        <f>IFERROR(IF(MATCH(B106,RECETAS!$A$2:$A$1700,0) &lt;&gt; "", TRUE,""),FALSE)</f>
        <v>1</v>
      </c>
      <c r="B106" t="str">
        <f>TRANSPOSE(T4_[Etiquetas de fila])</f>
        <v>Jarro Sangria</v>
      </c>
      <c r="C106">
        <f>TRANSPOSE(T4_[Recuento de T4 CODIGO])</f>
        <v>21</v>
      </c>
    </row>
    <row r="107" spans="1:3" x14ac:dyDescent="0.25">
      <c r="A107" t="b">
        <f>IFERROR(IF(MATCH(B107,RECETAS!$A$2:$A$1700,0) &lt;&gt; "", TRUE,""),FALSE)</f>
        <v>1</v>
      </c>
      <c r="B107" t="str">
        <f>TRANSPOSE(T4_[Etiquetas de fila])</f>
        <v>Johnnie Walker Black</v>
      </c>
      <c r="C107">
        <f>TRANSPOSE(T4_[Recuento de T4 CODIGO])</f>
        <v>3</v>
      </c>
    </row>
    <row r="108" spans="1:3" x14ac:dyDescent="0.25">
      <c r="A108" t="b">
        <f>IFERROR(IF(MATCH(B108,RECETAS!$A$2:$A$1700,0) &lt;&gt; "", TRUE,""),FALSE)</f>
        <v>1</v>
      </c>
      <c r="B108" t="str">
        <f>TRANSPOSE(T4_[Etiquetas de fila])</f>
        <v>Jugo Frambuesa</v>
      </c>
      <c r="C108">
        <f>TRANSPOSE(T4_[Recuento de T4 CODIGO])</f>
        <v>24</v>
      </c>
    </row>
    <row r="109" spans="1:3" x14ac:dyDescent="0.25">
      <c r="A109" t="b">
        <f>IFERROR(IF(MATCH(B109,RECETAS!$A$2:$A$1700,0) &lt;&gt; "", TRUE,""),FALSE)</f>
        <v>1</v>
      </c>
      <c r="B109" t="str">
        <f>TRANSPOSE(T4_[Etiquetas de fila])</f>
        <v>Jugo Frutilla</v>
      </c>
      <c r="C109">
        <f>TRANSPOSE(T4_[Recuento de T4 CODIGO])</f>
        <v>24</v>
      </c>
    </row>
    <row r="110" spans="1:3" x14ac:dyDescent="0.25">
      <c r="A110" t="b">
        <f>IFERROR(IF(MATCH(B110,RECETAS!$A$2:$A$1700,0) &lt;&gt; "", TRUE,""),FALSE)</f>
        <v>1</v>
      </c>
      <c r="B110" t="str">
        <f>TRANSPOSE(T4_[Etiquetas de fila])</f>
        <v>Jugo Mango</v>
      </c>
      <c r="C110">
        <f>TRANSPOSE(T4_[Recuento de T4 CODIGO])</f>
        <v>28</v>
      </c>
    </row>
    <row r="111" spans="1:3" x14ac:dyDescent="0.25">
      <c r="A111" t="b">
        <f>IFERROR(IF(MATCH(B111,RECETAS!$A$2:$A$1700,0) &lt;&gt; "", TRUE,""),FALSE)</f>
        <v>1</v>
      </c>
      <c r="B111" t="str">
        <f>TRANSPOSE(T4_[Etiquetas de fila])</f>
        <v>Laguna Azul</v>
      </c>
      <c r="C111">
        <f>TRANSPOSE(T4_[Recuento de T4 CODIGO])</f>
        <v>4</v>
      </c>
    </row>
    <row r="112" spans="1:3" x14ac:dyDescent="0.25">
      <c r="A112" t="b">
        <f>IFERROR(IF(MATCH(B112,RECETAS!$A$2:$A$1700,0) &lt;&gt; "", TRUE,""),FALSE)</f>
        <v>1</v>
      </c>
      <c r="B112" t="str">
        <f>TRANSPOSE(T4_[Etiquetas de fila])</f>
        <v>Limonada</v>
      </c>
      <c r="C112">
        <f>TRANSPOSE(T4_[Recuento de T4 CODIGO])</f>
        <v>43</v>
      </c>
    </row>
    <row r="113" spans="1:3" x14ac:dyDescent="0.25">
      <c r="A113" t="b">
        <f>IFERROR(IF(MATCH(B113,RECETAS!$A$2:$A$1700,0) &lt;&gt; "", TRUE,""),FALSE)</f>
        <v>1</v>
      </c>
      <c r="B113" t="str">
        <f>TRANSPOSE(T4_[Etiquetas de fila])</f>
        <v>Lomo a lo Pobre</v>
      </c>
      <c r="C113">
        <f>TRANSPOSE(T4_[Recuento de T4 CODIGO])</f>
        <v>6</v>
      </c>
    </row>
    <row r="114" spans="1:3" x14ac:dyDescent="0.25">
      <c r="A114" t="b">
        <f>IFERROR(IF(MATCH(B114,RECETAS!$A$2:$A$1700,0) &lt;&gt; "", TRUE,""),FALSE)</f>
        <v>1</v>
      </c>
      <c r="B114" t="str">
        <f>TRANSPOSE(T4_[Etiquetas de fila])</f>
        <v>London Mule</v>
      </c>
      <c r="C114">
        <f>TRANSPOSE(T4_[Recuento de T4 CODIGO])</f>
        <v>13</v>
      </c>
    </row>
    <row r="115" spans="1:3" x14ac:dyDescent="0.25">
      <c r="A115" t="b">
        <f>IFERROR(IF(MATCH(B115,RECETAS!$A$2:$A$1700,0) &lt;&gt; "", TRUE,""),FALSE)</f>
        <v>1</v>
      </c>
      <c r="B115" t="str">
        <f>TRANSPOSE(T4_[Etiquetas de fila])</f>
        <v>Maitai</v>
      </c>
      <c r="C115">
        <f>TRANSPOSE(T4_[Recuento de T4 CODIGO])</f>
        <v>4</v>
      </c>
    </row>
    <row r="116" spans="1:3" x14ac:dyDescent="0.25">
      <c r="A116" t="b">
        <f>IFERROR(IF(MATCH(B116,RECETAS!$A$2:$A$1700,0) &lt;&gt; "", TRUE,""),FALSE)</f>
        <v>1</v>
      </c>
      <c r="B116" t="str">
        <f>TRANSPOSE(T4_[Etiquetas de fila])</f>
        <v>Mamacita</v>
      </c>
      <c r="C116">
        <f>TRANSPOSE(T4_[Recuento de T4 CODIGO])</f>
        <v>8</v>
      </c>
    </row>
    <row r="117" spans="1:3" x14ac:dyDescent="0.25">
      <c r="A117" t="b">
        <f>IFERROR(IF(MATCH(B117,RECETAS!$A$2:$A$1700,0) &lt;&gt; "", TRUE,""),FALSE)</f>
        <v>0</v>
      </c>
      <c r="B117" t="str">
        <f>TRANSPOSE(T4_[Etiquetas de fila])</f>
        <v>Mango</v>
      </c>
      <c r="C117">
        <f>TRANSPOSE(T4_[Recuento de T4 CODIGO])</f>
        <v>9</v>
      </c>
    </row>
    <row r="118" spans="1:3" x14ac:dyDescent="0.25">
      <c r="A118" t="b">
        <f>IFERROR(IF(MATCH(B118,RECETAS!$A$2:$A$1700,0) &lt;&gt; "", TRUE,""),FALSE)</f>
        <v>1</v>
      </c>
      <c r="B118" t="str">
        <f>TRANSPOSE(T4_[Etiquetas de fila])</f>
        <v>Mango Colada</v>
      </c>
      <c r="C118">
        <f>TRANSPOSE(T4_[Recuento de T4 CODIGO])</f>
        <v>6</v>
      </c>
    </row>
    <row r="119" spans="1:3" x14ac:dyDescent="0.25">
      <c r="A119" t="b">
        <f>IFERROR(IF(MATCH(B119,RECETAS!$A$2:$A$1700,0) &lt;&gt; "", TRUE,""),FALSE)</f>
        <v>0</v>
      </c>
      <c r="B119" t="str">
        <f>TRANSPOSE(T4_[Etiquetas de fila])</f>
        <v>MARACUYA SOUR</v>
      </c>
      <c r="C119">
        <f>TRANSPOSE(T4_[Recuento de T4 CODIGO])</f>
        <v>2</v>
      </c>
    </row>
    <row r="120" spans="1:3" x14ac:dyDescent="0.25">
      <c r="A120" t="b">
        <f>IFERROR(IF(MATCH(B120,RECETAS!$A$2:$A$1700,0) &lt;&gt; "", TRUE,""),FALSE)</f>
        <v>1</v>
      </c>
      <c r="B120" t="str">
        <f>TRANSPOSE(T4_[Etiquetas de fila])</f>
        <v>Margarita</v>
      </c>
      <c r="C120">
        <f>TRANSPOSE(T4_[Recuento de T4 CODIGO])</f>
        <v>8</v>
      </c>
    </row>
    <row r="121" spans="1:3" x14ac:dyDescent="0.25">
      <c r="A121" t="b">
        <f>IFERROR(IF(MATCH(B121,RECETAS!$A$2:$A$1700,0) &lt;&gt; "", TRUE,""),FALSE)</f>
        <v>0</v>
      </c>
      <c r="B121" t="str">
        <f>TRANSPOSE(T4_[Etiquetas de fila])</f>
        <v>margarita blue spicy</v>
      </c>
      <c r="C121">
        <f>TRANSPOSE(T4_[Recuento de T4 CODIGO])</f>
        <v>18</v>
      </c>
    </row>
    <row r="122" spans="1:3" x14ac:dyDescent="0.25">
      <c r="A122" t="b">
        <f>IFERROR(IF(MATCH(B122,RECETAS!$A$2:$A$1700,0) &lt;&gt; "", TRUE,""),FALSE)</f>
        <v>1</v>
      </c>
      <c r="B122" t="str">
        <f>TRANSPOSE(T4_[Etiquetas de fila])</f>
        <v>Margarita Frambuesa</v>
      </c>
      <c r="C122">
        <f>TRANSPOSE(T4_[Recuento de T4 CODIGO])</f>
        <v>7</v>
      </c>
    </row>
    <row r="123" spans="1:3" x14ac:dyDescent="0.25">
      <c r="A123" t="b">
        <f>IFERROR(IF(MATCH(B123,RECETAS!$A$2:$A$1700,0) &lt;&gt; "", TRUE,""),FALSE)</f>
        <v>1</v>
      </c>
      <c r="B123" t="str">
        <f>TRANSPOSE(T4_[Etiquetas de fila])</f>
        <v>Margarita Frutilla</v>
      </c>
      <c r="C123">
        <f>TRANSPOSE(T4_[Recuento de T4 CODIGO])</f>
        <v>5</v>
      </c>
    </row>
    <row r="124" spans="1:3" x14ac:dyDescent="0.25">
      <c r="A124" t="b">
        <f>IFERROR(IF(MATCH(B124,RECETAS!$A$2:$A$1700,0) &lt;&gt; "", TRUE,""),FALSE)</f>
        <v>0</v>
      </c>
      <c r="B124" t="str">
        <f>TRANSPOSE(T4_[Etiquetas de fila])</f>
        <v>margarita maracuya spicy</v>
      </c>
      <c r="C124">
        <f>TRANSPOSE(T4_[Recuento de T4 CODIGO])</f>
        <v>11</v>
      </c>
    </row>
    <row r="125" spans="1:3" x14ac:dyDescent="0.25">
      <c r="A125" t="b">
        <f>IFERROR(IF(MATCH(B125,RECETAS!$A$2:$A$1700,0) &lt;&gt; "", TRUE,""),FALSE)</f>
        <v>0</v>
      </c>
      <c r="B125" t="str">
        <f>TRANSPOSE(T4_[Etiquetas de fila])</f>
        <v>margarita spicy</v>
      </c>
      <c r="C125">
        <f>TRANSPOSE(T4_[Recuento de T4 CODIGO])</f>
        <v>10</v>
      </c>
    </row>
    <row r="126" spans="1:3" x14ac:dyDescent="0.25">
      <c r="A126" t="b">
        <f>IFERROR(IF(MATCH(B126,RECETAS!$A$2:$A$1700,0) &lt;&gt; "", TRUE,""),FALSE)</f>
        <v>1</v>
      </c>
      <c r="B126" t="str">
        <f>TRANSPOSE(T4_[Etiquetas de fila])</f>
        <v>Margarita XL</v>
      </c>
      <c r="C126">
        <f>TRANSPOSE(T4_[Recuento de T4 CODIGO])</f>
        <v>1</v>
      </c>
    </row>
    <row r="127" spans="1:3" x14ac:dyDescent="0.25">
      <c r="A127" t="b">
        <f>IFERROR(IF(MATCH(B127,RECETAS!$A$2:$A$1700,0) &lt;&gt; "", TRUE,""),FALSE)</f>
        <v>1</v>
      </c>
      <c r="B127" t="str">
        <f>TRANSPOSE(T4_[Etiquetas de fila])</f>
        <v>Menu Coca cola 350cc</v>
      </c>
      <c r="C127">
        <f>TRANSPOSE(T4_[Recuento de T4 CODIGO])</f>
        <v>11</v>
      </c>
    </row>
    <row r="128" spans="1:3" x14ac:dyDescent="0.25">
      <c r="A128" t="b">
        <f>IFERROR(IF(MATCH(B128,RECETAS!$A$2:$A$1700,0) &lt;&gt; "", TRUE,""),FALSE)</f>
        <v>1</v>
      </c>
      <c r="B128" t="str">
        <f>TRANSPOSE(T4_[Etiquetas de fila])</f>
        <v>Menu Coca cola zero 350cc</v>
      </c>
      <c r="C128">
        <f>TRANSPOSE(T4_[Recuento de T4 CODIGO])</f>
        <v>16</v>
      </c>
    </row>
    <row r="129" spans="1:3" x14ac:dyDescent="0.25">
      <c r="A129" t="b">
        <f>IFERROR(IF(MATCH(B129,RECETAS!$A$2:$A$1700,0) &lt;&gt; "", TRUE,""),FALSE)</f>
        <v>1</v>
      </c>
      <c r="B129" t="str">
        <f>TRANSPOSE(T4_[Etiquetas de fila])</f>
        <v>Menu copa de vino blanco</v>
      </c>
      <c r="C129">
        <f>TRANSPOSE(T4_[Recuento de T4 CODIGO])</f>
        <v>1</v>
      </c>
    </row>
    <row r="130" spans="1:3" x14ac:dyDescent="0.25">
      <c r="A130" t="b">
        <f>IFERROR(IF(MATCH(B130,RECETAS!$A$2:$A$1700,0) &lt;&gt; "", TRUE,""),FALSE)</f>
        <v>1</v>
      </c>
      <c r="B130" t="str">
        <f>TRANSPOSE(T4_[Etiquetas de fila])</f>
        <v>Menu copa de vino tinto</v>
      </c>
      <c r="C130">
        <f>TRANSPOSE(T4_[Recuento de T4 CODIGO])</f>
        <v>5</v>
      </c>
    </row>
    <row r="131" spans="1:3" x14ac:dyDescent="0.25">
      <c r="A131" t="b">
        <f>IFERROR(IF(MATCH(B131,RECETAS!$A$2:$A$1700,0) &lt;&gt; "", TRUE,""),FALSE)</f>
        <v>1</v>
      </c>
      <c r="B131" t="str">
        <f>TRANSPOSE(T4_[Etiquetas de fila])</f>
        <v>MENU CRUDO</v>
      </c>
      <c r="C131">
        <f>TRANSPOSE(T4_[Recuento de T4 CODIGO])</f>
        <v>2</v>
      </c>
    </row>
    <row r="132" spans="1:3" x14ac:dyDescent="0.25">
      <c r="A132" t="b">
        <f>IFERROR(IF(MATCH(B132,RECETAS!$A$2:$A$1700,0) &lt;&gt; "", TRUE,""),FALSE)</f>
        <v>1</v>
      </c>
      <c r="B132" t="str">
        <f>TRANSPOSE(T4_[Etiquetas de fila])</f>
        <v>Menu Fanta 350cc</v>
      </c>
      <c r="C132">
        <f>TRANSPOSE(T4_[Recuento de T4 CODIGO])</f>
        <v>2</v>
      </c>
    </row>
    <row r="133" spans="1:3" x14ac:dyDescent="0.25">
      <c r="A133" t="b">
        <f>IFERROR(IF(MATCH(B133,RECETAS!$A$2:$A$1700,0) &lt;&gt; "", TRUE,""),FALSE)</f>
        <v>1</v>
      </c>
      <c r="B133" t="str">
        <f>TRANSPOSE(T4_[Etiquetas de fila])</f>
        <v>Menu Lomo a lo pobre</v>
      </c>
      <c r="C133">
        <f>TRANSPOSE(T4_[Recuento de T4 CODIGO])</f>
        <v>16</v>
      </c>
    </row>
    <row r="134" spans="1:3" x14ac:dyDescent="0.25">
      <c r="A134" t="b">
        <f>IFERROR(IF(MATCH(B134,RECETAS!$A$2:$A$1700,0) &lt;&gt; "", TRUE,""),FALSE)</f>
        <v>1</v>
      </c>
      <c r="B134" t="str">
        <f>TRANSPOSE(T4_[Etiquetas de fila])</f>
        <v>Menu Lomo Saltado</v>
      </c>
      <c r="C134">
        <f>TRANSPOSE(T4_[Recuento de T4 CODIGO])</f>
        <v>14</v>
      </c>
    </row>
    <row r="135" spans="1:3" x14ac:dyDescent="0.25">
      <c r="A135" t="b">
        <f>IFERROR(IF(MATCH(B135,RECETAS!$A$2:$A$1700,0) &lt;&gt; "", TRUE,""),FALSE)</f>
        <v>1</v>
      </c>
      <c r="B135" t="str">
        <f>TRANSPOSE(T4_[Etiquetas de fila])</f>
        <v>Menu Mineral con gas</v>
      </c>
      <c r="C135">
        <f>TRANSPOSE(T4_[Recuento de T4 CODIGO])</f>
        <v>1</v>
      </c>
    </row>
    <row r="136" spans="1:3" x14ac:dyDescent="0.25">
      <c r="A136" t="b">
        <f>IFERROR(IF(MATCH(B136,RECETAS!$A$2:$A$1700,0) &lt;&gt; "", TRUE,""),FALSE)</f>
        <v>1</v>
      </c>
      <c r="B136" t="str">
        <f>TRANSPOSE(T4_[Etiquetas de fila])</f>
        <v>Menu Mineral sin gas</v>
      </c>
      <c r="C136">
        <f>TRANSPOSE(T4_[Recuento de T4 CODIGO])</f>
        <v>9</v>
      </c>
    </row>
    <row r="137" spans="1:3" x14ac:dyDescent="0.25">
      <c r="A137" t="b">
        <f>IFERROR(IF(MATCH(B137,RECETAS!$A$2:$A$1700,0) &lt;&gt; "", TRUE,""),FALSE)</f>
        <v>1</v>
      </c>
      <c r="B137" t="str">
        <f>TRANSPOSE(T4_[Etiquetas de fila])</f>
        <v>Menu Pasta con Camarones</v>
      </c>
      <c r="C137">
        <f>TRANSPOSE(T4_[Recuento de T4 CODIGO])</f>
        <v>9</v>
      </c>
    </row>
    <row r="138" spans="1:3" x14ac:dyDescent="0.25">
      <c r="A138" t="b">
        <f>IFERROR(IF(MATCH(B138,RECETAS!$A$2:$A$1700,0) &lt;&gt; "", TRUE,""),FALSE)</f>
        <v>1</v>
      </c>
      <c r="B138" t="str">
        <f>TRANSPOSE(T4_[Etiquetas de fila])</f>
        <v>Menu Pollo a lo pobre</v>
      </c>
      <c r="C138">
        <f>TRANSPOSE(T4_[Recuento de T4 CODIGO])</f>
        <v>1</v>
      </c>
    </row>
    <row r="139" spans="1:3" x14ac:dyDescent="0.25">
      <c r="A139" t="b">
        <f>IFERROR(IF(MATCH(B139,RECETAS!$A$2:$A$1700,0) &lt;&gt; "", TRUE,""),FALSE)</f>
        <v>1</v>
      </c>
      <c r="B139" t="str">
        <f>TRANSPOSE(T4_[Etiquetas de fila])</f>
        <v>Menu Pollo al Curry</v>
      </c>
      <c r="C139">
        <f>TRANSPOSE(T4_[Recuento de T4 CODIGO])</f>
        <v>1</v>
      </c>
    </row>
    <row r="140" spans="1:3" x14ac:dyDescent="0.25">
      <c r="A140" t="b">
        <f>IFERROR(IF(MATCH(B140,RECETAS!$A$2:$A$1700,0) &lt;&gt; "", TRUE,""),FALSE)</f>
        <v>1</v>
      </c>
      <c r="B140" t="str">
        <f>TRANSPOSE(T4_[Etiquetas de fila])</f>
        <v>Menu Salmon a la plancha</v>
      </c>
      <c r="C140">
        <f>TRANSPOSE(T4_[Recuento de T4 CODIGO])</f>
        <v>3</v>
      </c>
    </row>
    <row r="141" spans="1:3" x14ac:dyDescent="0.25">
      <c r="A141" t="b">
        <f>IFERROR(IF(MATCH(B141,RECETAS!$A$2:$A$1700,0) &lt;&gt; "", TRUE,""),FALSE)</f>
        <v>1</v>
      </c>
      <c r="B141" t="str">
        <f>TRANSPOSE(T4_[Etiquetas de fila])</f>
        <v>Menu Salmon a lo Pobre</v>
      </c>
      <c r="C141">
        <f>TRANSPOSE(T4_[Recuento de T4 CODIGO])</f>
        <v>10</v>
      </c>
    </row>
    <row r="142" spans="1:3" x14ac:dyDescent="0.25">
      <c r="A142" t="b">
        <f>IFERROR(IF(MATCH(B142,RECETAS!$A$2:$A$1700,0) &lt;&gt; "", TRUE,""),FALSE)</f>
        <v>1</v>
      </c>
      <c r="B142" t="str">
        <f>TRANSPOSE(T4_[Etiquetas de fila])</f>
        <v>Menu Salmon Salad</v>
      </c>
      <c r="C142">
        <f>TRANSPOSE(T4_[Recuento de T4 CODIGO])</f>
        <v>5</v>
      </c>
    </row>
    <row r="143" spans="1:3" x14ac:dyDescent="0.25">
      <c r="A143" t="b">
        <f>IFERROR(IF(MATCH(B143,RECETAS!$A$2:$A$1700,0) &lt;&gt; "", TRUE,""),FALSE)</f>
        <v>1</v>
      </c>
      <c r="B143" t="str">
        <f>TRANSPOSE(T4_[Etiquetas de fila])</f>
        <v>Menu Schop Stella</v>
      </c>
      <c r="C143">
        <f>TRANSPOSE(T4_[Recuento de T4 CODIGO])</f>
        <v>21</v>
      </c>
    </row>
    <row r="144" spans="1:3" x14ac:dyDescent="0.25">
      <c r="A144" t="b">
        <f>IFERROR(IF(MATCH(B144,RECETAS!$A$2:$A$1700,0) &lt;&gt; "", TRUE,""),FALSE)</f>
        <v>1</v>
      </c>
      <c r="B144" t="str">
        <f>TRANSPOSE(T4_[Etiquetas de fila])</f>
        <v>Menu Schweppes Ginger zero 350cc</v>
      </c>
      <c r="C144">
        <f>TRANSPOSE(T4_[Recuento de T4 CODIGO])</f>
        <v>6</v>
      </c>
    </row>
    <row r="145" spans="1:3" x14ac:dyDescent="0.25">
      <c r="A145" t="b">
        <f>IFERROR(IF(MATCH(B145,RECETAS!$A$2:$A$1700,0) &lt;&gt; "", TRUE,""),FALSE)</f>
        <v>1</v>
      </c>
      <c r="B145" t="str">
        <f>TRANSPOSE(T4_[Etiquetas de fila])</f>
        <v>Menu Sprite 350cc</v>
      </c>
      <c r="C145">
        <f>TRANSPOSE(T4_[Recuento de T4 CODIGO])</f>
        <v>6</v>
      </c>
    </row>
    <row r="146" spans="1:3" x14ac:dyDescent="0.25">
      <c r="A146" t="b">
        <f>IFERROR(IF(MATCH(B146,RECETAS!$A$2:$A$1700,0) &lt;&gt; "", TRUE,""),FALSE)</f>
        <v>1</v>
      </c>
      <c r="B146" t="str">
        <f>TRANSPOSE(T4_[Etiquetas de fila])</f>
        <v>Menu Sprite Zero 350cc</v>
      </c>
      <c r="C146">
        <f>TRANSPOSE(T4_[Recuento de T4 CODIGO])</f>
        <v>4</v>
      </c>
    </row>
    <row r="147" spans="1:3" x14ac:dyDescent="0.25">
      <c r="A147" t="b">
        <f>IFERROR(IF(MATCH(B147,RECETAS!$A$2:$A$1700,0) &lt;&gt; "", TRUE,""),FALSE)</f>
        <v>0</v>
      </c>
      <c r="B147" t="str">
        <f>TRANSPOSE(T4_[Etiquetas de fila])</f>
        <v>MERLUZA A LO POBRE</v>
      </c>
      <c r="C147">
        <f>TRANSPOSE(T4_[Recuento de T4 CODIGO])</f>
        <v>5</v>
      </c>
    </row>
    <row r="148" spans="1:3" x14ac:dyDescent="0.25">
      <c r="A148" t="b">
        <f>IFERROR(IF(MATCH(B148,RECETAS!$A$2:$A$1700,0) &lt;&gt; "", TRUE,""),FALSE)</f>
        <v>1</v>
      </c>
      <c r="B148" t="str">
        <f>TRANSPOSE(T4_[Etiquetas de fila])</f>
        <v>Michelada</v>
      </c>
      <c r="C148">
        <f>TRANSPOSE(T4_[Recuento de T4 CODIGO])</f>
        <v>70</v>
      </c>
    </row>
    <row r="149" spans="1:3" x14ac:dyDescent="0.25">
      <c r="A149" t="b">
        <f>IFERROR(IF(MATCH(B149,RECETAS!$A$2:$A$1700,0) &lt;&gt; "", TRUE,""),FALSE)</f>
        <v>1</v>
      </c>
      <c r="B149" t="str">
        <f>TRANSPOSE(T4_[Etiquetas de fila])</f>
        <v>Michelada Full</v>
      </c>
      <c r="C149">
        <f>TRANSPOSE(T4_[Recuento de T4 CODIGO])</f>
        <v>52</v>
      </c>
    </row>
    <row r="150" spans="1:3" x14ac:dyDescent="0.25">
      <c r="A150" t="b">
        <f>IFERROR(IF(MATCH(B150,RECETAS!$A$2:$A$1700,0) &lt;&gt; "", TRUE,""),FALSE)</f>
        <v>1</v>
      </c>
      <c r="B150" t="str">
        <f>TRANSPOSE(T4_[Etiquetas de fila])</f>
        <v>Mineral con gas</v>
      </c>
      <c r="C150">
        <f>TRANSPOSE(T4_[Recuento de T4 CODIGO])</f>
        <v>8</v>
      </c>
    </row>
    <row r="151" spans="1:3" x14ac:dyDescent="0.25">
      <c r="A151" t="b">
        <f>IFERROR(IF(MATCH(B151,RECETAS!$A$2:$A$1700,0) &lt;&gt; "", TRUE,""),FALSE)</f>
        <v>1</v>
      </c>
      <c r="B151" t="str">
        <f>TRANSPOSE(T4_[Etiquetas de fila])</f>
        <v>Mineral sin gas</v>
      </c>
      <c r="C151">
        <f>TRANSPOSE(T4_[Recuento de T4 CODIGO])</f>
        <v>18</v>
      </c>
    </row>
    <row r="152" spans="1:3" x14ac:dyDescent="0.25">
      <c r="A152" t="b">
        <f>IFERROR(IF(MATCH(B152,RECETAS!$A$2:$A$1700,0) &lt;&gt; "", TRUE,""),FALSE)</f>
        <v>1</v>
      </c>
      <c r="B152" t="str">
        <f>TRANSPOSE(T4_[Etiquetas de fila])</f>
        <v>Mistral 35°</v>
      </c>
      <c r="C152">
        <f>TRANSPOSE(T4_[Recuento de T4 CODIGO])</f>
        <v>7</v>
      </c>
    </row>
    <row r="153" spans="1:3" x14ac:dyDescent="0.25">
      <c r="A153" t="b">
        <f>IFERROR(IF(MATCH(B153,RECETAS!$A$2:$A$1700,0) &lt;&gt; "", TRUE,""),FALSE)</f>
        <v>1</v>
      </c>
      <c r="B153" t="str">
        <f>TRANSPOSE(T4_[Etiquetas de fila])</f>
        <v>Mistral Nobel 40°</v>
      </c>
      <c r="C153">
        <f>TRANSPOSE(T4_[Recuento de T4 CODIGO])</f>
        <v>1</v>
      </c>
    </row>
    <row r="154" spans="1:3" x14ac:dyDescent="0.25">
      <c r="A154" t="b">
        <f>IFERROR(IF(MATCH(B154,RECETAS!$A$2:$A$1700,0) &lt;&gt; "", TRUE,""),FALSE)</f>
        <v>1</v>
      </c>
      <c r="B154" t="str">
        <f>TRANSPOSE(T4_[Etiquetas de fila])</f>
        <v>Mojito Absolut</v>
      </c>
      <c r="C154">
        <f>TRANSPOSE(T4_[Recuento de T4 CODIGO])</f>
        <v>1</v>
      </c>
    </row>
    <row r="155" spans="1:3" x14ac:dyDescent="0.25">
      <c r="A155" t="b">
        <f>IFERROR(IF(MATCH(B155,RECETAS!$A$2:$A$1700,0) &lt;&gt; "", TRUE,""),FALSE)</f>
        <v>1</v>
      </c>
      <c r="B155" t="str">
        <f>TRANSPOSE(T4_[Etiquetas de fila])</f>
        <v>Mojito Absolut Razz</v>
      </c>
      <c r="C155">
        <f>TRANSPOSE(T4_[Recuento de T4 CODIGO])</f>
        <v>2</v>
      </c>
    </row>
    <row r="156" spans="1:3" x14ac:dyDescent="0.25">
      <c r="A156" t="b">
        <f>IFERROR(IF(MATCH(B156,RECETAS!$A$2:$A$1700,0) &lt;&gt; "", TRUE,""),FALSE)</f>
        <v>1</v>
      </c>
      <c r="B156" t="str">
        <f>TRANSPOSE(T4_[Etiquetas de fila])</f>
        <v>Mojito Absolut Vainilla</v>
      </c>
      <c r="C156">
        <f>TRANSPOSE(T4_[Recuento de T4 CODIGO])</f>
        <v>1</v>
      </c>
    </row>
    <row r="157" spans="1:3" x14ac:dyDescent="0.25">
      <c r="A157" t="b">
        <f>IFERROR(IF(MATCH(B157,RECETAS!$A$2:$A$1700,0) &lt;&gt; "", TRUE,""),FALSE)</f>
        <v>1</v>
      </c>
      <c r="B157" t="str">
        <f>TRANSPOSE(T4_[Etiquetas de fila])</f>
        <v>MOJITO BERRIES</v>
      </c>
      <c r="C157">
        <f>TRANSPOSE(T4_[Recuento de T4 CODIGO])</f>
        <v>19</v>
      </c>
    </row>
    <row r="158" spans="1:3" x14ac:dyDescent="0.25">
      <c r="A158" t="b">
        <f>IFERROR(IF(MATCH(B158,RECETAS!$A$2:$A$1700,0) &lt;&gt; "", TRUE,""),FALSE)</f>
        <v>1</v>
      </c>
      <c r="B158" t="str">
        <f>TRANSPOSE(T4_[Etiquetas de fila])</f>
        <v>Mojito Clásico</v>
      </c>
      <c r="C158">
        <f>TRANSPOSE(T4_[Recuento de T4 CODIGO])</f>
        <v>44</v>
      </c>
    </row>
    <row r="159" spans="1:3" x14ac:dyDescent="0.25">
      <c r="A159" t="b">
        <f>IFERROR(IF(MATCH(B159,RECETAS!$A$2:$A$1700,0) &lt;&gt; "", TRUE,""),FALSE)</f>
        <v>1</v>
      </c>
      <c r="B159" t="str">
        <f>TRANSPOSE(T4_[Etiquetas de fila])</f>
        <v>Mojito Corona</v>
      </c>
      <c r="C159">
        <f>TRANSPOSE(T4_[Recuento de T4 CODIGO])</f>
        <v>36</v>
      </c>
    </row>
    <row r="160" spans="1:3" x14ac:dyDescent="0.25">
      <c r="A160" t="b">
        <f>IFERROR(IF(MATCH(B160,RECETAS!$A$2:$A$1700,0) &lt;&gt; "", TRUE,""),FALSE)</f>
        <v>0</v>
      </c>
      <c r="B160" t="str">
        <f>TRANSPOSE(T4_[Etiquetas de fila])</f>
        <v>MOJITO CORONA 0.0</v>
      </c>
      <c r="C160">
        <f>TRANSPOSE(T4_[Recuento de T4 CODIGO])</f>
        <v>14</v>
      </c>
    </row>
    <row r="161" spans="1:3" x14ac:dyDescent="0.25">
      <c r="A161" t="b">
        <f>IFERROR(IF(MATCH(B161,RECETAS!$A$2:$A$1700,0) &lt;&gt; "", TRUE,""),FALSE)</f>
        <v>1</v>
      </c>
      <c r="B161" t="str">
        <f>TRANSPOSE(T4_[Etiquetas de fila])</f>
        <v>MOJITO FRUTILLA</v>
      </c>
      <c r="C161">
        <f>TRANSPOSE(T4_[Recuento de T4 CODIGO])</f>
        <v>120</v>
      </c>
    </row>
    <row r="162" spans="1:3" x14ac:dyDescent="0.25">
      <c r="A162" t="b">
        <f>IFERROR(IF(MATCH(B162,RECETAS!$A$2:$A$1700,0) &lt;&gt; "", TRUE,""),FALSE)</f>
        <v>1</v>
      </c>
      <c r="B162" t="str">
        <f>TRANSPOSE(T4_[Etiquetas de fila])</f>
        <v>Mojito Jack Daniels</v>
      </c>
      <c r="C162">
        <f>TRANSPOSE(T4_[Recuento de T4 CODIGO])</f>
        <v>5</v>
      </c>
    </row>
    <row r="163" spans="1:3" x14ac:dyDescent="0.25">
      <c r="A163" t="b">
        <f>IFERROR(IF(MATCH(B163,RECETAS!$A$2:$A$1700,0) &lt;&gt; "", TRUE,""),FALSE)</f>
        <v>1</v>
      </c>
      <c r="B163" t="str">
        <f>TRANSPOSE(T4_[Etiquetas de fila])</f>
        <v>MOJITO MANGO</v>
      </c>
      <c r="C163">
        <f>TRANSPOSE(T4_[Recuento de T4 CODIGO])</f>
        <v>18</v>
      </c>
    </row>
    <row r="164" spans="1:3" x14ac:dyDescent="0.25">
      <c r="A164" t="b">
        <f>IFERROR(IF(MATCH(B164,RECETAS!$A$2:$A$1700,0) &lt;&gt; "", TRUE,""),FALSE)</f>
        <v>1</v>
      </c>
      <c r="B164" t="str">
        <f>TRANSPOSE(T4_[Etiquetas de fila])</f>
        <v>Mojito Maracuyá</v>
      </c>
      <c r="C164">
        <f>TRANSPOSE(T4_[Recuento de T4 CODIGO])</f>
        <v>42</v>
      </c>
    </row>
    <row r="165" spans="1:3" x14ac:dyDescent="0.25">
      <c r="A165" t="b">
        <f>IFERROR(IF(MATCH(B165,RECETAS!$A$2:$A$1700,0) &lt;&gt; "", TRUE,""),FALSE)</f>
        <v>1</v>
      </c>
      <c r="B165" t="str">
        <f>TRANSPOSE(T4_[Etiquetas de fila])</f>
        <v>Mojito Sin Alcohol</v>
      </c>
      <c r="C165">
        <f>TRANSPOSE(T4_[Recuento de T4 CODIGO])</f>
        <v>17</v>
      </c>
    </row>
    <row r="166" spans="1:3" x14ac:dyDescent="0.25">
      <c r="A166" t="b">
        <f>IFERROR(IF(MATCH(B166,RECETAS!$A$2:$A$1700,0) &lt;&gt; "", TRUE,""),FALSE)</f>
        <v>0</v>
      </c>
      <c r="B166" t="str">
        <f>TRANSPOSE(T4_[Etiquetas de fila])</f>
        <v>Mojito Tanqueray Royale</v>
      </c>
      <c r="C166">
        <f>TRANSPOSE(T4_[Recuento de T4 CODIGO])</f>
        <v>1</v>
      </c>
    </row>
    <row r="167" spans="1:3" x14ac:dyDescent="0.25">
      <c r="A167" t="b">
        <f>IFERROR(IF(MATCH(B167,RECETAS!$A$2:$A$1700,0) &lt;&gt; "", TRUE,""),FALSE)</f>
        <v>0</v>
      </c>
      <c r="B167" t="str">
        <f>TRANSPOSE(T4_[Etiquetas de fila])</f>
        <v>Mojito Tanqueray Sevilla</v>
      </c>
      <c r="C167">
        <f>TRANSPOSE(T4_[Recuento de T4 CODIGO])</f>
        <v>3</v>
      </c>
    </row>
    <row r="168" spans="1:3" x14ac:dyDescent="0.25">
      <c r="A168" t="b">
        <f>IFERROR(IF(MATCH(B168,RECETAS!$A$2:$A$1700,0) &lt;&gt; "", TRUE,""),FALSE)</f>
        <v>1</v>
      </c>
      <c r="B168" t="str">
        <f>TRANSPOSE(T4_[Etiquetas de fila])</f>
        <v>Mojito Xl</v>
      </c>
      <c r="C168">
        <f>TRANSPOSE(T4_[Recuento de T4 CODIGO])</f>
        <v>6</v>
      </c>
    </row>
    <row r="169" spans="1:3" x14ac:dyDescent="0.25">
      <c r="A169" t="b">
        <f>IFERROR(IF(MATCH(B169,RECETAS!$A$2:$A$1700,0) &lt;&gt; "", TRUE,""),FALSE)</f>
        <v>1</v>
      </c>
      <c r="B169" t="str">
        <f>TRANSPOSE(T4_[Etiquetas de fila])</f>
        <v>Moscow Mule</v>
      </c>
      <c r="C169">
        <f>TRANSPOSE(T4_[Recuento de T4 CODIGO])</f>
        <v>15</v>
      </c>
    </row>
    <row r="170" spans="1:3" x14ac:dyDescent="0.25">
      <c r="A170" t="b">
        <f>IFERROR(IF(MATCH(B170,RECETAS!$A$2:$A$1700,0) &lt;&gt; "", TRUE,""),FALSE)</f>
        <v>1</v>
      </c>
      <c r="B170" t="str">
        <f>TRANSPOSE(T4_[Etiquetas de fila])</f>
        <v>Nashville Honey</v>
      </c>
      <c r="C170">
        <f>TRANSPOSE(T4_[Recuento de T4 CODIGO])</f>
        <v>5</v>
      </c>
    </row>
    <row r="171" spans="1:3" x14ac:dyDescent="0.25">
      <c r="A171" t="b">
        <f>IFERROR(IF(MATCH(B171,RECETAS!$A$2:$A$1700,0) &lt;&gt; "", TRUE,""),FALSE)</f>
        <v>1</v>
      </c>
      <c r="B171" t="str">
        <f>TRANSPOSE(T4_[Etiquetas de fila])</f>
        <v>Negroni</v>
      </c>
      <c r="C171">
        <f>TRANSPOSE(T4_[Recuento de T4 CODIGO])</f>
        <v>2</v>
      </c>
    </row>
    <row r="172" spans="1:3" x14ac:dyDescent="0.25">
      <c r="A172" t="b">
        <f>IFERROR(IF(MATCH(B172,RECETAS!$A$2:$A$1700,0) &lt;&gt; "", TRUE,""),FALSE)</f>
        <v>1</v>
      </c>
      <c r="B172" t="str">
        <f>TRANSPOSE(T4_[Etiquetas de fila])</f>
        <v>NOT Burger</v>
      </c>
      <c r="C172">
        <f>TRANSPOSE(T4_[Recuento de T4 CODIGO])</f>
        <v>74</v>
      </c>
    </row>
    <row r="173" spans="1:3" x14ac:dyDescent="0.25">
      <c r="A173" t="b">
        <f>IFERROR(IF(MATCH(B173,RECETAS!$A$2:$A$1700,0) &lt;&gt; "", TRUE,""),FALSE)</f>
        <v>1</v>
      </c>
      <c r="B173" t="str">
        <f>TRANSPOSE(T4_[Etiquetas de fila])</f>
        <v>Palos de Queso</v>
      </c>
      <c r="C173">
        <f>TRANSPOSE(T4_[Recuento de T4 CODIGO])</f>
        <v>10</v>
      </c>
    </row>
    <row r="174" spans="1:3" x14ac:dyDescent="0.25">
      <c r="A174" t="b">
        <f>IFERROR(IF(MATCH(B174,RECETAS!$A$2:$A$1700,0) &lt;&gt; "", TRUE,""),FALSE)</f>
        <v>1</v>
      </c>
      <c r="B174" t="str">
        <f>TRANSPOSE(T4_[Etiquetas de fila])</f>
        <v>Papas Fritas Grandes</v>
      </c>
      <c r="C174">
        <f>TRANSPOSE(T4_[Recuento de T4 CODIGO])</f>
        <v>34</v>
      </c>
    </row>
    <row r="175" spans="1:3" x14ac:dyDescent="0.25">
      <c r="A175" t="b">
        <f>IFERROR(IF(MATCH(B175,RECETAS!$A$2:$A$1700,0) &lt;&gt; "", TRUE,""),FALSE)</f>
        <v>1</v>
      </c>
      <c r="B175" t="str">
        <f>TRANSPOSE(T4_[Etiquetas de fila])</f>
        <v>Picnic Teclados</v>
      </c>
      <c r="C175">
        <f>TRANSPOSE(T4_[Recuento de T4 CODIGO])</f>
        <v>42</v>
      </c>
    </row>
    <row r="176" spans="1:3" x14ac:dyDescent="0.25">
      <c r="A176" t="b">
        <f>IFERROR(IF(MATCH(B176,RECETAS!$A$2:$A$1700,0) &lt;&gt; "", TRUE,""),FALSE)</f>
        <v>1</v>
      </c>
      <c r="B176" t="str">
        <f>TRANSPOSE(T4_[Etiquetas de fila])</f>
        <v>Piña Colada</v>
      </c>
      <c r="C176">
        <f>TRANSPOSE(T4_[Recuento de T4 CODIGO])</f>
        <v>32</v>
      </c>
    </row>
    <row r="177" spans="1:3" x14ac:dyDescent="0.25">
      <c r="A177" t="b">
        <f>IFERROR(IF(MATCH(B177,RECETAS!$A$2:$A$1700,0) &lt;&gt; "", TRUE,""),FALSE)</f>
        <v>1</v>
      </c>
      <c r="B177" t="str">
        <f>TRANSPOSE(T4_[Etiquetas de fila])</f>
        <v>Piña Colada Sin Alcohol</v>
      </c>
      <c r="C177">
        <f>TRANSPOSE(T4_[Recuento de T4 CODIGO])</f>
        <v>14</v>
      </c>
    </row>
    <row r="178" spans="1:3" x14ac:dyDescent="0.25">
      <c r="A178" t="b">
        <f>IFERROR(IF(MATCH(B178,RECETAS!$A$2:$A$1700,0) &lt;&gt; "", TRUE,""),FALSE)</f>
        <v>1</v>
      </c>
      <c r="B178" t="str">
        <f>TRANSPOSE(T4_[Etiquetas de fila])</f>
        <v>Pisco Sour</v>
      </c>
      <c r="C178">
        <f>TRANSPOSE(T4_[Recuento de T4 CODIGO])</f>
        <v>8</v>
      </c>
    </row>
    <row r="179" spans="1:3" x14ac:dyDescent="0.25">
      <c r="A179" t="b">
        <f>IFERROR(IF(MATCH(B179,RECETAS!$A$2:$A$1700,0) &lt;&gt; "", TRUE,""),FALSE)</f>
        <v>1</v>
      </c>
      <c r="B179" t="str">
        <f>TRANSPOSE(T4_[Etiquetas de fila])</f>
        <v>Pisco Sour Mistral 35°</v>
      </c>
      <c r="C179">
        <f>TRANSPOSE(T4_[Recuento de T4 CODIGO])</f>
        <v>1</v>
      </c>
    </row>
    <row r="180" spans="1:3" x14ac:dyDescent="0.25">
      <c r="A180" t="b">
        <f>IFERROR(IF(MATCH(B180,RECETAS!$A$2:$A$1700,0) &lt;&gt; "", TRUE,""),FALSE)</f>
        <v>1</v>
      </c>
      <c r="B180" t="str">
        <f>TRANSPOSE(T4_[Etiquetas de fila])</f>
        <v>Promo Alto 35°</v>
      </c>
      <c r="C180">
        <f>TRANSPOSE(T4_[Recuento de T4 CODIGO])</f>
        <v>7</v>
      </c>
    </row>
    <row r="181" spans="1:3" x14ac:dyDescent="0.25">
      <c r="A181" t="b">
        <f>IFERROR(IF(MATCH(B181,RECETAS!$A$2:$A$1700,0) &lt;&gt; "", TRUE,""),FALSE)</f>
        <v>1</v>
      </c>
      <c r="B181" t="str">
        <f>TRANSPOSE(T4_[Etiquetas de fila])</f>
        <v>Promo Alto 35° + Redbull</v>
      </c>
      <c r="C181">
        <f>TRANSPOSE(T4_[Recuento de T4 CODIGO])</f>
        <v>3</v>
      </c>
    </row>
    <row r="182" spans="1:3" x14ac:dyDescent="0.25">
      <c r="A182" t="b">
        <f>IFERROR(IF(MATCH(B182,RECETAS!$A$2:$A$1700,0) &lt;&gt; "", TRUE,""),FALSE)</f>
        <v>1</v>
      </c>
      <c r="B182" t="str">
        <f>TRANSPOSE(T4_[Etiquetas de fila])</f>
        <v>Promo coca cola 237cc</v>
      </c>
      <c r="C182">
        <f>TRANSPOSE(T4_[Recuento de T4 CODIGO])</f>
        <v>9</v>
      </c>
    </row>
    <row r="183" spans="1:3" x14ac:dyDescent="0.25">
      <c r="A183" t="b">
        <f>IFERROR(IF(MATCH(B183,RECETAS!$A$2:$A$1700,0) &lt;&gt; "", TRUE,""),FALSE)</f>
        <v>1</v>
      </c>
      <c r="B183" t="str">
        <f>TRANSPOSE(T4_[Etiquetas de fila])</f>
        <v>Promo Coca cola 350cc</v>
      </c>
      <c r="C183">
        <f>TRANSPOSE(T4_[Recuento de T4 CODIGO])</f>
        <v>9</v>
      </c>
    </row>
    <row r="184" spans="1:3" x14ac:dyDescent="0.25">
      <c r="A184" t="b">
        <f>IFERROR(IF(MATCH(B184,RECETAS!$A$2:$A$1700,0) &lt;&gt; "", TRUE,""),FALSE)</f>
        <v>1</v>
      </c>
      <c r="B184" t="str">
        <f>TRANSPOSE(T4_[Etiquetas de fila])</f>
        <v>Promo coca cola zero 237cc</v>
      </c>
      <c r="C184">
        <f>TRANSPOSE(T4_[Recuento de T4 CODIGO])</f>
        <v>14</v>
      </c>
    </row>
    <row r="185" spans="1:3" x14ac:dyDescent="0.25">
      <c r="A185" t="b">
        <f>IFERROR(IF(MATCH(B185,RECETAS!$A$2:$A$1700,0) &lt;&gt; "", TRUE,""),FALSE)</f>
        <v>1</v>
      </c>
      <c r="B185" t="str">
        <f>TRANSPOSE(T4_[Etiquetas de fila])</f>
        <v>Promo coca cola zero 350cc</v>
      </c>
      <c r="C185">
        <f>TRANSPOSE(T4_[Recuento de T4 CODIGO])</f>
        <v>6</v>
      </c>
    </row>
    <row r="186" spans="1:3" x14ac:dyDescent="0.25">
      <c r="A186" t="b">
        <f>IFERROR(IF(MATCH(B186,RECETAS!$A$2:$A$1700,0) &lt;&gt; "", TRUE,""),FALSE)</f>
        <v>1</v>
      </c>
      <c r="B186" t="str">
        <f>TRANSPOSE(T4_[Etiquetas de fila])</f>
        <v>Promo Fentimans Tónica</v>
      </c>
      <c r="C186">
        <f>TRANSPOSE(T4_[Recuento de T4 CODIGO])</f>
        <v>1</v>
      </c>
    </row>
    <row r="187" spans="1:3" x14ac:dyDescent="0.25">
      <c r="A187" t="b">
        <f>IFERROR(IF(MATCH(B187,RECETAS!$A$2:$A$1700,0) &lt;&gt; "", TRUE,""),FALSE)</f>
        <v>1</v>
      </c>
      <c r="B187" t="str">
        <f>TRANSPOSE(T4_[Etiquetas de fila])</f>
        <v>Promo Margarita</v>
      </c>
      <c r="C187">
        <f>TRANSPOSE(T4_[Recuento de T4 CODIGO])</f>
        <v>1</v>
      </c>
    </row>
    <row r="188" spans="1:3" x14ac:dyDescent="0.25">
      <c r="A188" t="b">
        <f>IFERROR(IF(MATCH(B188,RECETAS!$A$2:$A$1700,0) &lt;&gt; "", TRUE,""),FALSE)</f>
        <v>1</v>
      </c>
      <c r="B188" t="str">
        <f>TRANSPOSE(T4_[Etiquetas de fila])</f>
        <v>Promo Red Bull Light</v>
      </c>
      <c r="C188">
        <f>TRANSPOSE(T4_[Recuento de T4 CODIGO])</f>
        <v>1</v>
      </c>
    </row>
    <row r="189" spans="1:3" x14ac:dyDescent="0.25">
      <c r="A189" t="b">
        <f>IFERROR(IF(MATCH(B189,RECETAS!$A$2:$A$1700,0) &lt;&gt; "", TRUE,""),FALSE)</f>
        <v>1</v>
      </c>
      <c r="B189" t="str">
        <f>TRANSPOSE(T4_[Etiquetas de fila])</f>
        <v>Promo Redbull</v>
      </c>
      <c r="C189">
        <f>TRANSPOSE(T4_[Recuento de T4 CODIGO])</f>
        <v>3</v>
      </c>
    </row>
    <row r="190" spans="1:3" x14ac:dyDescent="0.25">
      <c r="A190" t="b">
        <f>IFERROR(IF(MATCH(B190,RECETAS!$A$2:$A$1700,0) &lt;&gt; "", TRUE,""),FALSE)</f>
        <v>1</v>
      </c>
      <c r="B190" t="str">
        <f>TRANSPOSE(T4_[Etiquetas de fila])</f>
        <v>Promo Schweppes Ginger zero 350cc</v>
      </c>
      <c r="C190">
        <f>TRANSPOSE(T4_[Recuento de T4 CODIGO])</f>
        <v>4</v>
      </c>
    </row>
    <row r="191" spans="1:3" x14ac:dyDescent="0.25">
      <c r="A191" t="b">
        <f>IFERROR(IF(MATCH(B191,RECETAS!$A$2:$A$1700,0) &lt;&gt; "", TRUE,""),FALSE)</f>
        <v>1</v>
      </c>
      <c r="B191" t="str">
        <f>TRANSPOSE(T4_[Etiquetas de fila])</f>
        <v>Promo Schweppes Tonica 350cc</v>
      </c>
      <c r="C191">
        <f>TRANSPOSE(T4_[Recuento de T4 CODIGO])</f>
        <v>13</v>
      </c>
    </row>
    <row r="192" spans="1:3" x14ac:dyDescent="0.25">
      <c r="A192" t="b">
        <f>IFERROR(IF(MATCH(B192,RECETAS!$A$2:$A$1700,0) &lt;&gt; "", TRUE,""),FALSE)</f>
        <v>1</v>
      </c>
      <c r="B192" t="str">
        <f>TRANSPOSE(T4_[Etiquetas de fila])</f>
        <v>Promo Sprite 237cc</v>
      </c>
      <c r="C192">
        <f>TRANSPOSE(T4_[Recuento de T4 CODIGO])</f>
        <v>2</v>
      </c>
    </row>
    <row r="193" spans="1:3" x14ac:dyDescent="0.25">
      <c r="A193" t="b">
        <f>IFERROR(IF(MATCH(B193,RECETAS!$A$2:$A$1700,0) &lt;&gt; "", TRUE,""),FALSE)</f>
        <v>1</v>
      </c>
      <c r="B193" t="str">
        <f>TRANSPOSE(T4_[Etiquetas de fila])</f>
        <v>Promo Sprite 350cc</v>
      </c>
      <c r="C193">
        <f>TRANSPOSE(T4_[Recuento de T4 CODIGO])</f>
        <v>2</v>
      </c>
    </row>
    <row r="194" spans="1:3" x14ac:dyDescent="0.25">
      <c r="A194" t="b">
        <f>IFERROR(IF(MATCH(B194,RECETAS!$A$2:$A$1700,0) &lt;&gt; "", TRUE,""),FALSE)</f>
        <v>1</v>
      </c>
      <c r="B194" t="str">
        <f>TRANSPOSE(T4_[Etiquetas de fila])</f>
        <v>Promo Sprite Zero 350cc</v>
      </c>
      <c r="C194">
        <f>TRANSPOSE(T4_[Recuento de T4 CODIGO])</f>
        <v>2</v>
      </c>
    </row>
    <row r="195" spans="1:3" x14ac:dyDescent="0.25">
      <c r="A195" t="b">
        <f>IFERROR(IF(MATCH(B195,RECETAS!$A$2:$A$1700,0) &lt;&gt; "", TRUE,""),FALSE)</f>
        <v>1</v>
      </c>
      <c r="B195" t="str">
        <f>TRANSPOSE(T4_[Etiquetas de fila])</f>
        <v>Quesadilla Camaron</v>
      </c>
      <c r="C195">
        <f>TRANSPOSE(T4_[Recuento de T4 CODIGO])</f>
        <v>6</v>
      </c>
    </row>
    <row r="196" spans="1:3" x14ac:dyDescent="0.25">
      <c r="A196" t="b">
        <f>IFERROR(IF(MATCH(B196,RECETAS!$A$2:$A$1700,0) &lt;&gt; "", TRUE,""),FALSE)</f>
        <v>1</v>
      </c>
      <c r="B196" t="str">
        <f>TRANSPOSE(T4_[Etiquetas de fila])</f>
        <v>Quesadilla Carne</v>
      </c>
      <c r="C196">
        <f>TRANSPOSE(T4_[Recuento de T4 CODIGO])</f>
        <v>19</v>
      </c>
    </row>
    <row r="197" spans="1:3" x14ac:dyDescent="0.25">
      <c r="A197" t="b">
        <f>IFERROR(IF(MATCH(B197,RECETAS!$A$2:$A$1700,0) &lt;&gt; "", TRUE,""),FALSE)</f>
        <v>1</v>
      </c>
      <c r="B197" t="str">
        <f>TRANSPOSE(T4_[Etiquetas de fila])</f>
        <v>Quesadilla Pollo - Champignon</v>
      </c>
      <c r="C197">
        <f>TRANSPOSE(T4_[Recuento de T4 CODIGO])</f>
        <v>27</v>
      </c>
    </row>
    <row r="198" spans="1:3" x14ac:dyDescent="0.25">
      <c r="A198" t="b">
        <f>IFERROR(IF(MATCH(B198,RECETAS!$A$2:$A$1700,0) &lt;&gt; "", TRUE,""),FALSE)</f>
        <v>1</v>
      </c>
      <c r="B198" t="str">
        <f>TRANSPOSE(T4_[Etiquetas de fila])</f>
        <v>Ramazzotti</v>
      </c>
      <c r="C198">
        <f>TRANSPOSE(T4_[Recuento de T4 CODIGO])</f>
        <v>17</v>
      </c>
    </row>
    <row r="199" spans="1:3" x14ac:dyDescent="0.25">
      <c r="A199" t="b">
        <f>IFERROR(IF(MATCH(B199,RECETAS!$A$2:$A$1700,0) &lt;&gt; "", TRUE,""),FALSE)</f>
        <v>1</v>
      </c>
      <c r="B199" t="str">
        <f>TRANSPOSE(T4_[Etiquetas de fila])</f>
        <v>Red Bull normal</v>
      </c>
      <c r="C199">
        <f>TRANSPOSE(T4_[Recuento de T4 CODIGO])</f>
        <v>3</v>
      </c>
    </row>
    <row r="200" spans="1:3" x14ac:dyDescent="0.25">
      <c r="A200" t="b">
        <f>IFERROR(IF(MATCH(B200,RECETAS!$A$2:$A$1700,0) &lt;&gt; "", TRUE,""),FALSE)</f>
        <v>1</v>
      </c>
      <c r="B200" t="str">
        <f>TRANSPOSE(T4_[Etiquetas de fila])</f>
        <v>Red Bull sugar free</v>
      </c>
      <c r="C200">
        <f>TRANSPOSE(T4_[Recuento de T4 CODIGO])</f>
        <v>1</v>
      </c>
    </row>
    <row r="201" spans="1:3" x14ac:dyDescent="0.25">
      <c r="A201" t="b">
        <f>IFERROR(IF(MATCH(B201,RECETAS!$A$2:$A$1700,0) &lt;&gt; "", TRUE,""),FALSE)</f>
        <v>1</v>
      </c>
      <c r="B201" t="str">
        <f>TRANSPOSE(T4_[Etiquetas de fila])</f>
        <v>Schop Becker</v>
      </c>
      <c r="C201">
        <f>TRANSPOSE(T4_[Recuento de T4 CODIGO])</f>
        <v>10</v>
      </c>
    </row>
    <row r="202" spans="1:3" x14ac:dyDescent="0.25">
      <c r="A202" t="b">
        <f>IFERROR(IF(MATCH(B202,RECETAS!$A$2:$A$1700,0) &lt;&gt; "", TRUE,""),FALSE)</f>
        <v>1</v>
      </c>
      <c r="B202" t="str">
        <f>TRANSPOSE(T4_[Etiquetas de fila])</f>
        <v>Schop Stella Artois</v>
      </c>
      <c r="C202">
        <f>TRANSPOSE(T4_[Recuento de T4 CODIGO])</f>
        <v>145</v>
      </c>
    </row>
    <row r="203" spans="1:3" x14ac:dyDescent="0.25">
      <c r="A203" t="b">
        <f>IFERROR(IF(MATCH(B203,RECETAS!$A$2:$A$1700,0) &lt;&gt; "", TRUE,""),FALSE)</f>
        <v>1</v>
      </c>
      <c r="B203" t="str">
        <f>TRANSPOSE(T4_[Etiquetas de fila])</f>
        <v>Schweppes Ginger Zero 350cc</v>
      </c>
      <c r="C203">
        <f>TRANSPOSE(T4_[Recuento de T4 CODIGO])</f>
        <v>2</v>
      </c>
    </row>
    <row r="204" spans="1:3" x14ac:dyDescent="0.25">
      <c r="A204" t="b">
        <f>IFERROR(IF(MATCH(B204,RECETAS!$A$2:$A$1700,0) &lt;&gt; "", TRUE,""),FALSE)</f>
        <v>1</v>
      </c>
      <c r="B204" t="str">
        <f>TRANSPOSE(T4_[Etiquetas de fila])</f>
        <v>Sex on The beach</v>
      </c>
      <c r="C204">
        <f>TRANSPOSE(T4_[Recuento de T4 CODIGO])</f>
        <v>4</v>
      </c>
    </row>
    <row r="205" spans="1:3" x14ac:dyDescent="0.25">
      <c r="A205" t="b">
        <f>IFERROR(IF(MATCH(B205,RECETAS!$A$2:$A$1700,0) &lt;&gt; "", TRUE,""),FALSE)</f>
        <v>1</v>
      </c>
      <c r="B205" t="str">
        <f>TRANSPOSE(T4_[Etiquetas de fila])</f>
        <v>Shot Tequila Jimador</v>
      </c>
      <c r="C205">
        <f>TRANSPOSE(T4_[Recuento de T4 CODIGO])</f>
        <v>2</v>
      </c>
    </row>
    <row r="206" spans="1:3" x14ac:dyDescent="0.25">
      <c r="A206" t="b">
        <f>IFERROR(IF(MATCH(B206,RECETAS!$A$2:$A$1700,0) &lt;&gt; "", TRUE,""),FALSE)</f>
        <v>1</v>
      </c>
      <c r="B206" t="str">
        <f>TRANSPOSE(T4_[Etiquetas de fila])</f>
        <v>Sonata Teclados</v>
      </c>
      <c r="C206">
        <f>TRANSPOSE(T4_[Recuento de T4 CODIGO])</f>
        <v>16</v>
      </c>
    </row>
    <row r="207" spans="1:3" x14ac:dyDescent="0.25">
      <c r="A207" t="b">
        <f>IFERROR(IF(MATCH(B207,RECETAS!$A$2:$A$1700,0) &lt;&gt; "", TRUE,""),FALSE)</f>
        <v>1</v>
      </c>
      <c r="B207" t="str">
        <f>TRANSPOSE(T4_[Etiquetas de fila])</f>
        <v>Sprite 350cc</v>
      </c>
      <c r="C207">
        <f>TRANSPOSE(T4_[Recuento de T4 CODIGO])</f>
        <v>10</v>
      </c>
    </row>
    <row r="208" spans="1:3" x14ac:dyDescent="0.25">
      <c r="A208" t="b">
        <f>IFERROR(IF(MATCH(B208,RECETAS!$A$2:$A$1700,0) &lt;&gt; "", TRUE,""),FALSE)</f>
        <v>1</v>
      </c>
      <c r="B208" t="str">
        <f>TRANSPOSE(T4_[Etiquetas de fila])</f>
        <v>Sprite Zero 350cc</v>
      </c>
      <c r="C208">
        <f>TRANSPOSE(T4_[Recuento de T4 CODIGO])</f>
        <v>4</v>
      </c>
    </row>
    <row r="209" spans="1:3" x14ac:dyDescent="0.25">
      <c r="A209" t="b">
        <f>IFERROR(IF(MATCH(B209,RECETAS!$A$2:$A$1700,0) &lt;&gt; "", TRUE,""),FALSE)</f>
        <v>1</v>
      </c>
      <c r="B209" t="str">
        <f>TRANSPOSE(T4_[Etiquetas de fila])</f>
        <v>Stella Artois</v>
      </c>
      <c r="C209">
        <f>TRANSPOSE(T4_[Recuento de T4 CODIGO])</f>
        <v>5</v>
      </c>
    </row>
    <row r="210" spans="1:3" x14ac:dyDescent="0.25">
      <c r="A210" t="b">
        <f>IFERROR(IF(MATCH(B210,RECETAS!$A$2:$A$1700,0) &lt;&gt; "", TRUE,""),FALSE)</f>
        <v>1</v>
      </c>
      <c r="B210" t="str">
        <f>TRANSPOSE(T4_[Etiquetas de fila])</f>
        <v>Stella Artois Sin Alcohol</v>
      </c>
      <c r="C210">
        <f>TRANSPOSE(T4_[Recuento de T4 CODIGO])</f>
        <v>7</v>
      </c>
    </row>
    <row r="211" spans="1:3" x14ac:dyDescent="0.25">
      <c r="A211" t="b">
        <f>IFERROR(IF(MATCH(B211,RECETAS!$A$2:$A$1700,0) &lt;&gt; "", TRUE,""),FALSE)</f>
        <v>1</v>
      </c>
      <c r="B211" t="str">
        <f>TRANSPOSE(T4_[Etiquetas de fila])</f>
        <v>Tanqueray London</v>
      </c>
      <c r="C211">
        <f>TRANSPOSE(T4_[Recuento de T4 CODIGO])</f>
        <v>1</v>
      </c>
    </row>
    <row r="212" spans="1:3" x14ac:dyDescent="0.25">
      <c r="A212" t="b">
        <f>IFERROR(IF(MATCH(B212,RECETAS!$A$2:$A$1700,0) &lt;&gt; "", TRUE,""),FALSE)</f>
        <v>1</v>
      </c>
      <c r="B212" t="str">
        <f>TRANSPOSE(T4_[Etiquetas de fila])</f>
        <v>Tanqueray Sevilla</v>
      </c>
      <c r="C212">
        <f>TRANSPOSE(T4_[Recuento de T4 CODIGO])</f>
        <v>2</v>
      </c>
    </row>
    <row r="213" spans="1:3" x14ac:dyDescent="0.25">
      <c r="A213" t="b">
        <f>IFERROR(IF(MATCH(B213,RECETAS!$A$2:$A$1700,0) &lt;&gt; "", TRUE,""),FALSE)</f>
        <v>1</v>
      </c>
      <c r="B213" t="str">
        <f>TRANSPOSE(T4_[Etiquetas de fila])</f>
        <v>Tartaro de Salmón</v>
      </c>
      <c r="C213">
        <f>TRANSPOSE(T4_[Recuento de T4 CODIGO])</f>
        <v>4</v>
      </c>
    </row>
    <row r="214" spans="1:3" x14ac:dyDescent="0.25">
      <c r="A214" t="b">
        <f>IFERROR(IF(MATCH(B214,RECETAS!$A$2:$A$1700,0) &lt;&gt; "", TRUE,""),FALSE)</f>
        <v>1</v>
      </c>
      <c r="B214" t="str">
        <f>TRANSPOSE(T4_[Etiquetas de fila])</f>
        <v>Teclados Burger</v>
      </c>
      <c r="C214">
        <f>TRANSPOSE(T4_[Recuento de T4 CODIGO])</f>
        <v>33</v>
      </c>
    </row>
    <row r="215" spans="1:3" x14ac:dyDescent="0.25">
      <c r="A215" t="b">
        <f>IFERROR(IF(MATCH(B215,RECETAS!$A$2:$A$1700,0) &lt;&gt; "", TRUE,""),FALSE)</f>
        <v>0</v>
      </c>
      <c r="B215" t="str">
        <f>TRANSPOSE(T4_[Etiquetas de fila])</f>
        <v>TECLADOS SMOKED</v>
      </c>
      <c r="C215">
        <f>TRANSPOSE(T4_[Recuento de T4 CODIGO])</f>
        <v>2</v>
      </c>
    </row>
    <row r="216" spans="1:3" x14ac:dyDescent="0.25">
      <c r="A216" t="b">
        <f>IFERROR(IF(MATCH(B216,RECETAS!$A$2:$A$1700,0) &lt;&gt; "", TRUE,""),FALSE)</f>
        <v>1</v>
      </c>
      <c r="B216" t="str">
        <f>TRANSPOSE(T4_[Etiquetas de fila])</f>
        <v>Tennesse Mule</v>
      </c>
      <c r="C216">
        <f>TRANSPOSE(T4_[Recuento de T4 CODIGO])</f>
        <v>1</v>
      </c>
    </row>
    <row r="217" spans="1:3" x14ac:dyDescent="0.25">
      <c r="A217" t="b">
        <f>IFERROR(IF(MATCH(B217,RECETAS!$A$2:$A$1700,0) &lt;&gt; "", TRUE,""),FALSE)</f>
        <v>1</v>
      </c>
      <c r="B217" t="str">
        <f>TRANSPOSE(T4_[Etiquetas de fila])</f>
        <v>Totopos</v>
      </c>
      <c r="C217">
        <f>TRANSPOSE(T4_[Recuento de T4 CODIGO])</f>
        <v>12</v>
      </c>
    </row>
    <row r="218" spans="1:3" x14ac:dyDescent="0.25">
      <c r="A218" t="b">
        <f>IFERROR(IF(MATCH(B218,RECETAS!$A$2:$A$1700,0) &lt;&gt; "", TRUE,""),FALSE)</f>
        <v>1</v>
      </c>
      <c r="B218" t="str">
        <f>TRANSPOSE(T4_[Etiquetas de fila])</f>
        <v>Tropical Gin</v>
      </c>
      <c r="C218">
        <f>TRANSPOSE(T4_[Recuento de T4 CODIGO])</f>
        <v>21</v>
      </c>
    </row>
    <row r="219" spans="1:3" x14ac:dyDescent="0.25">
      <c r="A219" t="b">
        <f>IFERROR(IF(MATCH(B219,RECETAS!$A$2:$A$1700,0) &lt;&gt; "", TRUE,""),FALSE)</f>
        <v>1</v>
      </c>
      <c r="B219" t="str">
        <f>TRANSPOSE(T4_[Etiquetas de fila])</f>
        <v>Vaso Sangria</v>
      </c>
      <c r="C219">
        <f>TRANSPOSE(T4_[Recuento de T4 CODIGO])</f>
        <v>8</v>
      </c>
    </row>
    <row r="220" spans="1:3" x14ac:dyDescent="0.25">
      <c r="A220" t="b">
        <f>IFERROR(IF(MATCH(B220,RECETAS!$A$2:$A$1700,0) &lt;&gt; "", TRUE,""),FALSE)</f>
        <v>1</v>
      </c>
      <c r="B220" t="str">
        <f>TRANSPOSE(T4_[Etiquetas de fila])</f>
        <v>White Russian</v>
      </c>
      <c r="C220">
        <f>TRANSPOSE(T4_[Recuento de T4 CODIGO])</f>
        <v>7</v>
      </c>
    </row>
    <row r="221" spans="1:3" x14ac:dyDescent="0.25">
      <c r="A221" t="b">
        <f>IFERROR(IF(MATCH(B221,RECETAS!$A$2:$A$1700,0) &lt;&gt; "", TRUE,""),FALSE)</f>
        <v>0</v>
      </c>
      <c r="B221" t="str">
        <f>TRANSPOSE(T4_[Etiquetas de fila])</f>
        <v>WRAP ACEVICHADO</v>
      </c>
      <c r="C221">
        <f>TRANSPOSE(T4_[Recuento de T4 CODIGO])</f>
        <v>1</v>
      </c>
    </row>
    <row r="222" spans="1:3" x14ac:dyDescent="0.25">
      <c r="A222" t="b">
        <f>IFERROR(IF(MATCH(B222,RECETAS!$A$2:$A$1700,0) &lt;&gt; "", TRUE,""),FALSE)</f>
        <v>0</v>
      </c>
      <c r="B222" t="str">
        <f>TRANSPOSE(T4_[Etiquetas de fila])</f>
        <v>WRAP DE MECHADA</v>
      </c>
      <c r="C222">
        <f>TRANSPOSE(T4_[Recuento de T4 CODIGO])</f>
        <v>4</v>
      </c>
    </row>
    <row r="223" spans="1:3" x14ac:dyDescent="0.25">
      <c r="A223" t="b">
        <f>IFERROR(IF(MATCH(B223,RECETAS!$A$2:$A$1700,0) &lt;&gt; "", TRUE,""),FALSE)</f>
        <v>0</v>
      </c>
      <c r="B223" t="str">
        <f>TRANSPOSE(T4_[Etiquetas de fila])</f>
        <v>WRAP DE POLLO</v>
      </c>
      <c r="C223">
        <f>TRANSPOSE(T4_[Recuento de T4 CODIGO])</f>
        <v>3</v>
      </c>
    </row>
    <row r="224" spans="1:3" x14ac:dyDescent="0.25">
      <c r="A224" t="b">
        <f>IFERROR(IF(MATCH(B224,RECETAS!$A$2:$A$1700,0) &lt;&gt; "", TRUE,""),FALSE)</f>
        <v>0</v>
      </c>
      <c r="B224" t="str">
        <f>TRANSPOSE(T4_[Etiquetas de fila])</f>
        <v>WRAP VEGGIE</v>
      </c>
      <c r="C224">
        <f>TRANSPOSE(T4_[Recuento de T4 CODIGO])</f>
        <v>3</v>
      </c>
    </row>
    <row r="225" spans="1:3" x14ac:dyDescent="0.25">
      <c r="A225" t="b">
        <f>IFERROR(IF(MATCH(B225,RECETAS!$A$2:$A$1700,0) &lt;&gt; "", TRUE,""),FALSE)</f>
        <v>0</v>
      </c>
      <c r="B225" t="str">
        <f>TRANSPOSE(T4_[Etiquetas de fila])</f>
        <v>Total general</v>
      </c>
      <c r="C225">
        <f>TRANSPOSE(T4_[Recuento de T4 CODIGO])</f>
        <v>3783</v>
      </c>
    </row>
    <row r="226" spans="1:3" x14ac:dyDescent="0.25">
      <c r="A226" t="b">
        <f>IFERROR(IF(MATCH(B226,RECETAS!$A$2:$A$1700,0) &lt;&gt; "", TRUE,""),FALSE)</f>
        <v>0</v>
      </c>
      <c r="B226" t="e">
        <f>TRANSPOSE(T4_[Etiquetas de fila])</f>
        <v>#VALUE!</v>
      </c>
      <c r="C226" t="e">
        <f>TRANSPOSE(T4_[Recuento de T4 CODIGO])</f>
        <v>#VALUE!</v>
      </c>
    </row>
    <row r="227" spans="1:3" x14ac:dyDescent="0.25">
      <c r="A227" t="b">
        <f>IFERROR(IF(MATCH(B227,RECETAS!$A$2:$A$1700,0) &lt;&gt; "", TRUE,""),FALSE)</f>
        <v>0</v>
      </c>
      <c r="B227" t="e">
        <f>TRANSPOSE(T4_[Etiquetas de fila])</f>
        <v>#VALUE!</v>
      </c>
      <c r="C227" t="e">
        <f>TRANSPOSE(T4_[Recuento de T4 CODIGO])</f>
        <v>#VALUE!</v>
      </c>
    </row>
    <row r="228" spans="1:3" x14ac:dyDescent="0.25">
      <c r="A228" t="b">
        <f>IFERROR(IF(MATCH(B228,RECETAS!$A$2:$A$1700,0) &lt;&gt; "", TRUE,""),FALSE)</f>
        <v>0</v>
      </c>
      <c r="B228" t="e">
        <f>TRANSPOSE(T4_[Etiquetas de fila])</f>
        <v>#VALUE!</v>
      </c>
      <c r="C228" t="e">
        <f>TRANSPOSE(T4_[Recuento de T4 CODIGO])</f>
        <v>#VALUE!</v>
      </c>
    </row>
    <row r="229" spans="1:3" x14ac:dyDescent="0.25">
      <c r="A229" t="b">
        <f>IFERROR(IF(MATCH(B229,RECETAS!$A$2:$A$1700,0) &lt;&gt; "", TRUE,""),FALSE)</f>
        <v>0</v>
      </c>
      <c r="B229" t="e">
        <f>TRANSPOSE(T4_[Etiquetas de fila])</f>
        <v>#VALUE!</v>
      </c>
      <c r="C229" t="e">
        <f>TRANSPOSE(T4_[Recuento de T4 CODIGO])</f>
        <v>#VALUE!</v>
      </c>
    </row>
    <row r="230" spans="1:3" x14ac:dyDescent="0.25">
      <c r="A230" t="b">
        <f>IFERROR(IF(MATCH(B230,RECETAS!$A$2:$A$1700,0) &lt;&gt; "", TRUE,""),FALSE)</f>
        <v>0</v>
      </c>
      <c r="B230" t="e">
        <f>TRANSPOSE(T4_[Etiquetas de fila])</f>
        <v>#VALUE!</v>
      </c>
      <c r="C230" t="e">
        <f>TRANSPOSE(T4_[Recuento de T4 CODIGO])</f>
        <v>#VALUE!</v>
      </c>
    </row>
    <row r="231" spans="1:3" x14ac:dyDescent="0.25">
      <c r="A231" t="b">
        <f>IFERROR(IF(MATCH(B231,RECETAS!$A$2:$A$1700,0) &lt;&gt; "", TRUE,""),FALSE)</f>
        <v>0</v>
      </c>
      <c r="B231" t="e">
        <f>TRANSPOSE(T4_[Etiquetas de fila])</f>
        <v>#VALUE!</v>
      </c>
      <c r="C231" t="e">
        <f>TRANSPOSE(T4_[Recuento de T4 CODIGO])</f>
        <v>#VALUE!</v>
      </c>
    </row>
    <row r="232" spans="1:3" x14ac:dyDescent="0.25">
      <c r="A232" t="b">
        <f>IFERROR(IF(MATCH(B232,RECETAS!$A$2:$A$1700,0) &lt;&gt; "", TRUE,""),FALSE)</f>
        <v>0</v>
      </c>
      <c r="B232" t="e">
        <f>TRANSPOSE(T4_[Etiquetas de fila])</f>
        <v>#VALUE!</v>
      </c>
      <c r="C232" t="e">
        <f>TRANSPOSE(T4_[Recuento de T4 CODIGO])</f>
        <v>#VALUE!</v>
      </c>
    </row>
    <row r="233" spans="1:3" x14ac:dyDescent="0.25">
      <c r="A233" t="b">
        <f>IFERROR(IF(MATCH(B233,RECETAS!$A$2:$A$1700,0) &lt;&gt; "", TRUE,""),FALSE)</f>
        <v>0</v>
      </c>
      <c r="B233" t="e">
        <f>TRANSPOSE(T4_[Etiquetas de fila])</f>
        <v>#VALUE!</v>
      </c>
      <c r="C233" t="e">
        <f>TRANSPOSE(T4_[Recuento de T4 CODIGO])</f>
        <v>#VALUE!</v>
      </c>
    </row>
    <row r="234" spans="1:3" x14ac:dyDescent="0.25">
      <c r="A234" t="b">
        <f>IFERROR(IF(MATCH(B234,RECETAS!$A$2:$A$1700,0) &lt;&gt; "", TRUE,""),FALSE)</f>
        <v>0</v>
      </c>
      <c r="B234" t="e">
        <f>TRANSPOSE(T4_[Etiquetas de fila])</f>
        <v>#VALUE!</v>
      </c>
      <c r="C234" t="e">
        <f>TRANSPOSE(T4_[Recuento de T4 CODIGO])</f>
        <v>#VALUE!</v>
      </c>
    </row>
    <row r="235" spans="1:3" x14ac:dyDescent="0.25">
      <c r="A235" t="b">
        <f>IFERROR(IF(MATCH(B235,RECETAS!$A$2:$A$1700,0) &lt;&gt; "", TRUE,""),FALSE)</f>
        <v>0</v>
      </c>
      <c r="B235" t="e">
        <f>TRANSPOSE(T4_[Etiquetas de fila])</f>
        <v>#VALUE!</v>
      </c>
      <c r="C235" t="e">
        <f>TRANSPOSE(T4_[Recuento de T4 CODIGO])</f>
        <v>#VALUE!</v>
      </c>
    </row>
    <row r="236" spans="1:3" x14ac:dyDescent="0.25">
      <c r="A236" t="b">
        <f>IFERROR(IF(MATCH(B236,RECETAS!$A$2:$A$1700,0) &lt;&gt; "", TRUE,""),FALSE)</f>
        <v>0</v>
      </c>
      <c r="B236" t="e">
        <f>TRANSPOSE(T4_[Etiquetas de fila])</f>
        <v>#VALUE!</v>
      </c>
      <c r="C236" t="e">
        <f>TRANSPOSE(T4_[Recuento de T4 CODIGO])</f>
        <v>#VALUE!</v>
      </c>
    </row>
    <row r="237" spans="1:3" x14ac:dyDescent="0.25">
      <c r="A237" t="b">
        <f>IFERROR(IF(MATCH(B237,RECETAS!$A$2:$A$1700,0) &lt;&gt; "", TRUE,""),FALSE)</f>
        <v>0</v>
      </c>
      <c r="B237" t="e">
        <f>TRANSPOSE(T4_[Etiquetas de fila])</f>
        <v>#VALUE!</v>
      </c>
      <c r="C237" t="e">
        <f>TRANSPOSE(T4_[Recuento de T4 CODIGO])</f>
        <v>#VALUE!</v>
      </c>
    </row>
    <row r="238" spans="1:3" x14ac:dyDescent="0.25">
      <c r="A238" t="b">
        <f>IFERROR(IF(MATCH(B238,RECETAS!$A$2:$A$1700,0) &lt;&gt; "", TRUE,""),FALSE)</f>
        <v>0</v>
      </c>
      <c r="B238" t="e">
        <f>TRANSPOSE(T4_[Etiquetas de fila])</f>
        <v>#VALUE!</v>
      </c>
      <c r="C238" t="e">
        <f>TRANSPOSE(T4_[Recuento de T4 CODIGO])</f>
        <v>#VALUE!</v>
      </c>
    </row>
    <row r="239" spans="1:3" x14ac:dyDescent="0.25">
      <c r="A239" t="b">
        <f>IFERROR(IF(MATCH(B239,RECETAS!$A$2:$A$1700,0) &lt;&gt; "", TRUE,""),FALSE)</f>
        <v>0</v>
      </c>
      <c r="B239" t="e">
        <f>TRANSPOSE(T4_[Etiquetas de fila])</f>
        <v>#VALUE!</v>
      </c>
      <c r="C239" t="e">
        <f>TRANSPOSE(T4_[Recuento de T4 CODIGO])</f>
        <v>#VALUE!</v>
      </c>
    </row>
    <row r="240" spans="1:3" x14ac:dyDescent="0.25">
      <c r="A240" t="b">
        <f>IFERROR(IF(MATCH(B240,RECETAS!$A$2:$A$1700,0) &lt;&gt; "", TRUE,""),FALSE)</f>
        <v>0</v>
      </c>
      <c r="B240" t="e">
        <f>TRANSPOSE(T4_[Etiquetas de fila])</f>
        <v>#VALUE!</v>
      </c>
      <c r="C240" t="e">
        <f>TRANSPOSE(T4_[Recuento de T4 CODIGO])</f>
        <v>#VALUE!</v>
      </c>
    </row>
    <row r="241" spans="1:3" x14ac:dyDescent="0.25">
      <c r="A241" t="b">
        <f>IFERROR(IF(MATCH(B241,RECETAS!$A$2:$A$1700,0) &lt;&gt; "", TRUE,""),FALSE)</f>
        <v>0</v>
      </c>
      <c r="B241" t="e">
        <f>TRANSPOSE(T4_[Etiquetas de fila])</f>
        <v>#VALUE!</v>
      </c>
      <c r="C241" t="e">
        <f>TRANSPOSE(T4_[Recuento de T4 CODIGO])</f>
        <v>#VALUE!</v>
      </c>
    </row>
    <row r="242" spans="1:3" x14ac:dyDescent="0.25">
      <c r="A242" t="b">
        <f>IFERROR(IF(MATCH(B242,RECETAS!$A$2:$A$1700,0) &lt;&gt; "", TRUE,""),FALSE)</f>
        <v>0</v>
      </c>
      <c r="B242" t="e">
        <f>TRANSPOSE(T4_[Etiquetas de fila])</f>
        <v>#VALUE!</v>
      </c>
      <c r="C242" t="e">
        <f>TRANSPOSE(T4_[Recuento de T4 CODIGO])</f>
        <v>#VALUE!</v>
      </c>
    </row>
    <row r="243" spans="1:3" x14ac:dyDescent="0.25">
      <c r="A243" t="b">
        <f>IFERROR(IF(MATCH(B243,RECETAS!$A$2:$A$1700,0) &lt;&gt; "", TRUE,""),FALSE)</f>
        <v>0</v>
      </c>
      <c r="B243" t="e">
        <f>TRANSPOSE(T4_[Etiquetas de fila])</f>
        <v>#VALUE!</v>
      </c>
      <c r="C243" t="e">
        <f>TRANSPOSE(T4_[Recuento de T4 CODIGO])</f>
        <v>#VALUE!</v>
      </c>
    </row>
    <row r="244" spans="1:3" x14ac:dyDescent="0.25">
      <c r="A244" t="b">
        <f>IFERROR(IF(MATCH(B244,RECETAS!$A$2:$A$1700,0) &lt;&gt; "", TRUE,""),FALSE)</f>
        <v>0</v>
      </c>
      <c r="B244" t="e">
        <f>TRANSPOSE(T4_[Etiquetas de fila])</f>
        <v>#VALUE!</v>
      </c>
      <c r="C244" t="e">
        <f>TRANSPOSE(T4_[Recuento de T4 CODIGO])</f>
        <v>#VALUE!</v>
      </c>
    </row>
    <row r="245" spans="1:3" x14ac:dyDescent="0.25">
      <c r="A245" t="b">
        <f>IFERROR(IF(MATCH(B245,RECETAS!$A$2:$A$1700,0) &lt;&gt; "", TRUE,""),FALSE)</f>
        <v>0</v>
      </c>
      <c r="B245" t="e">
        <f>TRANSPOSE(T4_[Etiquetas de fila])</f>
        <v>#VALUE!</v>
      </c>
      <c r="C245" t="e">
        <f>TRANSPOSE(T4_[Recuento de T4 CODIGO])</f>
        <v>#VALUE!</v>
      </c>
    </row>
    <row r="246" spans="1:3" x14ac:dyDescent="0.25">
      <c r="A246" t="b">
        <f>IFERROR(IF(MATCH(B246,RECETAS!$A$2:$A$1700,0) &lt;&gt; "", TRUE,""),FALSE)</f>
        <v>0</v>
      </c>
      <c r="B246" t="e">
        <f>TRANSPOSE(T4_[Etiquetas de fila])</f>
        <v>#VALUE!</v>
      </c>
      <c r="C246" t="e">
        <f>TRANSPOSE(T4_[Recuento de T4 CODIGO])</f>
        <v>#VALUE!</v>
      </c>
    </row>
    <row r="247" spans="1:3" x14ac:dyDescent="0.25">
      <c r="A247" t="b">
        <f>IFERROR(IF(MATCH(B247,RECETAS!$A$2:$A$1700,0) &lt;&gt; "", TRUE,""),FALSE)</f>
        <v>0</v>
      </c>
      <c r="B247" t="e">
        <f>TRANSPOSE(T4_[Etiquetas de fila])</f>
        <v>#VALUE!</v>
      </c>
      <c r="C247" t="e">
        <f>TRANSPOSE(T4_[Recuento de T4 CODIGO])</f>
        <v>#VALUE!</v>
      </c>
    </row>
    <row r="248" spans="1:3" x14ac:dyDescent="0.25">
      <c r="A248" t="b">
        <f>IFERROR(IF(MATCH(B248,RECETAS!$A$2:$A$1700,0) &lt;&gt; "", TRUE,""),FALSE)</f>
        <v>0</v>
      </c>
      <c r="B248" t="e">
        <f>TRANSPOSE(T4_[Etiquetas de fila])</f>
        <v>#VALUE!</v>
      </c>
      <c r="C248" t="e">
        <f>TRANSPOSE(T4_[Recuento de T4 CODIGO])</f>
        <v>#VALUE!</v>
      </c>
    </row>
    <row r="249" spans="1:3" x14ac:dyDescent="0.25">
      <c r="A249" t="b">
        <f>IFERROR(IF(MATCH(B249,RECETAS!$A$2:$A$1700,0) &lt;&gt; "", TRUE,""),FALSE)</f>
        <v>0</v>
      </c>
      <c r="B249" t="e">
        <f>TRANSPOSE(T4_[Etiquetas de fila])</f>
        <v>#VALUE!</v>
      </c>
      <c r="C249" t="e">
        <f>TRANSPOSE(T4_[Recuento de T4 CODIGO])</f>
        <v>#VALUE!</v>
      </c>
    </row>
    <row r="250" spans="1:3" x14ac:dyDescent="0.25">
      <c r="A250" t="b">
        <f>IFERROR(IF(MATCH(B250,RECETAS!$A$2:$A$1700,0) &lt;&gt; "", TRUE,""),FALSE)</f>
        <v>0</v>
      </c>
      <c r="B250" t="e">
        <f>TRANSPOSE(T4_[Etiquetas de fila])</f>
        <v>#VALUE!</v>
      </c>
      <c r="C250" t="e">
        <f>TRANSPOSE(T4_[Recuento de T4 CODIGO])</f>
        <v>#VALUE!</v>
      </c>
    </row>
    <row r="251" spans="1:3" x14ac:dyDescent="0.25">
      <c r="A251" t="b">
        <f>IFERROR(IF(MATCH(B251,RECETAS!$A$2:$A$1700,0) &lt;&gt; "", TRUE,""),FALSE)</f>
        <v>0</v>
      </c>
      <c r="B251" t="e">
        <f>TRANSPOSE(T4_[Etiquetas de fila])</f>
        <v>#VALUE!</v>
      </c>
      <c r="C251" t="e">
        <f>TRANSPOSE(T4_[Recuento de T4 CODIGO])</f>
        <v>#VALUE!</v>
      </c>
    </row>
    <row r="252" spans="1:3" x14ac:dyDescent="0.25">
      <c r="A252" t="b">
        <f>IFERROR(IF(MATCH(B252,RECETAS!$A$2:$A$1700,0) &lt;&gt; "", TRUE,""),FALSE)</f>
        <v>0</v>
      </c>
      <c r="B252" t="e">
        <f>TRANSPOSE(T4_[Etiquetas de fila])</f>
        <v>#VALUE!</v>
      </c>
      <c r="C252" t="e">
        <f>TRANSPOSE(T4_[Recuento de T4 CODIGO])</f>
        <v>#VALUE!</v>
      </c>
    </row>
    <row r="253" spans="1:3" x14ac:dyDescent="0.25">
      <c r="A253" t="b">
        <f>IFERROR(IF(MATCH(B253,RECETAS!$A$2:$A$1700,0) &lt;&gt; "", TRUE,""),FALSE)</f>
        <v>0</v>
      </c>
      <c r="B253" t="e">
        <f>TRANSPOSE(T4_[Etiquetas de fila])</f>
        <v>#VALUE!</v>
      </c>
      <c r="C253" t="e">
        <f>TRANSPOSE(T4_[Recuento de T4 CODIGO])</f>
        <v>#VALUE!</v>
      </c>
    </row>
    <row r="254" spans="1:3" x14ac:dyDescent="0.25">
      <c r="A254" t="b">
        <f>IFERROR(IF(MATCH(B254,RECETAS!$A$2:$A$1700,0) &lt;&gt; "", TRUE,""),FALSE)</f>
        <v>0</v>
      </c>
      <c r="B254" t="e">
        <f>TRANSPOSE(T4_[Etiquetas de fila])</f>
        <v>#VALUE!</v>
      </c>
      <c r="C254" t="e">
        <f>TRANSPOSE(T4_[Recuento de T4 CODIGO])</f>
        <v>#VALUE!</v>
      </c>
    </row>
    <row r="255" spans="1:3" x14ac:dyDescent="0.25">
      <c r="A255" t="b">
        <f>IFERROR(IF(MATCH(B255,RECETAS!$A$2:$A$1700,0) &lt;&gt; "", TRUE,""),FALSE)</f>
        <v>0</v>
      </c>
      <c r="B255" t="e">
        <f>TRANSPOSE(T4_[Etiquetas de fila])</f>
        <v>#VALUE!</v>
      </c>
      <c r="C255" t="e">
        <f>TRANSPOSE(T4_[Recuento de T4 CODIGO])</f>
        <v>#VALUE!</v>
      </c>
    </row>
    <row r="256" spans="1:3" x14ac:dyDescent="0.25">
      <c r="A256" t="b">
        <f>IFERROR(IF(MATCH(B256,RECETAS!$A$2:$A$1700,0) &lt;&gt; "", TRUE,""),FALSE)</f>
        <v>0</v>
      </c>
      <c r="B256" t="e">
        <f>TRANSPOSE(T4_[Etiquetas de fila])</f>
        <v>#VALUE!</v>
      </c>
      <c r="C256" t="e">
        <f>TRANSPOSE(T4_[Recuento de T4 CODIGO])</f>
        <v>#VALUE!</v>
      </c>
    </row>
    <row r="257" spans="1:3" x14ac:dyDescent="0.25">
      <c r="A257" t="b">
        <f>IFERROR(IF(MATCH(B257,RECETAS!$A$2:$A$1700,0) &lt;&gt; "", TRUE,""),FALSE)</f>
        <v>0</v>
      </c>
      <c r="B257" t="e">
        <f>TRANSPOSE(T4_[Etiquetas de fila])</f>
        <v>#VALUE!</v>
      </c>
      <c r="C257" t="e">
        <f>TRANSPOSE(T4_[Recuento de T4 CODIGO])</f>
        <v>#VALUE!</v>
      </c>
    </row>
    <row r="258" spans="1:3" x14ac:dyDescent="0.25">
      <c r="A258" t="b">
        <f>IFERROR(IF(MATCH(B258,RECETAS!$A$2:$A$1700,0) &lt;&gt; "", TRUE,""),FALSE)</f>
        <v>0</v>
      </c>
      <c r="B258" t="e">
        <f>TRANSPOSE(T4_[Etiquetas de fila])</f>
        <v>#VALUE!</v>
      </c>
      <c r="C258" t="e">
        <f>TRANSPOSE(T4_[Recuento de T4 CODIGO])</f>
        <v>#VALUE!</v>
      </c>
    </row>
    <row r="259" spans="1:3" x14ac:dyDescent="0.25">
      <c r="A259" t="b">
        <f>IFERROR(IF(MATCH(B259,RECETAS!$A$2:$A$1700,0) &lt;&gt; "", TRUE,""),FALSE)</f>
        <v>0</v>
      </c>
      <c r="B259" t="e">
        <f>TRANSPOSE(T4_[Etiquetas de fila])</f>
        <v>#VALUE!</v>
      </c>
      <c r="C259" t="e">
        <f>TRANSPOSE(T4_[Recuento de T4 CODIGO])</f>
        <v>#VALUE!</v>
      </c>
    </row>
    <row r="260" spans="1:3" x14ac:dyDescent="0.25">
      <c r="A260" t="b">
        <f>IFERROR(IF(MATCH(B260,RECETAS!$A$2:$A$1700,0) &lt;&gt; "", TRUE,""),FALSE)</f>
        <v>0</v>
      </c>
      <c r="B260" t="e">
        <f>TRANSPOSE(T4_[Etiquetas de fila])</f>
        <v>#VALUE!</v>
      </c>
      <c r="C260" t="e">
        <f>TRANSPOSE(T4_[Recuento de T4 CODIGO])</f>
        <v>#VALUE!</v>
      </c>
    </row>
    <row r="261" spans="1:3" x14ac:dyDescent="0.25">
      <c r="A261" t="b">
        <f>IFERROR(IF(MATCH(B261,RECETAS!$A$2:$A$1700,0) &lt;&gt; "", TRUE,""),FALSE)</f>
        <v>0</v>
      </c>
      <c r="B261" t="e">
        <f>TRANSPOSE(T4_[Etiquetas de fila])</f>
        <v>#VALUE!</v>
      </c>
      <c r="C261" t="e">
        <f>TRANSPOSE(T4_[Recuento de T4 CODIGO])</f>
        <v>#VALUE!</v>
      </c>
    </row>
    <row r="262" spans="1:3" x14ac:dyDescent="0.25">
      <c r="A262" t="b">
        <f>IFERROR(IF(MATCH(B262,RECETAS!$A$2:$A$1700,0) &lt;&gt; "", TRUE,""),FALSE)</f>
        <v>0</v>
      </c>
      <c r="B262" t="e">
        <f>TRANSPOSE(T4_[Etiquetas de fila])</f>
        <v>#VALUE!</v>
      </c>
      <c r="C262" t="e">
        <f>TRANSPOSE(T4_[Recuento de T4 CODIGO])</f>
        <v>#VALUE!</v>
      </c>
    </row>
    <row r="263" spans="1:3" x14ac:dyDescent="0.25">
      <c r="A263" t="b">
        <f>IFERROR(IF(MATCH(B263,RECETAS!$A$2:$A$1700,0) &lt;&gt; "", TRUE,""),FALSE)</f>
        <v>0</v>
      </c>
      <c r="B263" t="e">
        <f>TRANSPOSE(T4_[Etiquetas de fila])</f>
        <v>#VALUE!</v>
      </c>
      <c r="C263" t="e">
        <f>TRANSPOSE(T4_[Recuento de T4 CODIGO])</f>
        <v>#VALUE!</v>
      </c>
    </row>
    <row r="264" spans="1:3" x14ac:dyDescent="0.25">
      <c r="A264" t="b">
        <f>IFERROR(IF(MATCH(B264,RECETAS!$A$2:$A$1700,0) &lt;&gt; "", TRUE,""),FALSE)</f>
        <v>0</v>
      </c>
      <c r="B264" t="e">
        <f>TRANSPOSE(T4_[Etiquetas de fila])</f>
        <v>#VALUE!</v>
      </c>
      <c r="C264" t="e">
        <f>TRANSPOSE(T4_[Recuento de T4 CODIGO])</f>
        <v>#VALUE!</v>
      </c>
    </row>
    <row r="265" spans="1:3" x14ac:dyDescent="0.25">
      <c r="A265" t="b">
        <f>IFERROR(IF(MATCH(B265,RECETAS!$A$2:$A$1700,0) &lt;&gt; "", TRUE,""),FALSE)</f>
        <v>0</v>
      </c>
      <c r="B265" t="e">
        <f>TRANSPOSE(T4_[Etiquetas de fila])</f>
        <v>#VALUE!</v>
      </c>
      <c r="C265" t="e">
        <f>TRANSPOSE(T4_[Recuento de T4 CODIGO])</f>
        <v>#VALUE!</v>
      </c>
    </row>
    <row r="266" spans="1:3" x14ac:dyDescent="0.25">
      <c r="A266" t="b">
        <f>IFERROR(IF(MATCH(B266,RECETAS!$A$2:$A$1700,0) &lt;&gt; "", TRUE,""),FALSE)</f>
        <v>0</v>
      </c>
      <c r="B266" t="e">
        <f>TRANSPOSE(T4_[Etiquetas de fila])</f>
        <v>#VALUE!</v>
      </c>
      <c r="C266" t="e">
        <f>TRANSPOSE(T4_[Recuento de T4 CODIGO])</f>
        <v>#VALUE!</v>
      </c>
    </row>
    <row r="267" spans="1:3" x14ac:dyDescent="0.25">
      <c r="A267" t="b">
        <f>IFERROR(IF(MATCH(B267,RECETAS!$A$2:$A$1700,0) &lt;&gt; "", TRUE,""),FALSE)</f>
        <v>0</v>
      </c>
      <c r="B267" t="e">
        <f>TRANSPOSE(T4_[Etiquetas de fila])</f>
        <v>#VALUE!</v>
      </c>
      <c r="C267" t="e">
        <f>TRANSPOSE(T4_[Recuento de T4 CODIGO])</f>
        <v>#VALUE!</v>
      </c>
    </row>
    <row r="268" spans="1:3" x14ac:dyDescent="0.25">
      <c r="A268" t="b">
        <f>IFERROR(IF(MATCH(B268,RECETAS!$A$2:$A$1700,0) &lt;&gt; "", TRUE,""),FALSE)</f>
        <v>0</v>
      </c>
      <c r="B268" t="e">
        <f>TRANSPOSE(T4_[Etiquetas de fila])</f>
        <v>#VALUE!</v>
      </c>
      <c r="C268" t="e">
        <f>TRANSPOSE(T4_[Recuento de T4 CODIGO])</f>
        <v>#VALUE!</v>
      </c>
    </row>
    <row r="269" spans="1:3" x14ac:dyDescent="0.25">
      <c r="A269" t="b">
        <f>IFERROR(IF(MATCH(B269,RECETAS!$A$2:$A$1700,0) &lt;&gt; "", TRUE,""),FALSE)</f>
        <v>0</v>
      </c>
      <c r="B269" t="e">
        <f>TRANSPOSE(T4_[Etiquetas de fila])</f>
        <v>#VALUE!</v>
      </c>
      <c r="C269" t="e">
        <f>TRANSPOSE(T4_[Recuento de T4 CODIGO])</f>
        <v>#VALUE!</v>
      </c>
    </row>
    <row r="270" spans="1:3" x14ac:dyDescent="0.25">
      <c r="A270" t="b">
        <f>IFERROR(IF(MATCH(B270,RECETAS!$A$2:$A$1700,0) &lt;&gt; "", TRUE,""),FALSE)</f>
        <v>0</v>
      </c>
      <c r="B270" t="e">
        <f>TRANSPOSE(T4_[Etiquetas de fila])</f>
        <v>#VALUE!</v>
      </c>
      <c r="C270" t="e">
        <f>TRANSPOSE(T4_[Recuento de T4 CODIGO])</f>
        <v>#VALUE!</v>
      </c>
    </row>
    <row r="271" spans="1:3" x14ac:dyDescent="0.25">
      <c r="A271" t="b">
        <f>IFERROR(IF(MATCH(B271,RECETAS!$A$2:$A$1700,0) &lt;&gt; "", TRUE,""),FALSE)</f>
        <v>0</v>
      </c>
      <c r="B271" t="e">
        <f>TRANSPOSE(T4_[Etiquetas de fila])</f>
        <v>#VALUE!</v>
      </c>
      <c r="C271" t="e">
        <f>TRANSPOSE(T4_[Recuento de T4 CODIGO])</f>
        <v>#VALUE!</v>
      </c>
    </row>
    <row r="272" spans="1:3" x14ac:dyDescent="0.25">
      <c r="A272" t="b">
        <f>IFERROR(IF(MATCH(B272,RECETAS!$A$2:$A$1700,0) &lt;&gt; "", TRUE,""),FALSE)</f>
        <v>0</v>
      </c>
      <c r="B272" t="e">
        <f>TRANSPOSE(T4_[Etiquetas de fila])</f>
        <v>#VALUE!</v>
      </c>
      <c r="C272" t="e">
        <f>TRANSPOSE(T4_[Recuento de T4 CODIGO])</f>
        <v>#VALUE!</v>
      </c>
    </row>
    <row r="273" spans="1:3" x14ac:dyDescent="0.25">
      <c r="A273" t="b">
        <f>IFERROR(IF(MATCH(B273,RECETAS!$A$2:$A$1700,0) &lt;&gt; "", TRUE,""),FALSE)</f>
        <v>0</v>
      </c>
      <c r="B273" t="e">
        <f>TRANSPOSE(T4_[Etiquetas de fila])</f>
        <v>#VALUE!</v>
      </c>
      <c r="C273" t="e">
        <f>TRANSPOSE(T4_[Recuento de T4 CODIGO])</f>
        <v>#VALUE!</v>
      </c>
    </row>
    <row r="274" spans="1:3" x14ac:dyDescent="0.25">
      <c r="A274" t="b">
        <f>IFERROR(IF(MATCH(B274,RECETAS!$A$2:$A$1700,0) &lt;&gt; "", TRUE,""),FALSE)</f>
        <v>0</v>
      </c>
      <c r="B274" t="e">
        <f>TRANSPOSE(T4_[Etiquetas de fila])</f>
        <v>#VALUE!</v>
      </c>
      <c r="C274" t="e">
        <f>TRANSPOSE(T4_[Recuento de T4 CODIGO])</f>
        <v>#VALUE!</v>
      </c>
    </row>
    <row r="275" spans="1:3" x14ac:dyDescent="0.25">
      <c r="A275" t="b">
        <f>IFERROR(IF(MATCH(B275,RECETAS!$A$2:$A$1700,0) &lt;&gt; "", TRUE,""),FALSE)</f>
        <v>0</v>
      </c>
      <c r="B275" t="e">
        <f>TRANSPOSE(T4_[Etiquetas de fila])</f>
        <v>#VALUE!</v>
      </c>
      <c r="C275" t="e">
        <f>TRANSPOSE(T4_[Recuento de T4 CODIGO])</f>
        <v>#VALUE!</v>
      </c>
    </row>
    <row r="276" spans="1:3" x14ac:dyDescent="0.25">
      <c r="A276" t="b">
        <f>IFERROR(IF(MATCH(B276,RECETAS!$A$2:$A$1700,0) &lt;&gt; "", TRUE,""),FALSE)</f>
        <v>0</v>
      </c>
      <c r="B276" t="e">
        <f>TRANSPOSE(T4_[Etiquetas de fila])</f>
        <v>#VALUE!</v>
      </c>
      <c r="C276" t="e">
        <f>TRANSPOSE(T4_[Recuento de T4 CODIGO])</f>
        <v>#VALUE!</v>
      </c>
    </row>
    <row r="277" spans="1:3" x14ac:dyDescent="0.25">
      <c r="A277" t="b">
        <f>IFERROR(IF(MATCH(B277,RECETAS!$A$2:$A$1700,0) &lt;&gt; "", TRUE,""),FALSE)</f>
        <v>0</v>
      </c>
      <c r="B277" t="e">
        <f>TRANSPOSE(T4_[Etiquetas de fila])</f>
        <v>#VALUE!</v>
      </c>
      <c r="C277" t="e">
        <f>TRANSPOSE(T4_[Recuento de T4 CODIGO])</f>
        <v>#VALUE!</v>
      </c>
    </row>
    <row r="278" spans="1:3" x14ac:dyDescent="0.25">
      <c r="A278" t="b">
        <f>IFERROR(IF(MATCH(B278,RECETAS!$A$2:$A$1700,0) &lt;&gt; "", TRUE,""),FALSE)</f>
        <v>0</v>
      </c>
      <c r="B278" t="e">
        <f>TRANSPOSE(T4_[Etiquetas de fila])</f>
        <v>#VALUE!</v>
      </c>
      <c r="C278" t="e">
        <f>TRANSPOSE(T4_[Recuento de T4 CODIGO])</f>
        <v>#VALUE!</v>
      </c>
    </row>
    <row r="279" spans="1:3" x14ac:dyDescent="0.25">
      <c r="A279" t="b">
        <f>IFERROR(IF(MATCH(B279,RECETAS!$A$2:$A$1700,0) &lt;&gt; "", TRUE,""),FALSE)</f>
        <v>0</v>
      </c>
      <c r="B279" t="e">
        <f>TRANSPOSE(T4_[Etiquetas de fila])</f>
        <v>#VALUE!</v>
      </c>
      <c r="C279" t="e">
        <f>TRANSPOSE(T4_[Recuento de T4 CODIGO])</f>
        <v>#VALUE!</v>
      </c>
    </row>
    <row r="280" spans="1:3" x14ac:dyDescent="0.25">
      <c r="A280" t="b">
        <f>IFERROR(IF(MATCH(B280,RECETAS!$A$2:$A$1700,0) &lt;&gt; "", TRUE,""),FALSE)</f>
        <v>0</v>
      </c>
      <c r="B280" t="e">
        <f>TRANSPOSE(T4_[Etiquetas de fila])</f>
        <v>#VALUE!</v>
      </c>
      <c r="C280" t="e">
        <f>TRANSPOSE(T4_[Recuento de T4 CODIGO])</f>
        <v>#VALUE!</v>
      </c>
    </row>
    <row r="281" spans="1:3" x14ac:dyDescent="0.25">
      <c r="A281" t="b">
        <f>IFERROR(IF(MATCH(B281,RECETAS!$A$2:$A$1700,0) &lt;&gt; "", TRUE,""),FALSE)</f>
        <v>0</v>
      </c>
      <c r="B281" t="e">
        <f>TRANSPOSE(T4_[Etiquetas de fila])</f>
        <v>#VALUE!</v>
      </c>
      <c r="C281" t="e">
        <f>TRANSPOSE(T4_[Recuento de T4 CODIGO])</f>
        <v>#VALUE!</v>
      </c>
    </row>
    <row r="282" spans="1:3" x14ac:dyDescent="0.25">
      <c r="A282" t="b">
        <f>IFERROR(IF(MATCH(B282,RECETAS!$A$2:$A$1700,0) &lt;&gt; "", TRUE,""),FALSE)</f>
        <v>0</v>
      </c>
      <c r="B282" t="e">
        <f>TRANSPOSE(T4_[Etiquetas de fila])</f>
        <v>#VALUE!</v>
      </c>
      <c r="C282" t="e">
        <f>TRANSPOSE(T4_[Recuento de T4 CODIGO])</f>
        <v>#VALUE!</v>
      </c>
    </row>
    <row r="283" spans="1:3" x14ac:dyDescent="0.25">
      <c r="A283" t="b">
        <f>IFERROR(IF(MATCH(B283,RECETAS!$A$2:$A$1700,0) &lt;&gt; "", TRUE,""),FALSE)</f>
        <v>0</v>
      </c>
      <c r="B283" t="e">
        <f>TRANSPOSE(T4_[Etiquetas de fila])</f>
        <v>#VALUE!</v>
      </c>
      <c r="C283" t="e">
        <f>TRANSPOSE(T4_[Recuento de T4 CODIGO])</f>
        <v>#VALUE!</v>
      </c>
    </row>
    <row r="284" spans="1:3" x14ac:dyDescent="0.25">
      <c r="A284" t="b">
        <f>IFERROR(IF(MATCH(B284,RECETAS!$A$2:$A$1700,0) &lt;&gt; "", TRUE,""),FALSE)</f>
        <v>0</v>
      </c>
      <c r="B284" t="e">
        <f>TRANSPOSE(T4_[Etiquetas de fila])</f>
        <v>#VALUE!</v>
      </c>
      <c r="C284" t="e">
        <f>TRANSPOSE(T4_[Recuento de T4 CODIGO])</f>
        <v>#VALUE!</v>
      </c>
    </row>
    <row r="285" spans="1:3" x14ac:dyDescent="0.25">
      <c r="A285" t="b">
        <f>IFERROR(IF(MATCH(B285,RECETAS!$A$2:$A$1700,0) &lt;&gt; "", TRUE,""),FALSE)</f>
        <v>0</v>
      </c>
      <c r="B285" t="e">
        <f>TRANSPOSE(T4_[Etiquetas de fila])</f>
        <v>#VALUE!</v>
      </c>
      <c r="C285" t="e">
        <f>TRANSPOSE(T4_[Recuento de T4 CODIGO])</f>
        <v>#VALUE!</v>
      </c>
    </row>
    <row r="286" spans="1:3" x14ac:dyDescent="0.25">
      <c r="A286" t="b">
        <f>IFERROR(IF(MATCH(B286,RECETAS!$A$2:$A$1700,0) &lt;&gt; "", TRUE,""),FALSE)</f>
        <v>0</v>
      </c>
      <c r="B286" t="e">
        <f>TRANSPOSE(T4_[Etiquetas de fila])</f>
        <v>#VALUE!</v>
      </c>
      <c r="C286" t="e">
        <f>TRANSPOSE(T4_[Recuento de T4 CODIGO])</f>
        <v>#VALUE!</v>
      </c>
    </row>
    <row r="287" spans="1:3" x14ac:dyDescent="0.25">
      <c r="A287" t="b">
        <f>IFERROR(IF(MATCH(B287,RECETAS!$A$2:$A$1700,0) &lt;&gt; "", TRUE,""),FALSE)</f>
        <v>0</v>
      </c>
      <c r="B287" t="e">
        <f>TRANSPOSE(T4_[Etiquetas de fila])</f>
        <v>#VALUE!</v>
      </c>
      <c r="C287" t="e">
        <f>TRANSPOSE(T4_[Recuento de T4 CODIGO])</f>
        <v>#VALUE!</v>
      </c>
    </row>
    <row r="288" spans="1:3" x14ac:dyDescent="0.25">
      <c r="A288" t="b">
        <f>IFERROR(IF(MATCH(B288,RECETAS!$A$2:$A$1700,0) &lt;&gt; "", TRUE,""),FALSE)</f>
        <v>0</v>
      </c>
      <c r="B288" t="e">
        <f>TRANSPOSE(T4_[Etiquetas de fila])</f>
        <v>#VALUE!</v>
      </c>
      <c r="C288" t="e">
        <f>TRANSPOSE(T4_[Recuento de T4 CODIGO])</f>
        <v>#VALUE!</v>
      </c>
    </row>
    <row r="289" spans="1:3" x14ac:dyDescent="0.25">
      <c r="A289" t="b">
        <f>IFERROR(IF(MATCH(B289,RECETAS!$A$2:$A$1700,0) &lt;&gt; "", TRUE,""),FALSE)</f>
        <v>0</v>
      </c>
      <c r="B289" t="e">
        <f>TRANSPOSE(T4_[Etiquetas de fila])</f>
        <v>#VALUE!</v>
      </c>
      <c r="C289" t="e">
        <f>TRANSPOSE(T4_[Recuento de T4 CODIGO])</f>
        <v>#VALUE!</v>
      </c>
    </row>
    <row r="290" spans="1:3" x14ac:dyDescent="0.25">
      <c r="A290" t="b">
        <f>IFERROR(IF(MATCH(B290,RECETAS!$A$2:$A$1700,0) &lt;&gt; "", TRUE,""),FALSE)</f>
        <v>0</v>
      </c>
      <c r="B290" t="e">
        <f>TRANSPOSE(T4_[Etiquetas de fila])</f>
        <v>#VALUE!</v>
      </c>
      <c r="C290" t="e">
        <f>TRANSPOSE(T4_[Recuento de T4 CODIGO])</f>
        <v>#VALUE!</v>
      </c>
    </row>
    <row r="291" spans="1:3" x14ac:dyDescent="0.25">
      <c r="A291" t="b">
        <f>IFERROR(IF(MATCH(B291,RECETAS!$A$2:$A$1700,0) &lt;&gt; "", TRUE,""),FALSE)</f>
        <v>0</v>
      </c>
      <c r="B291" t="e">
        <f>TRANSPOSE(T4_[Etiquetas de fila])</f>
        <v>#VALUE!</v>
      </c>
      <c r="C291" t="e">
        <f>TRANSPOSE(T4_[Recuento de T4 CODIGO])</f>
        <v>#VALUE!</v>
      </c>
    </row>
    <row r="292" spans="1:3" x14ac:dyDescent="0.25">
      <c r="A292" t="b">
        <f>IFERROR(IF(MATCH(B292,RECETAS!$A$2:$A$1700,0) &lt;&gt; "", TRUE,""),FALSE)</f>
        <v>0</v>
      </c>
      <c r="B292" t="e">
        <f>TRANSPOSE(T4_[Etiquetas de fila])</f>
        <v>#VALUE!</v>
      </c>
      <c r="C292" t="e">
        <f>TRANSPOSE(T4_[Recuento de T4 CODIGO])</f>
        <v>#VALUE!</v>
      </c>
    </row>
    <row r="293" spans="1:3" x14ac:dyDescent="0.25">
      <c r="A293" t="b">
        <f>IFERROR(IF(MATCH(B293,RECETAS!$A$2:$A$1700,0) &lt;&gt; "", TRUE,""),FALSE)</f>
        <v>0</v>
      </c>
      <c r="B293" t="e">
        <f>TRANSPOSE(T4_[Etiquetas de fila])</f>
        <v>#VALUE!</v>
      </c>
      <c r="C293" t="e">
        <f>TRANSPOSE(T4_[Recuento de T4 CODIGO])</f>
        <v>#VALUE!</v>
      </c>
    </row>
    <row r="294" spans="1:3" x14ac:dyDescent="0.25">
      <c r="A294" t="b">
        <f>IFERROR(IF(MATCH(B294,RECETAS!$A$2:$A$1700,0) &lt;&gt; "", TRUE,""),FALSE)</f>
        <v>0</v>
      </c>
      <c r="B294" t="e">
        <f>TRANSPOSE(T4_[Etiquetas de fila])</f>
        <v>#VALUE!</v>
      </c>
      <c r="C294" t="e">
        <f>TRANSPOSE(T4_[Recuento de T4 CODIGO])</f>
        <v>#VALUE!</v>
      </c>
    </row>
    <row r="295" spans="1:3" x14ac:dyDescent="0.25">
      <c r="A295" t="b">
        <f>IFERROR(IF(MATCH(B295,RECETAS!$A$2:$A$1700,0) &lt;&gt; "", TRUE,""),FALSE)</f>
        <v>0</v>
      </c>
      <c r="B295" t="e">
        <f>TRANSPOSE(T4_[Etiquetas de fila])</f>
        <v>#VALUE!</v>
      </c>
      <c r="C295" t="e">
        <f>TRANSPOSE(T4_[Recuento de T4 CODIGO])</f>
        <v>#VALUE!</v>
      </c>
    </row>
    <row r="296" spans="1:3" x14ac:dyDescent="0.25">
      <c r="A296" t="b">
        <f>IFERROR(IF(MATCH(B296,RECETAS!$A$2:$A$1700,0) &lt;&gt; "", TRUE,""),FALSE)</f>
        <v>0</v>
      </c>
      <c r="B296" t="e">
        <f>TRANSPOSE(T4_[Etiquetas de fila])</f>
        <v>#VALUE!</v>
      </c>
      <c r="C296" t="e">
        <f>TRANSPOSE(T4_[Recuento de T4 CODIGO])</f>
        <v>#VALUE!</v>
      </c>
    </row>
    <row r="297" spans="1:3" x14ac:dyDescent="0.25">
      <c r="A297" t="b">
        <f>IFERROR(IF(MATCH(B297,RECETAS!$A$2:$A$1700,0) &lt;&gt; "", TRUE,""),FALSE)</f>
        <v>0</v>
      </c>
      <c r="B297" t="e">
        <f>TRANSPOSE(T4_[Etiquetas de fila])</f>
        <v>#VALUE!</v>
      </c>
      <c r="C297" t="e">
        <f>TRANSPOSE(T4_[Recuento de T4 CODIGO])</f>
        <v>#VALUE!</v>
      </c>
    </row>
    <row r="298" spans="1:3" x14ac:dyDescent="0.25">
      <c r="A298" t="b">
        <f>IFERROR(IF(MATCH(B298,RECETAS!$A$2:$A$1700,0) &lt;&gt; "", TRUE,""),FALSE)</f>
        <v>0</v>
      </c>
      <c r="B298" t="e">
        <f>TRANSPOSE(T4_[Etiquetas de fila])</f>
        <v>#VALUE!</v>
      </c>
      <c r="C298" t="e">
        <f>TRANSPOSE(T4_[Recuento de T4 CODIGO])</f>
        <v>#VALUE!</v>
      </c>
    </row>
    <row r="299" spans="1:3" x14ac:dyDescent="0.25">
      <c r="A299" t="b">
        <f>IFERROR(IF(MATCH(B299,RECETAS!$A$2:$A$1700,0) &lt;&gt; "", TRUE,""),FALSE)</f>
        <v>0</v>
      </c>
      <c r="B299" t="e">
        <f>TRANSPOSE(T4_[Etiquetas de fila])</f>
        <v>#VALUE!</v>
      </c>
      <c r="C299" t="e">
        <f>TRANSPOSE(T4_[Recuento de T4 CODIGO])</f>
        <v>#VALUE!</v>
      </c>
    </row>
    <row r="300" spans="1:3" x14ac:dyDescent="0.25">
      <c r="A300" t="b">
        <f>IFERROR(IF(MATCH(B300,RECETAS!$A$2:$A$1700,0) &lt;&gt; "", TRUE,""),FALSE)</f>
        <v>0</v>
      </c>
      <c r="B300" t="e">
        <f>TRANSPOSE(T4_[Etiquetas de fila])</f>
        <v>#VALUE!</v>
      </c>
      <c r="C300" t="e">
        <f>TRANSPOSE(T4_[Recuento de T4 CODIGO])</f>
        <v>#VALUE!</v>
      </c>
    </row>
    <row r="301" spans="1:3" x14ac:dyDescent="0.25">
      <c r="A301" t="b">
        <f>IFERROR(IF(MATCH(B301,RECETAS!$A$2:$A$1700,0) &lt;&gt; "", TRUE,""),FALSE)</f>
        <v>0</v>
      </c>
      <c r="B301" t="e">
        <f>TRANSPOSE(T4_[Etiquetas de fila])</f>
        <v>#VALUE!</v>
      </c>
      <c r="C301" t="e">
        <f>TRANSPOSE(T4_[Recuento de T4 CODIGO])</f>
        <v>#VALUE!</v>
      </c>
    </row>
    <row r="302" spans="1:3" x14ac:dyDescent="0.25">
      <c r="A302" t="b">
        <f>IFERROR(IF(MATCH(B302,RECETAS!$A$2:$A$1700,0) &lt;&gt; "", TRUE,""),FALSE)</f>
        <v>0</v>
      </c>
      <c r="B302" t="e">
        <f>TRANSPOSE(T4_[Etiquetas de fila])</f>
        <v>#VALUE!</v>
      </c>
      <c r="C302" t="e">
        <f>TRANSPOSE(T4_[Recuento de T4 CODIGO])</f>
        <v>#VALUE!</v>
      </c>
    </row>
    <row r="303" spans="1:3" x14ac:dyDescent="0.25">
      <c r="A303" t="b">
        <f>IFERROR(IF(MATCH(B303,RECETAS!$A$2:$A$1700,0) &lt;&gt; "", TRUE,""),FALSE)</f>
        <v>0</v>
      </c>
      <c r="B303" t="e">
        <f>TRANSPOSE(T4_[Etiquetas de fila])</f>
        <v>#VALUE!</v>
      </c>
      <c r="C303" t="e">
        <f>TRANSPOSE(T4_[Recuento de T4 CODIGO])</f>
        <v>#VALUE!</v>
      </c>
    </row>
    <row r="304" spans="1:3" x14ac:dyDescent="0.25">
      <c r="A304" t="b">
        <f>IFERROR(IF(MATCH(B304,RECETAS!$A$2:$A$1700,0) &lt;&gt; "", TRUE,""),FALSE)</f>
        <v>0</v>
      </c>
      <c r="B304" t="e">
        <f>TRANSPOSE(T4_[Etiquetas de fila])</f>
        <v>#VALUE!</v>
      </c>
      <c r="C304" t="e">
        <f>TRANSPOSE(T4_[Recuento de T4 CODIGO])</f>
        <v>#VALUE!</v>
      </c>
    </row>
    <row r="305" spans="1:3" x14ac:dyDescent="0.25">
      <c r="A305" t="b">
        <f>IFERROR(IF(MATCH(B305,RECETAS!$A$2:$A$1700,0) &lt;&gt; "", TRUE,""),FALSE)</f>
        <v>0</v>
      </c>
      <c r="B305" t="e">
        <f>TRANSPOSE(T4_[Etiquetas de fila])</f>
        <v>#VALUE!</v>
      </c>
      <c r="C305" t="e">
        <f>TRANSPOSE(T4_[Recuento de T4 CODIGO])</f>
        <v>#VALUE!</v>
      </c>
    </row>
    <row r="306" spans="1:3" x14ac:dyDescent="0.25">
      <c r="A306" t="b">
        <f>IFERROR(IF(MATCH(B306,RECETAS!$A$2:$A$1700,0) &lt;&gt; "", TRUE,""),FALSE)</f>
        <v>0</v>
      </c>
      <c r="B306" t="e">
        <f>TRANSPOSE(T4_[Etiquetas de fila])</f>
        <v>#VALUE!</v>
      </c>
      <c r="C306" t="e">
        <f>TRANSPOSE(T4_[Recuento de T4 CODIGO])</f>
        <v>#VALUE!</v>
      </c>
    </row>
    <row r="307" spans="1:3" x14ac:dyDescent="0.25">
      <c r="A307" t="b">
        <f>IFERROR(IF(MATCH(B307,RECETAS!$A$2:$A$1700,0) &lt;&gt; "", TRUE,""),FALSE)</f>
        <v>0</v>
      </c>
      <c r="B307" t="e">
        <f>TRANSPOSE(T4_[Etiquetas de fila])</f>
        <v>#VALUE!</v>
      </c>
      <c r="C307" t="e">
        <f>TRANSPOSE(T4_[Recuento de T4 CODIGO])</f>
        <v>#VALUE!</v>
      </c>
    </row>
    <row r="308" spans="1:3" x14ac:dyDescent="0.25">
      <c r="A308" t="b">
        <f>IFERROR(IF(MATCH(B308,RECETAS!$A$2:$A$1700,0) &lt;&gt; "", TRUE,""),FALSE)</f>
        <v>0</v>
      </c>
      <c r="B308" t="e">
        <f>TRANSPOSE(T4_[Etiquetas de fila])</f>
        <v>#VALUE!</v>
      </c>
      <c r="C308" t="e">
        <f>TRANSPOSE(T4_[Recuento de T4 CODIGO])</f>
        <v>#VALUE!</v>
      </c>
    </row>
    <row r="309" spans="1:3" x14ac:dyDescent="0.25">
      <c r="A309" t="b">
        <f>IFERROR(IF(MATCH(B309,RECETAS!$A$2:$A$1700,0) &lt;&gt; "", TRUE,""),FALSE)</f>
        <v>0</v>
      </c>
      <c r="B309" t="e">
        <f>TRANSPOSE(T4_[Etiquetas de fila])</f>
        <v>#VALUE!</v>
      </c>
      <c r="C309" t="e">
        <f>TRANSPOSE(T4_[Recuento de T4 CODIGO])</f>
        <v>#VALUE!</v>
      </c>
    </row>
    <row r="310" spans="1:3" x14ac:dyDescent="0.25">
      <c r="A310" t="b">
        <f>IFERROR(IF(MATCH(B310,RECETAS!$A$2:$A$1700,0) &lt;&gt; "", TRUE,""),FALSE)</f>
        <v>0</v>
      </c>
      <c r="B310" t="e">
        <f>TRANSPOSE(T4_[Etiquetas de fila])</f>
        <v>#VALUE!</v>
      </c>
      <c r="C310" t="e">
        <f>TRANSPOSE(T4_[Recuento de T4 CODIGO])</f>
        <v>#VALUE!</v>
      </c>
    </row>
    <row r="311" spans="1:3" x14ac:dyDescent="0.25">
      <c r="A311" t="b">
        <f>IFERROR(IF(MATCH(B311,RECETAS!$A$2:$A$1700,0) &lt;&gt; "", TRUE,""),FALSE)</f>
        <v>0</v>
      </c>
      <c r="B311" t="e">
        <f>TRANSPOSE(T4_[Etiquetas de fila])</f>
        <v>#VALUE!</v>
      </c>
      <c r="C311" t="e">
        <f>TRANSPOSE(T4_[Recuento de T4 CODIGO])</f>
        <v>#VALUE!</v>
      </c>
    </row>
    <row r="312" spans="1:3" x14ac:dyDescent="0.25">
      <c r="A312" t="b">
        <f>IFERROR(IF(MATCH(B312,RECETAS!$A$2:$A$1700,0) &lt;&gt; "", TRUE,""),FALSE)</f>
        <v>0</v>
      </c>
      <c r="B312" t="e">
        <f>TRANSPOSE(T4_[Etiquetas de fila])</f>
        <v>#VALUE!</v>
      </c>
      <c r="C312" t="e">
        <f>TRANSPOSE(T4_[Recuento de T4 CODIGO])</f>
        <v>#VALUE!</v>
      </c>
    </row>
    <row r="313" spans="1:3" x14ac:dyDescent="0.25">
      <c r="A313" t="b">
        <f>IFERROR(IF(MATCH(B313,RECETAS!$A$2:$A$1700,0) &lt;&gt; "", TRUE,""),FALSE)</f>
        <v>0</v>
      </c>
      <c r="B313" t="e">
        <f>TRANSPOSE(T4_[Etiquetas de fila])</f>
        <v>#VALUE!</v>
      </c>
      <c r="C313" t="e">
        <f>TRANSPOSE(T4_[Recuento de T4 CODIGO])</f>
        <v>#VALUE!</v>
      </c>
    </row>
    <row r="314" spans="1:3" x14ac:dyDescent="0.25">
      <c r="A314" t="b">
        <f>IFERROR(IF(MATCH(B314,RECETAS!$A$2:$A$1700,0) &lt;&gt; "", TRUE,""),FALSE)</f>
        <v>0</v>
      </c>
      <c r="B314" t="e">
        <f>TRANSPOSE(T4_[Etiquetas de fila])</f>
        <v>#VALUE!</v>
      </c>
      <c r="C314" t="e">
        <f>TRANSPOSE(T4_[Recuento de T4 CODIGO])</f>
        <v>#VALUE!</v>
      </c>
    </row>
    <row r="315" spans="1:3" x14ac:dyDescent="0.25">
      <c r="A315" t="b">
        <f>IFERROR(IF(MATCH(B315,RECETAS!$A$2:$A$1700,0) &lt;&gt; "", TRUE,""),FALSE)</f>
        <v>0</v>
      </c>
      <c r="B315" t="e">
        <f>TRANSPOSE(T4_[Etiquetas de fila])</f>
        <v>#VALUE!</v>
      </c>
      <c r="C315" t="e">
        <f>TRANSPOSE(T4_[Recuento de T4 CODIGO])</f>
        <v>#VALUE!</v>
      </c>
    </row>
    <row r="316" spans="1:3" x14ac:dyDescent="0.25">
      <c r="A316" t="b">
        <f>IFERROR(IF(MATCH(B316,RECETAS!$A$2:$A$1700,0) &lt;&gt; "", TRUE,""),FALSE)</f>
        <v>0</v>
      </c>
      <c r="B316" t="e">
        <f>TRANSPOSE(T4_[Etiquetas de fila])</f>
        <v>#VALUE!</v>
      </c>
      <c r="C316" t="e">
        <f>TRANSPOSE(T4_[Recuento de T4 CODIGO])</f>
        <v>#VALUE!</v>
      </c>
    </row>
    <row r="317" spans="1:3" x14ac:dyDescent="0.25">
      <c r="A317" t="b">
        <f>IFERROR(IF(MATCH(B317,RECETAS!$A$2:$A$1700,0) &lt;&gt; "", TRUE,""),FALSE)</f>
        <v>0</v>
      </c>
      <c r="B317" t="e">
        <f>TRANSPOSE(T4_[Etiquetas de fila])</f>
        <v>#VALUE!</v>
      </c>
      <c r="C317" t="e">
        <f>TRANSPOSE(T4_[Recuento de T4 CODIGO])</f>
        <v>#VALUE!</v>
      </c>
    </row>
    <row r="318" spans="1:3" x14ac:dyDescent="0.25">
      <c r="A318" t="b">
        <f>IFERROR(IF(MATCH(B318,RECETAS!$A$2:$A$1700,0) &lt;&gt; "", TRUE,""),FALSE)</f>
        <v>0</v>
      </c>
      <c r="B318" t="e">
        <f>TRANSPOSE(T4_[Etiquetas de fila])</f>
        <v>#VALUE!</v>
      </c>
      <c r="C318" t="e">
        <f>TRANSPOSE(T4_[Recuento de T4 CODIGO])</f>
        <v>#VALUE!</v>
      </c>
    </row>
    <row r="319" spans="1:3" x14ac:dyDescent="0.25">
      <c r="A319" t="b">
        <f>IFERROR(IF(MATCH(B319,RECETAS!$A$2:$A$1700,0) &lt;&gt; "", TRUE,""),FALSE)</f>
        <v>0</v>
      </c>
      <c r="B319" t="e">
        <f>TRANSPOSE(T4_[Etiquetas de fila])</f>
        <v>#VALUE!</v>
      </c>
      <c r="C319" t="e">
        <f>TRANSPOSE(T4_[Recuento de T4 CODIGO])</f>
        <v>#VALUE!</v>
      </c>
    </row>
    <row r="320" spans="1:3" x14ac:dyDescent="0.25">
      <c r="A320" t="b">
        <f>IFERROR(IF(MATCH(B320,RECETAS!$A$2:$A$1700,0) &lt;&gt; "", TRUE,""),FALSE)</f>
        <v>0</v>
      </c>
      <c r="B320" t="e">
        <f>TRANSPOSE(T4_[Etiquetas de fila])</f>
        <v>#VALUE!</v>
      </c>
      <c r="C320" t="e">
        <f>TRANSPOSE(T4_[Recuento de T4 CODIGO])</f>
        <v>#VALUE!</v>
      </c>
    </row>
    <row r="321" spans="1:3" x14ac:dyDescent="0.25">
      <c r="A321" t="b">
        <f>IFERROR(IF(MATCH(B321,RECETAS!$A$2:$A$1700,0) &lt;&gt; "", TRUE,""),FALSE)</f>
        <v>0</v>
      </c>
      <c r="B321" t="e">
        <f>TRANSPOSE(T4_[Etiquetas de fila])</f>
        <v>#VALUE!</v>
      </c>
      <c r="C321" t="e">
        <f>TRANSPOSE(T4_[Recuento de T4 CODIGO])</f>
        <v>#VALUE!</v>
      </c>
    </row>
    <row r="322" spans="1:3" x14ac:dyDescent="0.25">
      <c r="A322" t="b">
        <f>IFERROR(IF(MATCH(B322,RECETAS!$A$2:$A$1700,0) &lt;&gt; "", TRUE,""),FALSE)</f>
        <v>0</v>
      </c>
      <c r="B322" t="e">
        <f>TRANSPOSE(T4_[Etiquetas de fila])</f>
        <v>#VALUE!</v>
      </c>
      <c r="C322" t="e">
        <f>TRANSPOSE(T4_[Recuento de T4 CODIGO])</f>
        <v>#VALUE!</v>
      </c>
    </row>
    <row r="323" spans="1:3" x14ac:dyDescent="0.25">
      <c r="A323" t="b">
        <f>IFERROR(IF(MATCH(B323,RECETAS!$A$2:$A$1700,0) &lt;&gt; "", TRUE,""),FALSE)</f>
        <v>0</v>
      </c>
      <c r="B323" t="e">
        <f>TRANSPOSE(T4_[Etiquetas de fila])</f>
        <v>#VALUE!</v>
      </c>
      <c r="C323" t="e">
        <f>TRANSPOSE(T4_[Recuento de T4 CODIGO])</f>
        <v>#VALUE!</v>
      </c>
    </row>
    <row r="324" spans="1:3" x14ac:dyDescent="0.25">
      <c r="A324" t="b">
        <f>IFERROR(IF(MATCH(B324,RECETAS!$A$2:$A$1700,0) &lt;&gt; "", TRUE,""),FALSE)</f>
        <v>0</v>
      </c>
      <c r="B324" t="e">
        <f>TRANSPOSE(T4_[Etiquetas de fila])</f>
        <v>#VALUE!</v>
      </c>
      <c r="C324" t="e">
        <f>TRANSPOSE(T4_[Recuento de T4 CODIGO])</f>
        <v>#VALUE!</v>
      </c>
    </row>
    <row r="325" spans="1:3" x14ac:dyDescent="0.25">
      <c r="A325" t="b">
        <f>IFERROR(IF(MATCH(B325,RECETAS!$A$2:$A$1700,0) &lt;&gt; "", TRUE,""),FALSE)</f>
        <v>0</v>
      </c>
      <c r="B325" t="e">
        <f>TRANSPOSE(T4_[Etiquetas de fila])</f>
        <v>#VALUE!</v>
      </c>
      <c r="C325" t="e">
        <f>TRANSPOSE(T4_[Recuento de T4 CODIGO])</f>
        <v>#VALUE!</v>
      </c>
    </row>
    <row r="326" spans="1:3" x14ac:dyDescent="0.25">
      <c r="A326" t="b">
        <f>IFERROR(IF(MATCH(B326,RECETAS!$A$2:$A$1700,0) &lt;&gt; "", TRUE,""),FALSE)</f>
        <v>0</v>
      </c>
      <c r="B326" t="e">
        <f>TRANSPOSE(T4_[Etiquetas de fila])</f>
        <v>#VALUE!</v>
      </c>
      <c r="C326" t="e">
        <f>TRANSPOSE(T4_[Recuento de T4 CODIGO])</f>
        <v>#VALUE!</v>
      </c>
    </row>
    <row r="327" spans="1:3" x14ac:dyDescent="0.25">
      <c r="A327" t="b">
        <f>IFERROR(IF(MATCH(B327,RECETAS!$A$2:$A$1700,0) &lt;&gt; "", TRUE,""),FALSE)</f>
        <v>0</v>
      </c>
      <c r="B327" t="e">
        <f>TRANSPOSE(T4_[Etiquetas de fila])</f>
        <v>#VALUE!</v>
      </c>
      <c r="C327" t="e">
        <f>TRANSPOSE(T4_[Recuento de T4 CODIGO])</f>
        <v>#VALUE!</v>
      </c>
    </row>
    <row r="328" spans="1:3" x14ac:dyDescent="0.25">
      <c r="A328" t="b">
        <f>IFERROR(IF(MATCH(B328,RECETAS!$A$2:$A$1700,0) &lt;&gt; "", TRUE,""),FALSE)</f>
        <v>0</v>
      </c>
      <c r="B328" t="e">
        <f>TRANSPOSE(T4_[Etiquetas de fila])</f>
        <v>#VALUE!</v>
      </c>
      <c r="C328" t="e">
        <f>TRANSPOSE(T4_[Recuento de T4 CODIGO])</f>
        <v>#VALUE!</v>
      </c>
    </row>
    <row r="329" spans="1:3" x14ac:dyDescent="0.25">
      <c r="A329" t="b">
        <f>IFERROR(IF(MATCH(B329,RECETAS!$A$2:$A$1700,0) &lt;&gt; "", TRUE,""),FALSE)</f>
        <v>0</v>
      </c>
      <c r="B329" t="e">
        <f>TRANSPOSE(T4_[Etiquetas de fila])</f>
        <v>#VALUE!</v>
      </c>
      <c r="C329" t="e">
        <f>TRANSPOSE(T4_[Recuento de T4 CODIGO])</f>
        <v>#VALUE!</v>
      </c>
    </row>
    <row r="330" spans="1:3" x14ac:dyDescent="0.25">
      <c r="A330" t="b">
        <f>IFERROR(IF(MATCH(B330,RECETAS!$A$2:$A$1700,0) &lt;&gt; "", TRUE,""),FALSE)</f>
        <v>0</v>
      </c>
      <c r="B330" t="e">
        <f>TRANSPOSE(T4_[Etiquetas de fila])</f>
        <v>#VALUE!</v>
      </c>
      <c r="C330" t="e">
        <f>TRANSPOSE(T4_[Recuento de T4 CODIGO])</f>
        <v>#VALUE!</v>
      </c>
    </row>
    <row r="331" spans="1:3" x14ac:dyDescent="0.25">
      <c r="A331" t="b">
        <f>IFERROR(IF(MATCH(B331,RECETAS!$A$2:$A$1700,0) &lt;&gt; "", TRUE,""),FALSE)</f>
        <v>0</v>
      </c>
      <c r="B331" t="e">
        <f>TRANSPOSE(T4_[Etiquetas de fila])</f>
        <v>#VALUE!</v>
      </c>
      <c r="C331" t="e">
        <f>TRANSPOSE(T4_[Recuento de T4 CODIGO])</f>
        <v>#VALUE!</v>
      </c>
    </row>
    <row r="332" spans="1:3" x14ac:dyDescent="0.25">
      <c r="A332" t="b">
        <f>IFERROR(IF(MATCH(B332,RECETAS!$A$2:$A$1700,0) &lt;&gt; "", TRUE,""),FALSE)</f>
        <v>0</v>
      </c>
      <c r="B332" t="e">
        <f>TRANSPOSE(T4_[Etiquetas de fila])</f>
        <v>#VALUE!</v>
      </c>
      <c r="C332" t="e">
        <f>TRANSPOSE(T4_[Recuento de T4 CODIGO])</f>
        <v>#VALUE!</v>
      </c>
    </row>
    <row r="333" spans="1:3" x14ac:dyDescent="0.25">
      <c r="A333" t="b">
        <f>IFERROR(IF(MATCH(B333,RECETAS!$A$2:$A$1700,0) &lt;&gt; "", TRUE,""),FALSE)</f>
        <v>0</v>
      </c>
      <c r="B333" t="e">
        <f>TRANSPOSE(T4_[Etiquetas de fila])</f>
        <v>#VALUE!</v>
      </c>
      <c r="C333" t="e">
        <f>TRANSPOSE(T4_[Recuento de T4 CODIGO])</f>
        <v>#VALUE!</v>
      </c>
    </row>
    <row r="334" spans="1:3" x14ac:dyDescent="0.25">
      <c r="A334" t="b">
        <f>IFERROR(IF(MATCH(B334,RECETAS!$A$2:$A$1700,0) &lt;&gt; "", TRUE,""),FALSE)</f>
        <v>0</v>
      </c>
      <c r="B334" t="e">
        <f>TRANSPOSE(T4_[Etiquetas de fila])</f>
        <v>#VALUE!</v>
      </c>
      <c r="C334" t="e">
        <f>TRANSPOSE(T4_[Recuento de T4 CODIGO])</f>
        <v>#VALUE!</v>
      </c>
    </row>
    <row r="335" spans="1:3" x14ac:dyDescent="0.25">
      <c r="A335" t="b">
        <f>IFERROR(IF(MATCH(B335,RECETAS!$A$2:$A$1700,0) &lt;&gt; "", TRUE,""),FALSE)</f>
        <v>0</v>
      </c>
      <c r="B335" t="e">
        <f>TRANSPOSE(T4_[Etiquetas de fila])</f>
        <v>#VALUE!</v>
      </c>
      <c r="C335" t="e">
        <f>TRANSPOSE(T4_[Recuento de T4 CODIGO])</f>
        <v>#VALUE!</v>
      </c>
    </row>
    <row r="336" spans="1:3" x14ac:dyDescent="0.25">
      <c r="A336" t="b">
        <f>IFERROR(IF(MATCH(B336,RECETAS!$A$2:$A$1700,0) &lt;&gt; "", TRUE,""),FALSE)</f>
        <v>0</v>
      </c>
      <c r="B336" t="e">
        <f>TRANSPOSE(T4_[Etiquetas de fila])</f>
        <v>#VALUE!</v>
      </c>
      <c r="C336" t="e">
        <f>TRANSPOSE(T4_[Recuento de T4 CODIGO])</f>
        <v>#VALUE!</v>
      </c>
    </row>
    <row r="337" spans="1:3" x14ac:dyDescent="0.25">
      <c r="A337" t="b">
        <f>IFERROR(IF(MATCH(B337,RECETAS!$A$2:$A$1700,0) &lt;&gt; "", TRUE,""),FALSE)</f>
        <v>0</v>
      </c>
      <c r="B337" t="e">
        <f>TRANSPOSE(T4_[Etiquetas de fila])</f>
        <v>#VALUE!</v>
      </c>
      <c r="C337" t="e">
        <f>TRANSPOSE(T4_[Recuento de T4 CODIGO])</f>
        <v>#VALUE!</v>
      </c>
    </row>
    <row r="338" spans="1:3" x14ac:dyDescent="0.25">
      <c r="A338" t="b">
        <f>IFERROR(IF(MATCH(B338,RECETAS!$A$2:$A$1700,0) &lt;&gt; "", TRUE,""),FALSE)</f>
        <v>0</v>
      </c>
      <c r="B338" t="e">
        <f>TRANSPOSE(T4_[Etiquetas de fila])</f>
        <v>#VALUE!</v>
      </c>
      <c r="C338" t="e">
        <f>TRANSPOSE(T4_[Recuento de T4 CODIGO])</f>
        <v>#VALUE!</v>
      </c>
    </row>
    <row r="339" spans="1:3" x14ac:dyDescent="0.25">
      <c r="A339" t="b">
        <f>IFERROR(IF(MATCH(B339,RECETAS!$A$2:$A$1700,0) &lt;&gt; "", TRUE,""),FALSE)</f>
        <v>0</v>
      </c>
      <c r="B339" t="e">
        <f>TRANSPOSE(T4_[Etiquetas de fila])</f>
        <v>#VALUE!</v>
      </c>
      <c r="C339" t="e">
        <f>TRANSPOSE(T4_[Recuento de T4 CODIGO])</f>
        <v>#VALUE!</v>
      </c>
    </row>
    <row r="340" spans="1:3" x14ac:dyDescent="0.25">
      <c r="A340" t="b">
        <f>IFERROR(IF(MATCH(B340,RECETAS!$A$2:$A$1700,0) &lt;&gt; "", TRUE,""),FALSE)</f>
        <v>0</v>
      </c>
      <c r="B340" t="e">
        <f>TRANSPOSE(T4_[Etiquetas de fila])</f>
        <v>#VALUE!</v>
      </c>
      <c r="C340" t="e">
        <f>TRANSPOSE(T4_[Recuento de T4 CODIGO])</f>
        <v>#VALUE!</v>
      </c>
    </row>
    <row r="341" spans="1:3" x14ac:dyDescent="0.25">
      <c r="A341" t="b">
        <f>IFERROR(IF(MATCH(B341,RECETAS!$A$2:$A$1700,0) &lt;&gt; "", TRUE,""),FALSE)</f>
        <v>0</v>
      </c>
      <c r="B341" t="e">
        <f>TRANSPOSE(T4_[Etiquetas de fila])</f>
        <v>#VALUE!</v>
      </c>
      <c r="C341" t="e">
        <f>TRANSPOSE(T4_[Recuento de T4 CODIGO])</f>
        <v>#VALUE!</v>
      </c>
    </row>
    <row r="342" spans="1:3" x14ac:dyDescent="0.25">
      <c r="A342" t="b">
        <f>IFERROR(IF(MATCH(B342,RECETAS!$A$2:$A$1700,0) &lt;&gt; "", TRUE,""),FALSE)</f>
        <v>0</v>
      </c>
      <c r="B342" t="e">
        <f>TRANSPOSE(T4_[Etiquetas de fila])</f>
        <v>#VALUE!</v>
      </c>
      <c r="C342" t="e">
        <f>TRANSPOSE(T4_[Recuento de T4 CODIGO])</f>
        <v>#VALUE!</v>
      </c>
    </row>
    <row r="343" spans="1:3" x14ac:dyDescent="0.25">
      <c r="A343" t="b">
        <f>IFERROR(IF(MATCH(B343,RECETAS!$A$2:$A$1700,0) &lt;&gt; "", TRUE,""),FALSE)</f>
        <v>0</v>
      </c>
      <c r="B343" t="e">
        <f>TRANSPOSE(T4_[Etiquetas de fila])</f>
        <v>#VALUE!</v>
      </c>
      <c r="C343" t="e">
        <f>TRANSPOSE(T4_[Recuento de T4 CODIGO])</f>
        <v>#VALUE!</v>
      </c>
    </row>
    <row r="344" spans="1:3" x14ac:dyDescent="0.25">
      <c r="A344" t="b">
        <f>IFERROR(IF(MATCH(B344,RECETAS!$A$2:$A$1700,0) &lt;&gt; "", TRUE,""),FALSE)</f>
        <v>0</v>
      </c>
      <c r="B344" t="e">
        <f>TRANSPOSE(T4_[Etiquetas de fila])</f>
        <v>#VALUE!</v>
      </c>
      <c r="C344" t="e">
        <f>TRANSPOSE(T4_[Recuento de T4 CODIGO])</f>
        <v>#VALUE!</v>
      </c>
    </row>
    <row r="345" spans="1:3" x14ac:dyDescent="0.25">
      <c r="A345" t="b">
        <f>IFERROR(IF(MATCH(B345,RECETAS!$A$2:$A$1700,0) &lt;&gt; "", TRUE,""),FALSE)</f>
        <v>0</v>
      </c>
      <c r="B345" t="e">
        <f>TRANSPOSE(T4_[Etiquetas de fila])</f>
        <v>#VALUE!</v>
      </c>
      <c r="C345" t="e">
        <f>TRANSPOSE(T4_[Recuento de T4 CODIGO])</f>
        <v>#VALUE!</v>
      </c>
    </row>
    <row r="346" spans="1:3" x14ac:dyDescent="0.25">
      <c r="A346" t="b">
        <f>IFERROR(IF(MATCH(B346,RECETAS!$A$2:$A$1700,0) &lt;&gt; "", TRUE,""),FALSE)</f>
        <v>0</v>
      </c>
      <c r="B346" t="e">
        <f>TRANSPOSE(T4_[Etiquetas de fila])</f>
        <v>#VALUE!</v>
      </c>
      <c r="C346" t="e">
        <f>TRANSPOSE(T4_[Recuento de T4 CODIGO])</f>
        <v>#VALUE!</v>
      </c>
    </row>
    <row r="347" spans="1:3" x14ac:dyDescent="0.25">
      <c r="A347" t="b">
        <f>IFERROR(IF(MATCH(B347,RECETAS!$A$2:$A$1700,0) &lt;&gt; "", TRUE,""),FALSE)</f>
        <v>0</v>
      </c>
      <c r="B347" t="e">
        <f>TRANSPOSE(T4_[Etiquetas de fila])</f>
        <v>#VALUE!</v>
      </c>
      <c r="C347" t="e">
        <f>TRANSPOSE(T4_[Recuento de T4 CODIGO])</f>
        <v>#VALUE!</v>
      </c>
    </row>
    <row r="348" spans="1:3" x14ac:dyDescent="0.25">
      <c r="A348" t="b">
        <f>IFERROR(IF(MATCH(B348,RECETAS!$A$2:$A$1700,0) &lt;&gt; "", TRUE,""),FALSE)</f>
        <v>0</v>
      </c>
      <c r="B348" t="e">
        <f>TRANSPOSE(T4_[Etiquetas de fila])</f>
        <v>#VALUE!</v>
      </c>
      <c r="C348" t="e">
        <f>TRANSPOSE(T4_[Recuento de T4 CODIGO])</f>
        <v>#VALUE!</v>
      </c>
    </row>
    <row r="349" spans="1:3" x14ac:dyDescent="0.25">
      <c r="A349" t="b">
        <f>IFERROR(IF(MATCH(B349,RECETAS!$A$2:$A$1700,0) &lt;&gt; "", TRUE,""),FALSE)</f>
        <v>0</v>
      </c>
      <c r="B349" t="e">
        <f>TRANSPOSE(T4_[Etiquetas de fila])</f>
        <v>#VALUE!</v>
      </c>
      <c r="C349" t="e">
        <f>TRANSPOSE(T4_[Recuento de T4 CODIGO])</f>
        <v>#VALUE!</v>
      </c>
    </row>
    <row r="350" spans="1:3" x14ac:dyDescent="0.25">
      <c r="A350" t="b">
        <f>IFERROR(IF(MATCH(B350,RECETAS!$A$2:$A$1700,0) &lt;&gt; "", TRUE,""),FALSE)</f>
        <v>0</v>
      </c>
      <c r="B350" t="e">
        <f>TRANSPOSE(T4_[Etiquetas de fila])</f>
        <v>#VALUE!</v>
      </c>
      <c r="C350" t="e">
        <f>TRANSPOSE(T4_[Recuento de T4 CODIGO])</f>
        <v>#VALUE!</v>
      </c>
    </row>
    <row r="351" spans="1:3" x14ac:dyDescent="0.25">
      <c r="A351" t="b">
        <f>IFERROR(IF(MATCH(B351,RECETAS!$A$2:$A$1700,0) &lt;&gt; "", TRUE,""),FALSE)</f>
        <v>0</v>
      </c>
      <c r="B351" t="e">
        <f>TRANSPOSE(T4_[Etiquetas de fila])</f>
        <v>#VALUE!</v>
      </c>
      <c r="C351" t="e">
        <f>TRANSPOSE(T4_[Recuento de T4 CODIGO])</f>
        <v>#VALUE!</v>
      </c>
    </row>
    <row r="352" spans="1:3" x14ac:dyDescent="0.25">
      <c r="A352" t="b">
        <f>IFERROR(IF(MATCH(B352,RECETAS!$A$2:$A$1700,0) &lt;&gt; "", TRUE,""),FALSE)</f>
        <v>0</v>
      </c>
      <c r="B352" t="e">
        <f>TRANSPOSE(T4_[Etiquetas de fila])</f>
        <v>#VALUE!</v>
      </c>
      <c r="C352" t="e">
        <f>TRANSPOSE(T4_[Recuento de T4 CODIGO])</f>
        <v>#VALUE!</v>
      </c>
    </row>
    <row r="353" spans="1:3" x14ac:dyDescent="0.25">
      <c r="A353" t="b">
        <f>IFERROR(IF(MATCH(B353,RECETAS!$A$2:$A$1700,0) &lt;&gt; "", TRUE,""),FALSE)</f>
        <v>0</v>
      </c>
      <c r="B353" t="e">
        <f>TRANSPOSE(T4_[Etiquetas de fila])</f>
        <v>#VALUE!</v>
      </c>
      <c r="C353" t="e">
        <f>TRANSPOSE(T4_[Recuento de T4 CODIGO])</f>
        <v>#VALUE!</v>
      </c>
    </row>
    <row r="354" spans="1:3" x14ac:dyDescent="0.25">
      <c r="A354" t="b">
        <f>IFERROR(IF(MATCH(B354,RECETAS!$A$2:$A$1700,0) &lt;&gt; "", TRUE,""),FALSE)</f>
        <v>0</v>
      </c>
      <c r="B354" t="e">
        <f>TRANSPOSE(T4_[Etiquetas de fila])</f>
        <v>#VALUE!</v>
      </c>
      <c r="C354" t="e">
        <f>TRANSPOSE(T4_[Recuento de T4 CODIGO])</f>
        <v>#VALUE!</v>
      </c>
    </row>
    <row r="355" spans="1:3" x14ac:dyDescent="0.25">
      <c r="A355" t="b">
        <f>IFERROR(IF(MATCH(B355,RECETAS!$A$2:$A$1700,0) &lt;&gt; "", TRUE,""),FALSE)</f>
        <v>0</v>
      </c>
      <c r="B355" t="e">
        <f>TRANSPOSE(T4_[Etiquetas de fila])</f>
        <v>#VALUE!</v>
      </c>
      <c r="C355" t="e">
        <f>TRANSPOSE(T4_[Recuento de T4 CODIGO])</f>
        <v>#VALUE!</v>
      </c>
    </row>
    <row r="356" spans="1:3" x14ac:dyDescent="0.25">
      <c r="A356" t="b">
        <f>IFERROR(IF(MATCH(B356,RECETAS!$A$2:$A$1700,0) &lt;&gt; "", TRUE,""),FALSE)</f>
        <v>0</v>
      </c>
      <c r="B356" t="e">
        <f>TRANSPOSE(T4_[Etiquetas de fila])</f>
        <v>#VALUE!</v>
      </c>
      <c r="C356" t="e">
        <f>TRANSPOSE(T4_[Recuento de T4 CODIGO])</f>
        <v>#VALUE!</v>
      </c>
    </row>
    <row r="357" spans="1:3" x14ac:dyDescent="0.25">
      <c r="A357" t="b">
        <f>IFERROR(IF(MATCH(B357,RECETAS!$A$2:$A$1700,0) &lt;&gt; "", TRUE,""),FALSE)</f>
        <v>0</v>
      </c>
      <c r="B357" t="e">
        <f>TRANSPOSE(T4_[Etiquetas de fila])</f>
        <v>#VALUE!</v>
      </c>
      <c r="C357" t="e">
        <f>TRANSPOSE(T4_[Recuento de T4 CODIGO])</f>
        <v>#VALUE!</v>
      </c>
    </row>
    <row r="358" spans="1:3" x14ac:dyDescent="0.25">
      <c r="A358" t="b">
        <f>IFERROR(IF(MATCH(B358,RECETAS!$A$2:$A$1700,0) &lt;&gt; "", TRUE,""),FALSE)</f>
        <v>0</v>
      </c>
      <c r="B358" t="e">
        <f>TRANSPOSE(T4_[Etiquetas de fila])</f>
        <v>#VALUE!</v>
      </c>
      <c r="C358" t="e">
        <f>TRANSPOSE(T4_[Recuento de T4 CODIGO])</f>
        <v>#VALUE!</v>
      </c>
    </row>
    <row r="359" spans="1:3" x14ac:dyDescent="0.25">
      <c r="A359" t="b">
        <f>IFERROR(IF(MATCH(B359,RECETAS!$A$2:$A$1700,0) &lt;&gt; "", TRUE,""),FALSE)</f>
        <v>0</v>
      </c>
      <c r="B359" t="e">
        <f>TRANSPOSE(T4_[Etiquetas de fila])</f>
        <v>#VALUE!</v>
      </c>
      <c r="C359" t="e">
        <f>TRANSPOSE(T4_[Recuento de T4 CODIGO])</f>
        <v>#VALUE!</v>
      </c>
    </row>
    <row r="360" spans="1:3" x14ac:dyDescent="0.25">
      <c r="A360" t="b">
        <f>IFERROR(IF(MATCH(B360,RECETAS!$A$2:$A$1700,0) &lt;&gt; "", TRUE,""),FALSE)</f>
        <v>0</v>
      </c>
      <c r="B360" t="e">
        <f>TRANSPOSE(T4_[Etiquetas de fila])</f>
        <v>#VALUE!</v>
      </c>
      <c r="C360" t="e">
        <f>TRANSPOSE(T4_[Recuento de T4 CODIGO])</f>
        <v>#VALUE!</v>
      </c>
    </row>
    <row r="361" spans="1:3" x14ac:dyDescent="0.25">
      <c r="A361" t="b">
        <f>IFERROR(IF(MATCH(B361,RECETAS!$A$2:$A$1700,0) &lt;&gt; "", TRUE,""),FALSE)</f>
        <v>0</v>
      </c>
      <c r="B361" t="e">
        <f>TRANSPOSE(T4_[Etiquetas de fila])</f>
        <v>#VALUE!</v>
      </c>
      <c r="C361" t="e">
        <f>TRANSPOSE(T4_[Recuento de T4 CODIGO])</f>
        <v>#VALUE!</v>
      </c>
    </row>
    <row r="362" spans="1:3" x14ac:dyDescent="0.25">
      <c r="A362" t="b">
        <f>IFERROR(IF(MATCH(B362,RECETAS!$A$2:$A$1700,0) &lt;&gt; "", TRUE,""),FALSE)</f>
        <v>0</v>
      </c>
      <c r="B362" t="e">
        <f>TRANSPOSE(T4_[Etiquetas de fila])</f>
        <v>#VALUE!</v>
      </c>
      <c r="C362" t="e">
        <f>TRANSPOSE(T4_[Recuento de T4 CODIGO])</f>
        <v>#VALUE!</v>
      </c>
    </row>
    <row r="363" spans="1:3" x14ac:dyDescent="0.25">
      <c r="A363" t="b">
        <f>IFERROR(IF(MATCH(B363,RECETAS!$A$2:$A$1700,0) &lt;&gt; "", TRUE,""),FALSE)</f>
        <v>0</v>
      </c>
      <c r="B363" t="e">
        <f>TRANSPOSE(T4_[Etiquetas de fila])</f>
        <v>#VALUE!</v>
      </c>
      <c r="C363" t="e">
        <f>TRANSPOSE(T4_[Recuento de T4 CODIGO])</f>
        <v>#VALUE!</v>
      </c>
    </row>
    <row r="364" spans="1:3" x14ac:dyDescent="0.25">
      <c r="A364" t="b">
        <f>IFERROR(IF(MATCH(B364,RECETAS!$A$2:$A$1700,0) &lt;&gt; "", TRUE,""),FALSE)</f>
        <v>0</v>
      </c>
      <c r="B364" t="e">
        <f>TRANSPOSE(T4_[Etiquetas de fila])</f>
        <v>#VALUE!</v>
      </c>
      <c r="C364" t="e">
        <f>TRANSPOSE(T4_[Recuento de T4 CODIGO])</f>
        <v>#VALUE!</v>
      </c>
    </row>
    <row r="365" spans="1:3" x14ac:dyDescent="0.25">
      <c r="A365" t="b">
        <f>IFERROR(IF(MATCH(B365,RECETAS!$A$2:$A$1700,0) &lt;&gt; "", TRUE,""),FALSE)</f>
        <v>0</v>
      </c>
      <c r="B365" t="e">
        <f>TRANSPOSE(T4_[Etiquetas de fila])</f>
        <v>#VALUE!</v>
      </c>
      <c r="C365" t="e">
        <f>TRANSPOSE(T4_[Recuento de T4 CODIGO])</f>
        <v>#VALUE!</v>
      </c>
    </row>
    <row r="366" spans="1:3" x14ac:dyDescent="0.25">
      <c r="A366" t="b">
        <f>IFERROR(IF(MATCH(B366,RECETAS!$A$2:$A$1700,0) &lt;&gt; "", TRUE,""),FALSE)</f>
        <v>0</v>
      </c>
      <c r="B366" t="e">
        <f>TRANSPOSE(T4_[Etiquetas de fila])</f>
        <v>#VALUE!</v>
      </c>
      <c r="C366" t="e">
        <f>TRANSPOSE(T4_[Recuento de T4 CODIGO])</f>
        <v>#VALUE!</v>
      </c>
    </row>
    <row r="367" spans="1:3" x14ac:dyDescent="0.25">
      <c r="A367" t="b">
        <f>IFERROR(IF(MATCH(B367,RECETAS!$A$2:$A$1700,0) &lt;&gt; "", TRUE,""),FALSE)</f>
        <v>0</v>
      </c>
      <c r="B367" t="e">
        <f>TRANSPOSE(T4_[Etiquetas de fila])</f>
        <v>#VALUE!</v>
      </c>
      <c r="C367" t="e">
        <f>TRANSPOSE(T4_[Recuento de T4 CODIGO])</f>
        <v>#VALUE!</v>
      </c>
    </row>
    <row r="368" spans="1:3" x14ac:dyDescent="0.25">
      <c r="A368" t="b">
        <f>IFERROR(IF(MATCH(B368,RECETAS!$A$2:$A$1700,0) &lt;&gt; "", TRUE,""),FALSE)</f>
        <v>0</v>
      </c>
      <c r="B368" t="e">
        <f>TRANSPOSE(T4_[Etiquetas de fila])</f>
        <v>#VALUE!</v>
      </c>
      <c r="C368" t="e">
        <f>TRANSPOSE(T4_[Recuento de T4 CODIGO])</f>
        <v>#VALUE!</v>
      </c>
    </row>
    <row r="369" spans="1:3" x14ac:dyDescent="0.25">
      <c r="A369" t="b">
        <f>IFERROR(IF(MATCH(B369,RECETAS!$A$2:$A$1700,0) &lt;&gt; "", TRUE,""),FALSE)</f>
        <v>0</v>
      </c>
      <c r="B369" t="e">
        <f>TRANSPOSE(T4_[Etiquetas de fila])</f>
        <v>#VALUE!</v>
      </c>
      <c r="C369" t="e">
        <f>TRANSPOSE(T4_[Recuento de T4 CODIGO])</f>
        <v>#VALUE!</v>
      </c>
    </row>
    <row r="370" spans="1:3" x14ac:dyDescent="0.25">
      <c r="A370" t="b">
        <f>IFERROR(IF(MATCH(B370,RECETAS!$A$2:$A$1700,0) &lt;&gt; "", TRUE,""),FALSE)</f>
        <v>0</v>
      </c>
      <c r="B370" t="e">
        <f>TRANSPOSE(T4_[Etiquetas de fila])</f>
        <v>#VALUE!</v>
      </c>
      <c r="C370" t="e">
        <f>TRANSPOSE(T4_[Recuento de T4 CODIGO])</f>
        <v>#VALUE!</v>
      </c>
    </row>
    <row r="371" spans="1:3" x14ac:dyDescent="0.25">
      <c r="A371" t="b">
        <f>IFERROR(IF(MATCH(B371,RECETAS!$A$2:$A$1700,0) &lt;&gt; "", TRUE,""),FALSE)</f>
        <v>0</v>
      </c>
      <c r="B371" t="e">
        <f>TRANSPOSE(T4_[Etiquetas de fila])</f>
        <v>#VALUE!</v>
      </c>
      <c r="C371" t="e">
        <f>TRANSPOSE(T4_[Recuento de T4 CODIGO])</f>
        <v>#VALUE!</v>
      </c>
    </row>
    <row r="372" spans="1:3" x14ac:dyDescent="0.25">
      <c r="A372" t="b">
        <f>IFERROR(IF(MATCH(B372,RECETAS!$A$2:$A$1700,0) &lt;&gt; "", TRUE,""),FALSE)</f>
        <v>0</v>
      </c>
      <c r="B372" t="e">
        <f>TRANSPOSE(T4_[Etiquetas de fila])</f>
        <v>#VALUE!</v>
      </c>
      <c r="C372" t="e">
        <f>TRANSPOSE(T4_[Recuento de T4 CODIGO])</f>
        <v>#VALUE!</v>
      </c>
    </row>
    <row r="373" spans="1:3" x14ac:dyDescent="0.25">
      <c r="A373" t="b">
        <f>IFERROR(IF(MATCH(B373,RECETAS!$A$2:$A$1700,0) &lt;&gt; "", TRUE,""),FALSE)</f>
        <v>0</v>
      </c>
      <c r="B373" t="e">
        <f>TRANSPOSE(T4_[Etiquetas de fila])</f>
        <v>#VALUE!</v>
      </c>
      <c r="C373" t="e">
        <f>TRANSPOSE(T4_[Recuento de T4 CODIGO])</f>
        <v>#VALUE!</v>
      </c>
    </row>
    <row r="374" spans="1:3" x14ac:dyDescent="0.25">
      <c r="A374" t="b">
        <f>IFERROR(IF(MATCH(B374,RECETAS!$A$2:$A$1700,0) &lt;&gt; "", TRUE,""),FALSE)</f>
        <v>0</v>
      </c>
      <c r="B374" t="e">
        <f>TRANSPOSE(T4_[Etiquetas de fila])</f>
        <v>#VALUE!</v>
      </c>
      <c r="C374" t="e">
        <f>TRANSPOSE(T4_[Recuento de T4 CODIGO])</f>
        <v>#VALUE!</v>
      </c>
    </row>
    <row r="375" spans="1:3" x14ac:dyDescent="0.25">
      <c r="A375" t="b">
        <f>IFERROR(IF(MATCH(B375,RECETAS!$A$2:$A$1700,0) &lt;&gt; "", TRUE,""),FALSE)</f>
        <v>0</v>
      </c>
      <c r="B375" t="e">
        <f>TRANSPOSE(T4_[Etiquetas de fila])</f>
        <v>#VALUE!</v>
      </c>
      <c r="C375" t="e">
        <f>TRANSPOSE(T4_[Recuento de T4 CODIGO])</f>
        <v>#VALUE!</v>
      </c>
    </row>
    <row r="376" spans="1:3" x14ac:dyDescent="0.25">
      <c r="A376" t="b">
        <f>IFERROR(IF(MATCH(B376,RECETAS!$A$2:$A$1700,0) &lt;&gt; "", TRUE,""),FALSE)</f>
        <v>0</v>
      </c>
      <c r="B376" t="e">
        <f>TRANSPOSE(T4_[Etiquetas de fila])</f>
        <v>#VALUE!</v>
      </c>
      <c r="C376" t="e">
        <f>TRANSPOSE(T4_[Recuento de T4 CODIGO])</f>
        <v>#VALUE!</v>
      </c>
    </row>
    <row r="377" spans="1:3" x14ac:dyDescent="0.25">
      <c r="A377" t="b">
        <f>IFERROR(IF(MATCH(B377,RECETAS!$A$2:$A$1700,0) &lt;&gt; "", TRUE,""),FALSE)</f>
        <v>0</v>
      </c>
      <c r="B377" t="e">
        <f>TRANSPOSE(T4_[Etiquetas de fila])</f>
        <v>#VALUE!</v>
      </c>
      <c r="C377" t="e">
        <f>TRANSPOSE(T4_[Recuento de T4 CODIGO])</f>
        <v>#VALUE!</v>
      </c>
    </row>
    <row r="378" spans="1:3" x14ac:dyDescent="0.25">
      <c r="A378" t="b">
        <f>IFERROR(IF(MATCH(B378,RECETAS!$A$2:$A$1700,0) &lt;&gt; "", TRUE,""),FALSE)</f>
        <v>0</v>
      </c>
      <c r="B378" t="e">
        <f>TRANSPOSE(T4_[Etiquetas de fila])</f>
        <v>#VALUE!</v>
      </c>
      <c r="C378" t="e">
        <f>TRANSPOSE(T4_[Recuento de T4 CODIGO])</f>
        <v>#VALUE!</v>
      </c>
    </row>
    <row r="379" spans="1:3" x14ac:dyDescent="0.25">
      <c r="A379" t="b">
        <f>IFERROR(IF(MATCH(B379,RECETAS!$A$2:$A$1700,0) &lt;&gt; "", TRUE,""),FALSE)</f>
        <v>0</v>
      </c>
      <c r="B379" t="e">
        <f>TRANSPOSE(T4_[Etiquetas de fila])</f>
        <v>#VALUE!</v>
      </c>
      <c r="C379" t="e">
        <f>TRANSPOSE(T4_[Recuento de T4 CODIGO])</f>
        <v>#VALUE!</v>
      </c>
    </row>
    <row r="380" spans="1:3" x14ac:dyDescent="0.25">
      <c r="A380" t="b">
        <f>IFERROR(IF(MATCH(B380,RECETAS!$A$2:$A$1700,0) &lt;&gt; "", TRUE,""),FALSE)</f>
        <v>0</v>
      </c>
      <c r="B380" t="e">
        <f>TRANSPOSE(T4_[Etiquetas de fila])</f>
        <v>#VALUE!</v>
      </c>
      <c r="C380" t="e">
        <f>TRANSPOSE(T4_[Recuento de T4 CODIGO])</f>
        <v>#VALUE!</v>
      </c>
    </row>
    <row r="381" spans="1:3" x14ac:dyDescent="0.25">
      <c r="A381" t="b">
        <f>IFERROR(IF(MATCH(B381,RECETAS!$A$2:$A$1700,0) &lt;&gt; "", TRUE,""),FALSE)</f>
        <v>0</v>
      </c>
      <c r="B381" t="e">
        <f>TRANSPOSE(T4_[Etiquetas de fila])</f>
        <v>#VALUE!</v>
      </c>
      <c r="C381" t="e">
        <f>TRANSPOSE(T4_[Recuento de T4 CODIGO])</f>
        <v>#VALUE!</v>
      </c>
    </row>
    <row r="382" spans="1:3" x14ac:dyDescent="0.25">
      <c r="A382" t="b">
        <f>IFERROR(IF(MATCH(B382,RECETAS!$A$2:$A$1700,0) &lt;&gt; "", TRUE,""),FALSE)</f>
        <v>0</v>
      </c>
      <c r="B382" t="e">
        <f>TRANSPOSE(T4_[Etiquetas de fila])</f>
        <v>#VALUE!</v>
      </c>
      <c r="C382" t="e">
        <f>TRANSPOSE(T4_[Recuento de T4 CODIGO])</f>
        <v>#VALUE!</v>
      </c>
    </row>
    <row r="383" spans="1:3" x14ac:dyDescent="0.25">
      <c r="A383" t="b">
        <f>IFERROR(IF(MATCH(B383,RECETAS!$A$2:$A$1700,0) &lt;&gt; "", TRUE,""),FALSE)</f>
        <v>0</v>
      </c>
      <c r="B383" t="e">
        <f>TRANSPOSE(T4_[Etiquetas de fila])</f>
        <v>#VALUE!</v>
      </c>
      <c r="C383" t="e">
        <f>TRANSPOSE(T4_[Recuento de T4 CODIGO])</f>
        <v>#VALUE!</v>
      </c>
    </row>
    <row r="384" spans="1:3" x14ac:dyDescent="0.25">
      <c r="A384" t="b">
        <f>IFERROR(IF(MATCH(B384,RECETAS!$A$2:$A$1700,0) &lt;&gt; "", TRUE,""),FALSE)</f>
        <v>0</v>
      </c>
      <c r="B384" t="e">
        <f>TRANSPOSE(T4_[Etiquetas de fila])</f>
        <v>#VALUE!</v>
      </c>
      <c r="C384" t="e">
        <f>TRANSPOSE(T4_[Recuento de T4 CODIGO])</f>
        <v>#VALUE!</v>
      </c>
    </row>
    <row r="385" spans="1:3" x14ac:dyDescent="0.25">
      <c r="A385" t="b">
        <f>IFERROR(IF(MATCH(B385,RECETAS!$A$2:$A$1700,0) &lt;&gt; "", TRUE,""),FALSE)</f>
        <v>0</v>
      </c>
      <c r="B385" t="e">
        <f>TRANSPOSE(T4_[Etiquetas de fila])</f>
        <v>#VALUE!</v>
      </c>
      <c r="C385" t="e">
        <f>TRANSPOSE(T4_[Recuento de T4 CODIGO])</f>
        <v>#VALUE!</v>
      </c>
    </row>
    <row r="386" spans="1:3" x14ac:dyDescent="0.25">
      <c r="A386" t="b">
        <f>IFERROR(IF(MATCH(B386,RECETAS!$A$2:$A$1700,0) &lt;&gt; "", TRUE,""),FALSE)</f>
        <v>0</v>
      </c>
      <c r="B386" t="e">
        <f>TRANSPOSE(T4_[Etiquetas de fila])</f>
        <v>#VALUE!</v>
      </c>
      <c r="C386" t="e">
        <f>TRANSPOSE(T4_[Recuento de T4 CODIGO])</f>
        <v>#VALUE!</v>
      </c>
    </row>
    <row r="387" spans="1:3" x14ac:dyDescent="0.25">
      <c r="A387" t="b">
        <f>IFERROR(IF(MATCH(B387,RECETAS!$A$2:$A$1700,0) &lt;&gt; "", TRUE,""),FALSE)</f>
        <v>0</v>
      </c>
      <c r="B387" t="e">
        <f>TRANSPOSE(T4_[Etiquetas de fila])</f>
        <v>#VALUE!</v>
      </c>
      <c r="C387" t="e">
        <f>TRANSPOSE(T4_[Recuento de T4 CODIGO])</f>
        <v>#VALUE!</v>
      </c>
    </row>
    <row r="388" spans="1:3" x14ac:dyDescent="0.25">
      <c r="A388" t="b">
        <f>IFERROR(IF(MATCH(B388,RECETAS!$A$2:$A$1700,0) &lt;&gt; "", TRUE,""),FALSE)</f>
        <v>0</v>
      </c>
      <c r="B388" t="e">
        <f>TRANSPOSE(T4_[Etiquetas de fila])</f>
        <v>#VALUE!</v>
      </c>
      <c r="C388" t="e">
        <f>TRANSPOSE(T4_[Recuento de T4 CODIGO])</f>
        <v>#VALUE!</v>
      </c>
    </row>
    <row r="389" spans="1:3" x14ac:dyDescent="0.25">
      <c r="A389" t="b">
        <f>IFERROR(IF(MATCH(B389,RECETAS!$A$2:$A$1700,0) &lt;&gt; "", TRUE,""),FALSE)</f>
        <v>0</v>
      </c>
      <c r="B389" t="e">
        <f>TRANSPOSE(T4_[Etiquetas de fila])</f>
        <v>#VALUE!</v>
      </c>
      <c r="C389" t="e">
        <f>TRANSPOSE(T4_[Recuento de T4 CODIGO])</f>
        <v>#VALUE!</v>
      </c>
    </row>
    <row r="390" spans="1:3" x14ac:dyDescent="0.25">
      <c r="A390" t="b">
        <f>IFERROR(IF(MATCH(B390,RECETAS!$A$2:$A$1700,0) &lt;&gt; "", TRUE,""),FALSE)</f>
        <v>0</v>
      </c>
      <c r="B390" t="e">
        <f>TRANSPOSE(T4_[Etiquetas de fila])</f>
        <v>#VALUE!</v>
      </c>
      <c r="C390" t="e">
        <f>TRANSPOSE(T4_[Recuento de T4 CODIGO])</f>
        <v>#VALUE!</v>
      </c>
    </row>
    <row r="391" spans="1:3" x14ac:dyDescent="0.25">
      <c r="A391" t="b">
        <f>IFERROR(IF(MATCH(B391,RECETAS!$A$2:$A$1700,0) &lt;&gt; "", TRUE,""),FALSE)</f>
        <v>0</v>
      </c>
      <c r="B391" t="e">
        <f>TRANSPOSE(T4_[Etiquetas de fila])</f>
        <v>#VALUE!</v>
      </c>
      <c r="C391" t="e">
        <f>TRANSPOSE(T4_[Recuento de T4 CODIGO])</f>
        <v>#VALUE!</v>
      </c>
    </row>
    <row r="392" spans="1:3" x14ac:dyDescent="0.25">
      <c r="A392" t="b">
        <f>IFERROR(IF(MATCH(B392,RECETAS!$A$2:$A$1700,0) &lt;&gt; "", TRUE,""),FALSE)</f>
        <v>0</v>
      </c>
      <c r="B392" t="e">
        <f>TRANSPOSE(T4_[Etiquetas de fila])</f>
        <v>#VALUE!</v>
      </c>
      <c r="C392" t="e">
        <f>TRANSPOSE(T4_[Recuento de T4 CODIGO])</f>
        <v>#VALUE!</v>
      </c>
    </row>
    <row r="393" spans="1:3" x14ac:dyDescent="0.25">
      <c r="A393" t="b">
        <f>IFERROR(IF(MATCH(B393,RECETAS!$A$2:$A$1700,0) &lt;&gt; "", TRUE,""),FALSE)</f>
        <v>0</v>
      </c>
      <c r="B393" t="e">
        <f>TRANSPOSE(T4_[Etiquetas de fila])</f>
        <v>#VALUE!</v>
      </c>
      <c r="C393" t="e">
        <f>TRANSPOSE(T4_[Recuento de T4 CODIGO])</f>
        <v>#VALUE!</v>
      </c>
    </row>
    <row r="394" spans="1:3" x14ac:dyDescent="0.25">
      <c r="A394" t="b">
        <f>IFERROR(IF(MATCH(B394,RECETAS!$A$2:$A$1700,0) &lt;&gt; "", TRUE,""),FALSE)</f>
        <v>0</v>
      </c>
      <c r="B394" t="e">
        <f>TRANSPOSE(T4_[Etiquetas de fila])</f>
        <v>#VALUE!</v>
      </c>
      <c r="C394" t="e">
        <f>TRANSPOSE(T4_[Recuento de T4 CODIGO])</f>
        <v>#VALUE!</v>
      </c>
    </row>
    <row r="395" spans="1:3" x14ac:dyDescent="0.25">
      <c r="A395" t="b">
        <f>IFERROR(IF(MATCH(B395,RECETAS!$A$2:$A$1700,0) &lt;&gt; "", TRUE,""),FALSE)</f>
        <v>0</v>
      </c>
      <c r="B395" t="e">
        <f>TRANSPOSE(T4_[Etiquetas de fila])</f>
        <v>#VALUE!</v>
      </c>
      <c r="C395" t="e">
        <f>TRANSPOSE(T4_[Recuento de T4 CODIGO])</f>
        <v>#VALUE!</v>
      </c>
    </row>
    <row r="396" spans="1:3" x14ac:dyDescent="0.25">
      <c r="A396" t="b">
        <f>IFERROR(IF(MATCH(B396,RECETAS!$A$2:$A$1700,0) &lt;&gt; "", TRUE,""),FALSE)</f>
        <v>0</v>
      </c>
      <c r="B396" t="e">
        <f>TRANSPOSE(T4_[Etiquetas de fila])</f>
        <v>#VALUE!</v>
      </c>
      <c r="C396" t="e">
        <f>TRANSPOSE(T4_[Recuento de T4 CODIGO])</f>
        <v>#VALUE!</v>
      </c>
    </row>
    <row r="397" spans="1:3" x14ac:dyDescent="0.25">
      <c r="A397" t="b">
        <f>IFERROR(IF(MATCH(B397,RECETAS!$A$2:$A$1700,0) &lt;&gt; "", TRUE,""),FALSE)</f>
        <v>0</v>
      </c>
      <c r="B397" t="e">
        <f>TRANSPOSE(T4_[Etiquetas de fila])</f>
        <v>#VALUE!</v>
      </c>
      <c r="C397" t="e">
        <f>TRANSPOSE(T4_[Recuento de T4 CODIGO])</f>
        <v>#VALUE!</v>
      </c>
    </row>
    <row r="398" spans="1:3" x14ac:dyDescent="0.25">
      <c r="A398" t="b">
        <f>IFERROR(IF(MATCH(B398,RECETAS!$A$2:$A$1700,0) &lt;&gt; "", TRUE,""),FALSE)</f>
        <v>0</v>
      </c>
      <c r="B398" t="e">
        <f>TRANSPOSE(T4_[Etiquetas de fila])</f>
        <v>#VALUE!</v>
      </c>
      <c r="C398" t="e">
        <f>TRANSPOSE(T4_[Recuento de T4 CODIGO])</f>
        <v>#VALUE!</v>
      </c>
    </row>
    <row r="399" spans="1:3" x14ac:dyDescent="0.25">
      <c r="A399" t="b">
        <f>IFERROR(IF(MATCH(B399,RECETAS!$A$2:$A$1700,0) &lt;&gt; "", TRUE,""),FALSE)</f>
        <v>0</v>
      </c>
      <c r="B399" t="e">
        <f>TRANSPOSE(T4_[Etiquetas de fila])</f>
        <v>#VALUE!</v>
      </c>
      <c r="C399" t="e">
        <f>TRANSPOSE(T4_[Recuento de T4 CODIGO])</f>
        <v>#VALUE!</v>
      </c>
    </row>
    <row r="400" spans="1:3" x14ac:dyDescent="0.25">
      <c r="A400" t="b">
        <f>IFERROR(IF(MATCH(B400,RECETAS!$A$2:$A$1700,0) &lt;&gt; "", TRUE,""),FALSE)</f>
        <v>0</v>
      </c>
      <c r="B400" t="e">
        <f>TRANSPOSE(T4_[Etiquetas de fila])</f>
        <v>#VALUE!</v>
      </c>
      <c r="C400" t="e">
        <f>TRANSPOSE(T4_[Recuento de T4 CODIGO])</f>
        <v>#VALUE!</v>
      </c>
    </row>
  </sheetData>
  <conditionalFormatting sqref="A3:A400">
    <cfRule type="cellIs" dxfId="44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70874-0B16-478F-B406-31CE3399A786}">
  <dimension ref="A1:D225"/>
  <sheetViews>
    <sheetView workbookViewId="0">
      <selection activeCell="C1" sqref="C1:D1048576"/>
    </sheetView>
  </sheetViews>
  <sheetFormatPr baseColWidth="10" defaultRowHeight="15" x14ac:dyDescent="0.25"/>
  <cols>
    <col min="1" max="1" width="33.5703125" bestFit="1" customWidth="1"/>
    <col min="2" max="2" width="24.85546875" bestFit="1" customWidth="1"/>
    <col min="3" max="4" width="11.42578125" style="251"/>
  </cols>
  <sheetData>
    <row r="1" spans="1:4" x14ac:dyDescent="0.25">
      <c r="A1" t="s">
        <v>897</v>
      </c>
      <c r="B1" t="s">
        <v>1059</v>
      </c>
      <c r="C1" s="251" t="s">
        <v>1083</v>
      </c>
      <c r="D1" s="251" t="s">
        <v>1086</v>
      </c>
    </row>
    <row r="2" spans="1:4" x14ac:dyDescent="0.25">
      <c r="A2" s="250" t="s">
        <v>899</v>
      </c>
      <c r="B2">
        <v>3</v>
      </c>
      <c r="C2" s="251">
        <f>LOOKUP(T4_[[#This Row],[Etiquetas de fila]],'VALORIZACION CARTA'!B:B,'VALORIZACION CARTA'!C:C)</f>
        <v>2963.8265999999999</v>
      </c>
      <c r="D2" s="251">
        <f>SUM(T4_[[#This Row],[Columna1]]*T4_[[#This Row],[Recuento de T4 CODIGO]])</f>
        <v>8891.4797999999992</v>
      </c>
    </row>
    <row r="3" spans="1:4" x14ac:dyDescent="0.25">
      <c r="A3" s="250" t="s">
        <v>900</v>
      </c>
      <c r="B3">
        <v>1</v>
      </c>
      <c r="C3" s="251">
        <f>LOOKUP(T4_[[#This Row],[Etiquetas de fila]],'VALORIZACION CARTA'!B:B,'VALORIZACION CARTA'!C:C)</f>
        <v>1330.5275000000001</v>
      </c>
      <c r="D3" s="251">
        <f>SUM(T4_[[#This Row],[Columna1]]*T4_[[#This Row],[Recuento de T4 CODIGO]])</f>
        <v>1330.5275000000001</v>
      </c>
    </row>
    <row r="4" spans="1:4" x14ac:dyDescent="0.25">
      <c r="A4" s="250" t="s">
        <v>1036</v>
      </c>
      <c r="B4">
        <v>3</v>
      </c>
      <c r="C4" s="251">
        <f>LOOKUP(T4_[[#This Row],[Etiquetas de fila]],'VALORIZACION CARTA'!B:B,'VALORIZACION CARTA'!C:C)</f>
        <v>1231.047</v>
      </c>
      <c r="D4" s="251">
        <f>SUM(T4_[[#This Row],[Columna1]]*T4_[[#This Row],[Recuento de T4 CODIGO]])</f>
        <v>3693.1410000000001</v>
      </c>
    </row>
    <row r="5" spans="1:4" x14ac:dyDescent="0.25">
      <c r="A5" s="250" t="s">
        <v>314</v>
      </c>
      <c r="B5">
        <v>2</v>
      </c>
      <c r="C5" s="251">
        <f>LOOKUP(T4_[[#This Row],[Etiquetas de fila]],'VALORIZACION CARTA'!B:B,'VALORIZACION CARTA'!C:C)</f>
        <v>1023.3517325</v>
      </c>
      <c r="D5" s="251">
        <f>SUM(T4_[[#This Row],[Columna1]]*T4_[[#This Row],[Recuento de T4 CODIGO]])</f>
        <v>2046.7034650000001</v>
      </c>
    </row>
    <row r="6" spans="1:4" x14ac:dyDescent="0.25">
      <c r="A6" s="250" t="s">
        <v>315</v>
      </c>
      <c r="B6">
        <v>5</v>
      </c>
      <c r="C6" s="251">
        <f>LOOKUP(T4_[[#This Row],[Etiquetas de fila]],'VALORIZACION CARTA'!B:B,'VALORIZACION CARTA'!C:C)</f>
        <v>735.52575000000002</v>
      </c>
      <c r="D6" s="251">
        <f>SUM(T4_[[#This Row],[Columna1]]*T4_[[#This Row],[Recuento de T4 CODIGO]])</f>
        <v>3677.6287499999999</v>
      </c>
    </row>
    <row r="7" spans="1:4" x14ac:dyDescent="0.25">
      <c r="A7" s="250" t="s">
        <v>534</v>
      </c>
      <c r="B7">
        <v>2</v>
      </c>
      <c r="C7" s="251">
        <f>LOOKUP(T4_[[#This Row],[Etiquetas de fila]],'VALORIZACION CARTA'!B:B,'VALORIZACION CARTA'!C:C)</f>
        <v>908.22450000000003</v>
      </c>
      <c r="D7" s="251">
        <f>SUM(T4_[[#This Row],[Columna1]]*T4_[[#This Row],[Recuento de T4 CODIGO]])</f>
        <v>1816.4490000000001</v>
      </c>
    </row>
    <row r="8" spans="1:4" x14ac:dyDescent="0.25">
      <c r="A8" s="250" t="s">
        <v>844</v>
      </c>
      <c r="B8">
        <v>19</v>
      </c>
      <c r="C8" s="251">
        <f>LOOKUP(T4_[[#This Row],[Etiquetas de fila]],'VALORIZACION CARTA'!B:B,'VALORIZACION CARTA'!C:C)</f>
        <v>1640.1064499999998</v>
      </c>
      <c r="D8" s="251">
        <f>SUM(T4_[[#This Row],[Columna1]]*T4_[[#This Row],[Recuento de T4 CODIGO]])</f>
        <v>31162.022549999994</v>
      </c>
    </row>
    <row r="9" spans="1:4" x14ac:dyDescent="0.25">
      <c r="A9" s="250" t="s">
        <v>1060</v>
      </c>
      <c r="B9">
        <v>4</v>
      </c>
      <c r="C9" s="251">
        <f>LOOKUP(T4_[[#This Row],[Etiquetas de fila]],'VALORIZACION CARTA'!B:B,'VALORIZACION CARTA'!C:C)</f>
        <v>783.2898275</v>
      </c>
      <c r="D9" s="251">
        <f>SUM(T4_[[#This Row],[Columna1]]*T4_[[#This Row],[Recuento de T4 CODIGO]])</f>
        <v>3133.15931</v>
      </c>
    </row>
    <row r="10" spans="1:4" x14ac:dyDescent="0.25">
      <c r="A10" s="250" t="s">
        <v>1061</v>
      </c>
      <c r="B10">
        <v>2</v>
      </c>
      <c r="C10" s="251">
        <f>LOOKUP(T4_[[#This Row],[Etiquetas de fila]],'VALORIZACION CARTA'!B:B,'VALORIZACION CARTA'!C:C)</f>
        <v>995.18124999999998</v>
      </c>
      <c r="D10" s="251">
        <f>SUM(T4_[[#This Row],[Columna1]]*T4_[[#This Row],[Recuento de T4 CODIGO]])</f>
        <v>1990.3625</v>
      </c>
    </row>
    <row r="11" spans="1:4" x14ac:dyDescent="0.25">
      <c r="A11" s="250" t="s">
        <v>903</v>
      </c>
      <c r="B11">
        <v>4</v>
      </c>
      <c r="C11" s="251">
        <f>LOOKUP(T4_[[#This Row],[Etiquetas de fila]],'VALORIZACION CARTA'!B:B,'VALORIZACION CARTA'!C:C)</f>
        <v>2109.2086250000002</v>
      </c>
      <c r="D11" s="251">
        <f>SUM(T4_[[#This Row],[Columna1]]*T4_[[#This Row],[Recuento de T4 CODIGO]])</f>
        <v>8436.8345000000008</v>
      </c>
    </row>
    <row r="12" spans="1:4" x14ac:dyDescent="0.25">
      <c r="A12" s="250" t="s">
        <v>905</v>
      </c>
      <c r="B12">
        <v>1</v>
      </c>
      <c r="C12" s="251">
        <f>LOOKUP(T4_[[#This Row],[Etiquetas de fila]],'VALORIZACION CARTA'!B:B,'VALORIZACION CARTA'!C:C)</f>
        <v>2403.2813750000005</v>
      </c>
      <c r="D12" s="251">
        <f>SUM(T4_[[#This Row],[Columna1]]*T4_[[#This Row],[Recuento de T4 CODIGO]])</f>
        <v>2403.2813750000005</v>
      </c>
    </row>
    <row r="13" spans="1:4" x14ac:dyDescent="0.25">
      <c r="A13" s="250" t="s">
        <v>863</v>
      </c>
      <c r="B13">
        <v>39</v>
      </c>
      <c r="C13" s="251">
        <f>LOOKUP(T4_[[#This Row],[Etiquetas de fila]],'VALORIZACION CARTA'!B:B,'VALORIZACION CARTA'!C:C)</f>
        <v>1472.6250000000002</v>
      </c>
      <c r="D13" s="251">
        <f>SUM(T4_[[#This Row],[Columna1]]*T4_[[#This Row],[Recuento de T4 CODIGO]])</f>
        <v>57432.375000000007</v>
      </c>
    </row>
    <row r="14" spans="1:4" x14ac:dyDescent="0.25">
      <c r="A14" s="250" t="s">
        <v>906</v>
      </c>
      <c r="B14">
        <v>2</v>
      </c>
      <c r="C14" s="251">
        <f>LOOKUP(T4_[[#This Row],[Etiquetas de fila]],'VALORIZACION CARTA'!B:B,'VALORIZACION CARTA'!C:C)</f>
        <v>469.48409666666663</v>
      </c>
      <c r="D14" s="251">
        <f>SUM(T4_[[#This Row],[Columna1]]*T4_[[#This Row],[Recuento de T4 CODIGO]])</f>
        <v>938.96819333333326</v>
      </c>
    </row>
    <row r="15" spans="1:4" x14ac:dyDescent="0.25">
      <c r="A15" s="250" t="s">
        <v>606</v>
      </c>
      <c r="B15">
        <v>3</v>
      </c>
      <c r="C15" s="251">
        <f>LOOKUP(T4_[[#This Row],[Etiquetas de fila]],'VALORIZACION CARTA'!B:B,'VALORIZACION CARTA'!C:C)</f>
        <v>452.69583333333333</v>
      </c>
      <c r="D15" s="251">
        <f>SUM(T4_[[#This Row],[Columna1]]*T4_[[#This Row],[Recuento de T4 CODIGO]])</f>
        <v>1358.0875000000001</v>
      </c>
    </row>
    <row r="16" spans="1:4" x14ac:dyDescent="0.25">
      <c r="A16" s="250" t="s">
        <v>536</v>
      </c>
      <c r="B16">
        <v>1</v>
      </c>
      <c r="C16" s="251">
        <f>LOOKUP(T4_[[#This Row],[Etiquetas de fila]],'VALORIZACION CARTA'!B:B,'VALORIZACION CARTA'!C:C)</f>
        <v>930.67007000000012</v>
      </c>
      <c r="D16" s="251">
        <f>SUM(T4_[[#This Row],[Columna1]]*T4_[[#This Row],[Recuento de T4 CODIGO]])</f>
        <v>930.67007000000012</v>
      </c>
    </row>
    <row r="17" spans="1:4" x14ac:dyDescent="0.25">
      <c r="A17" s="250" t="s">
        <v>878</v>
      </c>
      <c r="B17">
        <v>3</v>
      </c>
      <c r="C17" s="251">
        <f>LOOKUP(T4_[[#This Row],[Etiquetas de fila]],'VALORIZACION CARTA'!B:B,'VALORIZACION CARTA'!C:C)</f>
        <v>824.44499999999994</v>
      </c>
      <c r="D17" s="251">
        <f>SUM(T4_[[#This Row],[Columna1]]*T4_[[#This Row],[Recuento de T4 CODIGO]])</f>
        <v>2473.335</v>
      </c>
    </row>
    <row r="18" spans="1:4" x14ac:dyDescent="0.25">
      <c r="A18" s="250" t="s">
        <v>910</v>
      </c>
      <c r="B18">
        <v>2</v>
      </c>
      <c r="C18" s="251">
        <f>LOOKUP(T4_[[#This Row],[Etiquetas de fila]],'VALORIZACION CARTA'!B:B,'VALORIZACION CARTA'!C:C)</f>
        <v>557.9765625</v>
      </c>
      <c r="D18" s="251">
        <f>SUM(T4_[[#This Row],[Columna1]]*T4_[[#This Row],[Recuento de T4 CODIGO]])</f>
        <v>1115.953125</v>
      </c>
    </row>
    <row r="19" spans="1:4" x14ac:dyDescent="0.25">
      <c r="A19" s="250" t="s">
        <v>1038</v>
      </c>
      <c r="B19">
        <v>2</v>
      </c>
      <c r="C19" s="251">
        <f>LOOKUP(T4_[[#This Row],[Etiquetas de fila]],'VALORIZACION CARTA'!B:B,'VALORIZACION CARTA'!C:C)</f>
        <v>560.41606249999995</v>
      </c>
      <c r="D19" s="251">
        <f>SUM(T4_[[#This Row],[Columna1]]*T4_[[#This Row],[Recuento de T4 CODIGO]])</f>
        <v>1120.8321249999999</v>
      </c>
    </row>
    <row r="20" spans="1:4" x14ac:dyDescent="0.25">
      <c r="A20" s="250" t="s">
        <v>888</v>
      </c>
      <c r="B20">
        <v>6</v>
      </c>
      <c r="C20" s="251">
        <f>LOOKUP(T4_[[#This Row],[Etiquetas de fila]],'VALORIZACION CARTA'!B:B,'VALORIZACION CARTA'!C:C)</f>
        <v>536.40037499999994</v>
      </c>
      <c r="D20" s="251">
        <f>SUM(T4_[[#This Row],[Columna1]]*T4_[[#This Row],[Recuento de T4 CODIGO]])</f>
        <v>3218.4022499999996</v>
      </c>
    </row>
    <row r="21" spans="1:4" x14ac:dyDescent="0.25">
      <c r="A21" s="250" t="s">
        <v>608</v>
      </c>
      <c r="B21">
        <v>1</v>
      </c>
      <c r="C21" s="251">
        <f>LOOKUP(T4_[[#This Row],[Etiquetas de fila]],'VALORIZACION CARTA'!B:B,'VALORIZACION CARTA'!C:C)</f>
        <v>385.9550625</v>
      </c>
      <c r="D21" s="251">
        <f>SUM(T4_[[#This Row],[Columna1]]*T4_[[#This Row],[Recuento de T4 CODIGO]])</f>
        <v>385.9550625</v>
      </c>
    </row>
    <row r="22" spans="1:4" x14ac:dyDescent="0.25">
      <c r="A22" s="250" t="s">
        <v>609</v>
      </c>
      <c r="B22">
        <v>6</v>
      </c>
      <c r="C22" s="251">
        <f>LOOKUP(T4_[[#This Row],[Etiquetas de fila]],'VALORIZACION CARTA'!B:B,'VALORIZACION CARTA'!C:C)</f>
        <v>5020.5566775956286</v>
      </c>
      <c r="D22" s="251">
        <f>SUM(T4_[[#This Row],[Columna1]]*T4_[[#This Row],[Recuento de T4 CODIGO]])</f>
        <v>30123.340065573771</v>
      </c>
    </row>
    <row r="23" spans="1:4" x14ac:dyDescent="0.25">
      <c r="A23" s="250" t="s">
        <v>876</v>
      </c>
      <c r="B23">
        <v>26</v>
      </c>
      <c r="C23" s="251">
        <f>LOOKUP(T4_[[#This Row],[Etiquetas de fila]],'VALORIZACION CARTA'!B:B,'VALORIZACION CARTA'!C:C)</f>
        <v>5736.3950000000004</v>
      </c>
      <c r="D23" s="251">
        <f>SUM(T4_[[#This Row],[Columna1]]*T4_[[#This Row],[Recuento de T4 CODIGO]])</f>
        <v>149146.27000000002</v>
      </c>
    </row>
    <row r="24" spans="1:4" x14ac:dyDescent="0.25">
      <c r="A24" s="250" t="s">
        <v>916</v>
      </c>
      <c r="B24">
        <v>88</v>
      </c>
      <c r="C24" s="251">
        <f>LOOKUP(T4_[[#This Row],[Etiquetas de fila]],'VALORIZACION CARTA'!B:B,'VALORIZACION CARTA'!C:C)</f>
        <v>3519.4250000000002</v>
      </c>
      <c r="D24" s="251">
        <f>SUM(T4_[[#This Row],[Columna1]]*T4_[[#This Row],[Recuento de T4 CODIGO]])</f>
        <v>309709.40000000002</v>
      </c>
    </row>
    <row r="25" spans="1:4" x14ac:dyDescent="0.25">
      <c r="A25" s="250" t="s">
        <v>917</v>
      </c>
      <c r="B25">
        <v>41</v>
      </c>
      <c r="C25" s="251">
        <f>LOOKUP(T4_[[#This Row],[Etiquetas de fila]],'VALORIZACION CARTA'!B:B,'VALORIZACION CARTA'!C:C)</f>
        <v>2751.875</v>
      </c>
      <c r="D25" s="251">
        <f>SUM(T4_[[#This Row],[Columna1]]*T4_[[#This Row],[Recuento de T4 CODIGO]])</f>
        <v>112826.875</v>
      </c>
    </row>
    <row r="26" spans="1:4" x14ac:dyDescent="0.25">
      <c r="A26" s="250" t="s">
        <v>853</v>
      </c>
      <c r="B26">
        <v>67</v>
      </c>
      <c r="C26" s="251">
        <f>LOOKUP(T4_[[#This Row],[Etiquetas de fila]],'VALORIZACION CARTA'!B:B,'VALORIZACION CARTA'!C:C)</f>
        <v>3628.0124999999998</v>
      </c>
      <c r="D26" s="251">
        <f>SUM(T4_[[#This Row],[Columna1]]*T4_[[#This Row],[Recuento de T4 CODIGO]])</f>
        <v>243076.83749999999</v>
      </c>
    </row>
    <row r="27" spans="1:4" x14ac:dyDescent="0.25">
      <c r="A27" s="250" t="s">
        <v>610</v>
      </c>
      <c r="B27">
        <v>91</v>
      </c>
      <c r="C27" s="251">
        <f>LOOKUP(T4_[[#This Row],[Etiquetas de fila]],'VALORIZACION CARTA'!B:B,'VALORIZACION CARTA'!C:C)</f>
        <v>3943.0650000000001</v>
      </c>
      <c r="D27" s="251">
        <f>SUM(T4_[[#This Row],[Columna1]]*T4_[[#This Row],[Recuento de T4 CODIGO]])</f>
        <v>358818.91499999998</v>
      </c>
    </row>
    <row r="28" spans="1:4" x14ac:dyDescent="0.25">
      <c r="A28" s="250" t="s">
        <v>724</v>
      </c>
      <c r="B28">
        <v>19</v>
      </c>
      <c r="C28" s="251">
        <f>LOOKUP(T4_[[#This Row],[Etiquetas de fila]],'VALORIZACION CARTA'!B:B,'VALORIZACION CARTA'!C:C)</f>
        <v>1087.0650000000001</v>
      </c>
      <c r="D28" s="251">
        <f>SUM(T4_[[#This Row],[Columna1]]*T4_[[#This Row],[Recuento de T4 CODIGO]])</f>
        <v>20654.235000000001</v>
      </c>
    </row>
    <row r="29" spans="1:4" x14ac:dyDescent="0.25">
      <c r="A29" s="250" t="s">
        <v>892</v>
      </c>
      <c r="B29">
        <v>1</v>
      </c>
      <c r="C29" s="251">
        <f>LOOKUP(T4_[[#This Row],[Etiquetas de fila]],'VALORIZACION CARTA'!B:B,'VALORIZACION CARTA'!C:C)</f>
        <v>1087.0650000000001</v>
      </c>
      <c r="D29" s="251">
        <f>SUM(T4_[[#This Row],[Columna1]]*T4_[[#This Row],[Recuento de T4 CODIGO]])</f>
        <v>1087.0650000000001</v>
      </c>
    </row>
    <row r="30" spans="1:4" x14ac:dyDescent="0.25">
      <c r="A30" s="250" t="s">
        <v>841</v>
      </c>
      <c r="B30">
        <v>43</v>
      </c>
      <c r="C30" s="251">
        <f>LOOKUP(T4_[[#This Row],[Etiquetas de fila]],'VALORIZACION CARTA'!B:B,'VALORIZACION CARTA'!C:C)</f>
        <v>664.35</v>
      </c>
      <c r="D30" s="251">
        <f>SUM(T4_[[#This Row],[Columna1]]*T4_[[#This Row],[Recuento de T4 CODIGO]])</f>
        <v>28567.05</v>
      </c>
    </row>
    <row r="31" spans="1:4" x14ac:dyDescent="0.25">
      <c r="A31" s="250" t="s">
        <v>869</v>
      </c>
      <c r="B31">
        <v>2</v>
      </c>
      <c r="C31" s="251">
        <f>LOOKUP(T4_[[#This Row],[Etiquetas de fila]],'VALORIZACION CARTA'!B:B,'VALORIZACION CARTA'!C:C)</f>
        <v>664.24679999999989</v>
      </c>
      <c r="D31" s="251">
        <f>SUM(T4_[[#This Row],[Columna1]]*T4_[[#This Row],[Recuento de T4 CODIGO]])</f>
        <v>1328.4935999999998</v>
      </c>
    </row>
    <row r="32" spans="1:4" x14ac:dyDescent="0.25">
      <c r="A32" s="250" t="s">
        <v>316</v>
      </c>
      <c r="B32">
        <v>29</v>
      </c>
      <c r="C32" s="251">
        <f>LOOKUP(T4_[[#This Row],[Etiquetas de fila]],'VALORIZACION CARTA'!B:B,'VALORIZACION CARTA'!C:C)</f>
        <v>664.24679999999989</v>
      </c>
      <c r="D32" s="251">
        <f>SUM(T4_[[#This Row],[Columna1]]*T4_[[#This Row],[Recuento de T4 CODIGO]])</f>
        <v>19263.157199999998</v>
      </c>
    </row>
    <row r="33" spans="1:4" x14ac:dyDescent="0.25">
      <c r="A33" s="250" t="s">
        <v>859</v>
      </c>
      <c r="B33">
        <v>8</v>
      </c>
      <c r="C33" s="251">
        <f>LOOKUP(T4_[[#This Row],[Etiquetas de fila]],'VALORIZACION CARTA'!B:B,'VALORIZACION CARTA'!C:C)</f>
        <v>855.13499999999999</v>
      </c>
      <c r="D33" s="251">
        <f>SUM(T4_[[#This Row],[Columna1]]*T4_[[#This Row],[Recuento de T4 CODIGO]])</f>
        <v>6841.08</v>
      </c>
    </row>
    <row r="34" spans="1:4" x14ac:dyDescent="0.25">
      <c r="A34" s="250" t="s">
        <v>919</v>
      </c>
      <c r="B34">
        <v>17</v>
      </c>
      <c r="C34" s="251">
        <f>LOOKUP(T4_[[#This Row],[Etiquetas de fila]],'VALORIZACION CARTA'!B:B,'VALORIZACION CARTA'!C:C)</f>
        <v>855.13499999999999</v>
      </c>
      <c r="D34" s="251">
        <f>SUM(T4_[[#This Row],[Columna1]]*T4_[[#This Row],[Recuento de T4 CODIGO]])</f>
        <v>14537.295</v>
      </c>
    </row>
    <row r="35" spans="1:4" x14ac:dyDescent="0.25">
      <c r="A35" s="250" t="s">
        <v>920</v>
      </c>
      <c r="B35">
        <v>2</v>
      </c>
      <c r="C35" s="251">
        <f>LOOKUP(T4_[[#This Row],[Etiquetas de fila]],'VALORIZACION CARTA'!B:B,'VALORIZACION CARTA'!C:C)</f>
        <v>855.13499999999999</v>
      </c>
      <c r="D35" s="251">
        <f>SUM(T4_[[#This Row],[Columna1]]*T4_[[#This Row],[Recuento de T4 CODIGO]])</f>
        <v>1710.27</v>
      </c>
    </row>
    <row r="36" spans="1:4" x14ac:dyDescent="0.25">
      <c r="A36" s="250" t="s">
        <v>886</v>
      </c>
      <c r="B36">
        <v>4</v>
      </c>
      <c r="C36" s="251">
        <f>LOOKUP(T4_[[#This Row],[Etiquetas de fila]],'VALORIZACION CARTA'!B:B,'VALORIZACION CARTA'!C:C)</f>
        <v>855.13499999999999</v>
      </c>
      <c r="D36" s="251">
        <f>SUM(T4_[[#This Row],[Columna1]]*T4_[[#This Row],[Recuento de T4 CODIGO]])</f>
        <v>3420.54</v>
      </c>
    </row>
    <row r="37" spans="1:4" x14ac:dyDescent="0.25">
      <c r="A37" s="250" t="s">
        <v>882</v>
      </c>
      <c r="B37">
        <v>6</v>
      </c>
      <c r="C37" s="251">
        <f>LOOKUP(T4_[[#This Row],[Etiquetas de fila]],'VALORIZACION CARTA'!B:B,'VALORIZACION CARTA'!C:C)</f>
        <v>855.13499999999999</v>
      </c>
      <c r="D37" s="251">
        <f>SUM(T4_[[#This Row],[Columna1]]*T4_[[#This Row],[Recuento de T4 CODIGO]])</f>
        <v>5130.8099999999995</v>
      </c>
    </row>
    <row r="38" spans="1:4" x14ac:dyDescent="0.25">
      <c r="A38" s="250" t="s">
        <v>921</v>
      </c>
      <c r="B38">
        <v>13</v>
      </c>
      <c r="C38" s="251">
        <f>LOOKUP(T4_[[#This Row],[Etiquetas de fila]],'VALORIZACION CARTA'!B:B,'VALORIZACION CARTA'!C:C)</f>
        <v>427.84008749999998</v>
      </c>
      <c r="D38" s="251">
        <f>SUM(T4_[[#This Row],[Columna1]]*T4_[[#This Row],[Recuento de T4 CODIGO]])</f>
        <v>5561.9211374999995</v>
      </c>
    </row>
    <row r="39" spans="1:4" x14ac:dyDescent="0.25">
      <c r="A39" s="250" t="s">
        <v>843</v>
      </c>
      <c r="B39">
        <v>4</v>
      </c>
      <c r="C39" s="251">
        <f>LOOKUP(T4_[[#This Row],[Etiquetas de fila]],'VALORIZACION CARTA'!B:B,'VALORIZACION CARTA'!C:C)</f>
        <v>2207.8986885245899</v>
      </c>
      <c r="D39" s="251">
        <f>SUM(T4_[[#This Row],[Columna1]]*T4_[[#This Row],[Recuento de T4 CODIGO]])</f>
        <v>8831.5947540983598</v>
      </c>
    </row>
    <row r="40" spans="1:4" x14ac:dyDescent="0.25">
      <c r="A40" s="250" t="s">
        <v>531</v>
      </c>
      <c r="B40">
        <v>3</v>
      </c>
      <c r="C40" s="251">
        <f>LOOKUP(T4_[[#This Row],[Etiquetas de fila]],'VALORIZACION CARTA'!B:B,'VALORIZACION CARTA'!C:C)</f>
        <v>3519.4250000000002</v>
      </c>
      <c r="D40" s="251">
        <f>SUM(T4_[[#This Row],[Columna1]]*T4_[[#This Row],[Recuento de T4 CODIGO]])</f>
        <v>10558.275000000001</v>
      </c>
    </row>
    <row r="41" spans="1:4" x14ac:dyDescent="0.25">
      <c r="A41" s="250" t="s">
        <v>532</v>
      </c>
      <c r="B41">
        <v>5</v>
      </c>
      <c r="C41" s="251">
        <f>LOOKUP(T4_[[#This Row],[Etiquetas de fila]],'VALORIZACION CARTA'!B:B,'VALORIZACION CARTA'!C:C)</f>
        <v>2751.875</v>
      </c>
      <c r="D41" s="251">
        <f>SUM(T4_[[#This Row],[Columna1]]*T4_[[#This Row],[Recuento de T4 CODIGO]])</f>
        <v>13759.375</v>
      </c>
    </row>
    <row r="42" spans="1:4" x14ac:dyDescent="0.25">
      <c r="A42" s="250" t="s">
        <v>612</v>
      </c>
      <c r="B42">
        <v>3</v>
      </c>
      <c r="C42" s="251">
        <f>LOOKUP(T4_[[#This Row],[Etiquetas de fila]],'VALORIZACION CARTA'!B:B,'VALORIZACION CARTA'!C:C)</f>
        <v>2751.875</v>
      </c>
      <c r="D42" s="251">
        <f>SUM(T4_[[#This Row],[Columna1]]*T4_[[#This Row],[Recuento de T4 CODIGO]])</f>
        <v>8255.625</v>
      </c>
    </row>
    <row r="43" spans="1:4" x14ac:dyDescent="0.25">
      <c r="A43" s="250" t="s">
        <v>524</v>
      </c>
      <c r="B43">
        <v>3</v>
      </c>
      <c r="C43" s="251">
        <f>LOOKUP(T4_[[#This Row],[Etiquetas de fila]],'VALORIZACION CARTA'!B:B,'VALORIZACION CARTA'!C:C)</f>
        <v>3717.6790000000005</v>
      </c>
      <c r="D43" s="251">
        <f>SUM(T4_[[#This Row],[Columna1]]*T4_[[#This Row],[Recuento de T4 CODIGO]])</f>
        <v>11153.037000000002</v>
      </c>
    </row>
    <row r="44" spans="1:4" x14ac:dyDescent="0.25">
      <c r="A44" s="250" t="s">
        <v>665</v>
      </c>
      <c r="B44">
        <v>1</v>
      </c>
      <c r="C44" s="251">
        <f>LOOKUP(T4_[[#This Row],[Etiquetas de fila]],'VALORIZACION CARTA'!B:B,'VALORIZACION CARTA'!C:C)</f>
        <v>3641.1716333333334</v>
      </c>
      <c r="D44" s="251">
        <f>SUM(T4_[[#This Row],[Columna1]]*T4_[[#This Row],[Recuento de T4 CODIGO]])</f>
        <v>3641.1716333333334</v>
      </c>
    </row>
    <row r="45" spans="1:4" x14ac:dyDescent="0.25">
      <c r="A45" s="250" t="s">
        <v>527</v>
      </c>
      <c r="B45">
        <v>1</v>
      </c>
      <c r="C45" s="251">
        <f>LOOKUP(T4_[[#This Row],[Etiquetas de fila]],'VALORIZACION CARTA'!B:B,'VALORIZACION CARTA'!C:C)</f>
        <v>4426.8</v>
      </c>
      <c r="D45" s="251">
        <f>SUM(T4_[[#This Row],[Columna1]]*T4_[[#This Row],[Recuento de T4 CODIGO]])</f>
        <v>4426.8</v>
      </c>
    </row>
    <row r="46" spans="1:4" x14ac:dyDescent="0.25">
      <c r="A46" s="250" t="s">
        <v>587</v>
      </c>
      <c r="B46">
        <v>1</v>
      </c>
      <c r="C46" s="251">
        <f>LOOKUP(T4_[[#This Row],[Etiquetas de fila]],'VALORIZACION CARTA'!B:B,'VALORIZACION CARTA'!C:C)</f>
        <v>1037.68</v>
      </c>
      <c r="D46" s="251">
        <f>SUM(T4_[[#This Row],[Columna1]]*T4_[[#This Row],[Recuento de T4 CODIGO]])</f>
        <v>1037.68</v>
      </c>
    </row>
    <row r="47" spans="1:4" x14ac:dyDescent="0.25">
      <c r="A47" s="250" t="s">
        <v>545</v>
      </c>
      <c r="B47">
        <v>1</v>
      </c>
      <c r="C47" s="251">
        <f>LOOKUP(T4_[[#This Row],[Etiquetas de fila]],'VALORIZACION CARTA'!B:B,'VALORIZACION CARTA'!C:C)</f>
        <v>7892.8534999999993</v>
      </c>
      <c r="D47" s="251">
        <f>SUM(T4_[[#This Row],[Columna1]]*T4_[[#This Row],[Recuento de T4 CODIGO]])</f>
        <v>7892.8534999999993</v>
      </c>
    </row>
    <row r="48" spans="1:4" x14ac:dyDescent="0.25">
      <c r="A48" s="250" t="s">
        <v>667</v>
      </c>
      <c r="B48">
        <v>1</v>
      </c>
      <c r="C48" s="251">
        <f>LOOKUP(T4_[[#This Row],[Etiquetas de fila]],'VALORIZACION CARTA'!B:B,'VALORIZACION CARTA'!C:C)</f>
        <v>2347.2574999999997</v>
      </c>
      <c r="D48" s="251">
        <f>SUM(T4_[[#This Row],[Columna1]]*T4_[[#This Row],[Recuento de T4 CODIGO]])</f>
        <v>2347.2574999999997</v>
      </c>
    </row>
    <row r="49" spans="1:4" x14ac:dyDescent="0.25">
      <c r="A49" s="250" t="s">
        <v>927</v>
      </c>
      <c r="B49">
        <v>17</v>
      </c>
      <c r="C49" s="251">
        <f>LOOKUP(T4_[[#This Row],[Etiquetas de fila]],'VALORIZACION CARTA'!B:B,'VALORIZACION CARTA'!C:C)</f>
        <v>573.38798125000005</v>
      </c>
      <c r="D49" s="251">
        <f>SUM(T4_[[#This Row],[Columna1]]*T4_[[#This Row],[Recuento de T4 CODIGO]])</f>
        <v>9747.5956812500008</v>
      </c>
    </row>
    <row r="50" spans="1:4" x14ac:dyDescent="0.25">
      <c r="A50" s="250" t="s">
        <v>617</v>
      </c>
      <c r="B50">
        <v>8</v>
      </c>
      <c r="C50" s="251">
        <f>LOOKUP(T4_[[#This Row],[Etiquetas de fila]],'VALORIZACION CARTA'!B:B,'VALORIZACION CARTA'!C:C)</f>
        <v>529.87860624999996</v>
      </c>
      <c r="D50" s="251">
        <f>SUM(T4_[[#This Row],[Columna1]]*T4_[[#This Row],[Recuento de T4 CODIGO]])</f>
        <v>4239.0288499999997</v>
      </c>
    </row>
    <row r="51" spans="1:4" x14ac:dyDescent="0.25">
      <c r="A51" s="250" t="s">
        <v>928</v>
      </c>
      <c r="B51">
        <v>11</v>
      </c>
      <c r="C51" s="251">
        <f>LOOKUP(T4_[[#This Row],[Etiquetas de fila]],'VALORIZACION CARTA'!B:B,'VALORIZACION CARTA'!C:C)</f>
        <v>591.68423125000004</v>
      </c>
      <c r="D51" s="251">
        <f>SUM(T4_[[#This Row],[Columna1]]*T4_[[#This Row],[Recuento de T4 CODIGO]])</f>
        <v>6508.5265437500002</v>
      </c>
    </row>
    <row r="52" spans="1:4" x14ac:dyDescent="0.25">
      <c r="A52" s="250" t="s">
        <v>548</v>
      </c>
      <c r="B52">
        <v>4</v>
      </c>
      <c r="C52" s="251">
        <f>LOOKUP(T4_[[#This Row],[Etiquetas de fila]],'VALORIZACION CARTA'!B:B,'VALORIZACION CARTA'!C:C)</f>
        <v>1995.91520625</v>
      </c>
      <c r="D52" s="251">
        <f>SUM(T4_[[#This Row],[Columna1]]*T4_[[#This Row],[Recuento de T4 CODIGO]])</f>
        <v>7983.6608249999999</v>
      </c>
    </row>
    <row r="53" spans="1:4" x14ac:dyDescent="0.25">
      <c r="A53" s="250" t="s">
        <v>873</v>
      </c>
      <c r="B53">
        <v>14</v>
      </c>
      <c r="C53" s="251">
        <f>LOOKUP(T4_[[#This Row],[Etiquetas de fila]],'VALORIZACION CARTA'!B:B,'VALORIZACION CARTA'!C:C)</f>
        <v>3667.1136333333334</v>
      </c>
      <c r="D53" s="251">
        <f>SUM(T4_[[#This Row],[Columna1]]*T4_[[#This Row],[Recuento de T4 CODIGO]])</f>
        <v>51339.590866666666</v>
      </c>
    </row>
    <row r="54" spans="1:4" x14ac:dyDescent="0.25">
      <c r="A54" s="250" t="s">
        <v>865</v>
      </c>
      <c r="B54">
        <v>11</v>
      </c>
      <c r="C54" s="251">
        <f>LOOKUP(T4_[[#This Row],[Etiquetas de fila]],'VALORIZACION CARTA'!B:B,'VALORIZACION CARTA'!C:C)</f>
        <v>3698.7449666666666</v>
      </c>
      <c r="D54" s="251">
        <f>SUM(T4_[[#This Row],[Columna1]]*T4_[[#This Row],[Recuento de T4 CODIGO]])</f>
        <v>40686.194633333333</v>
      </c>
    </row>
    <row r="55" spans="1:4" x14ac:dyDescent="0.25">
      <c r="A55" s="250" t="s">
        <v>872</v>
      </c>
      <c r="B55">
        <v>19</v>
      </c>
      <c r="C55" s="251">
        <f>LOOKUP(T4_[[#This Row],[Etiquetas de fila]],'VALORIZACION CARTA'!B:B,'VALORIZACION CARTA'!C:C)</f>
        <v>4426.8</v>
      </c>
      <c r="D55" s="251">
        <f>SUM(T4_[[#This Row],[Columna1]]*T4_[[#This Row],[Recuento de T4 CODIGO]])</f>
        <v>84109.2</v>
      </c>
    </row>
    <row r="56" spans="1:4" x14ac:dyDescent="0.25">
      <c r="A56" s="250" t="s">
        <v>896</v>
      </c>
      <c r="B56">
        <v>1</v>
      </c>
      <c r="C56" s="251">
        <f>LOOKUP(T4_[[#This Row],[Etiquetas de fila]],'VALORIZACION CARTA'!B:B,'VALORIZACION CARTA'!C:C)</f>
        <v>3675.8249999999998</v>
      </c>
      <c r="D56" s="251">
        <f>SUM(T4_[[#This Row],[Columna1]]*T4_[[#This Row],[Recuento de T4 CODIGO]])</f>
        <v>3675.8249999999998</v>
      </c>
    </row>
    <row r="57" spans="1:4" x14ac:dyDescent="0.25">
      <c r="A57" s="250" t="s">
        <v>929</v>
      </c>
      <c r="B57">
        <v>15</v>
      </c>
      <c r="C57" s="251">
        <f>LOOKUP(T4_[[#This Row],[Etiquetas de fila]],'VALORIZACION CARTA'!B:B,'VALORIZACION CARTA'!C:C)</f>
        <v>3675.8249999999998</v>
      </c>
      <c r="D57" s="251">
        <f>SUM(T4_[[#This Row],[Columna1]]*T4_[[#This Row],[Recuento de T4 CODIGO]])</f>
        <v>55137.375</v>
      </c>
    </row>
    <row r="58" spans="1:4" x14ac:dyDescent="0.25">
      <c r="A58" s="250" t="s">
        <v>930</v>
      </c>
      <c r="B58">
        <v>2</v>
      </c>
      <c r="C58" s="251">
        <f>LOOKUP(T4_[[#This Row],[Etiquetas de fila]],'VALORIZACION CARTA'!B:B,'VALORIZACION CARTA'!C:C)</f>
        <v>745.45679833333338</v>
      </c>
      <c r="D58" s="251">
        <f>SUM(T4_[[#This Row],[Columna1]]*T4_[[#This Row],[Recuento de T4 CODIGO]])</f>
        <v>1490.9135966666668</v>
      </c>
    </row>
    <row r="59" spans="1:4" x14ac:dyDescent="0.25">
      <c r="A59" s="250" t="s">
        <v>707</v>
      </c>
      <c r="B59">
        <v>2</v>
      </c>
      <c r="C59" s="251">
        <f>LOOKUP(T4_[[#This Row],[Etiquetas de fila]],'VALORIZACION CARTA'!B:B,'VALORIZACION CARTA'!C:C)</f>
        <v>745.45679833333338</v>
      </c>
      <c r="D59" s="251">
        <f>SUM(T4_[[#This Row],[Columna1]]*T4_[[#This Row],[Recuento de T4 CODIGO]])</f>
        <v>1490.9135966666668</v>
      </c>
    </row>
    <row r="60" spans="1:4" x14ac:dyDescent="0.25">
      <c r="A60" s="250" t="s">
        <v>708</v>
      </c>
      <c r="B60">
        <v>1</v>
      </c>
      <c r="C60" s="251">
        <f>LOOKUP(T4_[[#This Row],[Etiquetas de fila]],'VALORIZACION CARTA'!B:B,'VALORIZACION CARTA'!C:C)</f>
        <v>745.45679833333338</v>
      </c>
      <c r="D60" s="251">
        <f>SUM(T4_[[#This Row],[Columna1]]*T4_[[#This Row],[Recuento de T4 CODIGO]])</f>
        <v>745.45679833333338</v>
      </c>
    </row>
    <row r="61" spans="1:4" x14ac:dyDescent="0.25">
      <c r="A61" s="250" t="s">
        <v>931</v>
      </c>
      <c r="B61">
        <v>6</v>
      </c>
      <c r="C61" s="251">
        <f>LOOKUP(T4_[[#This Row],[Etiquetas de fila]],'VALORIZACION CARTA'!B:B,'VALORIZACION CARTA'!C:C)</f>
        <v>745.45679833333338</v>
      </c>
      <c r="D61" s="251">
        <f>SUM(T4_[[#This Row],[Columna1]]*T4_[[#This Row],[Recuento de T4 CODIGO]])</f>
        <v>4472.7407899999998</v>
      </c>
    </row>
    <row r="62" spans="1:4" x14ac:dyDescent="0.25">
      <c r="A62" s="250" t="s">
        <v>932</v>
      </c>
      <c r="B62">
        <v>1</v>
      </c>
      <c r="C62" s="251">
        <f>LOOKUP(T4_[[#This Row],[Etiquetas de fila]],'VALORIZACION CARTA'!B:B,'VALORIZACION CARTA'!C:C)</f>
        <v>745.45679833333338</v>
      </c>
      <c r="D62" s="251">
        <f>SUM(T4_[[#This Row],[Columna1]]*T4_[[#This Row],[Recuento de T4 CODIGO]])</f>
        <v>745.45679833333338</v>
      </c>
    </row>
    <row r="63" spans="1:4" x14ac:dyDescent="0.25">
      <c r="A63" s="250" t="s">
        <v>620</v>
      </c>
      <c r="B63">
        <v>2</v>
      </c>
      <c r="C63" s="251">
        <f>LOOKUP(T4_[[#This Row],[Etiquetas de fila]],'VALORIZACION CARTA'!B:B,'VALORIZACION CARTA'!C:C)</f>
        <v>745.45679833333338</v>
      </c>
      <c r="D63" s="251">
        <f>SUM(T4_[[#This Row],[Columna1]]*T4_[[#This Row],[Recuento de T4 CODIGO]])</f>
        <v>1490.9135966666668</v>
      </c>
    </row>
    <row r="64" spans="1:4" x14ac:dyDescent="0.25">
      <c r="A64" s="250" t="s">
        <v>718</v>
      </c>
      <c r="B64">
        <v>2</v>
      </c>
      <c r="C64" s="251">
        <f>LOOKUP(T4_[[#This Row],[Etiquetas de fila]],'VALORIZACION CARTA'!B:B,'VALORIZACION CARTA'!C:C)</f>
        <v>745.45679833333338</v>
      </c>
      <c r="D64" s="251">
        <f>SUM(T4_[[#This Row],[Columna1]]*T4_[[#This Row],[Recuento de T4 CODIGO]])</f>
        <v>1490.9135966666668</v>
      </c>
    </row>
    <row r="65" spans="1:4" x14ac:dyDescent="0.25">
      <c r="A65" s="250" t="s">
        <v>618</v>
      </c>
      <c r="B65">
        <v>1</v>
      </c>
      <c r="C65" s="251">
        <f>LOOKUP(T4_[[#This Row],[Etiquetas de fila]],'VALORIZACION CARTA'!B:B,'VALORIZACION CARTA'!C:C)</f>
        <v>745.45679833333338</v>
      </c>
      <c r="D65" s="251">
        <f>SUM(T4_[[#This Row],[Columna1]]*T4_[[#This Row],[Recuento de T4 CODIGO]])</f>
        <v>745.45679833333338</v>
      </c>
    </row>
    <row r="66" spans="1:4" x14ac:dyDescent="0.25">
      <c r="A66" s="250" t="s">
        <v>933</v>
      </c>
      <c r="B66">
        <v>1</v>
      </c>
      <c r="C66" s="251">
        <f>LOOKUP(T4_[[#This Row],[Etiquetas de fila]],'VALORIZACION CARTA'!B:B,'VALORIZACION CARTA'!C:C)</f>
        <v>745.45679833333338</v>
      </c>
      <c r="D66" s="251">
        <f>SUM(T4_[[#This Row],[Columna1]]*T4_[[#This Row],[Recuento de T4 CODIGO]])</f>
        <v>745.45679833333338</v>
      </c>
    </row>
    <row r="67" spans="1:4" x14ac:dyDescent="0.25">
      <c r="A67" s="250" t="s">
        <v>619</v>
      </c>
      <c r="B67">
        <v>2</v>
      </c>
      <c r="C67" s="251">
        <f>LOOKUP(T4_[[#This Row],[Etiquetas de fila]],'VALORIZACION CARTA'!B:B,'VALORIZACION CARTA'!C:C)</f>
        <v>745.45679833333338</v>
      </c>
      <c r="D67" s="251">
        <f>SUM(T4_[[#This Row],[Columna1]]*T4_[[#This Row],[Recuento de T4 CODIGO]])</f>
        <v>1490.9135966666668</v>
      </c>
    </row>
    <row r="68" spans="1:4" x14ac:dyDescent="0.25">
      <c r="A68" s="250" t="s">
        <v>936</v>
      </c>
      <c r="B68">
        <v>4</v>
      </c>
      <c r="C68" s="251">
        <f>LOOKUP(T4_[[#This Row],[Etiquetas de fila]],'VALORIZACION CARTA'!B:B,'VALORIZACION CARTA'!C:C)</f>
        <v>704.62379999999996</v>
      </c>
      <c r="D68" s="251">
        <f>SUM(T4_[[#This Row],[Columna1]]*T4_[[#This Row],[Recuento de T4 CODIGO]])</f>
        <v>2818.4951999999998</v>
      </c>
    </row>
    <row r="69" spans="1:4" x14ac:dyDescent="0.25">
      <c r="A69" s="250" t="s">
        <v>938</v>
      </c>
      <c r="B69">
        <v>1</v>
      </c>
      <c r="C69" s="251">
        <f>LOOKUP(T4_[[#This Row],[Etiquetas de fila]],'VALORIZACION CARTA'!B:B,'VALORIZACION CARTA'!C:C)</f>
        <v>661.29699999999991</v>
      </c>
      <c r="D69" s="251">
        <f>SUM(T4_[[#This Row],[Columna1]]*T4_[[#This Row],[Recuento de T4 CODIGO]])</f>
        <v>661.29699999999991</v>
      </c>
    </row>
    <row r="70" spans="1:4" x14ac:dyDescent="0.25">
      <c r="A70" s="250" t="s">
        <v>834</v>
      </c>
      <c r="B70">
        <v>7</v>
      </c>
      <c r="C70" s="251">
        <f>LOOKUP(T4_[[#This Row],[Etiquetas de fila]],'VALORIZACION CARTA'!B:B,'VALORIZACION CARTA'!C:C)</f>
        <v>7062.8060655737709</v>
      </c>
      <c r="D70" s="251">
        <f>SUM(T4_[[#This Row],[Columna1]]*T4_[[#This Row],[Recuento de T4 CODIGO]])</f>
        <v>49439.642459016395</v>
      </c>
    </row>
    <row r="71" spans="1:4" x14ac:dyDescent="0.25">
      <c r="A71" s="250" t="s">
        <v>893</v>
      </c>
      <c r="B71">
        <v>4</v>
      </c>
      <c r="C71" s="251">
        <f>LOOKUP(T4_[[#This Row],[Etiquetas de fila]],'VALORIZACION CARTA'!B:B,'VALORIZACION CARTA'!C:C)</f>
        <v>2050.8890333333334</v>
      </c>
      <c r="D71" s="251">
        <f>SUM(T4_[[#This Row],[Columna1]]*T4_[[#This Row],[Recuento de T4 CODIGO]])</f>
        <v>8203.5561333333335</v>
      </c>
    </row>
    <row r="72" spans="1:4" x14ac:dyDescent="0.25">
      <c r="A72" s="250" t="s">
        <v>940</v>
      </c>
      <c r="B72">
        <v>16</v>
      </c>
      <c r="C72" s="251">
        <f>LOOKUP(T4_[[#This Row],[Etiquetas de fila]],'VALORIZACION CARTA'!B:B,'VALORIZACION CARTA'!C:C)</f>
        <v>638.72610374999999</v>
      </c>
      <c r="D72" s="251">
        <f>SUM(T4_[[#This Row],[Columna1]]*T4_[[#This Row],[Recuento de T4 CODIGO]])</f>
        <v>10219.61766</v>
      </c>
    </row>
    <row r="73" spans="1:4" x14ac:dyDescent="0.25">
      <c r="A73" s="250" t="s">
        <v>941</v>
      </c>
      <c r="B73">
        <v>846</v>
      </c>
      <c r="C73" s="251">
        <f>LOOKUP(T4_[[#This Row],[Etiquetas de fila]],'VALORIZACION CARTA'!B:B,'VALORIZACION CARTA'!C:C)</f>
        <v>638.72610374999999</v>
      </c>
      <c r="D73" s="251">
        <f>SUM(T4_[[#This Row],[Columna1]]*T4_[[#This Row],[Recuento de T4 CODIGO]])</f>
        <v>540362.2837725</v>
      </c>
    </row>
    <row r="74" spans="1:4" x14ac:dyDescent="0.25">
      <c r="A74" s="250" t="s">
        <v>877</v>
      </c>
      <c r="B74">
        <v>3</v>
      </c>
      <c r="C74" s="251">
        <f>LOOKUP(T4_[[#This Row],[Etiquetas de fila]],'VALORIZACION CARTA'!B:B,'VALORIZACION CARTA'!C:C)</f>
        <v>1321.691</v>
      </c>
      <c r="D74" s="251">
        <f>SUM(T4_[[#This Row],[Columna1]]*T4_[[#This Row],[Recuento de T4 CODIGO]])</f>
        <v>3965.0730000000003</v>
      </c>
    </row>
    <row r="75" spans="1:4" x14ac:dyDescent="0.25">
      <c r="A75" s="250" t="s">
        <v>879</v>
      </c>
      <c r="B75">
        <v>1</v>
      </c>
      <c r="C75" s="251">
        <f>LOOKUP(T4_[[#This Row],[Etiquetas de fila]],'VALORIZACION CARTA'!B:B,'VALORIZACION CARTA'!C:C)</f>
        <v>2383.69425</v>
      </c>
      <c r="D75" s="251">
        <f>SUM(T4_[[#This Row],[Columna1]]*T4_[[#This Row],[Recuento de T4 CODIGO]])</f>
        <v>2383.69425</v>
      </c>
    </row>
    <row r="76" spans="1:4" x14ac:dyDescent="0.25">
      <c r="A76" s="250" t="s">
        <v>591</v>
      </c>
      <c r="B76">
        <v>13</v>
      </c>
      <c r="C76" s="251">
        <f>LOOKUP(T4_[[#This Row],[Etiquetas de fila]],'VALORIZACION CARTA'!B:B,'VALORIZACION CARTA'!C:C)</f>
        <v>536.40037499999994</v>
      </c>
      <c r="D76" s="251">
        <f>SUM(T4_[[#This Row],[Columna1]]*T4_[[#This Row],[Recuento de T4 CODIGO]])</f>
        <v>6973.2048749999994</v>
      </c>
    </row>
    <row r="77" spans="1:4" x14ac:dyDescent="0.25">
      <c r="A77" s="250" t="s">
        <v>592</v>
      </c>
      <c r="B77">
        <v>3</v>
      </c>
      <c r="C77" s="251">
        <f>LOOKUP(T4_[[#This Row],[Etiquetas de fila]],'VALORIZACION CARTA'!B:B,'VALORIZACION CARTA'!C:C)</f>
        <v>557.9765625</v>
      </c>
      <c r="D77" s="251">
        <f>SUM(T4_[[#This Row],[Columna1]]*T4_[[#This Row],[Recuento de T4 CODIGO]])</f>
        <v>1673.9296875</v>
      </c>
    </row>
    <row r="78" spans="1:4" x14ac:dyDescent="0.25">
      <c r="A78" s="250" t="s">
        <v>593</v>
      </c>
      <c r="B78">
        <v>1</v>
      </c>
      <c r="C78" s="251">
        <f>LOOKUP(T4_[[#This Row],[Etiquetas de fila]],'VALORIZACION CARTA'!B:B,'VALORIZACION CARTA'!C:C)</f>
        <v>552.1753124999999</v>
      </c>
      <c r="D78" s="251">
        <f>SUM(T4_[[#This Row],[Columna1]]*T4_[[#This Row],[Recuento de T4 CODIGO]])</f>
        <v>552.1753124999999</v>
      </c>
    </row>
    <row r="79" spans="1:4" x14ac:dyDescent="0.25">
      <c r="A79" s="250" t="s">
        <v>594</v>
      </c>
      <c r="B79">
        <v>2</v>
      </c>
      <c r="C79" s="251">
        <f>LOOKUP(T4_[[#This Row],[Etiquetas de fila]],'VALORIZACION CARTA'!B:B,'VALORIZACION CARTA'!C:C)</f>
        <v>560.41606249999995</v>
      </c>
      <c r="D79" s="251">
        <f>SUM(T4_[[#This Row],[Columna1]]*T4_[[#This Row],[Recuento de T4 CODIGO]])</f>
        <v>1120.8321249999999</v>
      </c>
    </row>
    <row r="80" spans="1:4" x14ac:dyDescent="0.25">
      <c r="A80" s="250" t="s">
        <v>942</v>
      </c>
      <c r="B80">
        <v>2</v>
      </c>
      <c r="C80" s="251">
        <f>LOOKUP(T4_[[#This Row],[Etiquetas de fila]],'VALORIZACION CARTA'!B:B,'VALORIZACION CARTA'!C:C)</f>
        <v>560.41606249999995</v>
      </c>
      <c r="D80" s="251">
        <f>SUM(T4_[[#This Row],[Columna1]]*T4_[[#This Row],[Recuento de T4 CODIGO]])</f>
        <v>1120.8321249999999</v>
      </c>
    </row>
    <row r="81" spans="1:4" x14ac:dyDescent="0.25">
      <c r="A81" s="250" t="s">
        <v>595</v>
      </c>
      <c r="B81">
        <v>12</v>
      </c>
      <c r="C81" s="251">
        <f>LOOKUP(T4_[[#This Row],[Etiquetas de fila]],'VALORIZACION CARTA'!B:B,'VALORIZACION CARTA'!C:C)</f>
        <v>427.84008749999998</v>
      </c>
      <c r="D81" s="251">
        <f>SUM(T4_[[#This Row],[Columna1]]*T4_[[#This Row],[Recuento de T4 CODIGO]])</f>
        <v>5134.0810499999998</v>
      </c>
    </row>
    <row r="82" spans="1:4" x14ac:dyDescent="0.25">
      <c r="A82" s="250" t="s">
        <v>943</v>
      </c>
      <c r="B82">
        <v>4</v>
      </c>
      <c r="C82" s="251">
        <f>LOOKUP(T4_[[#This Row],[Etiquetas de fila]],'VALORIZACION CARTA'!B:B,'VALORIZACION CARTA'!C:C)</f>
        <v>427.84008749999998</v>
      </c>
      <c r="D82" s="251">
        <f>SUM(T4_[[#This Row],[Columna1]]*T4_[[#This Row],[Recuento de T4 CODIGO]])</f>
        <v>1711.3603499999999</v>
      </c>
    </row>
    <row r="83" spans="1:4" x14ac:dyDescent="0.25">
      <c r="A83" s="250" t="s">
        <v>596</v>
      </c>
      <c r="B83">
        <v>46</v>
      </c>
      <c r="C83" s="251">
        <f>LOOKUP(T4_[[#This Row],[Etiquetas de fila]],'VALORIZACION CARTA'!B:B,'VALORIZACION CARTA'!C:C)</f>
        <v>573.38798125000005</v>
      </c>
      <c r="D83" s="251">
        <f>SUM(T4_[[#This Row],[Columna1]]*T4_[[#This Row],[Recuento de T4 CODIGO]])</f>
        <v>26375.847137500001</v>
      </c>
    </row>
    <row r="84" spans="1:4" x14ac:dyDescent="0.25">
      <c r="A84" s="250" t="s">
        <v>597</v>
      </c>
      <c r="B84">
        <v>25</v>
      </c>
      <c r="C84" s="251">
        <f>LOOKUP(T4_[[#This Row],[Etiquetas de fila]],'VALORIZACION CARTA'!B:B,'VALORIZACION CARTA'!C:C)</f>
        <v>529.87860624999996</v>
      </c>
      <c r="D84" s="251">
        <f>SUM(T4_[[#This Row],[Columna1]]*T4_[[#This Row],[Recuento de T4 CODIGO]])</f>
        <v>13246.965156249998</v>
      </c>
    </row>
    <row r="85" spans="1:4" x14ac:dyDescent="0.25">
      <c r="A85" s="250" t="s">
        <v>598</v>
      </c>
      <c r="B85">
        <v>20</v>
      </c>
      <c r="C85" s="251">
        <f>LOOKUP(T4_[[#This Row],[Etiquetas de fila]],'VALORIZACION CARTA'!B:B,'VALORIZACION CARTA'!C:C)</f>
        <v>591.68423125000004</v>
      </c>
      <c r="D85" s="251">
        <f>SUM(T4_[[#This Row],[Columna1]]*T4_[[#This Row],[Recuento de T4 CODIGO]])</f>
        <v>11833.684625000002</v>
      </c>
    </row>
    <row r="86" spans="1:4" x14ac:dyDescent="0.25">
      <c r="A86" s="250" t="s">
        <v>944</v>
      </c>
      <c r="B86">
        <v>10</v>
      </c>
      <c r="C86" s="251">
        <f>LOOKUP(T4_[[#This Row],[Etiquetas de fila]],'VALORIZACION CARTA'!B:B,'VALORIZACION CARTA'!C:C)</f>
        <v>591.68423125000004</v>
      </c>
      <c r="D86" s="251">
        <f>SUM(T4_[[#This Row],[Columna1]]*T4_[[#This Row],[Recuento de T4 CODIGO]])</f>
        <v>5916.8423125000008</v>
      </c>
    </row>
    <row r="87" spans="1:4" x14ac:dyDescent="0.25">
      <c r="A87" s="250" t="s">
        <v>945</v>
      </c>
      <c r="B87">
        <v>2</v>
      </c>
      <c r="C87" s="251">
        <f>LOOKUP(T4_[[#This Row],[Etiquetas de fila]],'VALORIZACION CARTA'!B:B,'VALORIZACION CARTA'!C:C)</f>
        <v>591.68423125000004</v>
      </c>
      <c r="D87" s="251">
        <f>SUM(T4_[[#This Row],[Columna1]]*T4_[[#This Row],[Recuento de T4 CODIGO]])</f>
        <v>1183.3684625000001</v>
      </c>
    </row>
    <row r="88" spans="1:4" x14ac:dyDescent="0.25">
      <c r="A88" s="250" t="s">
        <v>599</v>
      </c>
      <c r="B88">
        <v>7</v>
      </c>
      <c r="C88" s="251">
        <f>LOOKUP(T4_[[#This Row],[Etiquetas de fila]],'VALORIZACION CARTA'!B:B,'VALORIZACION CARTA'!C:C)</f>
        <v>915.41563749999989</v>
      </c>
      <c r="D88" s="251">
        <f>SUM(T4_[[#This Row],[Columna1]]*T4_[[#This Row],[Recuento de T4 CODIGO]])</f>
        <v>6407.9094624999989</v>
      </c>
    </row>
    <row r="89" spans="1:4" x14ac:dyDescent="0.25">
      <c r="A89" s="250" t="s">
        <v>600</v>
      </c>
      <c r="B89">
        <v>5</v>
      </c>
      <c r="C89" s="251">
        <f>LOOKUP(T4_[[#This Row],[Etiquetas de fila]],'VALORIZACION CARTA'!B:B,'VALORIZACION CARTA'!C:C)</f>
        <v>1049.9626625000001</v>
      </c>
      <c r="D89" s="251">
        <f>SUM(T4_[[#This Row],[Columna1]]*T4_[[#This Row],[Recuento de T4 CODIGO]])</f>
        <v>5249.8133125000004</v>
      </c>
    </row>
    <row r="90" spans="1:4" x14ac:dyDescent="0.25">
      <c r="A90" s="250" t="s">
        <v>601</v>
      </c>
      <c r="B90">
        <v>8</v>
      </c>
      <c r="C90" s="251">
        <f>LOOKUP(T4_[[#This Row],[Etiquetas de fila]],'VALORIZACION CARTA'!B:B,'VALORIZACION CARTA'!C:C)</f>
        <v>919.50254374999997</v>
      </c>
      <c r="D90" s="251">
        <f>SUM(T4_[[#This Row],[Columna1]]*T4_[[#This Row],[Recuento de T4 CODIGO]])</f>
        <v>7356.0203499999998</v>
      </c>
    </row>
    <row r="91" spans="1:4" x14ac:dyDescent="0.25">
      <c r="A91" s="250" t="s">
        <v>602</v>
      </c>
      <c r="B91">
        <v>7</v>
      </c>
      <c r="C91" s="251">
        <f>LOOKUP(T4_[[#This Row],[Etiquetas de fila]],'VALORIZACION CARTA'!B:B,'VALORIZACION CARTA'!C:C)</f>
        <v>868.31766874999994</v>
      </c>
      <c r="D91" s="251">
        <f>SUM(T4_[[#This Row],[Columna1]]*T4_[[#This Row],[Recuento de T4 CODIGO]])</f>
        <v>6078.2236812499996</v>
      </c>
    </row>
    <row r="92" spans="1:4" x14ac:dyDescent="0.25">
      <c r="A92" s="250" t="s">
        <v>946</v>
      </c>
      <c r="B92">
        <v>59</v>
      </c>
      <c r="C92" s="251">
        <f>LOOKUP(T4_[[#This Row],[Etiquetas de fila]],'VALORIZACION CARTA'!B:B,'VALORIZACION CARTA'!C:C)</f>
        <v>868.31766874999994</v>
      </c>
      <c r="D92" s="251">
        <f>SUM(T4_[[#This Row],[Columna1]]*T4_[[#This Row],[Recuento de T4 CODIGO]])</f>
        <v>51230.742456249995</v>
      </c>
    </row>
    <row r="93" spans="1:4" x14ac:dyDescent="0.25">
      <c r="A93" s="250" t="s">
        <v>317</v>
      </c>
      <c r="B93">
        <v>86</v>
      </c>
      <c r="C93" s="251">
        <f>LOOKUP(T4_[[#This Row],[Etiquetas de fila]],'VALORIZACION CARTA'!B:B,'VALORIZACION CARTA'!C:C)</f>
        <v>496.56381249999998</v>
      </c>
      <c r="D93" s="251">
        <f>SUM(T4_[[#This Row],[Columna1]]*T4_[[#This Row],[Recuento de T4 CODIGO]])</f>
        <v>42704.487874999999</v>
      </c>
    </row>
    <row r="94" spans="1:4" x14ac:dyDescent="0.25">
      <c r="A94" s="250" t="s">
        <v>552</v>
      </c>
      <c r="B94">
        <v>74</v>
      </c>
      <c r="C94" s="251">
        <f>LOOKUP(T4_[[#This Row],[Etiquetas de fila]],'VALORIZACION CARTA'!B:B,'VALORIZACION CARTA'!C:C)</f>
        <v>1351.6988125</v>
      </c>
      <c r="D94" s="251">
        <f>SUM(T4_[[#This Row],[Columna1]]*T4_[[#This Row],[Recuento de T4 CODIGO]])</f>
        <v>100025.71212500001</v>
      </c>
    </row>
    <row r="95" spans="1:4" x14ac:dyDescent="0.25">
      <c r="A95" s="250" t="s">
        <v>947</v>
      </c>
      <c r="B95">
        <v>32</v>
      </c>
      <c r="C95" s="251">
        <f>LOOKUP(T4_[[#This Row],[Etiquetas de fila]],'VALORIZACION CARTA'!B:B,'VALORIZACION CARTA'!C:C)</f>
        <v>1351.6988125</v>
      </c>
      <c r="D95" s="251">
        <f>SUM(T4_[[#This Row],[Columna1]]*T4_[[#This Row],[Recuento de T4 CODIGO]])</f>
        <v>43254.362000000001</v>
      </c>
    </row>
    <row r="96" spans="1:4" x14ac:dyDescent="0.25">
      <c r="A96" s="250" t="s">
        <v>948</v>
      </c>
      <c r="B96">
        <v>51</v>
      </c>
      <c r="C96" s="251">
        <f>LOOKUP(T4_[[#This Row],[Etiquetas de fila]],'VALORIZACION CARTA'!B:B,'VALORIZACION CARTA'!C:C)</f>
        <v>1351.6988125</v>
      </c>
      <c r="D96" s="251">
        <f>SUM(T4_[[#This Row],[Columna1]]*T4_[[#This Row],[Recuento de T4 CODIGO]])</f>
        <v>68936.639437499995</v>
      </c>
    </row>
    <row r="97" spans="1:4" x14ac:dyDescent="0.25">
      <c r="A97" s="250" t="s">
        <v>318</v>
      </c>
      <c r="B97">
        <v>100</v>
      </c>
      <c r="C97" s="251">
        <f>LOOKUP(T4_[[#This Row],[Etiquetas de fila]],'VALORIZACION CARTA'!B:B,'VALORIZACION CARTA'!C:C)</f>
        <v>618.27850000000001</v>
      </c>
      <c r="D97" s="251">
        <f>SUM(T4_[[#This Row],[Columna1]]*T4_[[#This Row],[Recuento de T4 CODIGO]])</f>
        <v>61827.85</v>
      </c>
    </row>
    <row r="98" spans="1:4" x14ac:dyDescent="0.25">
      <c r="A98" s="250" t="s">
        <v>603</v>
      </c>
      <c r="B98">
        <v>9</v>
      </c>
      <c r="C98" s="251">
        <f>LOOKUP(T4_[[#This Row],[Etiquetas de fila]],'VALORIZACION CARTA'!B:B,'VALORIZACION CARTA'!C:C)</f>
        <v>627.93800999999996</v>
      </c>
      <c r="D98" s="251">
        <f>SUM(T4_[[#This Row],[Columna1]]*T4_[[#This Row],[Recuento de T4 CODIGO]])</f>
        <v>5651.4420899999996</v>
      </c>
    </row>
    <row r="99" spans="1:4" x14ac:dyDescent="0.25">
      <c r="A99" s="250" t="s">
        <v>693</v>
      </c>
      <c r="B99">
        <v>14</v>
      </c>
      <c r="C99" s="251">
        <f>LOOKUP(T4_[[#This Row],[Etiquetas de fila]],'VALORIZACION CARTA'!B:B,'VALORIZACION CARTA'!C:C)</f>
        <v>1674.93</v>
      </c>
      <c r="D99" s="251">
        <f>SUM(T4_[[#This Row],[Columna1]]*T4_[[#This Row],[Recuento de T4 CODIGO]])</f>
        <v>23449.02</v>
      </c>
    </row>
    <row r="100" spans="1:4" x14ac:dyDescent="0.25">
      <c r="A100" s="250" t="s">
        <v>854</v>
      </c>
      <c r="B100">
        <v>5</v>
      </c>
      <c r="C100" s="251">
        <f>LOOKUP(T4_[[#This Row],[Etiquetas de fila]],'VALORIZACION CARTA'!B:B,'VALORIZACION CARTA'!C:C)</f>
        <v>2204.0295000000001</v>
      </c>
      <c r="D100" s="251">
        <f>SUM(T4_[[#This Row],[Columna1]]*T4_[[#This Row],[Recuento de T4 CODIGO]])</f>
        <v>11020.147500000001</v>
      </c>
    </row>
    <row r="101" spans="1:4" x14ac:dyDescent="0.25">
      <c r="A101" s="250" t="s">
        <v>622</v>
      </c>
      <c r="B101">
        <v>1</v>
      </c>
      <c r="C101" s="251">
        <f>LOOKUP(T4_[[#This Row],[Etiquetas de fila]],'VALORIZACION CARTA'!B:B,'VALORIZACION CARTA'!C:C)</f>
        <v>2392.3049999999998</v>
      </c>
      <c r="D101" s="251">
        <f>SUM(T4_[[#This Row],[Columna1]]*T4_[[#This Row],[Recuento de T4 CODIGO]])</f>
        <v>2392.3049999999998</v>
      </c>
    </row>
    <row r="102" spans="1:4" x14ac:dyDescent="0.25">
      <c r="A102" s="250" t="s">
        <v>950</v>
      </c>
      <c r="B102">
        <v>1</v>
      </c>
      <c r="C102" s="251">
        <f>LOOKUP(T4_[[#This Row],[Etiquetas de fila]],'VALORIZACION CARTA'!B:B,'VALORIZACION CARTA'!C:C)</f>
        <v>2392.3802500000002</v>
      </c>
      <c r="D102" s="251">
        <f>SUM(T4_[[#This Row],[Columna1]]*T4_[[#This Row],[Recuento de T4 CODIGO]])</f>
        <v>2392.3802500000002</v>
      </c>
    </row>
    <row r="103" spans="1:4" x14ac:dyDescent="0.25">
      <c r="A103" s="250" t="s">
        <v>623</v>
      </c>
      <c r="B103">
        <v>1</v>
      </c>
      <c r="C103" s="251">
        <f>LOOKUP(T4_[[#This Row],[Etiquetas de fila]],'VALORIZACION CARTA'!B:B,'VALORIZACION CARTA'!C:C)</f>
        <v>1331.2800000000002</v>
      </c>
      <c r="D103" s="251">
        <f>SUM(T4_[[#This Row],[Columna1]]*T4_[[#This Row],[Recuento de T4 CODIGO]])</f>
        <v>1331.2800000000002</v>
      </c>
    </row>
    <row r="104" spans="1:4" x14ac:dyDescent="0.25">
      <c r="A104" s="250" t="s">
        <v>1045</v>
      </c>
      <c r="B104">
        <v>2</v>
      </c>
      <c r="C104" s="251">
        <f>LOOKUP(T4_[[#This Row],[Etiquetas de fila]],'VALORIZACION CARTA'!B:B,'VALORIZACION CARTA'!C:C)</f>
        <v>1358.70712</v>
      </c>
      <c r="D104" s="251">
        <f>SUM(T4_[[#This Row],[Columna1]]*T4_[[#This Row],[Recuento de T4 CODIGO]])</f>
        <v>2717.4142400000001</v>
      </c>
    </row>
    <row r="105" spans="1:4" x14ac:dyDescent="0.25">
      <c r="A105" s="250" t="s">
        <v>742</v>
      </c>
      <c r="B105">
        <v>6</v>
      </c>
      <c r="C105" s="251">
        <f>LOOKUP(T4_[[#This Row],[Etiquetas de fila]],'VALORIZACION CARTA'!B:B,'VALORIZACION CARTA'!C:C)</f>
        <v>1358.70712</v>
      </c>
      <c r="D105" s="251">
        <f>SUM(T4_[[#This Row],[Columna1]]*T4_[[#This Row],[Recuento de T4 CODIGO]])</f>
        <v>8152.2427200000002</v>
      </c>
    </row>
    <row r="106" spans="1:4" x14ac:dyDescent="0.25">
      <c r="A106" s="250" t="s">
        <v>951</v>
      </c>
      <c r="B106">
        <v>21</v>
      </c>
      <c r="C106" s="251">
        <f>LOOKUP(T4_[[#This Row],[Etiquetas de fila]],'VALORIZACION CARTA'!B:B,'VALORIZACION CARTA'!C:C)</f>
        <v>1163.4689039999998</v>
      </c>
      <c r="D106" s="251">
        <f>SUM(T4_[[#This Row],[Columna1]]*T4_[[#This Row],[Recuento de T4 CODIGO]])</f>
        <v>24432.846983999996</v>
      </c>
    </row>
    <row r="107" spans="1:4" x14ac:dyDescent="0.25">
      <c r="A107" s="250" t="s">
        <v>624</v>
      </c>
      <c r="B107">
        <v>3</v>
      </c>
      <c r="C107" s="251">
        <f>LOOKUP(T4_[[#This Row],[Etiquetas de fila]],'VALORIZACION CARTA'!B:B,'VALORIZACION CARTA'!C:C)</f>
        <v>2952.4660000000003</v>
      </c>
      <c r="D107" s="251">
        <f>SUM(T4_[[#This Row],[Columna1]]*T4_[[#This Row],[Recuento de T4 CODIGO]])</f>
        <v>8857.398000000001</v>
      </c>
    </row>
    <row r="108" spans="1:4" x14ac:dyDescent="0.25">
      <c r="A108" s="250" t="s">
        <v>954</v>
      </c>
      <c r="B108">
        <v>24</v>
      </c>
      <c r="C108" s="251">
        <f>LOOKUP(T4_[[#This Row],[Etiquetas de fila]],'VALORIZACION CARTA'!B:B,'VALORIZACION CARTA'!C:C)</f>
        <v>356.00709375000002</v>
      </c>
      <c r="D108" s="251">
        <f>SUM(T4_[[#This Row],[Columna1]]*T4_[[#This Row],[Recuento de T4 CODIGO]])</f>
        <v>8544.170250000001</v>
      </c>
    </row>
    <row r="109" spans="1:4" x14ac:dyDescent="0.25">
      <c r="A109" s="250" t="s">
        <v>880</v>
      </c>
      <c r="B109">
        <v>24</v>
      </c>
      <c r="C109" s="251">
        <f>LOOKUP(T4_[[#This Row],[Etiquetas de fila]],'VALORIZACION CARTA'!B:B,'VALORIZACION CARTA'!C:C)</f>
        <v>260.28646875000004</v>
      </c>
      <c r="D109" s="251">
        <f>SUM(T4_[[#This Row],[Columna1]]*T4_[[#This Row],[Recuento de T4 CODIGO]])</f>
        <v>6246.875250000001</v>
      </c>
    </row>
    <row r="110" spans="1:4" x14ac:dyDescent="0.25">
      <c r="A110" s="250" t="s">
        <v>857</v>
      </c>
      <c r="B110">
        <v>28</v>
      </c>
      <c r="C110" s="251">
        <f>LOOKUP(T4_[[#This Row],[Etiquetas de fila]],'VALORIZACION CARTA'!B:B,'VALORIZACION CARTA'!C:C)</f>
        <v>396.25884374999998</v>
      </c>
      <c r="D110" s="251">
        <f>SUM(T4_[[#This Row],[Columna1]]*T4_[[#This Row],[Recuento de T4 CODIGO]])</f>
        <v>11095.247625</v>
      </c>
    </row>
    <row r="111" spans="1:4" x14ac:dyDescent="0.25">
      <c r="A111" s="250" t="s">
        <v>957</v>
      </c>
      <c r="B111">
        <v>4</v>
      </c>
      <c r="C111" s="251">
        <f>LOOKUP(T4_[[#This Row],[Etiquetas de fila]],'VALORIZACION CARTA'!B:B,'VALORIZACION CARTA'!C:C)</f>
        <v>553.29974000000004</v>
      </c>
      <c r="D111" s="251">
        <f>SUM(T4_[[#This Row],[Columna1]]*T4_[[#This Row],[Recuento de T4 CODIGO]])</f>
        <v>2213.1989600000002</v>
      </c>
    </row>
    <row r="112" spans="1:4" x14ac:dyDescent="0.25">
      <c r="A112" s="250" t="s">
        <v>862</v>
      </c>
      <c r="B112">
        <v>43</v>
      </c>
      <c r="C112" s="251">
        <f>LOOKUP(T4_[[#This Row],[Etiquetas de fila]],'VALORIZACION CARTA'!B:B,'VALORIZACION CARTA'!C:C)</f>
        <v>466.57668750000005</v>
      </c>
      <c r="D112" s="251">
        <f>SUM(T4_[[#This Row],[Columna1]]*T4_[[#This Row],[Recuento de T4 CODIGO]])</f>
        <v>20062.797562500004</v>
      </c>
    </row>
    <row r="113" spans="1:4" x14ac:dyDescent="0.25">
      <c r="A113" s="250" t="s">
        <v>959</v>
      </c>
      <c r="B113">
        <v>6</v>
      </c>
      <c r="C113" s="251">
        <f>LOOKUP(T4_[[#This Row],[Etiquetas de fila]],'VALORIZACION CARTA'!B:B,'VALORIZACION CARTA'!C:C)</f>
        <v>3360.56</v>
      </c>
      <c r="D113" s="251">
        <f>SUM(T4_[[#This Row],[Columna1]]*T4_[[#This Row],[Recuento de T4 CODIGO]])</f>
        <v>20163.36</v>
      </c>
    </row>
    <row r="114" spans="1:4" x14ac:dyDescent="0.25">
      <c r="A114" s="250" t="s">
        <v>875</v>
      </c>
      <c r="B114">
        <v>13</v>
      </c>
      <c r="C114" s="251">
        <f>LOOKUP(T4_[[#This Row],[Etiquetas de fila]],'VALORIZACION CARTA'!B:B,'VALORIZACION CARTA'!C:C)</f>
        <v>2215.8185750000002</v>
      </c>
      <c r="D114" s="251">
        <f>SUM(T4_[[#This Row],[Columna1]]*T4_[[#This Row],[Recuento de T4 CODIGO]])</f>
        <v>28805.641475000004</v>
      </c>
    </row>
    <row r="115" spans="1:4" x14ac:dyDescent="0.25">
      <c r="A115" s="250" t="s">
        <v>961</v>
      </c>
      <c r="B115">
        <v>4</v>
      </c>
      <c r="C115" s="251">
        <f>LOOKUP(T4_[[#This Row],[Etiquetas de fila]],'VALORIZACION CARTA'!B:B,'VALORIZACION CARTA'!C:C)</f>
        <v>475.18470374999993</v>
      </c>
      <c r="D115" s="251">
        <f>SUM(T4_[[#This Row],[Columna1]]*T4_[[#This Row],[Recuento de T4 CODIGO]])</f>
        <v>1900.7388149999997</v>
      </c>
    </row>
    <row r="116" spans="1:4" x14ac:dyDescent="0.25">
      <c r="A116" s="250" t="s">
        <v>881</v>
      </c>
      <c r="B116">
        <v>8</v>
      </c>
      <c r="C116" s="251">
        <f>LOOKUP(T4_[[#This Row],[Etiquetas de fila]],'VALORIZACION CARTA'!B:B,'VALORIZACION CARTA'!C:C)</f>
        <v>991.76869749999992</v>
      </c>
      <c r="D116" s="251">
        <f>SUM(T4_[[#This Row],[Columna1]]*T4_[[#This Row],[Recuento de T4 CODIGO]])</f>
        <v>7934.1495799999993</v>
      </c>
    </row>
    <row r="117" spans="1:4" x14ac:dyDescent="0.25">
      <c r="A117" s="250" t="s">
        <v>963</v>
      </c>
      <c r="B117">
        <v>9</v>
      </c>
      <c r="C117" s="251">
        <f>LOOKUP(T4_[[#This Row],[Etiquetas de fila]],'VALORIZACION CARTA'!B:B,'VALORIZACION CARTA'!C:C)</f>
        <v>991.76869749999992</v>
      </c>
      <c r="D117" s="251">
        <f>SUM(T4_[[#This Row],[Columna1]]*T4_[[#This Row],[Recuento de T4 CODIGO]])</f>
        <v>8925.918277499999</v>
      </c>
    </row>
    <row r="118" spans="1:4" x14ac:dyDescent="0.25">
      <c r="A118" s="250" t="s">
        <v>845</v>
      </c>
      <c r="B118">
        <v>6</v>
      </c>
      <c r="C118" s="251">
        <f>LOOKUP(T4_[[#This Row],[Etiquetas de fila]],'VALORIZACION CARTA'!B:B,'VALORIZACION CARTA'!C:C)</f>
        <v>806.65921874999992</v>
      </c>
      <c r="D118" s="251">
        <f>SUM(T4_[[#This Row],[Columna1]]*T4_[[#This Row],[Recuento de T4 CODIGO]])</f>
        <v>4839.9553124999993</v>
      </c>
    </row>
    <row r="119" spans="1:4" x14ac:dyDescent="0.25">
      <c r="A119" s="250" t="s">
        <v>894</v>
      </c>
      <c r="B119">
        <v>2</v>
      </c>
      <c r="C119" s="251">
        <f>LOOKUP(T4_[[#This Row],[Etiquetas de fila]],'VALORIZACION CARTA'!B:B,'VALORIZACION CARTA'!C:C)</f>
        <v>512.87973333333332</v>
      </c>
      <c r="D119" s="251">
        <f>SUM(T4_[[#This Row],[Columna1]]*T4_[[#This Row],[Recuento de T4 CODIGO]])</f>
        <v>1025.7594666666666</v>
      </c>
    </row>
    <row r="120" spans="1:4" x14ac:dyDescent="0.25">
      <c r="A120" s="250" t="s">
        <v>874</v>
      </c>
      <c r="B120">
        <v>8</v>
      </c>
      <c r="C120" s="251">
        <f>LOOKUP(T4_[[#This Row],[Etiquetas de fila]],'VALORIZACION CARTA'!B:B,'VALORIZACION CARTA'!C:C)</f>
        <v>915.41563749999989</v>
      </c>
      <c r="D120" s="251">
        <f>SUM(T4_[[#This Row],[Columna1]]*T4_[[#This Row],[Recuento de T4 CODIGO]])</f>
        <v>7323.3250999999991</v>
      </c>
    </row>
    <row r="121" spans="1:4" x14ac:dyDescent="0.25">
      <c r="A121" s="250" t="s">
        <v>965</v>
      </c>
      <c r="B121">
        <v>18</v>
      </c>
      <c r="C121" s="251">
        <f>LOOKUP(T4_[[#This Row],[Etiquetas de fila]],'VALORIZACION CARTA'!B:B,'VALORIZACION CARTA'!C:C)</f>
        <v>1049.9626625000001</v>
      </c>
      <c r="D121" s="251">
        <f>SUM(T4_[[#This Row],[Columna1]]*T4_[[#This Row],[Recuento de T4 CODIGO]])</f>
        <v>18899.327925000001</v>
      </c>
    </row>
    <row r="122" spans="1:4" x14ac:dyDescent="0.25">
      <c r="A122" s="250" t="s">
        <v>891</v>
      </c>
      <c r="B122">
        <v>7</v>
      </c>
      <c r="C122" s="251">
        <f>LOOKUP(T4_[[#This Row],[Etiquetas de fila]],'VALORIZACION CARTA'!B:B,'VALORIZACION CARTA'!C:C)</f>
        <v>919.50254374999997</v>
      </c>
      <c r="D122" s="251">
        <f>SUM(T4_[[#This Row],[Columna1]]*T4_[[#This Row],[Recuento de T4 CODIGO]])</f>
        <v>6436.5178062499999</v>
      </c>
    </row>
    <row r="123" spans="1:4" x14ac:dyDescent="0.25">
      <c r="A123" s="250" t="s">
        <v>966</v>
      </c>
      <c r="B123">
        <v>5</v>
      </c>
      <c r="C123" s="251">
        <f>LOOKUP(T4_[[#This Row],[Etiquetas de fila]],'VALORIZACION CARTA'!B:B,'VALORIZACION CARTA'!C:C)</f>
        <v>868.31766874999994</v>
      </c>
      <c r="D123" s="251">
        <f>SUM(T4_[[#This Row],[Columna1]]*T4_[[#This Row],[Recuento de T4 CODIGO]])</f>
        <v>4341.5883437499997</v>
      </c>
    </row>
    <row r="124" spans="1:4" x14ac:dyDescent="0.25">
      <c r="A124" s="250" t="s">
        <v>1047</v>
      </c>
      <c r="B124">
        <v>11</v>
      </c>
      <c r="C124" s="251">
        <f>LOOKUP(T4_[[#This Row],[Etiquetas de fila]],'VALORIZACION CARTA'!B:B,'VALORIZACION CARTA'!C:C)</f>
        <v>868.31766874999994</v>
      </c>
      <c r="D124" s="251">
        <f>SUM(T4_[[#This Row],[Columna1]]*T4_[[#This Row],[Recuento de T4 CODIGO]])</f>
        <v>9551.4943562499993</v>
      </c>
    </row>
    <row r="125" spans="1:4" x14ac:dyDescent="0.25">
      <c r="A125" s="250" t="s">
        <v>1048</v>
      </c>
      <c r="B125">
        <v>10</v>
      </c>
      <c r="C125" s="251">
        <f>LOOKUP(T4_[[#This Row],[Etiquetas de fila]],'VALORIZACION CARTA'!B:B,'VALORIZACION CARTA'!C:C)</f>
        <v>868.31766874999994</v>
      </c>
      <c r="D125" s="251">
        <f>SUM(T4_[[#This Row],[Columna1]]*T4_[[#This Row],[Recuento de T4 CODIGO]])</f>
        <v>8683.1766874999994</v>
      </c>
    </row>
    <row r="126" spans="1:4" x14ac:dyDescent="0.25">
      <c r="A126" s="250" t="s">
        <v>1049</v>
      </c>
      <c r="B126">
        <v>1</v>
      </c>
      <c r="C126" s="251">
        <f>LOOKUP(T4_[[#This Row],[Etiquetas de fila]],'VALORIZACION CARTA'!B:B,'VALORIZACION CARTA'!C:C)</f>
        <v>2661.4147874999999</v>
      </c>
      <c r="D126" s="251">
        <f>SUM(T4_[[#This Row],[Columna1]]*T4_[[#This Row],[Recuento de T4 CODIGO]])</f>
        <v>2661.4147874999999</v>
      </c>
    </row>
    <row r="127" spans="1:4" x14ac:dyDescent="0.25">
      <c r="A127" s="250" t="s">
        <v>968</v>
      </c>
      <c r="B127">
        <v>11</v>
      </c>
      <c r="C127" s="251">
        <f>LOOKUP(T4_[[#This Row],[Etiquetas de fila]],'VALORIZACION CARTA'!B:B,'VALORIZACION CARTA'!C:C)</f>
        <v>664.35</v>
      </c>
      <c r="D127" s="251">
        <f>SUM(T4_[[#This Row],[Columna1]]*T4_[[#This Row],[Recuento de T4 CODIGO]])</f>
        <v>7307.85</v>
      </c>
    </row>
    <row r="128" spans="1:4" x14ac:dyDescent="0.25">
      <c r="A128" s="250" t="s">
        <v>970</v>
      </c>
      <c r="B128">
        <v>16</v>
      </c>
      <c r="C128" s="251">
        <f>LOOKUP(T4_[[#This Row],[Etiquetas de fila]],'VALORIZACION CARTA'!B:B,'VALORIZACION CARTA'!C:C)</f>
        <v>664.24679999999989</v>
      </c>
      <c r="D128" s="251">
        <f>SUM(T4_[[#This Row],[Columna1]]*T4_[[#This Row],[Recuento de T4 CODIGO]])</f>
        <v>10627.948799999998</v>
      </c>
    </row>
    <row r="129" spans="1:4" x14ac:dyDescent="0.25">
      <c r="A129" s="250" t="s">
        <v>556</v>
      </c>
      <c r="B129">
        <v>1</v>
      </c>
      <c r="C129" s="251">
        <f>LOOKUP(T4_[[#This Row],[Etiquetas de fila]],'VALORIZACION CARTA'!B:B,'VALORIZACION CARTA'!C:C)</f>
        <v>0</v>
      </c>
      <c r="D129" s="251">
        <f>SUM(T4_[[#This Row],[Columna1]]*T4_[[#This Row],[Recuento de T4 CODIGO]])</f>
        <v>0</v>
      </c>
    </row>
    <row r="130" spans="1:4" x14ac:dyDescent="0.25">
      <c r="A130" s="250" t="s">
        <v>557</v>
      </c>
      <c r="B130">
        <v>5</v>
      </c>
      <c r="C130" s="251">
        <f>LOOKUP(T4_[[#This Row],[Etiquetas de fila]],'VALORIZACION CARTA'!B:B,'VALORIZACION CARTA'!C:C)</f>
        <v>0</v>
      </c>
      <c r="D130" s="251">
        <f>SUM(T4_[[#This Row],[Columna1]]*T4_[[#This Row],[Recuento de T4 CODIGO]])</f>
        <v>0</v>
      </c>
    </row>
    <row r="131" spans="1:4" x14ac:dyDescent="0.25">
      <c r="A131" s="250" t="s">
        <v>716</v>
      </c>
      <c r="B131">
        <v>2</v>
      </c>
      <c r="C131" s="251">
        <f>LOOKUP(T4_[[#This Row],[Etiquetas de fila]],'VALORIZACION CARTA'!B:B,'VALORIZACION CARTA'!C:C)</f>
        <v>0</v>
      </c>
      <c r="D131" s="251">
        <f>SUM(T4_[[#This Row],[Columna1]]*T4_[[#This Row],[Recuento de T4 CODIGO]])</f>
        <v>0</v>
      </c>
    </row>
    <row r="132" spans="1:4" x14ac:dyDescent="0.25">
      <c r="A132" s="250" t="s">
        <v>971</v>
      </c>
      <c r="B132">
        <v>2</v>
      </c>
      <c r="C132" s="251">
        <f>LOOKUP(T4_[[#This Row],[Etiquetas de fila]],'VALORIZACION CARTA'!B:B,'VALORIZACION CARTA'!C:C)</f>
        <v>704.62379999999996</v>
      </c>
      <c r="D132" s="251">
        <f>SUM(T4_[[#This Row],[Columna1]]*T4_[[#This Row],[Recuento de T4 CODIGO]])</f>
        <v>1409.2475999999999</v>
      </c>
    </row>
    <row r="133" spans="1:4" x14ac:dyDescent="0.25">
      <c r="A133" s="250" t="s">
        <v>972</v>
      </c>
      <c r="B133">
        <v>16</v>
      </c>
      <c r="C133" s="251">
        <f>LOOKUP(T4_[[#This Row],[Etiquetas de fila]],'VALORIZACION CARTA'!B:B,'VALORIZACION CARTA'!C:C)</f>
        <v>3994.56</v>
      </c>
      <c r="D133" s="251">
        <f>SUM(T4_[[#This Row],[Columna1]]*T4_[[#This Row],[Recuento de T4 CODIGO]])</f>
        <v>63912.959999999999</v>
      </c>
    </row>
    <row r="134" spans="1:4" x14ac:dyDescent="0.25">
      <c r="A134" s="250" t="s">
        <v>973</v>
      </c>
      <c r="B134">
        <v>14</v>
      </c>
      <c r="C134" s="251">
        <f>LOOKUP(T4_[[#This Row],[Etiquetas de fila]],'VALORIZACION CARTA'!B:B,'VALORIZACION CARTA'!C:C)</f>
        <v>3662.6923076923072</v>
      </c>
      <c r="D134" s="251">
        <f>SUM(T4_[[#This Row],[Columna1]]*T4_[[#This Row],[Recuento de T4 CODIGO]])</f>
        <v>51277.692307692298</v>
      </c>
    </row>
    <row r="135" spans="1:4" x14ac:dyDescent="0.25">
      <c r="A135" s="250" t="s">
        <v>974</v>
      </c>
      <c r="B135">
        <v>1</v>
      </c>
      <c r="C135" s="251">
        <f>LOOKUP(T4_[[#This Row],[Etiquetas de fila]],'VALORIZACION CARTA'!B:B,'VALORIZACION CARTA'!C:C)</f>
        <v>349.86</v>
      </c>
      <c r="D135" s="251">
        <f>SUM(T4_[[#This Row],[Columna1]]*T4_[[#This Row],[Recuento de T4 CODIGO]])</f>
        <v>349.86</v>
      </c>
    </row>
    <row r="136" spans="1:4" x14ac:dyDescent="0.25">
      <c r="A136" s="250" t="s">
        <v>975</v>
      </c>
      <c r="B136">
        <v>9</v>
      </c>
      <c r="C136" s="251">
        <f>LOOKUP(T4_[[#This Row],[Etiquetas de fila]],'VALORIZACION CARTA'!B:B,'VALORIZACION CARTA'!C:C)</f>
        <v>467.67</v>
      </c>
      <c r="D136" s="251">
        <f>SUM(T4_[[#This Row],[Columna1]]*T4_[[#This Row],[Recuento de T4 CODIGO]])</f>
        <v>4209.03</v>
      </c>
    </row>
    <row r="137" spans="1:4" x14ac:dyDescent="0.25">
      <c r="A137" s="250" t="s">
        <v>976</v>
      </c>
      <c r="B137">
        <v>9</v>
      </c>
      <c r="C137" s="251">
        <f>LOOKUP(T4_[[#This Row],[Etiquetas de fila]],'VALORIZACION CARTA'!B:B,'VALORIZACION CARTA'!C:C)</f>
        <v>4533.476333333334</v>
      </c>
      <c r="D137" s="251">
        <f>SUM(T4_[[#This Row],[Columna1]]*T4_[[#This Row],[Recuento de T4 CODIGO]])</f>
        <v>40801.287000000004</v>
      </c>
    </row>
    <row r="138" spans="1:4" x14ac:dyDescent="0.25">
      <c r="A138" s="250" t="s">
        <v>977</v>
      </c>
      <c r="B138">
        <v>1</v>
      </c>
      <c r="C138" s="251">
        <f>LOOKUP(T4_[[#This Row],[Etiquetas de fila]],'VALORIZACION CARTA'!B:B,'VALORIZACION CARTA'!C:C)</f>
        <v>2001.9100000000003</v>
      </c>
      <c r="D138" s="251">
        <f>SUM(T4_[[#This Row],[Columna1]]*T4_[[#This Row],[Recuento de T4 CODIGO]])</f>
        <v>2001.9100000000003</v>
      </c>
    </row>
    <row r="139" spans="1:4" x14ac:dyDescent="0.25">
      <c r="A139" s="250" t="s">
        <v>978</v>
      </c>
      <c r="B139">
        <v>1</v>
      </c>
      <c r="C139" s="251">
        <f>LOOKUP(T4_[[#This Row],[Etiquetas de fila]],'VALORIZACION CARTA'!B:B,'VALORIZACION CARTA'!C:C)</f>
        <v>1942.4580576923076</v>
      </c>
      <c r="D139" s="251">
        <f>SUM(T4_[[#This Row],[Columna1]]*T4_[[#This Row],[Recuento de T4 CODIGO]])</f>
        <v>1942.4580576923076</v>
      </c>
    </row>
    <row r="140" spans="1:4" x14ac:dyDescent="0.25">
      <c r="A140" s="250" t="s">
        <v>980</v>
      </c>
      <c r="B140">
        <v>3</v>
      </c>
      <c r="C140" s="251">
        <f>LOOKUP(T4_[[#This Row],[Etiquetas de fila]],'VALORIZACION CARTA'!B:B,'VALORIZACION CARTA'!C:C)</f>
        <v>5087.5800000000008</v>
      </c>
      <c r="D140" s="251">
        <f>SUM(T4_[[#This Row],[Columna1]]*T4_[[#This Row],[Recuento de T4 CODIGO]])</f>
        <v>15262.740000000002</v>
      </c>
    </row>
    <row r="141" spans="1:4" x14ac:dyDescent="0.25">
      <c r="A141" s="250" t="s">
        <v>981</v>
      </c>
      <c r="B141">
        <v>10</v>
      </c>
      <c r="C141" s="251">
        <f>LOOKUP(T4_[[#This Row],[Etiquetas de fila]],'VALORIZACION CARTA'!B:B,'VALORIZACION CARTA'!C:C)</f>
        <v>5214.9100000000008</v>
      </c>
      <c r="D141" s="251">
        <f>SUM(T4_[[#This Row],[Columna1]]*T4_[[#This Row],[Recuento de T4 CODIGO]])</f>
        <v>52149.100000000006</v>
      </c>
    </row>
    <row r="142" spans="1:4" x14ac:dyDescent="0.25">
      <c r="A142" s="250" t="s">
        <v>555</v>
      </c>
      <c r="B142">
        <v>5</v>
      </c>
      <c r="C142" s="251">
        <f>LOOKUP(T4_[[#This Row],[Etiquetas de fila]],'VALORIZACION CARTA'!B:B,'VALORIZACION CARTA'!C:C)</f>
        <v>4473.9366666666674</v>
      </c>
      <c r="D142" s="251">
        <f>SUM(T4_[[#This Row],[Columna1]]*T4_[[#This Row],[Recuento de T4 CODIGO]])</f>
        <v>22369.683333333338</v>
      </c>
    </row>
    <row r="143" spans="1:4" x14ac:dyDescent="0.25">
      <c r="A143" s="250" t="s">
        <v>982</v>
      </c>
      <c r="B143">
        <v>21</v>
      </c>
      <c r="C143" s="251">
        <f>LOOKUP(T4_[[#This Row],[Etiquetas de fila]],'VALORIZACION CARTA'!B:B,'VALORIZACION CARTA'!C:C)</f>
        <v>879.64050000000009</v>
      </c>
      <c r="D143" s="251">
        <f>SUM(T4_[[#This Row],[Columna1]]*T4_[[#This Row],[Recuento de T4 CODIGO]])</f>
        <v>18472.450500000003</v>
      </c>
    </row>
    <row r="144" spans="1:4" x14ac:dyDescent="0.25">
      <c r="A144" s="250" t="s">
        <v>983</v>
      </c>
      <c r="B144">
        <v>6</v>
      </c>
      <c r="C144" s="251">
        <f>LOOKUP(T4_[[#This Row],[Etiquetas de fila]],'VALORIZACION CARTA'!B:B,'VALORIZACION CARTA'!C:C)</f>
        <v>704.62379999999996</v>
      </c>
      <c r="D144" s="251">
        <f>SUM(T4_[[#This Row],[Columna1]]*T4_[[#This Row],[Recuento de T4 CODIGO]])</f>
        <v>4227.7428</v>
      </c>
    </row>
    <row r="145" spans="1:4" x14ac:dyDescent="0.25">
      <c r="A145" s="250" t="s">
        <v>984</v>
      </c>
      <c r="B145">
        <v>6</v>
      </c>
      <c r="C145" s="251">
        <f>LOOKUP(T4_[[#This Row],[Etiquetas de fila]],'VALORIZACION CARTA'!B:B,'VALORIZACION CARTA'!C:C)</f>
        <v>704.64960000000008</v>
      </c>
      <c r="D145" s="251">
        <f>SUM(T4_[[#This Row],[Columna1]]*T4_[[#This Row],[Recuento de T4 CODIGO]])</f>
        <v>4227.8976000000002</v>
      </c>
    </row>
    <row r="146" spans="1:4" x14ac:dyDescent="0.25">
      <c r="A146" s="250" t="s">
        <v>985</v>
      </c>
      <c r="B146">
        <v>4</v>
      </c>
      <c r="C146" s="251">
        <f>LOOKUP(T4_[[#This Row],[Etiquetas de fila]],'VALORIZACION CARTA'!B:B,'VALORIZACION CARTA'!C:C)</f>
        <v>704.62379999999996</v>
      </c>
      <c r="D146" s="251">
        <f>SUM(T4_[[#This Row],[Columna1]]*T4_[[#This Row],[Recuento de T4 CODIGO]])</f>
        <v>2818.4951999999998</v>
      </c>
    </row>
    <row r="147" spans="1:4" x14ac:dyDescent="0.25">
      <c r="A147" s="250" t="s">
        <v>986</v>
      </c>
      <c r="B147">
        <v>5</v>
      </c>
      <c r="C147" s="251">
        <f>LOOKUP(T4_[[#This Row],[Etiquetas de fila]],'VALORIZACION CARTA'!B:B,'VALORIZACION CARTA'!C:C)</f>
        <v>704.62379999999996</v>
      </c>
      <c r="D147" s="251">
        <f>SUM(T4_[[#This Row],[Columna1]]*T4_[[#This Row],[Recuento de T4 CODIGO]])</f>
        <v>3523.1189999999997</v>
      </c>
    </row>
    <row r="148" spans="1:4" x14ac:dyDescent="0.25">
      <c r="A148" s="250" t="s">
        <v>626</v>
      </c>
      <c r="B148">
        <v>70</v>
      </c>
      <c r="C148" s="251">
        <f>LOOKUP(T4_[[#This Row],[Etiquetas de fila]],'VALORIZACION CARTA'!B:B,'VALORIZACION CARTA'!C:C)</f>
        <v>106.04015625000002</v>
      </c>
      <c r="D148" s="251">
        <f>SUM(T4_[[#This Row],[Columna1]]*T4_[[#This Row],[Recuento de T4 CODIGO]])</f>
        <v>7422.8109375000013</v>
      </c>
    </row>
    <row r="149" spans="1:4" x14ac:dyDescent="0.25">
      <c r="A149" s="250" t="s">
        <v>205</v>
      </c>
      <c r="B149">
        <v>52</v>
      </c>
      <c r="C149" s="251">
        <f>LOOKUP(T4_[[#This Row],[Etiquetas de fila]],'VALORIZACION CARTA'!B:B,'VALORIZACION CARTA'!C:C)</f>
        <v>106.04015625000002</v>
      </c>
      <c r="D149" s="251">
        <f>SUM(T4_[[#This Row],[Columna1]]*T4_[[#This Row],[Recuento de T4 CODIGO]])</f>
        <v>5514.0881250000011</v>
      </c>
    </row>
    <row r="150" spans="1:4" x14ac:dyDescent="0.25">
      <c r="A150" s="250" t="s">
        <v>885</v>
      </c>
      <c r="B150">
        <v>8</v>
      </c>
      <c r="C150" s="251">
        <f>LOOKUP(T4_[[#This Row],[Etiquetas de fila]],'VALORIZACION CARTA'!B:B,'VALORIZACION CARTA'!C:C)</f>
        <v>349.86</v>
      </c>
      <c r="D150" s="251">
        <f>SUM(T4_[[#This Row],[Columna1]]*T4_[[#This Row],[Recuento de T4 CODIGO]])</f>
        <v>2798.88</v>
      </c>
    </row>
    <row r="151" spans="1:4" x14ac:dyDescent="0.25">
      <c r="A151" s="250" t="s">
        <v>858</v>
      </c>
      <c r="B151">
        <v>18</v>
      </c>
      <c r="C151" s="251">
        <f>LOOKUP(T4_[[#This Row],[Etiquetas de fila]],'VALORIZACION CARTA'!B:B,'VALORIZACION CARTA'!C:C)</f>
        <v>467.67</v>
      </c>
      <c r="D151" s="251">
        <f>SUM(T4_[[#This Row],[Columna1]]*T4_[[#This Row],[Recuento de T4 CODIGO]])</f>
        <v>8418.06</v>
      </c>
    </row>
    <row r="152" spans="1:4" x14ac:dyDescent="0.25">
      <c r="A152" s="250" t="s">
        <v>558</v>
      </c>
      <c r="B152">
        <v>7</v>
      </c>
      <c r="C152" s="251">
        <f>LOOKUP(T4_[[#This Row],[Etiquetas de fila]],'VALORIZACION CARTA'!B:B,'VALORIZACION CARTA'!C:C)</f>
        <v>852.38900000000001</v>
      </c>
      <c r="D152" s="251">
        <f>SUM(T4_[[#This Row],[Columna1]]*T4_[[#This Row],[Recuento de T4 CODIGO]])</f>
        <v>5966.723</v>
      </c>
    </row>
    <row r="153" spans="1:4" x14ac:dyDescent="0.25">
      <c r="A153" s="250" t="s">
        <v>559</v>
      </c>
      <c r="B153">
        <v>1</v>
      </c>
      <c r="C153" s="251">
        <f>LOOKUP(T4_[[#This Row],[Etiquetas de fila]],'VALORIZACION CARTA'!B:B,'VALORIZACION CARTA'!C:C)</f>
        <v>1392.5335</v>
      </c>
      <c r="D153" s="251">
        <f>SUM(T4_[[#This Row],[Columna1]]*T4_[[#This Row],[Recuento de T4 CODIGO]])</f>
        <v>1392.5335</v>
      </c>
    </row>
    <row r="154" spans="1:4" x14ac:dyDescent="0.25">
      <c r="A154" s="250" t="s">
        <v>560</v>
      </c>
      <c r="B154">
        <v>1</v>
      </c>
      <c r="C154" s="251">
        <f>LOOKUP(T4_[[#This Row],[Etiquetas de fila]],'VALORIZACION CARTA'!B:B,'VALORIZACION CARTA'!C:C)</f>
        <v>1236.5723125000002</v>
      </c>
      <c r="D154" s="251">
        <f>SUM(T4_[[#This Row],[Columna1]]*T4_[[#This Row],[Recuento de T4 CODIGO]])</f>
        <v>1236.5723125000002</v>
      </c>
    </row>
    <row r="155" spans="1:4" x14ac:dyDescent="0.25">
      <c r="A155" s="250" t="s">
        <v>988</v>
      </c>
      <c r="B155">
        <v>2</v>
      </c>
      <c r="C155" s="251">
        <f>LOOKUP(T4_[[#This Row],[Etiquetas de fila]],'VALORIZACION CARTA'!B:B,'VALORIZACION CARTA'!C:C)</f>
        <v>1375.6343125000001</v>
      </c>
      <c r="D155" s="251">
        <f>SUM(T4_[[#This Row],[Columna1]]*T4_[[#This Row],[Recuento de T4 CODIGO]])</f>
        <v>2751.2686250000002</v>
      </c>
    </row>
    <row r="156" spans="1:4" x14ac:dyDescent="0.25">
      <c r="A156" s="250" t="s">
        <v>989</v>
      </c>
      <c r="B156">
        <v>1</v>
      </c>
      <c r="C156" s="251">
        <f>LOOKUP(T4_[[#This Row],[Etiquetas de fila]],'VALORIZACION CARTA'!B:B,'VALORIZACION CARTA'!C:C)</f>
        <v>1137.0918125000001</v>
      </c>
      <c r="D156" s="251">
        <f>SUM(T4_[[#This Row],[Columna1]]*T4_[[#This Row],[Recuento de T4 CODIGO]])</f>
        <v>1137.0918125000001</v>
      </c>
    </row>
    <row r="157" spans="1:4" x14ac:dyDescent="0.25">
      <c r="A157" s="250" t="s">
        <v>990</v>
      </c>
      <c r="B157">
        <v>19</v>
      </c>
      <c r="C157" s="251">
        <f>LOOKUP(T4_[[#This Row],[Etiquetas de fila]],'VALORIZACION CARTA'!B:B,'VALORIZACION CARTA'!C:C)</f>
        <v>1137.0918125000001</v>
      </c>
      <c r="D157" s="251">
        <f>SUM(T4_[[#This Row],[Columna1]]*T4_[[#This Row],[Recuento de T4 CODIGO]])</f>
        <v>21604.744437500001</v>
      </c>
    </row>
    <row r="158" spans="1:4" x14ac:dyDescent="0.25">
      <c r="A158" s="250" t="s">
        <v>320</v>
      </c>
      <c r="B158">
        <v>44</v>
      </c>
      <c r="C158" s="251">
        <f>LOOKUP(T4_[[#This Row],[Etiquetas de fila]],'VALORIZACION CARTA'!B:B,'VALORIZACION CARTA'!C:C)</f>
        <v>496.56381249999998</v>
      </c>
      <c r="D158" s="251">
        <f>SUM(T4_[[#This Row],[Columna1]]*T4_[[#This Row],[Recuento de T4 CODIGO]])</f>
        <v>21848.80775</v>
      </c>
    </row>
    <row r="159" spans="1:4" x14ac:dyDescent="0.25">
      <c r="A159" s="250" t="s">
        <v>838</v>
      </c>
      <c r="B159">
        <v>36</v>
      </c>
      <c r="C159" s="251">
        <f>LOOKUP(T4_[[#This Row],[Etiquetas de fila]],'VALORIZACION CARTA'!B:B,'VALORIZACION CARTA'!C:C)</f>
        <v>1560.506625</v>
      </c>
      <c r="D159" s="251">
        <f>SUM(T4_[[#This Row],[Columna1]]*T4_[[#This Row],[Recuento de T4 CODIGO]])</f>
        <v>56178.238499999999</v>
      </c>
    </row>
    <row r="160" spans="1:4" x14ac:dyDescent="0.25">
      <c r="A160" s="250" t="s">
        <v>991</v>
      </c>
      <c r="B160">
        <v>14</v>
      </c>
      <c r="C160" s="251">
        <f>LOOKUP(T4_[[#This Row],[Etiquetas de fila]],'VALORIZACION CARTA'!B:B,'VALORIZACION CARTA'!C:C)</f>
        <v>1560.506625</v>
      </c>
      <c r="D160" s="251">
        <f>SUM(T4_[[#This Row],[Columna1]]*T4_[[#This Row],[Recuento de T4 CODIGO]])</f>
        <v>21847.09275</v>
      </c>
    </row>
    <row r="161" spans="1:4" x14ac:dyDescent="0.25">
      <c r="A161" s="250" t="s">
        <v>993</v>
      </c>
      <c r="B161">
        <v>120</v>
      </c>
      <c r="C161" s="251">
        <f>LOOKUP(T4_[[#This Row],[Etiquetas de fila]],'VALORIZACION CARTA'!B:B,'VALORIZACION CARTA'!C:C)</f>
        <v>1560.506625</v>
      </c>
      <c r="D161" s="251">
        <f>SUM(T4_[[#This Row],[Columna1]]*T4_[[#This Row],[Recuento de T4 CODIGO]])</f>
        <v>187260.79499999998</v>
      </c>
    </row>
    <row r="162" spans="1:4" x14ac:dyDescent="0.25">
      <c r="A162" s="250" t="s">
        <v>994</v>
      </c>
      <c r="B162">
        <v>5</v>
      </c>
      <c r="C162" s="251">
        <f>LOOKUP(T4_[[#This Row],[Etiquetas de fila]],'VALORIZACION CARTA'!B:B,'VALORIZACION CARTA'!C:C)</f>
        <v>2110.0743124999999</v>
      </c>
      <c r="D162" s="251">
        <f>SUM(T4_[[#This Row],[Columna1]]*T4_[[#This Row],[Recuento de T4 CODIGO]])</f>
        <v>10550.3715625</v>
      </c>
    </row>
    <row r="163" spans="1:4" x14ac:dyDescent="0.25">
      <c r="A163" s="250" t="s">
        <v>995</v>
      </c>
      <c r="B163">
        <v>18</v>
      </c>
      <c r="C163" s="251">
        <f>LOOKUP(T4_[[#This Row],[Etiquetas de fila]],'VALORIZACION CARTA'!B:B,'VALORIZACION CARTA'!C:C)</f>
        <v>1237.3248125</v>
      </c>
      <c r="D163" s="251">
        <f>SUM(T4_[[#This Row],[Columna1]]*T4_[[#This Row],[Recuento de T4 CODIGO]])</f>
        <v>22271.846624999998</v>
      </c>
    </row>
    <row r="164" spans="1:4" x14ac:dyDescent="0.25">
      <c r="A164" s="250" t="s">
        <v>321</v>
      </c>
      <c r="B164">
        <v>42</v>
      </c>
      <c r="C164" s="251">
        <f>LOOKUP(T4_[[#This Row],[Etiquetas de fila]],'VALORIZACION CARTA'!B:B,'VALORIZACION CARTA'!C:C)</f>
        <v>618.27850000000001</v>
      </c>
      <c r="D164" s="251">
        <f>SUM(T4_[[#This Row],[Columna1]]*T4_[[#This Row],[Recuento de T4 CODIGO]])</f>
        <v>25967.697</v>
      </c>
    </row>
    <row r="165" spans="1:4" x14ac:dyDescent="0.25">
      <c r="A165" s="250" t="s">
        <v>997</v>
      </c>
      <c r="B165">
        <v>17</v>
      </c>
      <c r="C165" s="251">
        <f>LOOKUP(T4_[[#This Row],[Etiquetas de fila]],'VALORIZACION CARTA'!B:B,'VALORIZACION CARTA'!C:C)</f>
        <v>485.19437499999998</v>
      </c>
      <c r="D165" s="251">
        <f>SUM(T4_[[#This Row],[Columna1]]*T4_[[#This Row],[Recuento de T4 CODIGO]])</f>
        <v>8248.3043749999997</v>
      </c>
    </row>
    <row r="166" spans="1:4" x14ac:dyDescent="0.25">
      <c r="A166" s="250" t="s">
        <v>1051</v>
      </c>
      <c r="B166">
        <v>1</v>
      </c>
      <c r="C166" s="251">
        <f>LOOKUP(T4_[[#This Row],[Etiquetas de fila]],'VALORIZACION CARTA'!B:B,'VALORIZACION CARTA'!C:C)</f>
        <v>485.19437499999998</v>
      </c>
      <c r="D166" s="251">
        <f>SUM(T4_[[#This Row],[Columna1]]*T4_[[#This Row],[Recuento de T4 CODIGO]])</f>
        <v>485.19437499999998</v>
      </c>
    </row>
    <row r="167" spans="1:4" x14ac:dyDescent="0.25">
      <c r="A167" s="250" t="s">
        <v>998</v>
      </c>
      <c r="B167">
        <v>3</v>
      </c>
      <c r="C167" s="251">
        <f>LOOKUP(T4_[[#This Row],[Etiquetas de fila]],'VALORIZACION CARTA'!B:B,'VALORIZACION CARTA'!C:C)</f>
        <v>485.19437499999998</v>
      </c>
      <c r="D167" s="251">
        <f>SUM(T4_[[#This Row],[Columna1]]*T4_[[#This Row],[Recuento de T4 CODIGO]])</f>
        <v>1455.5831249999999</v>
      </c>
    </row>
    <row r="168" spans="1:4" x14ac:dyDescent="0.25">
      <c r="A168" s="250" t="s">
        <v>999</v>
      </c>
      <c r="B168">
        <v>6</v>
      </c>
      <c r="C168" s="251">
        <f>LOOKUP(T4_[[#This Row],[Etiquetas de fila]],'VALORIZACION CARTA'!B:B,'VALORIZACION CARTA'!C:C)</f>
        <v>1532.1075000000001</v>
      </c>
      <c r="D168" s="251">
        <f>SUM(T4_[[#This Row],[Columna1]]*T4_[[#This Row],[Recuento de T4 CODIGO]])</f>
        <v>9192.6450000000004</v>
      </c>
    </row>
    <row r="169" spans="1:4" x14ac:dyDescent="0.25">
      <c r="A169" s="250" t="s">
        <v>864</v>
      </c>
      <c r="B169">
        <v>15</v>
      </c>
      <c r="C169" s="251">
        <f>LOOKUP(T4_[[#This Row],[Etiquetas de fila]],'VALORIZACION CARTA'!B:B,'VALORIZACION CARTA'!C:C)</f>
        <v>2252.9318750000002</v>
      </c>
      <c r="D169" s="251">
        <f>SUM(T4_[[#This Row],[Columna1]]*T4_[[#This Row],[Recuento de T4 CODIGO]])</f>
        <v>33793.978125000001</v>
      </c>
    </row>
    <row r="170" spans="1:4" x14ac:dyDescent="0.25">
      <c r="A170" s="250" t="s">
        <v>1052</v>
      </c>
      <c r="B170">
        <v>5</v>
      </c>
      <c r="C170" s="251">
        <f>LOOKUP(T4_[[#This Row],[Etiquetas de fila]],'VALORIZACION CARTA'!B:B,'VALORIZACION CARTA'!C:C)</f>
        <v>1978.2297499999997</v>
      </c>
      <c r="D170" s="251">
        <f>SUM(T4_[[#This Row],[Columna1]]*T4_[[#This Row],[Recuento de T4 CODIGO]])</f>
        <v>9891.1487499999985</v>
      </c>
    </row>
    <row r="171" spans="1:4" x14ac:dyDescent="0.25">
      <c r="A171" s="250" t="s">
        <v>846</v>
      </c>
      <c r="B171">
        <v>2</v>
      </c>
      <c r="C171" s="251">
        <f>LOOKUP(T4_[[#This Row],[Etiquetas de fila]],'VALORIZACION CARTA'!B:B,'VALORIZACION CARTA'!C:C)</f>
        <v>2458.1767</v>
      </c>
      <c r="D171" s="251">
        <f>SUM(T4_[[#This Row],[Columna1]]*T4_[[#This Row],[Recuento de T4 CODIGO]])</f>
        <v>4916.3534</v>
      </c>
    </row>
    <row r="172" spans="1:4" x14ac:dyDescent="0.25">
      <c r="A172" s="250" t="s">
        <v>1062</v>
      </c>
      <c r="B172">
        <v>74</v>
      </c>
      <c r="C172" s="251">
        <f>LOOKUP(T4_[[#This Row],[Etiquetas de fila]],'VALORIZACION CARTA'!B:B,'VALORIZACION CARTA'!C:C)</f>
        <v>2458.1767</v>
      </c>
      <c r="D172" s="251">
        <f>SUM(T4_[[#This Row],[Columna1]]*T4_[[#This Row],[Recuento de T4 CODIGO]])</f>
        <v>181905.07579999999</v>
      </c>
    </row>
    <row r="173" spans="1:4" x14ac:dyDescent="0.25">
      <c r="A173" s="250" t="s">
        <v>1000</v>
      </c>
      <c r="B173">
        <v>10</v>
      </c>
      <c r="C173" s="251">
        <f>LOOKUP(T4_[[#This Row],[Etiquetas de fila]],'VALORIZACION CARTA'!B:B,'VALORIZACION CARTA'!C:C)</f>
        <v>3146.3599999999997</v>
      </c>
      <c r="D173" s="251">
        <f>SUM(T4_[[#This Row],[Columna1]]*T4_[[#This Row],[Recuento de T4 CODIGO]])</f>
        <v>31463.599999999999</v>
      </c>
    </row>
    <row r="174" spans="1:4" x14ac:dyDescent="0.25">
      <c r="A174" s="250" t="s">
        <v>871</v>
      </c>
      <c r="B174">
        <v>34</v>
      </c>
      <c r="C174" s="251">
        <f>LOOKUP(T4_[[#This Row],[Etiquetas de fila]],'VALORIZACION CARTA'!B:B,'VALORIZACION CARTA'!C:C)</f>
        <v>1037.68</v>
      </c>
      <c r="D174" s="251">
        <f>SUM(T4_[[#This Row],[Columna1]]*T4_[[#This Row],[Recuento de T4 CODIGO]])</f>
        <v>35281.120000000003</v>
      </c>
    </row>
    <row r="175" spans="1:4" x14ac:dyDescent="0.25">
      <c r="A175" s="250" t="s">
        <v>839</v>
      </c>
      <c r="B175">
        <v>42</v>
      </c>
      <c r="C175" s="251">
        <f>LOOKUP(T4_[[#This Row],[Etiquetas de fila]],'VALORIZACION CARTA'!B:B,'VALORIZACION CARTA'!C:C)</f>
        <v>7892.8534999999993</v>
      </c>
      <c r="D175" s="251">
        <f>SUM(T4_[[#This Row],[Columna1]]*T4_[[#This Row],[Recuento de T4 CODIGO]])</f>
        <v>331499.84699999995</v>
      </c>
    </row>
    <row r="176" spans="1:4" x14ac:dyDescent="0.25">
      <c r="A176" s="250" t="s">
        <v>322</v>
      </c>
      <c r="B176">
        <v>32</v>
      </c>
      <c r="C176" s="251">
        <f>LOOKUP(T4_[[#This Row],[Etiquetas de fila]],'VALORIZACION CARTA'!B:B,'VALORIZACION CARTA'!C:C)</f>
        <v>820.92109749999997</v>
      </c>
      <c r="D176" s="251">
        <f>SUM(T4_[[#This Row],[Columna1]]*T4_[[#This Row],[Recuento de T4 CODIGO]])</f>
        <v>26269.475119999999</v>
      </c>
    </row>
    <row r="177" spans="1:4" x14ac:dyDescent="0.25">
      <c r="A177" s="250" t="s">
        <v>1003</v>
      </c>
      <c r="B177">
        <v>14</v>
      </c>
      <c r="C177" s="251">
        <f>LOOKUP(T4_[[#This Row],[Etiquetas de fila]],'VALORIZACION CARTA'!B:B,'VALORIZACION CARTA'!C:C)</f>
        <v>664.11019499999998</v>
      </c>
      <c r="D177" s="251">
        <f>SUM(T4_[[#This Row],[Columna1]]*T4_[[#This Row],[Recuento de T4 CODIGO]])</f>
        <v>9297.5427299999992</v>
      </c>
    </row>
    <row r="178" spans="1:4" x14ac:dyDescent="0.25">
      <c r="A178" s="250" t="s">
        <v>856</v>
      </c>
      <c r="B178">
        <v>8</v>
      </c>
      <c r="C178" s="251">
        <f>LOOKUP(T4_[[#This Row],[Etiquetas de fila]],'VALORIZACION CARTA'!B:B,'VALORIZACION CARTA'!C:C)</f>
        <v>627.93800999999996</v>
      </c>
      <c r="D178" s="251">
        <f>SUM(T4_[[#This Row],[Columna1]]*T4_[[#This Row],[Recuento de T4 CODIGO]])</f>
        <v>5023.5040799999997</v>
      </c>
    </row>
    <row r="179" spans="1:4" x14ac:dyDescent="0.25">
      <c r="A179" s="250" t="s">
        <v>630</v>
      </c>
      <c r="B179">
        <v>1</v>
      </c>
      <c r="C179" s="251">
        <f>LOOKUP(T4_[[#This Row],[Etiquetas de fila]],'VALORIZACION CARTA'!B:B,'VALORIZACION CARTA'!C:C)</f>
        <v>645.11457499999995</v>
      </c>
      <c r="D179" s="251">
        <f>SUM(T4_[[#This Row],[Columna1]]*T4_[[#This Row],[Recuento de T4 CODIGO]])</f>
        <v>645.11457499999995</v>
      </c>
    </row>
    <row r="180" spans="1:4" x14ac:dyDescent="0.25">
      <c r="A180" s="250" t="s">
        <v>323</v>
      </c>
      <c r="B180">
        <v>7</v>
      </c>
      <c r="C180" s="251">
        <f>LOOKUP(T4_[[#This Row],[Etiquetas de fila]],'VALORIZACION CARTA'!B:B,'VALORIZACION CARTA'!C:C)</f>
        <v>865.52550000000008</v>
      </c>
      <c r="D180" s="251">
        <f>SUM(T4_[[#This Row],[Columna1]]*T4_[[#This Row],[Recuento de T4 CODIGO]])</f>
        <v>6058.6785000000009</v>
      </c>
    </row>
    <row r="181" spans="1:4" x14ac:dyDescent="0.25">
      <c r="A181" s="250" t="s">
        <v>564</v>
      </c>
      <c r="B181">
        <v>3</v>
      </c>
      <c r="C181" s="251">
        <f>LOOKUP(T4_[[#This Row],[Etiquetas de fila]],'VALORIZACION CARTA'!B:B,'VALORIZACION CARTA'!C:C)</f>
        <v>2572.4454999999998</v>
      </c>
      <c r="D181" s="251">
        <f>SUM(T4_[[#This Row],[Columna1]]*T4_[[#This Row],[Recuento de T4 CODIGO]])</f>
        <v>7717.3364999999994</v>
      </c>
    </row>
    <row r="182" spans="1:4" x14ac:dyDescent="0.25">
      <c r="A182" s="250" t="s">
        <v>1005</v>
      </c>
      <c r="B182">
        <v>9</v>
      </c>
      <c r="C182" s="251">
        <f>LOOKUP(T4_[[#This Row],[Etiquetas de fila]],'VALORIZACION CARTA'!B:B,'VALORIZACION CARTA'!C:C)</f>
        <v>302.76300000000003</v>
      </c>
      <c r="D182" s="251">
        <f>SUM(T4_[[#This Row],[Columna1]]*T4_[[#This Row],[Recuento de T4 CODIGO]])</f>
        <v>2724.8670000000002</v>
      </c>
    </row>
    <row r="183" spans="1:4" x14ac:dyDescent="0.25">
      <c r="A183" s="250" t="s">
        <v>1006</v>
      </c>
      <c r="B183">
        <v>9</v>
      </c>
      <c r="C183" s="251">
        <f>LOOKUP(T4_[[#This Row],[Etiquetas de fila]],'VALORIZACION CARTA'!B:B,'VALORIZACION CARTA'!C:C)</f>
        <v>664.35</v>
      </c>
      <c r="D183" s="251">
        <f>SUM(T4_[[#This Row],[Columna1]]*T4_[[#This Row],[Recuento de T4 CODIGO]])</f>
        <v>5979.1500000000005</v>
      </c>
    </row>
    <row r="184" spans="1:4" x14ac:dyDescent="0.25">
      <c r="A184" s="250" t="s">
        <v>850</v>
      </c>
      <c r="B184">
        <v>14</v>
      </c>
      <c r="C184" s="251">
        <f>LOOKUP(T4_[[#This Row],[Etiquetas de fila]],'VALORIZACION CARTA'!B:B,'VALORIZACION CARTA'!C:C)</f>
        <v>317.40450000000004</v>
      </c>
      <c r="D184" s="251">
        <f>SUM(T4_[[#This Row],[Columna1]]*T4_[[#This Row],[Recuento de T4 CODIGO]])</f>
        <v>4443.6630000000005</v>
      </c>
    </row>
    <row r="185" spans="1:4" x14ac:dyDescent="0.25">
      <c r="A185" s="250" t="s">
        <v>849</v>
      </c>
      <c r="B185">
        <v>6</v>
      </c>
      <c r="C185" s="251">
        <f>LOOKUP(T4_[[#This Row],[Etiquetas de fila]],'VALORIZACION CARTA'!B:B,'VALORIZACION CARTA'!C:C)</f>
        <v>664.24679999999989</v>
      </c>
      <c r="D185" s="251">
        <f>SUM(T4_[[#This Row],[Columna1]]*T4_[[#This Row],[Recuento de T4 CODIGO]])</f>
        <v>3985.4807999999994</v>
      </c>
    </row>
    <row r="186" spans="1:4" x14ac:dyDescent="0.25">
      <c r="A186" s="250" t="s">
        <v>631</v>
      </c>
      <c r="B186">
        <v>1</v>
      </c>
      <c r="C186" s="251">
        <f>LOOKUP(T4_[[#This Row],[Etiquetas de fila]],'VALORIZACION CARTA'!B:B,'VALORIZACION CARTA'!C:C)</f>
        <v>1305.48</v>
      </c>
      <c r="D186" s="251">
        <f>SUM(T4_[[#This Row],[Columna1]]*T4_[[#This Row],[Recuento de T4 CODIGO]])</f>
        <v>1305.48</v>
      </c>
    </row>
    <row r="187" spans="1:4" x14ac:dyDescent="0.25">
      <c r="A187" s="250" t="s">
        <v>1053</v>
      </c>
      <c r="B187">
        <v>1</v>
      </c>
      <c r="C187" s="251">
        <f>LOOKUP(T4_[[#This Row],[Etiquetas de fila]],'VALORIZACION CARTA'!B:B,'VALORIZACION CARTA'!C:C)</f>
        <v>1305.48</v>
      </c>
      <c r="D187" s="251">
        <f>SUM(T4_[[#This Row],[Columna1]]*T4_[[#This Row],[Recuento de T4 CODIGO]])</f>
        <v>1305.48</v>
      </c>
    </row>
    <row r="188" spans="1:4" x14ac:dyDescent="0.25">
      <c r="A188" s="250" t="s">
        <v>808</v>
      </c>
      <c r="B188">
        <v>1</v>
      </c>
      <c r="C188" s="251">
        <f>LOOKUP(T4_[[#This Row],[Etiquetas de fila]],'VALORIZACION CARTA'!B:B,'VALORIZACION CARTA'!C:C)</f>
        <v>1255.8760199999999</v>
      </c>
      <c r="D188" s="251">
        <f>SUM(T4_[[#This Row],[Columna1]]*T4_[[#This Row],[Recuento de T4 CODIGO]])</f>
        <v>1255.8760199999999</v>
      </c>
    </row>
    <row r="189" spans="1:4" x14ac:dyDescent="0.25">
      <c r="A189" s="250" t="s">
        <v>604</v>
      </c>
      <c r="B189">
        <v>3</v>
      </c>
      <c r="C189" s="251">
        <f>LOOKUP(T4_[[#This Row],[Etiquetas de fila]],'VALORIZACION CARTA'!B:B,'VALORIZACION CARTA'!C:C)</f>
        <v>1255.8760199999999</v>
      </c>
      <c r="D189" s="251">
        <f>SUM(T4_[[#This Row],[Columna1]]*T4_[[#This Row],[Recuento de T4 CODIGO]])</f>
        <v>3767.62806</v>
      </c>
    </row>
    <row r="190" spans="1:4" x14ac:dyDescent="0.25">
      <c r="A190" s="250" t="s">
        <v>867</v>
      </c>
      <c r="B190">
        <v>4</v>
      </c>
      <c r="C190" s="251">
        <f>LOOKUP(T4_[[#This Row],[Etiquetas de fila]],'VALORIZACION CARTA'!B:B,'VALORIZACION CARTA'!C:C)</f>
        <v>704.62379999999996</v>
      </c>
      <c r="D190" s="251">
        <f>SUM(T4_[[#This Row],[Columna1]]*T4_[[#This Row],[Recuento de T4 CODIGO]])</f>
        <v>2818.4951999999998</v>
      </c>
    </row>
    <row r="191" spans="1:4" x14ac:dyDescent="0.25">
      <c r="A191" s="250" t="s">
        <v>847</v>
      </c>
      <c r="B191">
        <v>13</v>
      </c>
      <c r="C191" s="251">
        <f>LOOKUP(T4_[[#This Row],[Etiquetas de fila]],'VALORIZACION CARTA'!B:B,'VALORIZACION CARTA'!C:C)</f>
        <v>665.51099999999997</v>
      </c>
      <c r="D191" s="251">
        <f>SUM(T4_[[#This Row],[Columna1]]*T4_[[#This Row],[Recuento de T4 CODIGO]])</f>
        <v>8651.643</v>
      </c>
    </row>
    <row r="192" spans="1:4" x14ac:dyDescent="0.25">
      <c r="A192" s="250" t="s">
        <v>1009</v>
      </c>
      <c r="B192">
        <v>2</v>
      </c>
      <c r="C192" s="251">
        <f>LOOKUP(T4_[[#This Row],[Etiquetas de fila]],'VALORIZACION CARTA'!B:B,'VALORIZACION CARTA'!C:C)</f>
        <v>301.85999999999996</v>
      </c>
      <c r="D192" s="251">
        <f>SUM(T4_[[#This Row],[Columna1]]*T4_[[#This Row],[Recuento de T4 CODIGO]])</f>
        <v>603.71999999999991</v>
      </c>
    </row>
    <row r="193" spans="1:4" x14ac:dyDescent="0.25">
      <c r="A193" s="250" t="s">
        <v>1054</v>
      </c>
      <c r="B193">
        <v>2</v>
      </c>
      <c r="C193" s="251">
        <f>LOOKUP(T4_[[#This Row],[Etiquetas de fila]],'VALORIZACION CARTA'!B:B,'VALORIZACION CARTA'!C:C)</f>
        <v>704.64960000000008</v>
      </c>
      <c r="D193" s="251">
        <f>SUM(T4_[[#This Row],[Columna1]]*T4_[[#This Row],[Recuento de T4 CODIGO]])</f>
        <v>1409.2992000000002</v>
      </c>
    </row>
    <row r="194" spans="1:4" x14ac:dyDescent="0.25">
      <c r="A194" s="250" t="s">
        <v>1055</v>
      </c>
      <c r="B194">
        <v>2</v>
      </c>
      <c r="C194" s="251">
        <f>LOOKUP(T4_[[#This Row],[Etiquetas de fila]],'VALORIZACION CARTA'!B:B,'VALORIZACION CARTA'!C:C)</f>
        <v>704.62379999999996</v>
      </c>
      <c r="D194" s="251">
        <f>SUM(T4_[[#This Row],[Columna1]]*T4_[[#This Row],[Recuento de T4 CODIGO]])</f>
        <v>1409.2475999999999</v>
      </c>
    </row>
    <row r="195" spans="1:4" x14ac:dyDescent="0.25">
      <c r="A195" s="250" t="s">
        <v>855</v>
      </c>
      <c r="B195">
        <v>6</v>
      </c>
      <c r="C195" s="251">
        <f>LOOKUP(T4_[[#This Row],[Etiquetas de fila]],'VALORIZACION CARTA'!B:B,'VALORIZACION CARTA'!C:C)</f>
        <v>2202.8982500000002</v>
      </c>
      <c r="D195" s="251">
        <f>SUM(T4_[[#This Row],[Columna1]]*T4_[[#This Row],[Recuento de T4 CODIGO]])</f>
        <v>13217.389500000001</v>
      </c>
    </row>
    <row r="196" spans="1:4" x14ac:dyDescent="0.25">
      <c r="A196" s="250" t="s">
        <v>860</v>
      </c>
      <c r="B196">
        <v>19</v>
      </c>
      <c r="C196" s="251">
        <f>LOOKUP(T4_[[#This Row],[Etiquetas de fila]],'VALORIZACION CARTA'!B:B,'VALORIZACION CARTA'!C:C)</f>
        <v>1804.2482499999999</v>
      </c>
      <c r="D196" s="251">
        <f>SUM(T4_[[#This Row],[Columna1]]*T4_[[#This Row],[Recuento de T4 CODIGO]])</f>
        <v>34280.71675</v>
      </c>
    </row>
    <row r="197" spans="1:4" x14ac:dyDescent="0.25">
      <c r="A197" s="250" t="s">
        <v>324</v>
      </c>
      <c r="B197">
        <v>27</v>
      </c>
      <c r="C197" s="251">
        <f>LOOKUP(T4_[[#This Row],[Etiquetas de fila]],'VALORIZACION CARTA'!B:B,'VALORIZACION CARTA'!C:C)</f>
        <v>1744.7482500000001</v>
      </c>
      <c r="D197" s="251">
        <f>SUM(T4_[[#This Row],[Columna1]]*T4_[[#This Row],[Recuento de T4 CODIGO]])</f>
        <v>47108.202750000004</v>
      </c>
    </row>
    <row r="198" spans="1:4" x14ac:dyDescent="0.25">
      <c r="A198" s="250" t="s">
        <v>835</v>
      </c>
      <c r="B198">
        <v>17</v>
      </c>
      <c r="C198" s="251">
        <f>LOOKUP(T4_[[#This Row],[Etiquetas de fila]],'VALORIZACION CARTA'!B:B,'VALORIZACION CARTA'!C:C)</f>
        <v>1674.93</v>
      </c>
      <c r="D198" s="251">
        <f>SUM(T4_[[#This Row],[Columna1]]*T4_[[#This Row],[Recuento de T4 CODIGO]])</f>
        <v>28473.81</v>
      </c>
    </row>
    <row r="199" spans="1:4" x14ac:dyDescent="0.25">
      <c r="A199" s="250" t="s">
        <v>1012</v>
      </c>
      <c r="B199">
        <v>3</v>
      </c>
      <c r="C199" s="251">
        <f>LOOKUP(T4_[[#This Row],[Etiquetas de fila]],'VALORIZACION CARTA'!B:B,'VALORIZACION CARTA'!C:C)</f>
        <v>1042.57</v>
      </c>
      <c r="D199" s="251">
        <f>SUM(T4_[[#This Row],[Columna1]]*T4_[[#This Row],[Recuento de T4 CODIGO]])</f>
        <v>3127.71</v>
      </c>
    </row>
    <row r="200" spans="1:4" x14ac:dyDescent="0.25">
      <c r="A200" s="250" t="s">
        <v>1013</v>
      </c>
      <c r="B200">
        <v>1</v>
      </c>
      <c r="C200" s="251">
        <f>LOOKUP(T4_[[#This Row],[Etiquetas de fila]],'VALORIZACION CARTA'!B:B,'VALORIZACION CARTA'!C:C)</f>
        <v>1106.96</v>
      </c>
      <c r="D200" s="251">
        <f>SUM(T4_[[#This Row],[Columna1]]*T4_[[#This Row],[Recuento de T4 CODIGO]])</f>
        <v>1106.96</v>
      </c>
    </row>
    <row r="201" spans="1:4" x14ac:dyDescent="0.25">
      <c r="A201" s="250" t="s">
        <v>1015</v>
      </c>
      <c r="B201">
        <v>10</v>
      </c>
      <c r="C201" s="251">
        <f>LOOKUP(T4_[[#This Row],[Etiquetas de fila]],'VALORIZACION CARTA'!B:B,'VALORIZACION CARTA'!C:C)</f>
        <v>311.02222499999999</v>
      </c>
      <c r="D201" s="251">
        <f>SUM(T4_[[#This Row],[Columna1]]*T4_[[#This Row],[Recuento de T4 CODIGO]])</f>
        <v>3110.2222499999998</v>
      </c>
    </row>
    <row r="202" spans="1:4" x14ac:dyDescent="0.25">
      <c r="A202" s="250" t="s">
        <v>836</v>
      </c>
      <c r="B202">
        <v>145</v>
      </c>
      <c r="C202" s="251">
        <f>LOOKUP(T4_[[#This Row],[Etiquetas de fila]],'VALORIZACION CARTA'!B:B,'VALORIZACION CARTA'!C:C)</f>
        <v>879.64050000000009</v>
      </c>
      <c r="D202" s="251">
        <f>SUM(T4_[[#This Row],[Columna1]]*T4_[[#This Row],[Recuento de T4 CODIGO]])</f>
        <v>127547.87250000001</v>
      </c>
    </row>
    <row r="203" spans="1:4" x14ac:dyDescent="0.25">
      <c r="A203" s="250" t="s">
        <v>633</v>
      </c>
      <c r="B203">
        <v>2</v>
      </c>
      <c r="C203" s="251">
        <f>LOOKUP(T4_[[#This Row],[Etiquetas de fila]],'VALORIZACION CARTA'!B:B,'VALORIZACION CARTA'!C:C)</f>
        <v>879.64050000000009</v>
      </c>
      <c r="D203" s="251">
        <f>SUM(T4_[[#This Row],[Columna1]]*T4_[[#This Row],[Recuento de T4 CODIGO]])</f>
        <v>1759.2810000000002</v>
      </c>
    </row>
    <row r="204" spans="1:4" x14ac:dyDescent="0.25">
      <c r="A204" s="250" t="s">
        <v>1018</v>
      </c>
      <c r="B204">
        <v>4</v>
      </c>
      <c r="C204" s="251">
        <f>LOOKUP(T4_[[#This Row],[Etiquetas de fila]],'VALORIZACION CARTA'!B:B,'VALORIZACION CARTA'!C:C)</f>
        <v>576.65332750000005</v>
      </c>
      <c r="D204" s="251">
        <f>SUM(T4_[[#This Row],[Columna1]]*T4_[[#This Row],[Recuento de T4 CODIGO]])</f>
        <v>2306.6133100000002</v>
      </c>
    </row>
    <row r="205" spans="1:4" x14ac:dyDescent="0.25">
      <c r="A205" s="250" t="s">
        <v>1020</v>
      </c>
      <c r="B205">
        <v>2</v>
      </c>
      <c r="C205" s="251">
        <f>LOOKUP(T4_[[#This Row],[Etiquetas de fila]],'VALORIZACION CARTA'!B:B,'VALORIZACION CARTA'!C:C)</f>
        <v>1481.9132999999999</v>
      </c>
      <c r="D205" s="251">
        <f>SUM(T4_[[#This Row],[Columna1]]*T4_[[#This Row],[Recuento de T4 CODIGO]])</f>
        <v>2963.8265999999999</v>
      </c>
    </row>
    <row r="206" spans="1:4" x14ac:dyDescent="0.25">
      <c r="A206" s="250" t="s">
        <v>837</v>
      </c>
      <c r="B206">
        <v>16</v>
      </c>
      <c r="C206" s="251">
        <f>LOOKUP(T4_[[#This Row],[Etiquetas de fila]],'VALORIZACION CARTA'!B:B,'VALORIZACION CARTA'!C:C)</f>
        <v>9038.2820499999998</v>
      </c>
      <c r="D206" s="251">
        <f>SUM(T4_[[#This Row],[Columna1]]*T4_[[#This Row],[Recuento de T4 CODIGO]])</f>
        <v>144612.5128</v>
      </c>
    </row>
    <row r="207" spans="1:4" x14ac:dyDescent="0.25">
      <c r="A207" s="250" t="s">
        <v>840</v>
      </c>
      <c r="B207">
        <v>10</v>
      </c>
      <c r="C207" s="251">
        <f>LOOKUP(T4_[[#This Row],[Etiquetas de fila]],'VALORIZACION CARTA'!B:B,'VALORIZACION CARTA'!C:C)</f>
        <v>704.64960000000008</v>
      </c>
      <c r="D207" s="251">
        <f>SUM(T4_[[#This Row],[Columna1]]*T4_[[#This Row],[Recuento de T4 CODIGO]])</f>
        <v>7046.496000000001</v>
      </c>
    </row>
    <row r="208" spans="1:4" x14ac:dyDescent="0.25">
      <c r="A208" s="250" t="s">
        <v>1021</v>
      </c>
      <c r="B208">
        <v>4</v>
      </c>
      <c r="C208" s="251">
        <f>LOOKUP(T4_[[#This Row],[Etiquetas de fila]],'VALORIZACION CARTA'!B:B,'VALORIZACION CARTA'!C:C)</f>
        <v>704.62379999999996</v>
      </c>
      <c r="D208" s="251">
        <f>SUM(T4_[[#This Row],[Columna1]]*T4_[[#This Row],[Recuento de T4 CODIGO]])</f>
        <v>2818.4951999999998</v>
      </c>
    </row>
    <row r="209" spans="1:4" x14ac:dyDescent="0.25">
      <c r="A209" s="250" t="s">
        <v>1022</v>
      </c>
      <c r="B209">
        <v>5</v>
      </c>
      <c r="C209" s="251">
        <f>LOOKUP(T4_[[#This Row],[Etiquetas de fila]],'VALORIZACION CARTA'!B:B,'VALORIZACION CARTA'!C:C)</f>
        <v>816.07499999999993</v>
      </c>
      <c r="D209" s="251">
        <f>SUM(T4_[[#This Row],[Columna1]]*T4_[[#This Row],[Recuento de T4 CODIGO]])</f>
        <v>4080.3749999999995</v>
      </c>
    </row>
    <row r="210" spans="1:4" x14ac:dyDescent="0.25">
      <c r="A210" s="250" t="s">
        <v>848</v>
      </c>
      <c r="B210">
        <v>7</v>
      </c>
      <c r="C210" s="251">
        <f>LOOKUP(T4_[[#This Row],[Etiquetas de fila]],'VALORIZACION CARTA'!B:B,'VALORIZACION CARTA'!C:C)</f>
        <v>802.1090999999999</v>
      </c>
      <c r="D210" s="251">
        <f>SUM(T4_[[#This Row],[Columna1]]*T4_[[#This Row],[Recuento de T4 CODIGO]])</f>
        <v>5614.7636999999995</v>
      </c>
    </row>
    <row r="211" spans="1:4" x14ac:dyDescent="0.25">
      <c r="A211" s="250" t="s">
        <v>851</v>
      </c>
      <c r="B211">
        <v>1</v>
      </c>
      <c r="C211" s="251">
        <f>LOOKUP(T4_[[#This Row],[Etiquetas de fila]],'VALORIZACION CARTA'!B:B,'VALORIZACION CARTA'!C:C)</f>
        <v>1629.7215000000001</v>
      </c>
      <c r="D211" s="251">
        <f>SUM(T4_[[#This Row],[Columna1]]*T4_[[#This Row],[Recuento de T4 CODIGO]])</f>
        <v>1629.7215000000001</v>
      </c>
    </row>
    <row r="212" spans="1:4" x14ac:dyDescent="0.25">
      <c r="A212" s="250" t="s">
        <v>1023</v>
      </c>
      <c r="B212">
        <v>2</v>
      </c>
      <c r="C212" s="251">
        <f>LOOKUP(T4_[[#This Row],[Etiquetas de fila]],'VALORIZACION CARTA'!B:B,'VALORIZACION CARTA'!C:C)</f>
        <v>1861.9429999999998</v>
      </c>
      <c r="D212" s="251">
        <f>SUM(T4_[[#This Row],[Columna1]]*T4_[[#This Row],[Recuento de T4 CODIGO]])</f>
        <v>3723.8859999999995</v>
      </c>
    </row>
    <row r="213" spans="1:4" x14ac:dyDescent="0.25">
      <c r="A213" s="250" t="s">
        <v>326</v>
      </c>
      <c r="B213">
        <v>4</v>
      </c>
      <c r="C213" s="251">
        <f>LOOKUP(T4_[[#This Row],[Etiquetas de fila]],'VALORIZACION CARTA'!B:B,'VALORIZACION CARTA'!C:C)</f>
        <v>15478.01006557377</v>
      </c>
      <c r="D213" s="251">
        <f>SUM(T4_[[#This Row],[Columna1]]*T4_[[#This Row],[Recuento de T4 CODIGO]])</f>
        <v>61912.040262295079</v>
      </c>
    </row>
    <row r="214" spans="1:4" x14ac:dyDescent="0.25">
      <c r="A214" s="250" t="s">
        <v>852</v>
      </c>
      <c r="B214">
        <v>33</v>
      </c>
      <c r="C214" s="251">
        <f>LOOKUP(T4_[[#This Row],[Etiquetas de fila]],'VALORIZACION CARTA'!B:B,'VALORIZACION CARTA'!C:C)</f>
        <v>4127.4879841666661</v>
      </c>
      <c r="D214" s="251">
        <f>SUM(T4_[[#This Row],[Columna1]]*T4_[[#This Row],[Recuento de T4 CODIGO]])</f>
        <v>136207.10347749997</v>
      </c>
    </row>
    <row r="215" spans="1:4" x14ac:dyDescent="0.25">
      <c r="A215" s="250" t="s">
        <v>887</v>
      </c>
      <c r="B215">
        <v>2</v>
      </c>
      <c r="C215" s="251">
        <f>LOOKUP(T4_[[#This Row],[Etiquetas de fila]],'VALORIZACION CARTA'!B:B,'VALORIZACION CARTA'!C:C)</f>
        <v>2331.10721375</v>
      </c>
      <c r="D215" s="251">
        <f>SUM(T4_[[#This Row],[Columna1]]*T4_[[#This Row],[Recuento de T4 CODIGO]])</f>
        <v>4662.2144275000001</v>
      </c>
    </row>
    <row r="216" spans="1:4" x14ac:dyDescent="0.25">
      <c r="A216" s="250" t="s">
        <v>1025</v>
      </c>
      <c r="B216">
        <v>1</v>
      </c>
      <c r="C216" s="251">
        <f>LOOKUP(T4_[[#This Row],[Etiquetas de fila]],'VALORIZACION CARTA'!B:B,'VALORIZACION CARTA'!C:C)</f>
        <v>3276.0308749999999</v>
      </c>
      <c r="D216" s="251">
        <f>SUM(T4_[[#This Row],[Columna1]]*T4_[[#This Row],[Recuento de T4 CODIGO]])</f>
        <v>3276.0308749999999</v>
      </c>
    </row>
    <row r="217" spans="1:4" x14ac:dyDescent="0.25">
      <c r="A217" s="250" t="s">
        <v>861</v>
      </c>
      <c r="B217">
        <v>12</v>
      </c>
      <c r="C217" s="251">
        <f>LOOKUP(T4_[[#This Row],[Etiquetas de fila]],'VALORIZACION CARTA'!B:B,'VALORIZACION CARTA'!C:C)</f>
        <v>4263.1154999999999</v>
      </c>
      <c r="D217" s="251">
        <f>SUM(T4_[[#This Row],[Columna1]]*T4_[[#This Row],[Recuento de T4 CODIGO]])</f>
        <v>51157.385999999999</v>
      </c>
    </row>
    <row r="218" spans="1:4" x14ac:dyDescent="0.25">
      <c r="A218" s="250" t="s">
        <v>842</v>
      </c>
      <c r="B218">
        <v>21</v>
      </c>
      <c r="C218" s="251">
        <f>LOOKUP(T4_[[#This Row],[Etiquetas de fila]],'VALORIZACION CARTA'!B:B,'VALORIZACION CARTA'!C:C)</f>
        <v>841.05419999999992</v>
      </c>
      <c r="D218" s="251">
        <f>SUM(T4_[[#This Row],[Columna1]]*T4_[[#This Row],[Recuento de T4 CODIGO]])</f>
        <v>17662.138199999998</v>
      </c>
    </row>
    <row r="219" spans="1:4" x14ac:dyDescent="0.25">
      <c r="A219" s="250" t="s">
        <v>883</v>
      </c>
      <c r="B219">
        <v>8</v>
      </c>
      <c r="C219" s="251">
        <f>LOOKUP(T4_[[#This Row],[Etiquetas de fila]],'VALORIZACION CARTA'!B:B,'VALORIZACION CARTA'!C:C)</f>
        <v>623.55092999999999</v>
      </c>
      <c r="D219" s="251">
        <f>SUM(T4_[[#This Row],[Columna1]]*T4_[[#This Row],[Recuento de T4 CODIGO]])</f>
        <v>4988.40744</v>
      </c>
    </row>
    <row r="220" spans="1:4" x14ac:dyDescent="0.25">
      <c r="A220" s="250" t="s">
        <v>1028</v>
      </c>
      <c r="B220">
        <v>7</v>
      </c>
      <c r="C220" s="251">
        <f>LOOKUP(T4_[[#This Row],[Etiquetas de fila]],'VALORIZACION CARTA'!B:B,'VALORIZACION CARTA'!C:C)</f>
        <v>1011.9253666666666</v>
      </c>
      <c r="D220" s="251">
        <f>SUM(T4_[[#This Row],[Columna1]]*T4_[[#This Row],[Recuento de T4 CODIGO]])</f>
        <v>7083.4775666666665</v>
      </c>
    </row>
    <row r="221" spans="1:4" x14ac:dyDescent="0.25">
      <c r="A221" s="250" t="s">
        <v>1029</v>
      </c>
      <c r="B221">
        <v>1</v>
      </c>
      <c r="C221" s="251">
        <f>LOOKUP(T4_[[#This Row],[Etiquetas de fila]],'VALORIZACION CARTA'!B:B,'VALORIZACION CARTA'!C:C)</f>
        <v>1011.9253666666666</v>
      </c>
      <c r="D221" s="251">
        <f>SUM(T4_[[#This Row],[Columna1]]*T4_[[#This Row],[Recuento de T4 CODIGO]])</f>
        <v>1011.9253666666666</v>
      </c>
    </row>
    <row r="222" spans="1:4" x14ac:dyDescent="0.25">
      <c r="A222" s="250" t="s">
        <v>1030</v>
      </c>
      <c r="B222">
        <v>4</v>
      </c>
      <c r="C222" s="251">
        <f>LOOKUP(T4_[[#This Row],[Etiquetas de fila]],'VALORIZACION CARTA'!B:B,'VALORIZACION CARTA'!C:C)</f>
        <v>1011.9253666666666</v>
      </c>
      <c r="D222" s="251">
        <f>SUM(T4_[[#This Row],[Columna1]]*T4_[[#This Row],[Recuento de T4 CODIGO]])</f>
        <v>4047.7014666666664</v>
      </c>
    </row>
    <row r="223" spans="1:4" x14ac:dyDescent="0.25">
      <c r="A223" s="250" t="s">
        <v>866</v>
      </c>
      <c r="B223">
        <v>3</v>
      </c>
      <c r="C223" s="251">
        <f>LOOKUP(T4_[[#This Row],[Etiquetas de fila]],'VALORIZACION CARTA'!B:B,'VALORIZACION CARTA'!C:C)</f>
        <v>1011.9253666666666</v>
      </c>
      <c r="D223" s="251">
        <f>SUM(T4_[[#This Row],[Columna1]]*T4_[[#This Row],[Recuento de T4 CODIGO]])</f>
        <v>3035.7761</v>
      </c>
    </row>
    <row r="224" spans="1:4" x14ac:dyDescent="0.25">
      <c r="A224" s="250" t="s">
        <v>868</v>
      </c>
      <c r="B224">
        <v>3</v>
      </c>
      <c r="C224" s="251">
        <f>LOOKUP(T4_[[#This Row],[Etiquetas de fila]],'VALORIZACION CARTA'!B:B,'VALORIZACION CARTA'!C:C)</f>
        <v>1011.9253666666666</v>
      </c>
      <c r="D224" s="251">
        <f>SUM(T4_[[#This Row],[Columna1]]*T4_[[#This Row],[Recuento de T4 CODIGO]])</f>
        <v>3035.7761</v>
      </c>
    </row>
    <row r="225" spans="1:4" x14ac:dyDescent="0.25">
      <c r="A225" s="250" t="s">
        <v>1031</v>
      </c>
      <c r="B225">
        <v>3783</v>
      </c>
      <c r="C225" s="251">
        <f>LOOKUP(T4_[[#This Row],[Etiquetas de fila]],'VALORIZACION CARTA'!B:B,'VALORIZACION CARTA'!C:C)</f>
        <v>675.04281250000008</v>
      </c>
      <c r="D225" s="251">
        <f>SUM(T4_[[#This Row],[Columna1]]*T4_[[#This Row],[Recuento de T4 CODIGO]])</f>
        <v>2553686.9596875003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2EA64-3F97-494E-8635-DDD8507D7602}">
  <sheetPr codeName="Hoja9"/>
  <dimension ref="A2:C400"/>
  <sheetViews>
    <sheetView zoomScale="90" zoomScaleNormal="90" workbookViewId="0">
      <selection activeCell="B2" sqref="B2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1</v>
      </c>
      <c r="B3" t="str">
        <f>TRANSPOSE(T5_[Etiquetas de fila])</f>
        <v>Absolut Blue</v>
      </c>
      <c r="C3">
        <f>TRANSPOSE(T5_[Recuento de T5 CODIGO])</f>
        <v>1</v>
      </c>
    </row>
    <row r="4" spans="1:3" x14ac:dyDescent="0.25">
      <c r="A4" t="b">
        <f>IFERROR(IF(MATCH(B4,RECETAS!$A$2:$A$1700,0) &lt;&gt; "", TRUE,""),FALSE)</f>
        <v>0</v>
      </c>
      <c r="B4" t="str">
        <f>TRANSPOSE(T5_[Etiquetas de fila])</f>
        <v>AJI VERDE SOUR</v>
      </c>
      <c r="C4">
        <f>TRANSPOSE(T5_[Recuento de T5 CODIGO])</f>
        <v>3</v>
      </c>
    </row>
    <row r="5" spans="1:3" x14ac:dyDescent="0.25">
      <c r="A5" t="b">
        <f>IFERROR(IF(MATCH(B5,RECETAS!$A$2:$A$1700,0) &lt;&gt; "", TRUE,""),FALSE)</f>
        <v>1</v>
      </c>
      <c r="B5" t="str">
        <f>TRANSPOSE(T5_[Etiquetas de fila])</f>
        <v>Alto 40° Transparente</v>
      </c>
      <c r="C5">
        <f>TRANSPOSE(T5_[Recuento de T5 CODIGO])</f>
        <v>2</v>
      </c>
    </row>
    <row r="6" spans="1:3" x14ac:dyDescent="0.25">
      <c r="A6" t="b">
        <f>IFERROR(IF(MATCH(B6,RECETAS!$A$2:$A$1700,0) &lt;&gt; "", TRUE,""),FALSE)</f>
        <v>1</v>
      </c>
      <c r="B6" t="str">
        <f>TRANSPOSE(T5_[Etiquetas de fila])</f>
        <v>Alto del Carmen 35°</v>
      </c>
      <c r="C6">
        <f>TRANSPOSE(T5_[Recuento de T5 CODIGO])</f>
        <v>5</v>
      </c>
    </row>
    <row r="7" spans="1:3" x14ac:dyDescent="0.25">
      <c r="A7" t="b">
        <f>IFERROR(IF(MATCH(B7,RECETAS!$A$2:$A$1700,0) &lt;&gt; "", TRUE,""),FALSE)</f>
        <v>1</v>
      </c>
      <c r="B7" t="str">
        <f>TRANSPOSE(T5_[Etiquetas de fila])</f>
        <v>Alto del Carmen 40°</v>
      </c>
      <c r="C7">
        <f>TRANSPOSE(T5_[Recuento de T5 CODIGO])</f>
        <v>2</v>
      </c>
    </row>
    <row r="8" spans="1:3" x14ac:dyDescent="0.25">
      <c r="A8" t="b">
        <f>IFERROR(IF(MATCH(B8,RECETAS!$A$2:$A$1700,0) &lt;&gt; "", TRUE,""),FALSE)</f>
        <v>1</v>
      </c>
      <c r="B8" t="str">
        <f>TRANSPOSE(T5_[Etiquetas de fila])</f>
        <v>Aperol Spritz</v>
      </c>
      <c r="C8">
        <f>TRANSPOSE(T5_[Recuento de T5 CODIGO])</f>
        <v>19</v>
      </c>
    </row>
    <row r="9" spans="1:3" x14ac:dyDescent="0.25">
      <c r="A9" t="b">
        <f>IFERROR(IF(MATCH(B9,RECETAS!$A$2:$A$1700,0) &lt;&gt; "", TRUE,""),FALSE)</f>
        <v>0</v>
      </c>
      <c r="B9" t="str">
        <f>TRANSPOSE(T5_[Etiquetas de fila])</f>
        <v>B.CRUDO</v>
      </c>
      <c r="C9">
        <f>TRANSPOSE(T5_[Recuento de T5 CODIGO])</f>
        <v>4</v>
      </c>
    </row>
    <row r="10" spans="1:3" x14ac:dyDescent="0.25">
      <c r="A10" t="b">
        <f>IFERROR(IF(MATCH(B10,RECETAS!$A$2:$A$1700,0) &lt;&gt; "", TRUE,""),FALSE)</f>
        <v>1</v>
      </c>
      <c r="B10" t="str">
        <f>TRANSPOSE(T5_[Etiquetas de fila])</f>
        <v>Baileys</v>
      </c>
      <c r="C10">
        <f>TRANSPOSE(T5_[Recuento de T5 CODIGO])</f>
        <v>2</v>
      </c>
    </row>
    <row r="11" spans="1:3" x14ac:dyDescent="0.25">
      <c r="A11" t="b">
        <f>IFERROR(IF(MATCH(B11,RECETAS!$A$2:$A$1700,0) &lt;&gt; "", TRUE,""),FALSE)</f>
        <v>1</v>
      </c>
      <c r="B11" t="str">
        <f>TRANSPOSE(T5_[Etiquetas de fila])</f>
        <v>Beach Boys</v>
      </c>
      <c r="C11">
        <f>TRANSPOSE(T5_[Recuento de T5 CODIGO])</f>
        <v>4</v>
      </c>
    </row>
    <row r="12" spans="1:3" x14ac:dyDescent="0.25">
      <c r="A12" t="b">
        <f>IFERROR(IF(MATCH(B12,RECETAS!$A$2:$A$1700,0) &lt;&gt; "", TRUE,""),FALSE)</f>
        <v>1</v>
      </c>
      <c r="B12" t="str">
        <f>TRANSPOSE(T5_[Etiquetas de fila])</f>
        <v>Berlin Mule</v>
      </c>
      <c r="C12">
        <f>TRANSPOSE(T5_[Recuento de T5 CODIGO])</f>
        <v>1</v>
      </c>
    </row>
    <row r="13" spans="1:3" x14ac:dyDescent="0.25">
      <c r="A13" t="b">
        <f>IFERROR(IF(MATCH(B13,RECETAS!$A$2:$A$1700,0) &lt;&gt; "", TRUE,""),FALSE)</f>
        <v>1</v>
      </c>
      <c r="B13" t="str">
        <f>TRANSPOSE(T5_[Etiquetas de fila])</f>
        <v>Big Mechada</v>
      </c>
      <c r="C13">
        <f>TRANSPOSE(T5_[Recuento de T5 CODIGO])</f>
        <v>39</v>
      </c>
    </row>
    <row r="14" spans="1:3" x14ac:dyDescent="0.25">
      <c r="A14" t="b">
        <f>IFERROR(IF(MATCH(B14,RECETAS!$A$2:$A$1700,0) &lt;&gt; "", TRUE,""),FALSE)</f>
        <v>1</v>
      </c>
      <c r="B14" t="str">
        <f>TRANSPOSE(T5_[Etiquetas de fila])</f>
        <v>Black Russian</v>
      </c>
      <c r="C14">
        <f>TRANSPOSE(T5_[Recuento de T5 CODIGO])</f>
        <v>2</v>
      </c>
    </row>
    <row r="15" spans="1:3" x14ac:dyDescent="0.25">
      <c r="A15" t="b">
        <f>IFERROR(IF(MATCH(B15,RECETAS!$A$2:$A$1700,0) &lt;&gt; "", TRUE,""),FALSE)</f>
        <v>1</v>
      </c>
      <c r="B15" t="str">
        <f>TRANSPOSE(T5_[Etiquetas de fila])</f>
        <v>Brownie con Helado</v>
      </c>
      <c r="C15">
        <f>TRANSPOSE(T5_[Recuento de T5 CODIGO])</f>
        <v>3</v>
      </c>
    </row>
    <row r="16" spans="1:3" x14ac:dyDescent="0.25">
      <c r="A16" t="b">
        <f>IFERROR(IF(MATCH(B16,RECETAS!$A$2:$A$1700,0) &lt;&gt; "", TRUE,""),FALSE)</f>
        <v>1</v>
      </c>
      <c r="B16" t="str">
        <f>TRANSPOSE(T5_[Etiquetas de fila])</f>
        <v>Brujas de Salamanca 40°</v>
      </c>
      <c r="C16">
        <f>TRANSPOSE(T5_[Recuento de T5 CODIGO])</f>
        <v>1</v>
      </c>
    </row>
    <row r="17" spans="1:3" x14ac:dyDescent="0.25">
      <c r="A17" t="b">
        <f>IFERROR(IF(MATCH(B17,RECETAS!$A$2:$A$1700,0) &lt;&gt; "", TRUE,""),FALSE)</f>
        <v>1</v>
      </c>
      <c r="B17" t="str">
        <f>TRANSPOSE(T5_[Etiquetas de fila])</f>
        <v>Budweiser</v>
      </c>
      <c r="C17">
        <f>TRANSPOSE(T5_[Recuento de T5 CODIGO])</f>
        <v>3</v>
      </c>
    </row>
    <row r="18" spans="1:3" x14ac:dyDescent="0.25">
      <c r="A18" t="b">
        <f>IFERROR(IF(MATCH(B18,RECETAS!$A$2:$A$1700,0) &lt;&gt; "", TRUE,""),FALSE)</f>
        <v>1</v>
      </c>
      <c r="B18" t="str">
        <f>TRANSPOSE(T5_[Etiquetas de fila])</f>
        <v>Caipirinha Frambuesa</v>
      </c>
      <c r="C18">
        <f>TRANSPOSE(T5_[Recuento de T5 CODIGO])</f>
        <v>2</v>
      </c>
    </row>
    <row r="19" spans="1:3" x14ac:dyDescent="0.25">
      <c r="A19" t="b">
        <f>IFERROR(IF(MATCH(B19,RECETAS!$A$2:$A$1700,0) &lt;&gt; "", TRUE,""),FALSE)</f>
        <v>1</v>
      </c>
      <c r="B19" t="str">
        <f>TRANSPOSE(T5_[Etiquetas de fila])</f>
        <v>Caipirinha Mango</v>
      </c>
      <c r="C19">
        <f>TRANSPOSE(T5_[Recuento de T5 CODIGO])</f>
        <v>2</v>
      </c>
    </row>
    <row r="20" spans="1:3" x14ac:dyDescent="0.25">
      <c r="A20" t="b">
        <f>IFERROR(IF(MATCH(B20,RECETAS!$A$2:$A$1700,0) &lt;&gt; "", TRUE,""),FALSE)</f>
        <v>1</v>
      </c>
      <c r="B20" t="str">
        <f>TRANSPOSE(T5_[Etiquetas de fila])</f>
        <v>Caipirinha Tradicional</v>
      </c>
      <c r="C20">
        <f>TRANSPOSE(T5_[Recuento de T5 CODIGO])</f>
        <v>6</v>
      </c>
    </row>
    <row r="21" spans="1:3" x14ac:dyDescent="0.25">
      <c r="A21" t="b">
        <f>IFERROR(IF(MATCH(B21,RECETAS!$A$2:$A$1700,0) &lt;&gt; "", TRUE,""),FALSE)</f>
        <v>1</v>
      </c>
      <c r="B21" t="str">
        <f>TRANSPOSE(T5_[Etiquetas de fila])</f>
        <v>Caiproska Frambuesa</v>
      </c>
      <c r="C21">
        <f>TRANSPOSE(T5_[Recuento de T5 CODIGO])</f>
        <v>1</v>
      </c>
    </row>
    <row r="22" spans="1:3" x14ac:dyDescent="0.25">
      <c r="A22" t="b">
        <f>IFERROR(IF(MATCH(B22,RECETAS!$A$2:$A$1700,0) &lt;&gt; "", TRUE,""),FALSE)</f>
        <v>1</v>
      </c>
      <c r="B22" t="str">
        <f>TRANSPOSE(T5_[Etiquetas de fila])</f>
        <v>Ceviche Mixto</v>
      </c>
      <c r="C22">
        <f>TRANSPOSE(T5_[Recuento de T5 CODIGO])</f>
        <v>6</v>
      </c>
    </row>
    <row r="23" spans="1:3" x14ac:dyDescent="0.25">
      <c r="A23" t="b">
        <f>IFERROR(IF(MATCH(B23,RECETAS!$A$2:$A$1700,0) &lt;&gt; "", TRUE,""),FALSE)</f>
        <v>1</v>
      </c>
      <c r="B23" t="str">
        <f>TRANSPOSE(T5_[Etiquetas de fila])</f>
        <v>Cheese Camarones</v>
      </c>
      <c r="C23">
        <f>TRANSPOSE(T5_[Recuento de T5 CODIGO])</f>
        <v>26</v>
      </c>
    </row>
    <row r="24" spans="1:3" x14ac:dyDescent="0.25">
      <c r="A24" t="b">
        <f>IFERROR(IF(MATCH(B24,RECETAS!$A$2:$A$1700,0) &lt;&gt; "", TRUE,""),FALSE)</f>
        <v>1</v>
      </c>
      <c r="B24" t="str">
        <f>TRANSPOSE(T5_[Etiquetas de fila])</f>
        <v>Cheese Champiñones</v>
      </c>
      <c r="C24">
        <f>TRANSPOSE(T5_[Recuento de T5 CODIGO])</f>
        <v>88</v>
      </c>
    </row>
    <row r="25" spans="1:3" x14ac:dyDescent="0.25">
      <c r="A25" t="b">
        <f>IFERROR(IF(MATCH(B25,RECETAS!$A$2:$A$1700,0) &lt;&gt; "", TRUE,""),FALSE)</f>
        <v>1</v>
      </c>
      <c r="B25" t="str">
        <f>TRANSPOSE(T5_[Etiquetas de fila])</f>
        <v>Cheese Fritas Grandes</v>
      </c>
      <c r="C25">
        <f>TRANSPOSE(T5_[Recuento de T5 CODIGO])</f>
        <v>41</v>
      </c>
    </row>
    <row r="26" spans="1:3" x14ac:dyDescent="0.25">
      <c r="A26" t="b">
        <f>IFERROR(IF(MATCH(B26,RECETAS!$A$2:$A$1700,0) &lt;&gt; "", TRUE,""),FALSE)</f>
        <v>1</v>
      </c>
      <c r="B26" t="str">
        <f>TRANSPOSE(T5_[Etiquetas de fila])</f>
        <v>Cheese Mechada</v>
      </c>
      <c r="C26">
        <f>TRANSPOSE(T5_[Recuento de T5 CODIGO])</f>
        <v>67</v>
      </c>
    </row>
    <row r="27" spans="1:3" x14ac:dyDescent="0.25">
      <c r="A27" t="b">
        <f>IFERROR(IF(MATCH(B27,RECETAS!$A$2:$A$1700,0) &lt;&gt; "", TRUE,""),FALSE)</f>
        <v>1</v>
      </c>
      <c r="B27" t="str">
        <f>TRANSPOSE(T5_[Etiquetas de fila])</f>
        <v>Cheese Teclados</v>
      </c>
      <c r="C27">
        <f>TRANSPOSE(T5_[Recuento de T5 CODIGO])</f>
        <v>91</v>
      </c>
    </row>
    <row r="28" spans="1:3" x14ac:dyDescent="0.25">
      <c r="A28" t="b">
        <f>IFERROR(IF(MATCH(B28,RECETAS!$A$2:$A$1700,0) &lt;&gt; "", TRUE,""),FALSE)</f>
        <v>1</v>
      </c>
      <c r="B28" t="str">
        <f>TRANSPOSE(T5_[Etiquetas de fila])</f>
        <v>Chicken Finger</v>
      </c>
      <c r="C28">
        <f>TRANSPOSE(T5_[Recuento de T5 CODIGO])</f>
        <v>19</v>
      </c>
    </row>
    <row r="29" spans="1:3" x14ac:dyDescent="0.25">
      <c r="A29" t="b">
        <f>IFERROR(IF(MATCH(B29,RECETAS!$A$2:$A$1700,0) &lt;&gt; "", TRUE,""),FALSE)</f>
        <v>0</v>
      </c>
      <c r="B29" t="str">
        <f>TRANSPOSE(T5_[Etiquetas de fila])</f>
        <v>CHURRASCO MARINO</v>
      </c>
      <c r="C29">
        <f>TRANSPOSE(T5_[Recuento de T5 CODIGO])</f>
        <v>1</v>
      </c>
    </row>
    <row r="30" spans="1:3" x14ac:dyDescent="0.25">
      <c r="A30" t="b">
        <f>IFERROR(IF(MATCH(B30,RECETAS!$A$2:$A$1700,0) &lt;&gt; "", TRUE,""),FALSE)</f>
        <v>1</v>
      </c>
      <c r="B30" t="str">
        <f>TRANSPOSE(T5_[Etiquetas de fila])</f>
        <v>Coca Cola 350cc</v>
      </c>
      <c r="C30">
        <f>TRANSPOSE(T5_[Recuento de T5 CODIGO])</f>
        <v>43</v>
      </c>
    </row>
    <row r="31" spans="1:3" x14ac:dyDescent="0.25">
      <c r="A31" t="b">
        <f>IFERROR(IF(MATCH(B31,RECETAS!$A$2:$A$1700,0) &lt;&gt; "", TRUE,""),FALSE)</f>
        <v>1</v>
      </c>
      <c r="B31" t="str">
        <f>TRANSPOSE(T5_[Etiquetas de fila])</f>
        <v>Coca Cola Light 350cc</v>
      </c>
      <c r="C31">
        <f>TRANSPOSE(T5_[Recuento de T5 CODIGO])</f>
        <v>2</v>
      </c>
    </row>
    <row r="32" spans="1:3" x14ac:dyDescent="0.25">
      <c r="A32" t="b">
        <f>IFERROR(IF(MATCH(B32,RECETAS!$A$2:$A$1700,0) &lt;&gt; "", TRUE,""),FALSE)</f>
        <v>1</v>
      </c>
      <c r="B32" t="str">
        <f>TRANSPOSE(T5_[Etiquetas de fila])</f>
        <v>Coca Cola Zero  350cc</v>
      </c>
      <c r="C32">
        <f>TRANSPOSE(T5_[Recuento de T5 CODIGO])</f>
        <v>29</v>
      </c>
    </row>
    <row r="33" spans="1:3" x14ac:dyDescent="0.25">
      <c r="A33" t="b">
        <f>IFERROR(IF(MATCH(B33,RECETAS!$A$2:$A$1700,0) &lt;&gt; "", TRUE,""),FALSE)</f>
        <v>1</v>
      </c>
      <c r="B33" t="str">
        <f>TRANSPOSE(T5_[Etiquetas de fila])</f>
        <v>Corona</v>
      </c>
      <c r="C33">
        <f>TRANSPOSE(T5_[Recuento de T5 CODIGO])</f>
        <v>8</v>
      </c>
    </row>
    <row r="34" spans="1:3" x14ac:dyDescent="0.25">
      <c r="A34" t="b">
        <f>IFERROR(IF(MATCH(B34,RECETAS!$A$2:$A$1700,0) &lt;&gt; "", TRUE,""),FALSE)</f>
        <v>0</v>
      </c>
      <c r="B34" t="str">
        <f>TRANSPOSE(T5_[Etiquetas de fila])</f>
        <v>CORONA 0.0</v>
      </c>
      <c r="C34">
        <f>TRANSPOSE(T5_[Recuento de T5 CODIGO])</f>
        <v>17</v>
      </c>
    </row>
    <row r="35" spans="1:3" x14ac:dyDescent="0.25">
      <c r="A35" t="b">
        <f>IFERROR(IF(MATCH(B35,RECETAS!$A$2:$A$1700,0) &lt;&gt; "", TRUE,""),FALSE)</f>
        <v>0</v>
      </c>
      <c r="B35" t="str">
        <f>TRANSPOSE(T5_[Etiquetas de fila])</f>
        <v>CORONA DEEP BLUE</v>
      </c>
      <c r="C35">
        <f>TRANSPOSE(T5_[Recuento de T5 CODIGO])</f>
        <v>2</v>
      </c>
    </row>
    <row r="36" spans="1:3" x14ac:dyDescent="0.25">
      <c r="A36" t="b">
        <f>IFERROR(IF(MATCH(B36,RECETAS!$A$2:$A$1700,0) &lt;&gt; "", TRUE,""),FALSE)</f>
        <v>0</v>
      </c>
      <c r="B36" t="str">
        <f>TRANSPOSE(T5_[Etiquetas de fila])</f>
        <v>CORONA SUNRISE</v>
      </c>
      <c r="C36">
        <f>TRANSPOSE(T5_[Recuento de T5 CODIGO])</f>
        <v>4</v>
      </c>
    </row>
    <row r="37" spans="1:3" x14ac:dyDescent="0.25">
      <c r="A37" t="b">
        <f>IFERROR(IF(MATCH(B37,RECETAS!$A$2:$A$1700,0) &lt;&gt; "", TRUE,""),FALSE)</f>
        <v>0</v>
      </c>
      <c r="B37" t="str">
        <f>TRANSPOSE(T5_[Etiquetas de fila])</f>
        <v>CORONA TROPICAL</v>
      </c>
      <c r="C37">
        <f>TRANSPOSE(T5_[Recuento de T5 CODIGO])</f>
        <v>6</v>
      </c>
    </row>
    <row r="38" spans="1:3" x14ac:dyDescent="0.25">
      <c r="A38" t="b">
        <f>IFERROR(IF(MATCH(B38,RECETAS!$A$2:$A$1700,0) &lt;&gt; "", TRUE,""),FALSE)</f>
        <v>1</v>
      </c>
      <c r="B38" t="str">
        <f>TRANSPOSE(T5_[Etiquetas de fila])</f>
        <v>Cosmopolitan</v>
      </c>
      <c r="C38">
        <f>TRANSPOSE(T5_[Recuento de T5 CODIGO])</f>
        <v>13</v>
      </c>
    </row>
    <row r="39" spans="1:3" x14ac:dyDescent="0.25">
      <c r="A39" t="b">
        <f>IFERROR(IF(MATCH(B39,RECETAS!$A$2:$A$1700,0) &lt;&gt; "", TRUE,""),FALSE)</f>
        <v>1</v>
      </c>
      <c r="B39" t="str">
        <f>TRANSPOSE(T5_[Etiquetas de fila])</f>
        <v>Crudo</v>
      </c>
      <c r="C39">
        <f>TRANSPOSE(T5_[Recuento de T5 CODIGO])</f>
        <v>4</v>
      </c>
    </row>
    <row r="40" spans="1:3" x14ac:dyDescent="0.25">
      <c r="A40" t="b">
        <f>IFERROR(IF(MATCH(B40,RECETAS!$A$2:$A$1700,0) &lt;&gt; "", TRUE,""),FALSE)</f>
        <v>1</v>
      </c>
      <c r="B40" t="str">
        <f>TRANSPOSE(T5_[Etiquetas de fila])</f>
        <v>D.CHEESE CHAMPIGNON</v>
      </c>
      <c r="C40">
        <f>TRANSPOSE(T5_[Recuento de T5 CODIGO])</f>
        <v>3</v>
      </c>
    </row>
    <row r="41" spans="1:3" x14ac:dyDescent="0.25">
      <c r="A41" t="b">
        <f>IFERROR(IF(MATCH(B41,RECETAS!$A$2:$A$1700,0) &lt;&gt; "", TRUE,""),FALSE)</f>
        <v>1</v>
      </c>
      <c r="B41" t="str">
        <f>TRANSPOSE(T5_[Etiquetas de fila])</f>
        <v>D.CHEESE FRITAS GRANDES</v>
      </c>
      <c r="C41">
        <f>TRANSPOSE(T5_[Recuento de T5 CODIGO])</f>
        <v>5</v>
      </c>
    </row>
    <row r="42" spans="1:3" x14ac:dyDescent="0.25">
      <c r="A42" t="b">
        <f>IFERROR(IF(MATCH(B42,RECETAS!$A$2:$A$1700,0) &lt;&gt; "", TRUE,""),FALSE)</f>
        <v>1</v>
      </c>
      <c r="B42" t="str">
        <f>TRANSPOSE(T5_[Etiquetas de fila])</f>
        <v>D.CHEESE MECHADA</v>
      </c>
      <c r="C42">
        <f>TRANSPOSE(T5_[Recuento de T5 CODIGO])</f>
        <v>3</v>
      </c>
    </row>
    <row r="43" spans="1:3" x14ac:dyDescent="0.25">
      <c r="A43" t="b">
        <f>IFERROR(IF(MATCH(B43,RECETAS!$A$2:$A$1700,0) &lt;&gt; "", TRUE,""),FALSE)</f>
        <v>1</v>
      </c>
      <c r="B43" t="str">
        <f>TRANSPOSE(T5_[Etiquetas de fila])</f>
        <v>D.CHEESE TECLADOS</v>
      </c>
      <c r="C43">
        <f>TRANSPOSE(T5_[Recuento de T5 CODIGO])</f>
        <v>3</v>
      </c>
    </row>
    <row r="44" spans="1:3" x14ac:dyDescent="0.25">
      <c r="A44" t="b">
        <f>IFERROR(IF(MATCH(B44,RECETAS!$A$2:$A$1700,0) &lt;&gt; "", TRUE,""),FALSE)</f>
        <v>1</v>
      </c>
      <c r="B44" t="str">
        <f>TRANSPOSE(T5_[Etiquetas de fila])</f>
        <v>D.DOBLE CHEESE BURGER</v>
      </c>
      <c r="C44">
        <f>TRANSPOSE(T5_[Recuento de T5 CODIGO])</f>
        <v>1</v>
      </c>
    </row>
    <row r="45" spans="1:3" x14ac:dyDescent="0.25">
      <c r="A45" t="b">
        <f>IFERROR(IF(MATCH(B45,RECETAS!$A$2:$A$1700,0) &lt;&gt; "", TRUE,""),FALSE)</f>
        <v>1</v>
      </c>
      <c r="B45" t="str">
        <f>TRANSPOSE(T5_[Etiquetas de fila])</f>
        <v>D.EMPANADAS</v>
      </c>
      <c r="C45">
        <f>TRANSPOSE(T5_[Recuento de T5 CODIGO])</f>
        <v>1</v>
      </c>
    </row>
    <row r="46" spans="1:3" x14ac:dyDescent="0.25">
      <c r="A46" t="b">
        <f>IFERROR(IF(MATCH(B46,RECETAS!$A$2:$A$1700,0) &lt;&gt; "", TRUE,""),FALSE)</f>
        <v>1</v>
      </c>
      <c r="B46" t="str">
        <f>TRANSPOSE(T5_[Etiquetas de fila])</f>
        <v>D.PAPAS GRANDES</v>
      </c>
      <c r="C46">
        <f>TRANSPOSE(T5_[Recuento de T5 CODIGO])</f>
        <v>1</v>
      </c>
    </row>
    <row r="47" spans="1:3" x14ac:dyDescent="0.25">
      <c r="A47" t="b">
        <f>IFERROR(IF(MATCH(B47,RECETAS!$A$2:$A$1700,0) &lt;&gt; "", TRUE,""),FALSE)</f>
        <v>1</v>
      </c>
      <c r="B47" t="str">
        <f>TRANSPOSE(T5_[Etiquetas de fila])</f>
        <v>D.PICNIC TECLADOS</v>
      </c>
      <c r="C47">
        <f>TRANSPOSE(T5_[Recuento de T5 CODIGO])</f>
        <v>1</v>
      </c>
    </row>
    <row r="48" spans="1:3" x14ac:dyDescent="0.25">
      <c r="A48" t="b">
        <f>IFERROR(IF(MATCH(B48,RECETAS!$A$2:$A$1700,0) &lt;&gt; "", TRUE,""),FALSE)</f>
        <v>1</v>
      </c>
      <c r="B48" t="str">
        <f>TRANSPOSE(T5_[Etiquetas de fila])</f>
        <v>D.PROMO MOJITO</v>
      </c>
      <c r="C48">
        <f>TRANSPOSE(T5_[Recuento de T5 CODIGO])</f>
        <v>1</v>
      </c>
    </row>
    <row r="49" spans="1:3" x14ac:dyDescent="0.25">
      <c r="A49" t="b">
        <f>IFERROR(IF(MATCH(B49,RECETAS!$A$2:$A$1700,0) &lt;&gt; "", TRUE,""),FALSE)</f>
        <v>1</v>
      </c>
      <c r="B49" t="str">
        <f>TRANSPOSE(T5_[Etiquetas de fila])</f>
        <v>Daiquiri Frambuesa</v>
      </c>
      <c r="C49">
        <f>TRANSPOSE(T5_[Recuento de T5 CODIGO])</f>
        <v>17</v>
      </c>
    </row>
    <row r="50" spans="1:3" x14ac:dyDescent="0.25">
      <c r="A50" t="b">
        <f>IFERROR(IF(MATCH(B50,RECETAS!$A$2:$A$1700,0) &lt;&gt; "", TRUE,""),FALSE)</f>
        <v>1</v>
      </c>
      <c r="B50" t="str">
        <f>TRANSPOSE(T5_[Etiquetas de fila])</f>
        <v>Daiquiri Futilla</v>
      </c>
      <c r="C50">
        <f>TRANSPOSE(T5_[Recuento de T5 CODIGO])</f>
        <v>8</v>
      </c>
    </row>
    <row r="51" spans="1:3" x14ac:dyDescent="0.25">
      <c r="A51" t="b">
        <f>IFERROR(IF(MATCH(B51,RECETAS!$A$2:$A$1700,0) &lt;&gt; "", TRUE,""),FALSE)</f>
        <v>1</v>
      </c>
      <c r="B51" t="str">
        <f>TRANSPOSE(T5_[Etiquetas de fila])</f>
        <v>Daiquiri Mango</v>
      </c>
      <c r="C51">
        <f>TRANSPOSE(T5_[Recuento de T5 CODIGO])</f>
        <v>11</v>
      </c>
    </row>
    <row r="52" spans="1:3" x14ac:dyDescent="0.25">
      <c r="A52" t="b">
        <f>IFERROR(IF(MATCH(B52,RECETAS!$A$2:$A$1700,0) &lt;&gt; "", TRUE,""),FALSE)</f>
        <v>1</v>
      </c>
      <c r="B52" t="str">
        <f>TRANSPOSE(T5_[Etiquetas de fila])</f>
        <v>Daiquiri XL Frambuesa</v>
      </c>
      <c r="C52">
        <f>TRANSPOSE(T5_[Recuento de T5 CODIGO])</f>
        <v>4</v>
      </c>
    </row>
    <row r="53" spans="1:3" x14ac:dyDescent="0.25">
      <c r="A53" t="b">
        <f>IFERROR(IF(MATCH(B53,RECETAS!$A$2:$A$1700,0) &lt;&gt; "", TRUE,""),FALSE)</f>
        <v>1</v>
      </c>
      <c r="B53" t="str">
        <f>TRANSPOSE(T5_[Etiquetas de fila])</f>
        <v>Doble Cheese Burger</v>
      </c>
      <c r="C53">
        <f>TRANSPOSE(T5_[Recuento de T5 CODIGO])</f>
        <v>14</v>
      </c>
    </row>
    <row r="54" spans="1:3" x14ac:dyDescent="0.25">
      <c r="A54" t="b">
        <f>IFERROR(IF(MATCH(B54,RECETAS!$A$2:$A$1700,0) &lt;&gt; "", TRUE,""),FALSE)</f>
        <v>1</v>
      </c>
      <c r="B54" t="str">
        <f>TRANSPOSE(T5_[Etiquetas de fila])</f>
        <v>Doble Cheese NOT Burger</v>
      </c>
      <c r="C54">
        <f>TRANSPOSE(T5_[Recuento de T5 CODIGO])</f>
        <v>11</v>
      </c>
    </row>
    <row r="55" spans="1:3" x14ac:dyDescent="0.25">
      <c r="A55" t="b">
        <f>IFERROR(IF(MATCH(B55,RECETAS!$A$2:$A$1700,0) &lt;&gt; "", TRUE,""),FALSE)</f>
        <v>1</v>
      </c>
      <c r="B55" t="str">
        <f>TRANSPOSE(T5_[Etiquetas de fila])</f>
        <v>Empanadas Mixtas</v>
      </c>
      <c r="C55">
        <f>TRANSPOSE(T5_[Recuento de T5 CODIGO])</f>
        <v>19</v>
      </c>
    </row>
    <row r="56" spans="1:3" x14ac:dyDescent="0.25">
      <c r="A56" t="b">
        <f>IFERROR(IF(MATCH(B56,RECETAS!$A$2:$A$1700,0) &lt;&gt; "", TRUE,""),FALSE)</f>
        <v>1</v>
      </c>
      <c r="B56" t="str">
        <f>TRANSPOSE(T5_[Etiquetas de fila])</f>
        <v>Espumante de la casa</v>
      </c>
      <c r="C56">
        <f>TRANSPOSE(T5_[Recuento de T5 CODIGO])</f>
        <v>1</v>
      </c>
    </row>
    <row r="57" spans="1:3" x14ac:dyDescent="0.25">
      <c r="A57" t="b">
        <f>IFERROR(IF(MATCH(B57,RECETAS!$A$2:$A$1700,0) &lt;&gt; "", TRUE,""),FALSE)</f>
        <v>0</v>
      </c>
      <c r="B57" t="str">
        <f>TRANSPOSE(T5_[Etiquetas de fila])</f>
        <v>EXPRESO MARTINI</v>
      </c>
      <c r="C57">
        <f>TRANSPOSE(T5_[Recuento de T5 CODIGO])</f>
        <v>15</v>
      </c>
    </row>
    <row r="58" spans="1:3" x14ac:dyDescent="0.25">
      <c r="A58" t="b">
        <f>IFERROR(IF(MATCH(B58,RECETAS!$A$2:$A$1700,0) &lt;&gt; "", TRUE,""),FALSE)</f>
        <v>1</v>
      </c>
      <c r="B58" t="str">
        <f>TRANSPOSE(T5_[Etiquetas de fila])</f>
        <v>Extasis</v>
      </c>
      <c r="C58">
        <f>TRANSPOSE(T5_[Recuento de T5 CODIGO])</f>
        <v>2</v>
      </c>
    </row>
    <row r="59" spans="1:3" x14ac:dyDescent="0.25">
      <c r="A59" t="b">
        <f>IFERROR(IF(MATCH(B59,RECETAS!$A$2:$A$1700,0) &lt;&gt; "", TRUE,""),FALSE)</f>
        <v>1</v>
      </c>
      <c r="B59" t="str">
        <f>TRANSPOSE(T5_[Etiquetas de fila])</f>
        <v>Extra Camaron</v>
      </c>
      <c r="C59">
        <f>TRANSPOSE(T5_[Recuento de T5 CODIGO])</f>
        <v>2</v>
      </c>
    </row>
    <row r="60" spans="1:3" x14ac:dyDescent="0.25">
      <c r="A60" t="b">
        <f>IFERROR(IF(MATCH(B60,RECETAS!$A$2:$A$1700,0) &lt;&gt; "", TRUE,""),FALSE)</f>
        <v>1</v>
      </c>
      <c r="B60" t="str">
        <f>TRANSPOSE(T5_[Etiquetas de fila])</f>
        <v>Extra Champignon</v>
      </c>
      <c r="C60">
        <f>TRANSPOSE(T5_[Recuento de T5 CODIGO])</f>
        <v>1</v>
      </c>
    </row>
    <row r="61" spans="1:3" x14ac:dyDescent="0.25">
      <c r="A61" t="b">
        <f>IFERROR(IF(MATCH(B61,RECETAS!$A$2:$A$1700,0) &lt;&gt; "", TRUE,""),FALSE)</f>
        <v>1</v>
      </c>
      <c r="B61" t="str">
        <f>TRANSPOSE(T5_[Etiquetas de fila])</f>
        <v>EXTRA CREMA ACIDA</v>
      </c>
      <c r="C61">
        <f>TRANSPOSE(T5_[Recuento de T5 CODIGO])</f>
        <v>6</v>
      </c>
    </row>
    <row r="62" spans="1:3" x14ac:dyDescent="0.25">
      <c r="A62" t="b">
        <f>IFERROR(IF(MATCH(B62,RECETAS!$A$2:$A$1700,0) &lt;&gt; "", TRUE,""),FALSE)</f>
        <v>1</v>
      </c>
      <c r="B62" t="str">
        <f>TRANSPOSE(T5_[Etiquetas de fila])</f>
        <v>EXTRA GUACAMOLE</v>
      </c>
      <c r="C62">
        <f>TRANSPOSE(T5_[Recuento de T5 CODIGO])</f>
        <v>1</v>
      </c>
    </row>
    <row r="63" spans="1:3" x14ac:dyDescent="0.25">
      <c r="A63" t="b">
        <f>IFERROR(IF(MATCH(B63,RECETAS!$A$2:$A$1700,0) &lt;&gt; "", TRUE,""),FALSE)</f>
        <v>1</v>
      </c>
      <c r="B63" t="str">
        <f>TRANSPOSE(T5_[Etiquetas de fila])</f>
        <v>Extra Palta</v>
      </c>
      <c r="C63">
        <f>TRANSPOSE(T5_[Recuento de T5 CODIGO])</f>
        <v>2</v>
      </c>
    </row>
    <row r="64" spans="1:3" x14ac:dyDescent="0.25">
      <c r="A64" t="b">
        <f>IFERROR(IF(MATCH(B64,RECETAS!$A$2:$A$1700,0) &lt;&gt; "", TRUE,""),FALSE)</f>
        <v>1</v>
      </c>
      <c r="B64" t="str">
        <f>TRANSPOSE(T5_[Etiquetas de fila])</f>
        <v>Extra Pollo</v>
      </c>
      <c r="C64">
        <f>TRANSPOSE(T5_[Recuento de T5 CODIGO])</f>
        <v>2</v>
      </c>
    </row>
    <row r="65" spans="1:3" x14ac:dyDescent="0.25">
      <c r="A65" t="b">
        <f>IFERROR(IF(MATCH(B65,RECETAS!$A$2:$A$1700,0) &lt;&gt; "", TRUE,""),FALSE)</f>
        <v>1</v>
      </c>
      <c r="B65" t="str">
        <f>TRANSPOSE(T5_[Etiquetas de fila])</f>
        <v>EXTRA SALSA CHEDDAR</v>
      </c>
      <c r="C65">
        <f>TRANSPOSE(T5_[Recuento de T5 CODIGO])</f>
        <v>1</v>
      </c>
    </row>
    <row r="66" spans="1:3" x14ac:dyDescent="0.25">
      <c r="A66" t="b">
        <f>IFERROR(IF(MATCH(B66,RECETAS!$A$2:$A$1700,0) &lt;&gt; "", TRUE,""),FALSE)</f>
        <v>0</v>
      </c>
      <c r="B66" t="str">
        <f>TRANSPOSE(T5_[Etiquetas de fila])</f>
        <v>EXTRA SALSA de AJO</v>
      </c>
      <c r="C66">
        <f>TRANSPOSE(T5_[Recuento de T5 CODIGO])</f>
        <v>1</v>
      </c>
    </row>
    <row r="67" spans="1:3" x14ac:dyDescent="0.25">
      <c r="A67" t="b">
        <f>IFERROR(IF(MATCH(B67,RECETAS!$A$2:$A$1700,0) &lt;&gt; "", TRUE,""),FALSE)</f>
        <v>1</v>
      </c>
      <c r="B67" t="str">
        <f>TRANSPOSE(T5_[Etiquetas de fila])</f>
        <v>EXTRA TOSTADAS</v>
      </c>
      <c r="C67">
        <f>TRANSPOSE(T5_[Recuento de T5 CODIGO])</f>
        <v>2</v>
      </c>
    </row>
    <row r="68" spans="1:3" x14ac:dyDescent="0.25">
      <c r="A68" t="b">
        <f>IFERROR(IF(MATCH(B68,RECETAS!$A$2:$A$1700,0) &lt;&gt; "", TRUE,""),FALSE)</f>
        <v>1</v>
      </c>
      <c r="B68" t="str">
        <f>TRANSPOSE(T5_[Etiquetas de fila])</f>
        <v>Fanta 350cc</v>
      </c>
      <c r="C68">
        <f>TRANSPOSE(T5_[Recuento de T5 CODIGO])</f>
        <v>4</v>
      </c>
    </row>
    <row r="69" spans="1:3" x14ac:dyDescent="0.25">
      <c r="A69" t="b">
        <f>IFERROR(IF(MATCH(B69,RECETAS!$A$2:$A$1700,0) &lt;&gt; "", TRUE,""),FALSE)</f>
        <v>1</v>
      </c>
      <c r="B69" t="str">
        <f>TRANSPOSE(T5_[Etiquetas de fila])</f>
        <v>Fernet Branca</v>
      </c>
      <c r="C69">
        <f>TRANSPOSE(T5_[Recuento de T5 CODIGO])</f>
        <v>1</v>
      </c>
    </row>
    <row r="70" spans="1:3" x14ac:dyDescent="0.25">
      <c r="A70" t="b">
        <f>IFERROR(IF(MATCH(B70,RECETAS!$A$2:$A$1700,0) &lt;&gt; "", TRUE,""),FALSE)</f>
        <v>1</v>
      </c>
      <c r="B70" t="str">
        <f>TRANSPOSE(T5_[Etiquetas de fila])</f>
        <v>Festival Teclados</v>
      </c>
      <c r="C70">
        <f>TRANSPOSE(T5_[Recuento de T5 CODIGO])</f>
        <v>7</v>
      </c>
    </row>
    <row r="71" spans="1:3" x14ac:dyDescent="0.25">
      <c r="A71" t="b">
        <f>IFERROR(IF(MATCH(B71,RECETAS!$A$2:$A$1700,0) &lt;&gt; "", TRUE,""),FALSE)</f>
        <v>1</v>
      </c>
      <c r="B71" t="str">
        <f>TRANSPOSE(T5_[Etiquetas de fila])</f>
        <v>Florence Spritz</v>
      </c>
      <c r="C71">
        <f>TRANSPOSE(T5_[Recuento de T5 CODIGO])</f>
        <v>4</v>
      </c>
    </row>
    <row r="72" spans="1:3" x14ac:dyDescent="0.25">
      <c r="A72" t="b">
        <f>IFERROR(IF(MATCH(B72,RECETAS!$A$2:$A$1700,0) &lt;&gt; "", TRUE,""),FALSE)</f>
        <v>0</v>
      </c>
      <c r="B72" t="str">
        <f>TRANSPOSE(T5_[Etiquetas de fila])</f>
        <v>Frutilla</v>
      </c>
      <c r="C72">
        <f>TRANSPOSE(T5_[Recuento de T5 CODIGO])</f>
        <v>16</v>
      </c>
    </row>
    <row r="73" spans="1:3" x14ac:dyDescent="0.25">
      <c r="A73" t="b">
        <f>IFERROR(IF(MATCH(B73,RECETAS!$A$2:$A$1700,0) &lt;&gt; "", TRUE,""),FALSE)</f>
        <v>0</v>
      </c>
      <c r="B73" t="str">
        <f>TRANSPOSE(T5_[Etiquetas de fila])</f>
        <v>GIN DE VERANO</v>
      </c>
      <c r="C73">
        <f>TRANSPOSE(T5_[Recuento de T5 CODIGO])</f>
        <v>846</v>
      </c>
    </row>
    <row r="74" spans="1:3" x14ac:dyDescent="0.25">
      <c r="A74" t="b">
        <f>IFERROR(IF(MATCH(B74,RECETAS!$A$2:$A$1700,0) &lt;&gt; "", TRUE,""),FALSE)</f>
        <v>1</v>
      </c>
      <c r="B74" t="str">
        <f>TRANSPOSE(T5_[Etiquetas de fila])</f>
        <v>God Father</v>
      </c>
      <c r="C74">
        <f>TRANSPOSE(T5_[Recuento de T5 CODIGO])</f>
        <v>3</v>
      </c>
    </row>
    <row r="75" spans="1:3" x14ac:dyDescent="0.25">
      <c r="A75" t="b">
        <f>IFERROR(IF(MATCH(B75,RECETAS!$A$2:$A$1700,0) &lt;&gt; "", TRUE,""),FALSE)</f>
        <v>1</v>
      </c>
      <c r="B75" t="str">
        <f>TRANSPOSE(T5_[Etiquetas de fila])</f>
        <v>Hendricks</v>
      </c>
      <c r="C75">
        <f>TRANSPOSE(T5_[Recuento de T5 CODIGO])</f>
        <v>1</v>
      </c>
    </row>
    <row r="76" spans="1:3" x14ac:dyDescent="0.25">
      <c r="A76" t="b">
        <f>IFERROR(IF(MATCH(B76,RECETAS!$A$2:$A$1700,0) &lt;&gt; "", TRUE,""),FALSE)</f>
        <v>1</v>
      </c>
      <c r="B76" t="str">
        <f>TRANSPOSE(T5_[Etiquetas de fila])</f>
        <v>HH Caipirinha</v>
      </c>
      <c r="C76">
        <f>TRANSPOSE(T5_[Recuento de T5 CODIGO])</f>
        <v>13</v>
      </c>
    </row>
    <row r="77" spans="1:3" x14ac:dyDescent="0.25">
      <c r="A77" t="b">
        <f>IFERROR(IF(MATCH(B77,RECETAS!$A$2:$A$1700,0) &lt;&gt; "", TRUE,""),FALSE)</f>
        <v>1</v>
      </c>
      <c r="B77" t="str">
        <f>TRANSPOSE(T5_[Etiquetas de fila])</f>
        <v>HH Caipirinha Frambuesa</v>
      </c>
      <c r="C77">
        <f>TRANSPOSE(T5_[Recuento de T5 CODIGO])</f>
        <v>3</v>
      </c>
    </row>
    <row r="78" spans="1:3" x14ac:dyDescent="0.25">
      <c r="A78" t="b">
        <f>IFERROR(IF(MATCH(B78,RECETAS!$A$2:$A$1700,0) &lt;&gt; "", TRUE,""),FALSE)</f>
        <v>1</v>
      </c>
      <c r="B78" t="str">
        <f>TRANSPOSE(T5_[Etiquetas de fila])</f>
        <v>HH Caipirinha Frutilla</v>
      </c>
      <c r="C78">
        <f>TRANSPOSE(T5_[Recuento de T5 CODIGO])</f>
        <v>1</v>
      </c>
    </row>
    <row r="79" spans="1:3" x14ac:dyDescent="0.25">
      <c r="A79" t="b">
        <f>IFERROR(IF(MATCH(B79,RECETAS!$A$2:$A$1700,0) &lt;&gt; "", TRUE,""),FALSE)</f>
        <v>1</v>
      </c>
      <c r="B79" t="str">
        <f>TRANSPOSE(T5_[Etiquetas de fila])</f>
        <v>HH Caipirinha Mango</v>
      </c>
      <c r="C79">
        <f>TRANSPOSE(T5_[Recuento de T5 CODIGO])</f>
        <v>2</v>
      </c>
    </row>
    <row r="80" spans="1:3" x14ac:dyDescent="0.25">
      <c r="A80" t="b">
        <f>IFERROR(IF(MATCH(B80,RECETAS!$A$2:$A$1700,0) &lt;&gt; "", TRUE,""),FALSE)</f>
        <v>0</v>
      </c>
      <c r="B80" t="str">
        <f>TRANSPOSE(T5_[Etiquetas de fila])</f>
        <v>HH Chardonnay sour</v>
      </c>
      <c r="C80">
        <f>TRANSPOSE(T5_[Recuento de T5 CODIGO])</f>
        <v>2</v>
      </c>
    </row>
    <row r="81" spans="1:3" x14ac:dyDescent="0.25">
      <c r="A81" t="b">
        <f>IFERROR(IF(MATCH(B81,RECETAS!$A$2:$A$1700,0) &lt;&gt; "", TRUE,""),FALSE)</f>
        <v>1</v>
      </c>
      <c r="B81" t="str">
        <f>TRANSPOSE(T5_[Etiquetas de fila])</f>
        <v>HH Cosmopolitan</v>
      </c>
      <c r="C81">
        <f>TRANSPOSE(T5_[Recuento de T5 CODIGO])</f>
        <v>12</v>
      </c>
    </row>
    <row r="82" spans="1:3" x14ac:dyDescent="0.25">
      <c r="A82" t="b">
        <f>IFERROR(IF(MATCH(B82,RECETAS!$A$2:$A$1700,0) &lt;&gt; "", TRUE,""),FALSE)</f>
        <v>0</v>
      </c>
      <c r="B82" t="str">
        <f>TRANSPOSE(T5_[Etiquetas de fila])</f>
        <v>HH Crudo</v>
      </c>
      <c r="C82">
        <f>TRANSPOSE(T5_[Recuento de T5 CODIGO])</f>
        <v>4</v>
      </c>
    </row>
    <row r="83" spans="1:3" x14ac:dyDescent="0.25">
      <c r="A83" t="b">
        <f>IFERROR(IF(MATCH(B83,RECETAS!$A$2:$A$1700,0) &lt;&gt; "", TRUE,""),FALSE)</f>
        <v>1</v>
      </c>
      <c r="B83" t="str">
        <f>TRANSPOSE(T5_[Etiquetas de fila])</f>
        <v>HH Daiquiri Frambuesa</v>
      </c>
      <c r="C83">
        <f>TRANSPOSE(T5_[Recuento de T5 CODIGO])</f>
        <v>46</v>
      </c>
    </row>
    <row r="84" spans="1:3" x14ac:dyDescent="0.25">
      <c r="A84" t="b">
        <f>IFERROR(IF(MATCH(B84,RECETAS!$A$2:$A$1700,0) &lt;&gt; "", TRUE,""),FALSE)</f>
        <v>1</v>
      </c>
      <c r="B84" t="str">
        <f>TRANSPOSE(T5_[Etiquetas de fila])</f>
        <v>HH Daiquiri Frutilla</v>
      </c>
      <c r="C84">
        <f>TRANSPOSE(T5_[Recuento de T5 CODIGO])</f>
        <v>25</v>
      </c>
    </row>
    <row r="85" spans="1:3" x14ac:dyDescent="0.25">
      <c r="A85" t="b">
        <f>IFERROR(IF(MATCH(B85,RECETAS!$A$2:$A$1700,0) &lt;&gt; "", TRUE,""),FALSE)</f>
        <v>1</v>
      </c>
      <c r="B85" t="str">
        <f>TRANSPOSE(T5_[Etiquetas de fila])</f>
        <v>HH Daiquiri Mango</v>
      </c>
      <c r="C85">
        <f>TRANSPOSE(T5_[Recuento de T5 CODIGO])</f>
        <v>20</v>
      </c>
    </row>
    <row r="86" spans="1:3" x14ac:dyDescent="0.25">
      <c r="A86" t="b">
        <f>IFERROR(IF(MATCH(B86,RECETAS!$A$2:$A$1700,0) &lt;&gt; "", TRUE,""),FALSE)</f>
        <v>0</v>
      </c>
      <c r="B86" t="str">
        <f>TRANSPOSE(T5_[Etiquetas de fila])</f>
        <v>HH Doble Cheese Bruger</v>
      </c>
      <c r="C86">
        <f>TRANSPOSE(T5_[Recuento de T5 CODIGO])</f>
        <v>10</v>
      </c>
    </row>
    <row r="87" spans="1:3" x14ac:dyDescent="0.25">
      <c r="A87" t="b">
        <f>IFERROR(IF(MATCH(B87,RECETAS!$A$2:$A$1700,0) &lt;&gt; "", TRUE,""),FALSE)</f>
        <v>0</v>
      </c>
      <c r="B87" t="str">
        <f>TRANSPOSE(T5_[Etiquetas de fila])</f>
        <v>HH Laguna azul</v>
      </c>
      <c r="C87">
        <f>TRANSPOSE(T5_[Recuento de T5 CODIGO])</f>
        <v>2</v>
      </c>
    </row>
    <row r="88" spans="1:3" x14ac:dyDescent="0.25">
      <c r="A88" t="b">
        <f>IFERROR(IF(MATCH(B88,RECETAS!$A$2:$A$1700,0) &lt;&gt; "", TRUE,""),FALSE)</f>
        <v>1</v>
      </c>
      <c r="B88" t="str">
        <f>TRANSPOSE(T5_[Etiquetas de fila])</f>
        <v>HH Margarita</v>
      </c>
      <c r="C88">
        <f>TRANSPOSE(T5_[Recuento de T5 CODIGO])</f>
        <v>7</v>
      </c>
    </row>
    <row r="89" spans="1:3" x14ac:dyDescent="0.25">
      <c r="A89" t="b">
        <f>IFERROR(IF(MATCH(B89,RECETAS!$A$2:$A$1700,0) &lt;&gt; "", TRUE,""),FALSE)</f>
        <v>1</v>
      </c>
      <c r="B89" t="str">
        <f>TRANSPOSE(T5_[Etiquetas de fila])</f>
        <v>HH Margarita Blue</v>
      </c>
      <c r="C89">
        <f>TRANSPOSE(T5_[Recuento de T5 CODIGO])</f>
        <v>5</v>
      </c>
    </row>
    <row r="90" spans="1:3" x14ac:dyDescent="0.25">
      <c r="A90" t="b">
        <f>IFERROR(IF(MATCH(B90,RECETAS!$A$2:$A$1700,0) &lt;&gt; "", TRUE,""),FALSE)</f>
        <v>1</v>
      </c>
      <c r="B90" t="str">
        <f>TRANSPOSE(T5_[Etiquetas de fila])</f>
        <v>HH Margarita Frambuesa</v>
      </c>
      <c r="C90">
        <f>TRANSPOSE(T5_[Recuento de T5 CODIGO])</f>
        <v>8</v>
      </c>
    </row>
    <row r="91" spans="1:3" x14ac:dyDescent="0.25">
      <c r="A91" t="b">
        <f>IFERROR(IF(MATCH(B91,RECETAS!$A$2:$A$1700,0) &lt;&gt; "", TRUE,""),FALSE)</f>
        <v>1</v>
      </c>
      <c r="B91" t="str">
        <f>TRANSPOSE(T5_[Etiquetas de fila])</f>
        <v>HH Margarita Frutilla</v>
      </c>
      <c r="C91">
        <f>TRANSPOSE(T5_[Recuento de T5 CODIGO])</f>
        <v>7</v>
      </c>
    </row>
    <row r="92" spans="1:3" x14ac:dyDescent="0.25">
      <c r="A92" t="b">
        <f>IFERROR(IF(MATCH(B92,RECETAS!$A$2:$A$1700,0) &lt;&gt; "", TRUE,""),FALSE)</f>
        <v>1</v>
      </c>
      <c r="B92" t="str">
        <f>TRANSPOSE(T5_[Etiquetas de fila])</f>
        <v>HH MOJITO BERRIES</v>
      </c>
      <c r="C92">
        <f>TRANSPOSE(T5_[Recuento de T5 CODIGO])</f>
        <v>59</v>
      </c>
    </row>
    <row r="93" spans="1:3" x14ac:dyDescent="0.25">
      <c r="A93" t="b">
        <f>IFERROR(IF(MATCH(B93,RECETAS!$A$2:$A$1700,0) &lt;&gt; "", TRUE,""),FALSE)</f>
        <v>1</v>
      </c>
      <c r="B93" t="str">
        <f>TRANSPOSE(T5_[Etiquetas de fila])</f>
        <v>HH Mojito Clásico</v>
      </c>
      <c r="C93">
        <f>TRANSPOSE(T5_[Recuento de T5 CODIGO])</f>
        <v>86</v>
      </c>
    </row>
    <row r="94" spans="1:3" x14ac:dyDescent="0.25">
      <c r="A94" t="b">
        <f>IFERROR(IF(MATCH(B94,RECETAS!$A$2:$A$1700,0) &lt;&gt; "", TRUE,""),FALSE)</f>
        <v>1</v>
      </c>
      <c r="B94" t="str">
        <f>TRANSPOSE(T5_[Etiquetas de fila])</f>
        <v>HH Mojito Corona</v>
      </c>
      <c r="C94">
        <f>TRANSPOSE(T5_[Recuento de T5 CODIGO])</f>
        <v>74</v>
      </c>
    </row>
    <row r="95" spans="1:3" x14ac:dyDescent="0.25">
      <c r="A95" t="b">
        <f>IFERROR(IF(MATCH(B95,RECETAS!$A$2:$A$1700,0) &lt;&gt; "", TRUE,""),FALSE)</f>
        <v>1</v>
      </c>
      <c r="B95" t="str">
        <f>TRANSPOSE(T5_[Etiquetas de fila])</f>
        <v>HH MOJITO FRUTILLA</v>
      </c>
      <c r="C95">
        <f>TRANSPOSE(T5_[Recuento de T5 CODIGO])</f>
        <v>32</v>
      </c>
    </row>
    <row r="96" spans="1:3" x14ac:dyDescent="0.25">
      <c r="A96" t="b">
        <f>IFERROR(IF(MATCH(B96,RECETAS!$A$2:$A$1700,0) &lt;&gt; "", TRUE,""),FALSE)</f>
        <v>1</v>
      </c>
      <c r="B96" t="str">
        <f>TRANSPOSE(T5_[Etiquetas de fila])</f>
        <v>HH MOJITO MANGO</v>
      </c>
      <c r="C96">
        <f>TRANSPOSE(T5_[Recuento de T5 CODIGO])</f>
        <v>51</v>
      </c>
    </row>
    <row r="97" spans="1:3" x14ac:dyDescent="0.25">
      <c r="A97" t="b">
        <f>IFERROR(IF(MATCH(B97,RECETAS!$A$2:$A$1700,0) &lt;&gt; "", TRUE,""),FALSE)</f>
        <v>1</v>
      </c>
      <c r="B97" t="str">
        <f>TRANSPOSE(T5_[Etiquetas de fila])</f>
        <v>HH Mojito Maracuyá</v>
      </c>
      <c r="C97">
        <f>TRANSPOSE(T5_[Recuento de T5 CODIGO])</f>
        <v>100</v>
      </c>
    </row>
    <row r="98" spans="1:3" x14ac:dyDescent="0.25">
      <c r="A98" t="b">
        <f>IFERROR(IF(MATCH(B98,RECETAS!$A$2:$A$1700,0) &lt;&gt; "", TRUE,""),FALSE)</f>
        <v>1</v>
      </c>
      <c r="B98" t="str">
        <f>TRANSPOSE(T5_[Etiquetas de fila])</f>
        <v>HH Pisco Sour</v>
      </c>
      <c r="C98">
        <f>TRANSPOSE(T5_[Recuento de T5 CODIGO])</f>
        <v>9</v>
      </c>
    </row>
    <row r="99" spans="1:3" x14ac:dyDescent="0.25">
      <c r="A99" t="b">
        <f>IFERROR(IF(MATCH(B99,RECETAS!$A$2:$A$1700,0) &lt;&gt; "", TRUE,""),FALSE)</f>
        <v>1</v>
      </c>
      <c r="B99" t="str">
        <f>TRANSPOSE(T5_[Etiquetas de fila])</f>
        <v>HH Schop Becker</v>
      </c>
      <c r="C99">
        <f>TRANSPOSE(T5_[Recuento de T5 CODIGO])</f>
        <v>14</v>
      </c>
    </row>
    <row r="100" spans="1:3" x14ac:dyDescent="0.25">
      <c r="A100" t="b">
        <f>IFERROR(IF(MATCH(B100,RECETAS!$A$2:$A$1700,0) &lt;&gt; "", TRUE,""),FALSE)</f>
        <v>1</v>
      </c>
      <c r="B100" t="str">
        <f>TRANSPOSE(T5_[Etiquetas de fila])</f>
        <v>Jack Daniels</v>
      </c>
      <c r="C100">
        <f>TRANSPOSE(T5_[Recuento de T5 CODIGO])</f>
        <v>5</v>
      </c>
    </row>
    <row r="101" spans="1:3" x14ac:dyDescent="0.25">
      <c r="A101" t="b">
        <f>IFERROR(IF(MATCH(B101,RECETAS!$A$2:$A$1700,0) &lt;&gt; "", TRUE,""),FALSE)</f>
        <v>1</v>
      </c>
      <c r="B101" t="str">
        <f>TRANSPOSE(T5_[Etiquetas de fila])</f>
        <v>Jack Daniels Fire</v>
      </c>
      <c r="C101">
        <f>TRANSPOSE(T5_[Recuento de T5 CODIGO])</f>
        <v>1</v>
      </c>
    </row>
    <row r="102" spans="1:3" x14ac:dyDescent="0.25">
      <c r="A102" t="b">
        <f>IFERROR(IF(MATCH(B102,RECETAS!$A$2:$A$1700,0) &lt;&gt; "", TRUE,""),FALSE)</f>
        <v>1</v>
      </c>
      <c r="B102" t="str">
        <f>TRANSPOSE(T5_[Etiquetas de fila])</f>
        <v>Jack Daniels Honey</v>
      </c>
      <c r="C102">
        <f>TRANSPOSE(T5_[Recuento de T5 CODIGO])</f>
        <v>1</v>
      </c>
    </row>
    <row r="103" spans="1:3" x14ac:dyDescent="0.25">
      <c r="A103" t="b">
        <f>IFERROR(IF(MATCH(B103,RECETAS!$A$2:$A$1700,0) &lt;&gt; "", TRUE,""),FALSE)</f>
        <v>1</v>
      </c>
      <c r="B103" t="str">
        <f>TRANSPOSE(T5_[Etiquetas de fila])</f>
        <v>Jagermeister</v>
      </c>
      <c r="C103">
        <f>TRANSPOSE(T5_[Recuento de T5 CODIGO])</f>
        <v>1</v>
      </c>
    </row>
    <row r="104" spans="1:3" x14ac:dyDescent="0.25">
      <c r="A104" t="b">
        <f>IFERROR(IF(MATCH(B104,RECETAS!$A$2:$A$1700,0) &lt;&gt; "", TRUE,""),FALSE)</f>
        <v>1</v>
      </c>
      <c r="B104" t="str">
        <f>TRANSPOSE(T5_[Etiquetas de fila])</f>
        <v>Jagermeister + Bebida</v>
      </c>
      <c r="C104">
        <f>TRANSPOSE(T5_[Recuento de T5 CODIGO])</f>
        <v>2</v>
      </c>
    </row>
    <row r="105" spans="1:3" x14ac:dyDescent="0.25">
      <c r="A105" t="b">
        <f>IFERROR(IF(MATCH(B105,RECETAS!$A$2:$A$1700,0) &lt;&gt; "", TRUE,""),FALSE)</f>
        <v>1</v>
      </c>
      <c r="B105" t="str">
        <f>TRANSPOSE(T5_[Etiquetas de fila])</f>
        <v>Jagermeister Mojito</v>
      </c>
      <c r="C105">
        <f>TRANSPOSE(T5_[Recuento de T5 CODIGO])</f>
        <v>6</v>
      </c>
    </row>
    <row r="106" spans="1:3" x14ac:dyDescent="0.25">
      <c r="A106" t="b">
        <f>IFERROR(IF(MATCH(B106,RECETAS!$A$2:$A$1700,0) &lt;&gt; "", TRUE,""),FALSE)</f>
        <v>1</v>
      </c>
      <c r="B106" t="str">
        <f>TRANSPOSE(T5_[Etiquetas de fila])</f>
        <v>Jarro Sangria</v>
      </c>
      <c r="C106">
        <f>TRANSPOSE(T5_[Recuento de T5 CODIGO])</f>
        <v>21</v>
      </c>
    </row>
    <row r="107" spans="1:3" x14ac:dyDescent="0.25">
      <c r="A107" t="b">
        <f>IFERROR(IF(MATCH(B107,RECETAS!$A$2:$A$1700,0) &lt;&gt; "", TRUE,""),FALSE)</f>
        <v>1</v>
      </c>
      <c r="B107" t="str">
        <f>TRANSPOSE(T5_[Etiquetas de fila])</f>
        <v>Johnnie Walker Black</v>
      </c>
      <c r="C107">
        <f>TRANSPOSE(T5_[Recuento de T5 CODIGO])</f>
        <v>3</v>
      </c>
    </row>
    <row r="108" spans="1:3" x14ac:dyDescent="0.25">
      <c r="A108" t="b">
        <f>IFERROR(IF(MATCH(B108,RECETAS!$A$2:$A$1700,0) &lt;&gt; "", TRUE,""),FALSE)</f>
        <v>1</v>
      </c>
      <c r="B108" t="str">
        <f>TRANSPOSE(T5_[Etiquetas de fila])</f>
        <v>Jugo Frambuesa</v>
      </c>
      <c r="C108">
        <f>TRANSPOSE(T5_[Recuento de T5 CODIGO])</f>
        <v>24</v>
      </c>
    </row>
    <row r="109" spans="1:3" x14ac:dyDescent="0.25">
      <c r="A109" t="b">
        <f>IFERROR(IF(MATCH(B109,RECETAS!$A$2:$A$1700,0) &lt;&gt; "", TRUE,""),FALSE)</f>
        <v>1</v>
      </c>
      <c r="B109" t="str">
        <f>TRANSPOSE(T5_[Etiquetas de fila])</f>
        <v>Jugo Frutilla</v>
      </c>
      <c r="C109">
        <f>TRANSPOSE(T5_[Recuento de T5 CODIGO])</f>
        <v>24</v>
      </c>
    </row>
    <row r="110" spans="1:3" x14ac:dyDescent="0.25">
      <c r="A110" t="b">
        <f>IFERROR(IF(MATCH(B110,RECETAS!$A$2:$A$1700,0) &lt;&gt; "", TRUE,""),FALSE)</f>
        <v>1</v>
      </c>
      <c r="B110" t="str">
        <f>TRANSPOSE(T5_[Etiquetas de fila])</f>
        <v>Jugo Mango</v>
      </c>
      <c r="C110">
        <f>TRANSPOSE(T5_[Recuento de T5 CODIGO])</f>
        <v>28</v>
      </c>
    </row>
    <row r="111" spans="1:3" x14ac:dyDescent="0.25">
      <c r="A111" t="b">
        <f>IFERROR(IF(MATCH(B111,RECETAS!$A$2:$A$1700,0) &lt;&gt; "", TRUE,""),FALSE)</f>
        <v>1</v>
      </c>
      <c r="B111" t="str">
        <f>TRANSPOSE(T5_[Etiquetas de fila])</f>
        <v>Laguna Azul</v>
      </c>
      <c r="C111">
        <f>TRANSPOSE(T5_[Recuento de T5 CODIGO])</f>
        <v>4</v>
      </c>
    </row>
    <row r="112" spans="1:3" x14ac:dyDescent="0.25">
      <c r="A112" t="b">
        <f>IFERROR(IF(MATCH(B112,RECETAS!$A$2:$A$1700,0) &lt;&gt; "", TRUE,""),FALSE)</f>
        <v>1</v>
      </c>
      <c r="B112" t="str">
        <f>TRANSPOSE(T5_[Etiquetas de fila])</f>
        <v>Limonada</v>
      </c>
      <c r="C112">
        <f>TRANSPOSE(T5_[Recuento de T5 CODIGO])</f>
        <v>43</v>
      </c>
    </row>
    <row r="113" spans="1:3" x14ac:dyDescent="0.25">
      <c r="A113" t="b">
        <f>IFERROR(IF(MATCH(B113,RECETAS!$A$2:$A$1700,0) &lt;&gt; "", TRUE,""),FALSE)</f>
        <v>1</v>
      </c>
      <c r="B113" t="str">
        <f>TRANSPOSE(T5_[Etiquetas de fila])</f>
        <v>Lomo a lo Pobre</v>
      </c>
      <c r="C113">
        <f>TRANSPOSE(T5_[Recuento de T5 CODIGO])</f>
        <v>6</v>
      </c>
    </row>
    <row r="114" spans="1:3" x14ac:dyDescent="0.25">
      <c r="A114" t="b">
        <f>IFERROR(IF(MATCH(B114,RECETAS!$A$2:$A$1700,0) &lt;&gt; "", TRUE,""),FALSE)</f>
        <v>1</v>
      </c>
      <c r="B114" t="str">
        <f>TRANSPOSE(T5_[Etiquetas de fila])</f>
        <v>London Mule</v>
      </c>
      <c r="C114">
        <f>TRANSPOSE(T5_[Recuento de T5 CODIGO])</f>
        <v>13</v>
      </c>
    </row>
    <row r="115" spans="1:3" x14ac:dyDescent="0.25">
      <c r="A115" t="b">
        <f>IFERROR(IF(MATCH(B115,RECETAS!$A$2:$A$1700,0) &lt;&gt; "", TRUE,""),FALSE)</f>
        <v>1</v>
      </c>
      <c r="B115" t="str">
        <f>TRANSPOSE(T5_[Etiquetas de fila])</f>
        <v>Maitai</v>
      </c>
      <c r="C115">
        <f>TRANSPOSE(T5_[Recuento de T5 CODIGO])</f>
        <v>4</v>
      </c>
    </row>
    <row r="116" spans="1:3" x14ac:dyDescent="0.25">
      <c r="A116" t="b">
        <f>IFERROR(IF(MATCH(B116,RECETAS!$A$2:$A$1700,0) &lt;&gt; "", TRUE,""),FALSE)</f>
        <v>1</v>
      </c>
      <c r="B116" t="str">
        <f>TRANSPOSE(T5_[Etiquetas de fila])</f>
        <v>Mamacita</v>
      </c>
      <c r="C116">
        <f>TRANSPOSE(T5_[Recuento de T5 CODIGO])</f>
        <v>8</v>
      </c>
    </row>
    <row r="117" spans="1:3" x14ac:dyDescent="0.25">
      <c r="A117" t="b">
        <f>IFERROR(IF(MATCH(B117,RECETAS!$A$2:$A$1700,0) &lt;&gt; "", TRUE,""),FALSE)</f>
        <v>0</v>
      </c>
      <c r="B117" t="str">
        <f>TRANSPOSE(T5_[Etiquetas de fila])</f>
        <v>Mango</v>
      </c>
      <c r="C117">
        <f>TRANSPOSE(T5_[Recuento de T5 CODIGO])</f>
        <v>9</v>
      </c>
    </row>
    <row r="118" spans="1:3" x14ac:dyDescent="0.25">
      <c r="A118" t="b">
        <f>IFERROR(IF(MATCH(B118,RECETAS!$A$2:$A$1700,0) &lt;&gt; "", TRUE,""),FALSE)</f>
        <v>1</v>
      </c>
      <c r="B118" t="str">
        <f>TRANSPOSE(T5_[Etiquetas de fila])</f>
        <v>Mango Colada</v>
      </c>
      <c r="C118">
        <f>TRANSPOSE(T5_[Recuento de T5 CODIGO])</f>
        <v>6</v>
      </c>
    </row>
    <row r="119" spans="1:3" x14ac:dyDescent="0.25">
      <c r="A119" t="b">
        <f>IFERROR(IF(MATCH(B119,RECETAS!$A$2:$A$1700,0) &lt;&gt; "", TRUE,""),FALSE)</f>
        <v>0</v>
      </c>
      <c r="B119" t="str">
        <f>TRANSPOSE(T5_[Etiquetas de fila])</f>
        <v>MARACUYA SOUR</v>
      </c>
      <c r="C119">
        <f>TRANSPOSE(T5_[Recuento de T5 CODIGO])</f>
        <v>2</v>
      </c>
    </row>
    <row r="120" spans="1:3" x14ac:dyDescent="0.25">
      <c r="A120" t="b">
        <f>IFERROR(IF(MATCH(B120,RECETAS!$A$2:$A$1700,0) &lt;&gt; "", TRUE,""),FALSE)</f>
        <v>1</v>
      </c>
      <c r="B120" t="str">
        <f>TRANSPOSE(T5_[Etiquetas de fila])</f>
        <v>Margarita</v>
      </c>
      <c r="C120">
        <f>TRANSPOSE(T5_[Recuento de T5 CODIGO])</f>
        <v>8</v>
      </c>
    </row>
    <row r="121" spans="1:3" x14ac:dyDescent="0.25">
      <c r="A121" t="b">
        <f>IFERROR(IF(MATCH(B121,RECETAS!$A$2:$A$1700,0) &lt;&gt; "", TRUE,""),FALSE)</f>
        <v>0</v>
      </c>
      <c r="B121" t="str">
        <f>TRANSPOSE(T5_[Etiquetas de fila])</f>
        <v>margarita blue spicy</v>
      </c>
      <c r="C121">
        <f>TRANSPOSE(T5_[Recuento de T5 CODIGO])</f>
        <v>18</v>
      </c>
    </row>
    <row r="122" spans="1:3" x14ac:dyDescent="0.25">
      <c r="A122" t="b">
        <f>IFERROR(IF(MATCH(B122,RECETAS!$A$2:$A$1700,0) &lt;&gt; "", TRUE,""),FALSE)</f>
        <v>1</v>
      </c>
      <c r="B122" t="str">
        <f>TRANSPOSE(T5_[Etiquetas de fila])</f>
        <v>Margarita Frambuesa</v>
      </c>
      <c r="C122">
        <f>TRANSPOSE(T5_[Recuento de T5 CODIGO])</f>
        <v>7</v>
      </c>
    </row>
    <row r="123" spans="1:3" x14ac:dyDescent="0.25">
      <c r="A123" t="b">
        <f>IFERROR(IF(MATCH(B123,RECETAS!$A$2:$A$1700,0) &lt;&gt; "", TRUE,""),FALSE)</f>
        <v>1</v>
      </c>
      <c r="B123" t="str">
        <f>TRANSPOSE(T5_[Etiquetas de fila])</f>
        <v>Margarita Frutilla</v>
      </c>
      <c r="C123">
        <f>TRANSPOSE(T5_[Recuento de T5 CODIGO])</f>
        <v>5</v>
      </c>
    </row>
    <row r="124" spans="1:3" x14ac:dyDescent="0.25">
      <c r="A124" t="b">
        <f>IFERROR(IF(MATCH(B124,RECETAS!$A$2:$A$1700,0) &lt;&gt; "", TRUE,""),FALSE)</f>
        <v>0</v>
      </c>
      <c r="B124" t="str">
        <f>TRANSPOSE(T5_[Etiquetas de fila])</f>
        <v>margarita maracuya spicy</v>
      </c>
      <c r="C124">
        <f>TRANSPOSE(T5_[Recuento de T5 CODIGO])</f>
        <v>11</v>
      </c>
    </row>
    <row r="125" spans="1:3" x14ac:dyDescent="0.25">
      <c r="A125" t="b">
        <f>IFERROR(IF(MATCH(B125,RECETAS!$A$2:$A$1700,0) &lt;&gt; "", TRUE,""),FALSE)</f>
        <v>0</v>
      </c>
      <c r="B125" t="str">
        <f>TRANSPOSE(T5_[Etiquetas de fila])</f>
        <v>margarita spicy</v>
      </c>
      <c r="C125">
        <f>TRANSPOSE(T5_[Recuento de T5 CODIGO])</f>
        <v>10</v>
      </c>
    </row>
    <row r="126" spans="1:3" x14ac:dyDescent="0.25">
      <c r="A126" t="b">
        <f>IFERROR(IF(MATCH(B126,RECETAS!$A$2:$A$1700,0) &lt;&gt; "", TRUE,""),FALSE)</f>
        <v>1</v>
      </c>
      <c r="B126" t="str">
        <f>TRANSPOSE(T5_[Etiquetas de fila])</f>
        <v>Margarita XL</v>
      </c>
      <c r="C126">
        <f>TRANSPOSE(T5_[Recuento de T5 CODIGO])</f>
        <v>1</v>
      </c>
    </row>
    <row r="127" spans="1:3" x14ac:dyDescent="0.25">
      <c r="A127" t="b">
        <f>IFERROR(IF(MATCH(B127,RECETAS!$A$2:$A$1700,0) &lt;&gt; "", TRUE,""),FALSE)</f>
        <v>1</v>
      </c>
      <c r="B127" t="str">
        <f>TRANSPOSE(T5_[Etiquetas de fila])</f>
        <v>Menu Coca cola 350cc</v>
      </c>
      <c r="C127">
        <f>TRANSPOSE(T5_[Recuento de T5 CODIGO])</f>
        <v>11</v>
      </c>
    </row>
    <row r="128" spans="1:3" x14ac:dyDescent="0.25">
      <c r="A128" t="b">
        <f>IFERROR(IF(MATCH(B128,RECETAS!$A$2:$A$1700,0) &lt;&gt; "", TRUE,""),FALSE)</f>
        <v>1</v>
      </c>
      <c r="B128" t="str">
        <f>TRANSPOSE(T5_[Etiquetas de fila])</f>
        <v>Menu Coca cola zero 350cc</v>
      </c>
      <c r="C128">
        <f>TRANSPOSE(T5_[Recuento de T5 CODIGO])</f>
        <v>16</v>
      </c>
    </row>
    <row r="129" spans="1:3" x14ac:dyDescent="0.25">
      <c r="A129" t="b">
        <f>IFERROR(IF(MATCH(B129,RECETAS!$A$2:$A$1700,0) &lt;&gt; "", TRUE,""),FALSE)</f>
        <v>1</v>
      </c>
      <c r="B129" t="str">
        <f>TRANSPOSE(T5_[Etiquetas de fila])</f>
        <v>Menu copa de vino blanco</v>
      </c>
      <c r="C129">
        <f>TRANSPOSE(T5_[Recuento de T5 CODIGO])</f>
        <v>1</v>
      </c>
    </row>
    <row r="130" spans="1:3" x14ac:dyDescent="0.25">
      <c r="A130" t="b">
        <f>IFERROR(IF(MATCH(B130,RECETAS!$A$2:$A$1700,0) &lt;&gt; "", TRUE,""),FALSE)</f>
        <v>1</v>
      </c>
      <c r="B130" t="str">
        <f>TRANSPOSE(T5_[Etiquetas de fila])</f>
        <v>Menu copa de vino tinto</v>
      </c>
      <c r="C130">
        <f>TRANSPOSE(T5_[Recuento de T5 CODIGO])</f>
        <v>5</v>
      </c>
    </row>
    <row r="131" spans="1:3" x14ac:dyDescent="0.25">
      <c r="A131" t="b">
        <f>IFERROR(IF(MATCH(B131,RECETAS!$A$2:$A$1700,0) &lt;&gt; "", TRUE,""),FALSE)</f>
        <v>1</v>
      </c>
      <c r="B131" t="str">
        <f>TRANSPOSE(T5_[Etiquetas de fila])</f>
        <v>MENU CRUDO</v>
      </c>
      <c r="C131">
        <f>TRANSPOSE(T5_[Recuento de T5 CODIGO])</f>
        <v>2</v>
      </c>
    </row>
    <row r="132" spans="1:3" x14ac:dyDescent="0.25">
      <c r="A132" t="b">
        <f>IFERROR(IF(MATCH(B132,RECETAS!$A$2:$A$1700,0) &lt;&gt; "", TRUE,""),FALSE)</f>
        <v>1</v>
      </c>
      <c r="B132" t="str">
        <f>TRANSPOSE(T5_[Etiquetas de fila])</f>
        <v>Menu Fanta 350cc</v>
      </c>
      <c r="C132">
        <f>TRANSPOSE(T5_[Recuento de T5 CODIGO])</f>
        <v>2</v>
      </c>
    </row>
    <row r="133" spans="1:3" x14ac:dyDescent="0.25">
      <c r="A133" t="b">
        <f>IFERROR(IF(MATCH(B133,RECETAS!$A$2:$A$1700,0) &lt;&gt; "", TRUE,""),FALSE)</f>
        <v>1</v>
      </c>
      <c r="B133" t="str">
        <f>TRANSPOSE(T5_[Etiquetas de fila])</f>
        <v>Menu Lomo a lo pobre</v>
      </c>
      <c r="C133">
        <f>TRANSPOSE(T5_[Recuento de T5 CODIGO])</f>
        <v>16</v>
      </c>
    </row>
    <row r="134" spans="1:3" x14ac:dyDescent="0.25">
      <c r="A134" t="b">
        <f>IFERROR(IF(MATCH(B134,RECETAS!$A$2:$A$1700,0) &lt;&gt; "", TRUE,""),FALSE)</f>
        <v>1</v>
      </c>
      <c r="B134" t="str">
        <f>TRANSPOSE(T5_[Etiquetas de fila])</f>
        <v>Menu Lomo Saltado</v>
      </c>
      <c r="C134">
        <f>TRANSPOSE(T5_[Recuento de T5 CODIGO])</f>
        <v>14</v>
      </c>
    </row>
    <row r="135" spans="1:3" x14ac:dyDescent="0.25">
      <c r="A135" t="b">
        <f>IFERROR(IF(MATCH(B135,RECETAS!$A$2:$A$1700,0) &lt;&gt; "", TRUE,""),FALSE)</f>
        <v>1</v>
      </c>
      <c r="B135" t="str">
        <f>TRANSPOSE(T5_[Etiquetas de fila])</f>
        <v>Menu Mineral con gas</v>
      </c>
      <c r="C135">
        <f>TRANSPOSE(T5_[Recuento de T5 CODIGO])</f>
        <v>1</v>
      </c>
    </row>
    <row r="136" spans="1:3" x14ac:dyDescent="0.25">
      <c r="A136" t="b">
        <f>IFERROR(IF(MATCH(B136,RECETAS!$A$2:$A$1700,0) &lt;&gt; "", TRUE,""),FALSE)</f>
        <v>1</v>
      </c>
      <c r="B136" t="str">
        <f>TRANSPOSE(T5_[Etiquetas de fila])</f>
        <v>Menu Mineral sin gas</v>
      </c>
      <c r="C136">
        <f>TRANSPOSE(T5_[Recuento de T5 CODIGO])</f>
        <v>9</v>
      </c>
    </row>
    <row r="137" spans="1:3" x14ac:dyDescent="0.25">
      <c r="A137" t="b">
        <f>IFERROR(IF(MATCH(B137,RECETAS!$A$2:$A$1700,0) &lt;&gt; "", TRUE,""),FALSE)</f>
        <v>1</v>
      </c>
      <c r="B137" t="str">
        <f>TRANSPOSE(T5_[Etiquetas de fila])</f>
        <v>Menu Pasta con Camarones</v>
      </c>
      <c r="C137">
        <f>TRANSPOSE(T5_[Recuento de T5 CODIGO])</f>
        <v>9</v>
      </c>
    </row>
    <row r="138" spans="1:3" x14ac:dyDescent="0.25">
      <c r="A138" t="b">
        <f>IFERROR(IF(MATCH(B138,RECETAS!$A$2:$A$1700,0) &lt;&gt; "", TRUE,""),FALSE)</f>
        <v>1</v>
      </c>
      <c r="B138" t="str">
        <f>TRANSPOSE(T5_[Etiquetas de fila])</f>
        <v>Menu Pollo a lo pobre</v>
      </c>
      <c r="C138">
        <f>TRANSPOSE(T5_[Recuento de T5 CODIGO])</f>
        <v>1</v>
      </c>
    </row>
    <row r="139" spans="1:3" x14ac:dyDescent="0.25">
      <c r="A139" t="b">
        <f>IFERROR(IF(MATCH(B139,RECETAS!$A$2:$A$1700,0) &lt;&gt; "", TRUE,""),FALSE)</f>
        <v>1</v>
      </c>
      <c r="B139" t="str">
        <f>TRANSPOSE(T5_[Etiquetas de fila])</f>
        <v>Menu Pollo al Curry</v>
      </c>
      <c r="C139">
        <f>TRANSPOSE(T5_[Recuento de T5 CODIGO])</f>
        <v>1</v>
      </c>
    </row>
    <row r="140" spans="1:3" x14ac:dyDescent="0.25">
      <c r="A140" t="b">
        <f>IFERROR(IF(MATCH(B140,RECETAS!$A$2:$A$1700,0) &lt;&gt; "", TRUE,""),FALSE)</f>
        <v>1</v>
      </c>
      <c r="B140" t="str">
        <f>TRANSPOSE(T5_[Etiquetas de fila])</f>
        <v>Menu Salmon a la plancha</v>
      </c>
      <c r="C140">
        <f>TRANSPOSE(T5_[Recuento de T5 CODIGO])</f>
        <v>3</v>
      </c>
    </row>
    <row r="141" spans="1:3" x14ac:dyDescent="0.25">
      <c r="A141" t="b">
        <f>IFERROR(IF(MATCH(B141,RECETAS!$A$2:$A$1700,0) &lt;&gt; "", TRUE,""),FALSE)</f>
        <v>1</v>
      </c>
      <c r="B141" t="str">
        <f>TRANSPOSE(T5_[Etiquetas de fila])</f>
        <v>Menu Salmon a lo Pobre</v>
      </c>
      <c r="C141">
        <f>TRANSPOSE(T5_[Recuento de T5 CODIGO])</f>
        <v>10</v>
      </c>
    </row>
    <row r="142" spans="1:3" x14ac:dyDescent="0.25">
      <c r="A142" t="b">
        <f>IFERROR(IF(MATCH(B142,RECETAS!$A$2:$A$1700,0) &lt;&gt; "", TRUE,""),FALSE)</f>
        <v>1</v>
      </c>
      <c r="B142" t="str">
        <f>TRANSPOSE(T5_[Etiquetas de fila])</f>
        <v>Menu Salmon Salad</v>
      </c>
      <c r="C142">
        <f>TRANSPOSE(T5_[Recuento de T5 CODIGO])</f>
        <v>5</v>
      </c>
    </row>
    <row r="143" spans="1:3" x14ac:dyDescent="0.25">
      <c r="A143" t="b">
        <f>IFERROR(IF(MATCH(B143,RECETAS!$A$2:$A$1700,0) &lt;&gt; "", TRUE,""),FALSE)</f>
        <v>1</v>
      </c>
      <c r="B143" t="str">
        <f>TRANSPOSE(T5_[Etiquetas de fila])</f>
        <v>Menu Schop Stella</v>
      </c>
      <c r="C143">
        <f>TRANSPOSE(T5_[Recuento de T5 CODIGO])</f>
        <v>21</v>
      </c>
    </row>
    <row r="144" spans="1:3" x14ac:dyDescent="0.25">
      <c r="A144" t="b">
        <f>IFERROR(IF(MATCH(B144,RECETAS!$A$2:$A$1700,0) &lt;&gt; "", TRUE,""),FALSE)</f>
        <v>1</v>
      </c>
      <c r="B144" t="str">
        <f>TRANSPOSE(T5_[Etiquetas de fila])</f>
        <v>Menu Schweppes Ginger zero 350cc</v>
      </c>
      <c r="C144">
        <f>TRANSPOSE(T5_[Recuento de T5 CODIGO])</f>
        <v>6</v>
      </c>
    </row>
    <row r="145" spans="1:3" x14ac:dyDescent="0.25">
      <c r="A145" t="b">
        <f>IFERROR(IF(MATCH(B145,RECETAS!$A$2:$A$1700,0) &lt;&gt; "", TRUE,""),FALSE)</f>
        <v>1</v>
      </c>
      <c r="B145" t="str">
        <f>TRANSPOSE(T5_[Etiquetas de fila])</f>
        <v>Menu Sprite 350cc</v>
      </c>
      <c r="C145">
        <f>TRANSPOSE(T5_[Recuento de T5 CODIGO])</f>
        <v>6</v>
      </c>
    </row>
    <row r="146" spans="1:3" x14ac:dyDescent="0.25">
      <c r="A146" t="b">
        <f>IFERROR(IF(MATCH(B146,RECETAS!$A$2:$A$1700,0) &lt;&gt; "", TRUE,""),FALSE)</f>
        <v>1</v>
      </c>
      <c r="B146" t="str">
        <f>TRANSPOSE(T5_[Etiquetas de fila])</f>
        <v>Menu Sprite Zero 350cc</v>
      </c>
      <c r="C146">
        <f>TRANSPOSE(T5_[Recuento de T5 CODIGO])</f>
        <v>4</v>
      </c>
    </row>
    <row r="147" spans="1:3" x14ac:dyDescent="0.25">
      <c r="A147" t="b">
        <f>IFERROR(IF(MATCH(B147,RECETAS!$A$2:$A$1700,0) &lt;&gt; "", TRUE,""),FALSE)</f>
        <v>0</v>
      </c>
      <c r="B147" t="str">
        <f>TRANSPOSE(T5_[Etiquetas de fila])</f>
        <v>MERLUZA A LO POBRE</v>
      </c>
      <c r="C147">
        <f>TRANSPOSE(T5_[Recuento de T5 CODIGO])</f>
        <v>5</v>
      </c>
    </row>
    <row r="148" spans="1:3" x14ac:dyDescent="0.25">
      <c r="A148" t="b">
        <f>IFERROR(IF(MATCH(B148,RECETAS!$A$2:$A$1700,0) &lt;&gt; "", TRUE,""),FALSE)</f>
        <v>1</v>
      </c>
      <c r="B148" t="str">
        <f>TRANSPOSE(T5_[Etiquetas de fila])</f>
        <v>Michelada</v>
      </c>
      <c r="C148">
        <f>TRANSPOSE(T5_[Recuento de T5 CODIGO])</f>
        <v>70</v>
      </c>
    </row>
    <row r="149" spans="1:3" x14ac:dyDescent="0.25">
      <c r="A149" t="b">
        <f>IFERROR(IF(MATCH(B149,RECETAS!$A$2:$A$1700,0) &lt;&gt; "", TRUE,""),FALSE)</f>
        <v>1</v>
      </c>
      <c r="B149" t="str">
        <f>TRANSPOSE(T5_[Etiquetas de fila])</f>
        <v>Michelada Full</v>
      </c>
      <c r="C149">
        <f>TRANSPOSE(T5_[Recuento de T5 CODIGO])</f>
        <v>52</v>
      </c>
    </row>
    <row r="150" spans="1:3" x14ac:dyDescent="0.25">
      <c r="A150" t="b">
        <f>IFERROR(IF(MATCH(B150,RECETAS!$A$2:$A$1700,0) &lt;&gt; "", TRUE,""),FALSE)</f>
        <v>1</v>
      </c>
      <c r="B150" t="str">
        <f>TRANSPOSE(T5_[Etiquetas de fila])</f>
        <v>Mineral con gas</v>
      </c>
      <c r="C150">
        <f>TRANSPOSE(T5_[Recuento de T5 CODIGO])</f>
        <v>8</v>
      </c>
    </row>
    <row r="151" spans="1:3" x14ac:dyDescent="0.25">
      <c r="A151" t="b">
        <f>IFERROR(IF(MATCH(B151,RECETAS!$A$2:$A$1700,0) &lt;&gt; "", TRUE,""),FALSE)</f>
        <v>1</v>
      </c>
      <c r="B151" t="str">
        <f>TRANSPOSE(T5_[Etiquetas de fila])</f>
        <v>Mineral sin gas</v>
      </c>
      <c r="C151">
        <f>TRANSPOSE(T5_[Recuento de T5 CODIGO])</f>
        <v>18</v>
      </c>
    </row>
    <row r="152" spans="1:3" x14ac:dyDescent="0.25">
      <c r="A152" t="b">
        <f>IFERROR(IF(MATCH(B152,RECETAS!$A$2:$A$1700,0) &lt;&gt; "", TRUE,""),FALSE)</f>
        <v>1</v>
      </c>
      <c r="B152" t="str">
        <f>TRANSPOSE(T5_[Etiquetas de fila])</f>
        <v>Mistral 35°</v>
      </c>
      <c r="C152">
        <f>TRANSPOSE(T5_[Recuento de T5 CODIGO])</f>
        <v>7</v>
      </c>
    </row>
    <row r="153" spans="1:3" x14ac:dyDescent="0.25">
      <c r="A153" t="b">
        <f>IFERROR(IF(MATCH(B153,RECETAS!$A$2:$A$1700,0) &lt;&gt; "", TRUE,""),FALSE)</f>
        <v>1</v>
      </c>
      <c r="B153" t="str">
        <f>TRANSPOSE(T5_[Etiquetas de fila])</f>
        <v>Mistral Nobel 40°</v>
      </c>
      <c r="C153">
        <f>TRANSPOSE(T5_[Recuento de T5 CODIGO])</f>
        <v>1</v>
      </c>
    </row>
    <row r="154" spans="1:3" x14ac:dyDescent="0.25">
      <c r="A154" t="b">
        <f>IFERROR(IF(MATCH(B154,RECETAS!$A$2:$A$1700,0) &lt;&gt; "", TRUE,""),FALSE)</f>
        <v>1</v>
      </c>
      <c r="B154" t="str">
        <f>TRANSPOSE(T5_[Etiquetas de fila])</f>
        <v>Mojito Absolut</v>
      </c>
      <c r="C154">
        <f>TRANSPOSE(T5_[Recuento de T5 CODIGO])</f>
        <v>1</v>
      </c>
    </row>
    <row r="155" spans="1:3" x14ac:dyDescent="0.25">
      <c r="A155" t="b">
        <f>IFERROR(IF(MATCH(B155,RECETAS!$A$2:$A$1700,0) &lt;&gt; "", TRUE,""),FALSE)</f>
        <v>1</v>
      </c>
      <c r="B155" t="str">
        <f>TRANSPOSE(T5_[Etiquetas de fila])</f>
        <v>Mojito Absolut Razz</v>
      </c>
      <c r="C155">
        <f>TRANSPOSE(T5_[Recuento de T5 CODIGO])</f>
        <v>2</v>
      </c>
    </row>
    <row r="156" spans="1:3" x14ac:dyDescent="0.25">
      <c r="A156" t="b">
        <f>IFERROR(IF(MATCH(B156,RECETAS!$A$2:$A$1700,0) &lt;&gt; "", TRUE,""),FALSE)</f>
        <v>1</v>
      </c>
      <c r="B156" t="str">
        <f>TRANSPOSE(T5_[Etiquetas de fila])</f>
        <v>Mojito Absolut Vainilla</v>
      </c>
      <c r="C156">
        <f>TRANSPOSE(T5_[Recuento de T5 CODIGO])</f>
        <v>1</v>
      </c>
    </row>
    <row r="157" spans="1:3" x14ac:dyDescent="0.25">
      <c r="A157" t="b">
        <f>IFERROR(IF(MATCH(B157,RECETAS!$A$2:$A$1700,0) &lt;&gt; "", TRUE,""),FALSE)</f>
        <v>1</v>
      </c>
      <c r="B157" t="str">
        <f>TRANSPOSE(T5_[Etiquetas de fila])</f>
        <v>MOJITO BERRIES</v>
      </c>
      <c r="C157">
        <f>TRANSPOSE(T5_[Recuento de T5 CODIGO])</f>
        <v>19</v>
      </c>
    </row>
    <row r="158" spans="1:3" x14ac:dyDescent="0.25">
      <c r="A158" t="b">
        <f>IFERROR(IF(MATCH(B158,RECETAS!$A$2:$A$1700,0) &lt;&gt; "", TRUE,""),FALSE)</f>
        <v>1</v>
      </c>
      <c r="B158" t="str">
        <f>TRANSPOSE(T5_[Etiquetas de fila])</f>
        <v>Mojito Clásico</v>
      </c>
      <c r="C158">
        <f>TRANSPOSE(T5_[Recuento de T5 CODIGO])</f>
        <v>44</v>
      </c>
    </row>
    <row r="159" spans="1:3" x14ac:dyDescent="0.25">
      <c r="A159" t="b">
        <f>IFERROR(IF(MATCH(B159,RECETAS!$A$2:$A$1700,0) &lt;&gt; "", TRUE,""),FALSE)</f>
        <v>1</v>
      </c>
      <c r="B159" t="str">
        <f>TRANSPOSE(T5_[Etiquetas de fila])</f>
        <v>Mojito Corona</v>
      </c>
      <c r="C159">
        <f>TRANSPOSE(T5_[Recuento de T5 CODIGO])</f>
        <v>36</v>
      </c>
    </row>
    <row r="160" spans="1:3" x14ac:dyDescent="0.25">
      <c r="A160" t="b">
        <f>IFERROR(IF(MATCH(B160,RECETAS!$A$2:$A$1700,0) &lt;&gt; "", TRUE,""),FALSE)</f>
        <v>0</v>
      </c>
      <c r="B160" t="str">
        <f>TRANSPOSE(T5_[Etiquetas de fila])</f>
        <v>MOJITO CORONA 0.0</v>
      </c>
      <c r="C160">
        <f>TRANSPOSE(T5_[Recuento de T5 CODIGO])</f>
        <v>14</v>
      </c>
    </row>
    <row r="161" spans="1:3" x14ac:dyDescent="0.25">
      <c r="A161" t="b">
        <f>IFERROR(IF(MATCH(B161,RECETAS!$A$2:$A$1700,0) &lt;&gt; "", TRUE,""),FALSE)</f>
        <v>1</v>
      </c>
      <c r="B161" t="str">
        <f>TRANSPOSE(T5_[Etiquetas de fila])</f>
        <v>MOJITO FRUTILLA</v>
      </c>
      <c r="C161">
        <f>TRANSPOSE(T5_[Recuento de T5 CODIGO])</f>
        <v>120</v>
      </c>
    </row>
    <row r="162" spans="1:3" x14ac:dyDescent="0.25">
      <c r="A162" t="b">
        <f>IFERROR(IF(MATCH(B162,RECETAS!$A$2:$A$1700,0) &lt;&gt; "", TRUE,""),FALSE)</f>
        <v>1</v>
      </c>
      <c r="B162" t="str">
        <f>TRANSPOSE(T5_[Etiquetas de fila])</f>
        <v>Mojito Jack Daniels</v>
      </c>
      <c r="C162">
        <f>TRANSPOSE(T5_[Recuento de T5 CODIGO])</f>
        <v>5</v>
      </c>
    </row>
    <row r="163" spans="1:3" x14ac:dyDescent="0.25">
      <c r="A163" t="b">
        <f>IFERROR(IF(MATCH(B163,RECETAS!$A$2:$A$1700,0) &lt;&gt; "", TRUE,""),FALSE)</f>
        <v>1</v>
      </c>
      <c r="B163" t="str">
        <f>TRANSPOSE(T5_[Etiquetas de fila])</f>
        <v>MOJITO MANGO</v>
      </c>
      <c r="C163">
        <f>TRANSPOSE(T5_[Recuento de T5 CODIGO])</f>
        <v>18</v>
      </c>
    </row>
    <row r="164" spans="1:3" x14ac:dyDescent="0.25">
      <c r="A164" t="b">
        <f>IFERROR(IF(MATCH(B164,RECETAS!$A$2:$A$1700,0) &lt;&gt; "", TRUE,""),FALSE)</f>
        <v>1</v>
      </c>
      <c r="B164" t="str">
        <f>TRANSPOSE(T5_[Etiquetas de fila])</f>
        <v>Mojito Maracuyá</v>
      </c>
      <c r="C164">
        <f>TRANSPOSE(T5_[Recuento de T5 CODIGO])</f>
        <v>42</v>
      </c>
    </row>
    <row r="165" spans="1:3" x14ac:dyDescent="0.25">
      <c r="A165" t="b">
        <f>IFERROR(IF(MATCH(B165,RECETAS!$A$2:$A$1700,0) &lt;&gt; "", TRUE,""),FALSE)</f>
        <v>1</v>
      </c>
      <c r="B165" t="str">
        <f>TRANSPOSE(T5_[Etiquetas de fila])</f>
        <v>Mojito Sin Alcohol</v>
      </c>
      <c r="C165">
        <f>TRANSPOSE(T5_[Recuento de T5 CODIGO])</f>
        <v>17</v>
      </c>
    </row>
    <row r="166" spans="1:3" x14ac:dyDescent="0.25">
      <c r="A166" t="b">
        <f>IFERROR(IF(MATCH(B166,RECETAS!$A$2:$A$1700,0) &lt;&gt; "", TRUE,""),FALSE)</f>
        <v>0</v>
      </c>
      <c r="B166" t="str">
        <f>TRANSPOSE(T5_[Etiquetas de fila])</f>
        <v>Mojito Tanqueray Royale</v>
      </c>
      <c r="C166">
        <f>TRANSPOSE(T5_[Recuento de T5 CODIGO])</f>
        <v>1</v>
      </c>
    </row>
    <row r="167" spans="1:3" x14ac:dyDescent="0.25">
      <c r="A167" t="b">
        <f>IFERROR(IF(MATCH(B167,RECETAS!$A$2:$A$1700,0) &lt;&gt; "", TRUE,""),FALSE)</f>
        <v>0</v>
      </c>
      <c r="B167" t="str">
        <f>TRANSPOSE(T5_[Etiquetas de fila])</f>
        <v>Mojito Tanqueray Sevilla</v>
      </c>
      <c r="C167">
        <f>TRANSPOSE(T5_[Recuento de T5 CODIGO])</f>
        <v>3</v>
      </c>
    </row>
    <row r="168" spans="1:3" x14ac:dyDescent="0.25">
      <c r="A168" t="b">
        <f>IFERROR(IF(MATCH(B168,RECETAS!$A$2:$A$1700,0) &lt;&gt; "", TRUE,""),FALSE)</f>
        <v>1</v>
      </c>
      <c r="B168" t="str">
        <f>TRANSPOSE(T5_[Etiquetas de fila])</f>
        <v>Mojito Xl</v>
      </c>
      <c r="C168">
        <f>TRANSPOSE(T5_[Recuento de T5 CODIGO])</f>
        <v>6</v>
      </c>
    </row>
    <row r="169" spans="1:3" x14ac:dyDescent="0.25">
      <c r="A169" t="b">
        <f>IFERROR(IF(MATCH(B169,RECETAS!$A$2:$A$1700,0) &lt;&gt; "", TRUE,""),FALSE)</f>
        <v>1</v>
      </c>
      <c r="B169" t="str">
        <f>TRANSPOSE(T5_[Etiquetas de fila])</f>
        <v>Moscow Mule</v>
      </c>
      <c r="C169">
        <f>TRANSPOSE(T5_[Recuento de T5 CODIGO])</f>
        <v>15</v>
      </c>
    </row>
    <row r="170" spans="1:3" x14ac:dyDescent="0.25">
      <c r="A170" t="b">
        <f>IFERROR(IF(MATCH(B170,RECETAS!$A$2:$A$1700,0) &lt;&gt; "", TRUE,""),FALSE)</f>
        <v>1</v>
      </c>
      <c r="B170" t="str">
        <f>TRANSPOSE(T5_[Etiquetas de fila])</f>
        <v>Nashville Honey</v>
      </c>
      <c r="C170">
        <f>TRANSPOSE(T5_[Recuento de T5 CODIGO])</f>
        <v>5</v>
      </c>
    </row>
    <row r="171" spans="1:3" x14ac:dyDescent="0.25">
      <c r="A171" t="b">
        <f>IFERROR(IF(MATCH(B171,RECETAS!$A$2:$A$1700,0) &lt;&gt; "", TRUE,""),FALSE)</f>
        <v>1</v>
      </c>
      <c r="B171" t="str">
        <f>TRANSPOSE(T5_[Etiquetas de fila])</f>
        <v>Negroni</v>
      </c>
      <c r="C171">
        <f>TRANSPOSE(T5_[Recuento de T5 CODIGO])</f>
        <v>2</v>
      </c>
    </row>
    <row r="172" spans="1:3" x14ac:dyDescent="0.25">
      <c r="A172" t="b">
        <f>IFERROR(IF(MATCH(B172,RECETAS!$A$2:$A$1700,0) &lt;&gt; "", TRUE,""),FALSE)</f>
        <v>1</v>
      </c>
      <c r="B172" t="str">
        <f>TRANSPOSE(T5_[Etiquetas de fila])</f>
        <v>NOT Burger</v>
      </c>
      <c r="C172">
        <f>TRANSPOSE(T5_[Recuento de T5 CODIGO])</f>
        <v>74</v>
      </c>
    </row>
    <row r="173" spans="1:3" x14ac:dyDescent="0.25">
      <c r="A173" t="b">
        <f>IFERROR(IF(MATCH(B173,RECETAS!$A$2:$A$1700,0) &lt;&gt; "", TRUE,""),FALSE)</f>
        <v>1</v>
      </c>
      <c r="B173" t="str">
        <f>TRANSPOSE(T5_[Etiquetas de fila])</f>
        <v>Palos de Queso</v>
      </c>
      <c r="C173">
        <f>TRANSPOSE(T5_[Recuento de T5 CODIGO])</f>
        <v>10</v>
      </c>
    </row>
    <row r="174" spans="1:3" x14ac:dyDescent="0.25">
      <c r="A174" t="b">
        <f>IFERROR(IF(MATCH(B174,RECETAS!$A$2:$A$1700,0) &lt;&gt; "", TRUE,""),FALSE)</f>
        <v>1</v>
      </c>
      <c r="B174" t="str">
        <f>TRANSPOSE(T5_[Etiquetas de fila])</f>
        <v>Papas Fritas Grandes</v>
      </c>
      <c r="C174">
        <f>TRANSPOSE(T5_[Recuento de T5 CODIGO])</f>
        <v>34</v>
      </c>
    </row>
    <row r="175" spans="1:3" x14ac:dyDescent="0.25">
      <c r="A175" t="b">
        <f>IFERROR(IF(MATCH(B175,RECETAS!$A$2:$A$1700,0) &lt;&gt; "", TRUE,""),FALSE)</f>
        <v>1</v>
      </c>
      <c r="B175" t="str">
        <f>TRANSPOSE(T5_[Etiquetas de fila])</f>
        <v>Picnic Teclados</v>
      </c>
      <c r="C175">
        <f>TRANSPOSE(T5_[Recuento de T5 CODIGO])</f>
        <v>42</v>
      </c>
    </row>
    <row r="176" spans="1:3" x14ac:dyDescent="0.25">
      <c r="A176" t="b">
        <f>IFERROR(IF(MATCH(B176,RECETAS!$A$2:$A$1700,0) &lt;&gt; "", TRUE,""),FALSE)</f>
        <v>1</v>
      </c>
      <c r="B176" t="str">
        <f>TRANSPOSE(T5_[Etiquetas de fila])</f>
        <v>Piña Colada</v>
      </c>
      <c r="C176">
        <f>TRANSPOSE(T5_[Recuento de T5 CODIGO])</f>
        <v>32</v>
      </c>
    </row>
    <row r="177" spans="1:3" x14ac:dyDescent="0.25">
      <c r="A177" t="b">
        <f>IFERROR(IF(MATCH(B177,RECETAS!$A$2:$A$1700,0) &lt;&gt; "", TRUE,""),FALSE)</f>
        <v>1</v>
      </c>
      <c r="B177" t="str">
        <f>TRANSPOSE(T5_[Etiquetas de fila])</f>
        <v>Piña Colada Sin Alcohol</v>
      </c>
      <c r="C177">
        <f>TRANSPOSE(T5_[Recuento de T5 CODIGO])</f>
        <v>14</v>
      </c>
    </row>
    <row r="178" spans="1:3" x14ac:dyDescent="0.25">
      <c r="A178" t="b">
        <f>IFERROR(IF(MATCH(B178,RECETAS!$A$2:$A$1700,0) &lt;&gt; "", TRUE,""),FALSE)</f>
        <v>1</v>
      </c>
      <c r="B178" t="str">
        <f>TRANSPOSE(T5_[Etiquetas de fila])</f>
        <v>Pisco Sour</v>
      </c>
      <c r="C178">
        <f>TRANSPOSE(T5_[Recuento de T5 CODIGO])</f>
        <v>8</v>
      </c>
    </row>
    <row r="179" spans="1:3" x14ac:dyDescent="0.25">
      <c r="A179" t="b">
        <f>IFERROR(IF(MATCH(B179,RECETAS!$A$2:$A$1700,0) &lt;&gt; "", TRUE,""),FALSE)</f>
        <v>1</v>
      </c>
      <c r="B179" t="str">
        <f>TRANSPOSE(T5_[Etiquetas de fila])</f>
        <v>Pisco Sour Mistral 35°</v>
      </c>
      <c r="C179">
        <f>TRANSPOSE(T5_[Recuento de T5 CODIGO])</f>
        <v>1</v>
      </c>
    </row>
    <row r="180" spans="1:3" x14ac:dyDescent="0.25">
      <c r="A180" t="b">
        <f>IFERROR(IF(MATCH(B180,RECETAS!$A$2:$A$1700,0) &lt;&gt; "", TRUE,""),FALSE)</f>
        <v>1</v>
      </c>
      <c r="B180" t="str">
        <f>TRANSPOSE(T5_[Etiquetas de fila])</f>
        <v>Promo Alto 35°</v>
      </c>
      <c r="C180">
        <f>TRANSPOSE(T5_[Recuento de T5 CODIGO])</f>
        <v>7</v>
      </c>
    </row>
    <row r="181" spans="1:3" x14ac:dyDescent="0.25">
      <c r="A181" t="b">
        <f>IFERROR(IF(MATCH(B181,RECETAS!$A$2:$A$1700,0) &lt;&gt; "", TRUE,""),FALSE)</f>
        <v>1</v>
      </c>
      <c r="B181" t="str">
        <f>TRANSPOSE(T5_[Etiquetas de fila])</f>
        <v>Promo Alto 35° + Redbull</v>
      </c>
      <c r="C181">
        <f>TRANSPOSE(T5_[Recuento de T5 CODIGO])</f>
        <v>3</v>
      </c>
    </row>
    <row r="182" spans="1:3" x14ac:dyDescent="0.25">
      <c r="A182" t="b">
        <f>IFERROR(IF(MATCH(B182,RECETAS!$A$2:$A$1700,0) &lt;&gt; "", TRUE,""),FALSE)</f>
        <v>1</v>
      </c>
      <c r="B182" t="str">
        <f>TRANSPOSE(T5_[Etiquetas de fila])</f>
        <v>Promo coca cola 237cc</v>
      </c>
      <c r="C182">
        <f>TRANSPOSE(T5_[Recuento de T5 CODIGO])</f>
        <v>9</v>
      </c>
    </row>
    <row r="183" spans="1:3" x14ac:dyDescent="0.25">
      <c r="A183" t="b">
        <f>IFERROR(IF(MATCH(B183,RECETAS!$A$2:$A$1700,0) &lt;&gt; "", TRUE,""),FALSE)</f>
        <v>1</v>
      </c>
      <c r="B183" t="str">
        <f>TRANSPOSE(T5_[Etiquetas de fila])</f>
        <v>Promo Coca cola 350cc</v>
      </c>
      <c r="C183">
        <f>TRANSPOSE(T5_[Recuento de T5 CODIGO])</f>
        <v>9</v>
      </c>
    </row>
    <row r="184" spans="1:3" x14ac:dyDescent="0.25">
      <c r="A184" t="b">
        <f>IFERROR(IF(MATCH(B184,RECETAS!$A$2:$A$1700,0) &lt;&gt; "", TRUE,""),FALSE)</f>
        <v>1</v>
      </c>
      <c r="B184" t="str">
        <f>TRANSPOSE(T5_[Etiquetas de fila])</f>
        <v>Promo coca cola zero 237cc</v>
      </c>
      <c r="C184">
        <f>TRANSPOSE(T5_[Recuento de T5 CODIGO])</f>
        <v>14</v>
      </c>
    </row>
    <row r="185" spans="1:3" x14ac:dyDescent="0.25">
      <c r="A185" t="b">
        <f>IFERROR(IF(MATCH(B185,RECETAS!$A$2:$A$1700,0) &lt;&gt; "", TRUE,""),FALSE)</f>
        <v>1</v>
      </c>
      <c r="B185" t="str">
        <f>TRANSPOSE(T5_[Etiquetas de fila])</f>
        <v>Promo coca cola zero 350cc</v>
      </c>
      <c r="C185">
        <f>TRANSPOSE(T5_[Recuento de T5 CODIGO])</f>
        <v>6</v>
      </c>
    </row>
    <row r="186" spans="1:3" x14ac:dyDescent="0.25">
      <c r="A186" t="b">
        <f>IFERROR(IF(MATCH(B186,RECETAS!$A$2:$A$1700,0) &lt;&gt; "", TRUE,""),FALSE)</f>
        <v>1</v>
      </c>
      <c r="B186" t="str">
        <f>TRANSPOSE(T5_[Etiquetas de fila])</f>
        <v>Promo Fentimans Tónica</v>
      </c>
      <c r="C186">
        <f>TRANSPOSE(T5_[Recuento de T5 CODIGO])</f>
        <v>1</v>
      </c>
    </row>
    <row r="187" spans="1:3" x14ac:dyDescent="0.25">
      <c r="A187" t="b">
        <f>IFERROR(IF(MATCH(B187,RECETAS!$A$2:$A$1700,0) &lt;&gt; "", TRUE,""),FALSE)</f>
        <v>1</v>
      </c>
      <c r="B187" t="str">
        <f>TRANSPOSE(T5_[Etiquetas de fila])</f>
        <v>Promo Margarita</v>
      </c>
      <c r="C187">
        <f>TRANSPOSE(T5_[Recuento de T5 CODIGO])</f>
        <v>1</v>
      </c>
    </row>
    <row r="188" spans="1:3" x14ac:dyDescent="0.25">
      <c r="A188" t="b">
        <f>IFERROR(IF(MATCH(B188,RECETAS!$A$2:$A$1700,0) &lt;&gt; "", TRUE,""),FALSE)</f>
        <v>1</v>
      </c>
      <c r="B188" t="str">
        <f>TRANSPOSE(T5_[Etiquetas de fila])</f>
        <v>Promo Red Bull Light</v>
      </c>
      <c r="C188">
        <f>TRANSPOSE(T5_[Recuento de T5 CODIGO])</f>
        <v>1</v>
      </c>
    </row>
    <row r="189" spans="1:3" x14ac:dyDescent="0.25">
      <c r="A189" t="b">
        <f>IFERROR(IF(MATCH(B189,RECETAS!$A$2:$A$1700,0) &lt;&gt; "", TRUE,""),FALSE)</f>
        <v>1</v>
      </c>
      <c r="B189" t="str">
        <f>TRANSPOSE(T5_[Etiquetas de fila])</f>
        <v>Promo Redbull</v>
      </c>
      <c r="C189">
        <f>TRANSPOSE(T5_[Recuento de T5 CODIGO])</f>
        <v>3</v>
      </c>
    </row>
    <row r="190" spans="1:3" x14ac:dyDescent="0.25">
      <c r="A190" t="b">
        <f>IFERROR(IF(MATCH(B190,RECETAS!$A$2:$A$1700,0) &lt;&gt; "", TRUE,""),FALSE)</f>
        <v>1</v>
      </c>
      <c r="B190" t="str">
        <f>TRANSPOSE(T5_[Etiquetas de fila])</f>
        <v>Promo Schweppes Ginger zero 350cc</v>
      </c>
      <c r="C190">
        <f>TRANSPOSE(T5_[Recuento de T5 CODIGO])</f>
        <v>4</v>
      </c>
    </row>
    <row r="191" spans="1:3" x14ac:dyDescent="0.25">
      <c r="A191" t="b">
        <f>IFERROR(IF(MATCH(B191,RECETAS!$A$2:$A$1700,0) &lt;&gt; "", TRUE,""),FALSE)</f>
        <v>1</v>
      </c>
      <c r="B191" t="str">
        <f>TRANSPOSE(T5_[Etiquetas de fila])</f>
        <v>Promo Schweppes Tonica 350cc</v>
      </c>
      <c r="C191">
        <f>TRANSPOSE(T5_[Recuento de T5 CODIGO])</f>
        <v>13</v>
      </c>
    </row>
    <row r="192" spans="1:3" x14ac:dyDescent="0.25">
      <c r="A192" t="b">
        <f>IFERROR(IF(MATCH(B192,RECETAS!$A$2:$A$1700,0) &lt;&gt; "", TRUE,""),FALSE)</f>
        <v>1</v>
      </c>
      <c r="B192" t="str">
        <f>TRANSPOSE(T5_[Etiquetas de fila])</f>
        <v>Promo Sprite 237cc</v>
      </c>
      <c r="C192">
        <f>TRANSPOSE(T5_[Recuento de T5 CODIGO])</f>
        <v>2</v>
      </c>
    </row>
    <row r="193" spans="1:3" x14ac:dyDescent="0.25">
      <c r="A193" t="b">
        <f>IFERROR(IF(MATCH(B193,RECETAS!$A$2:$A$1700,0) &lt;&gt; "", TRUE,""),FALSE)</f>
        <v>1</v>
      </c>
      <c r="B193" t="str">
        <f>TRANSPOSE(T5_[Etiquetas de fila])</f>
        <v>Promo Sprite 350cc</v>
      </c>
      <c r="C193">
        <f>TRANSPOSE(T5_[Recuento de T5 CODIGO])</f>
        <v>2</v>
      </c>
    </row>
    <row r="194" spans="1:3" x14ac:dyDescent="0.25">
      <c r="A194" t="b">
        <f>IFERROR(IF(MATCH(B194,RECETAS!$A$2:$A$1700,0) &lt;&gt; "", TRUE,""),FALSE)</f>
        <v>1</v>
      </c>
      <c r="B194" t="str">
        <f>TRANSPOSE(T5_[Etiquetas de fila])</f>
        <v>Promo Sprite Zero 350cc</v>
      </c>
      <c r="C194">
        <f>TRANSPOSE(T5_[Recuento de T5 CODIGO])</f>
        <v>2</v>
      </c>
    </row>
    <row r="195" spans="1:3" x14ac:dyDescent="0.25">
      <c r="A195" t="b">
        <f>IFERROR(IF(MATCH(B195,RECETAS!$A$2:$A$1700,0) &lt;&gt; "", TRUE,""),FALSE)</f>
        <v>1</v>
      </c>
      <c r="B195" t="str">
        <f>TRANSPOSE(T5_[Etiquetas de fila])</f>
        <v>Quesadilla Camaron</v>
      </c>
      <c r="C195">
        <f>TRANSPOSE(T5_[Recuento de T5 CODIGO])</f>
        <v>6</v>
      </c>
    </row>
    <row r="196" spans="1:3" x14ac:dyDescent="0.25">
      <c r="A196" t="b">
        <f>IFERROR(IF(MATCH(B196,RECETAS!$A$2:$A$1700,0) &lt;&gt; "", TRUE,""),FALSE)</f>
        <v>1</v>
      </c>
      <c r="B196" t="str">
        <f>TRANSPOSE(T5_[Etiquetas de fila])</f>
        <v>Quesadilla Carne</v>
      </c>
      <c r="C196">
        <f>TRANSPOSE(T5_[Recuento de T5 CODIGO])</f>
        <v>19</v>
      </c>
    </row>
    <row r="197" spans="1:3" x14ac:dyDescent="0.25">
      <c r="A197" t="b">
        <f>IFERROR(IF(MATCH(B197,RECETAS!$A$2:$A$1700,0) &lt;&gt; "", TRUE,""),FALSE)</f>
        <v>1</v>
      </c>
      <c r="B197" t="str">
        <f>TRANSPOSE(T5_[Etiquetas de fila])</f>
        <v>Quesadilla Pollo - Champignon</v>
      </c>
      <c r="C197">
        <f>TRANSPOSE(T5_[Recuento de T5 CODIGO])</f>
        <v>27</v>
      </c>
    </row>
    <row r="198" spans="1:3" x14ac:dyDescent="0.25">
      <c r="A198" t="b">
        <f>IFERROR(IF(MATCH(B198,RECETAS!$A$2:$A$1700,0) &lt;&gt; "", TRUE,""),FALSE)</f>
        <v>1</v>
      </c>
      <c r="B198" t="str">
        <f>TRANSPOSE(T5_[Etiquetas de fila])</f>
        <v>Ramazzotti</v>
      </c>
      <c r="C198">
        <f>TRANSPOSE(T5_[Recuento de T5 CODIGO])</f>
        <v>17</v>
      </c>
    </row>
    <row r="199" spans="1:3" x14ac:dyDescent="0.25">
      <c r="A199" t="b">
        <f>IFERROR(IF(MATCH(B199,RECETAS!$A$2:$A$1700,0) &lt;&gt; "", TRUE,""),FALSE)</f>
        <v>1</v>
      </c>
      <c r="B199" t="str">
        <f>TRANSPOSE(T5_[Etiquetas de fila])</f>
        <v>Red Bull normal</v>
      </c>
      <c r="C199">
        <f>TRANSPOSE(T5_[Recuento de T5 CODIGO])</f>
        <v>3</v>
      </c>
    </row>
    <row r="200" spans="1:3" x14ac:dyDescent="0.25">
      <c r="A200" t="b">
        <f>IFERROR(IF(MATCH(B200,RECETAS!$A$2:$A$1700,0) &lt;&gt; "", TRUE,""),FALSE)</f>
        <v>1</v>
      </c>
      <c r="B200" t="str">
        <f>TRANSPOSE(T5_[Etiquetas de fila])</f>
        <v>Red Bull sugar free</v>
      </c>
      <c r="C200">
        <f>TRANSPOSE(T5_[Recuento de T5 CODIGO])</f>
        <v>1</v>
      </c>
    </row>
    <row r="201" spans="1:3" x14ac:dyDescent="0.25">
      <c r="A201" t="b">
        <f>IFERROR(IF(MATCH(B201,RECETAS!$A$2:$A$1700,0) &lt;&gt; "", TRUE,""),FALSE)</f>
        <v>1</v>
      </c>
      <c r="B201" t="str">
        <f>TRANSPOSE(T5_[Etiquetas de fila])</f>
        <v>Schop Becker</v>
      </c>
      <c r="C201">
        <f>TRANSPOSE(T5_[Recuento de T5 CODIGO])</f>
        <v>10</v>
      </c>
    </row>
    <row r="202" spans="1:3" x14ac:dyDescent="0.25">
      <c r="A202" t="b">
        <f>IFERROR(IF(MATCH(B202,RECETAS!$A$2:$A$1700,0) &lt;&gt; "", TRUE,""),FALSE)</f>
        <v>1</v>
      </c>
      <c r="B202" t="str">
        <f>TRANSPOSE(T5_[Etiquetas de fila])</f>
        <v>Schop Stella Artois</v>
      </c>
      <c r="C202">
        <f>TRANSPOSE(T5_[Recuento de T5 CODIGO])</f>
        <v>145</v>
      </c>
    </row>
    <row r="203" spans="1:3" x14ac:dyDescent="0.25">
      <c r="A203" t="b">
        <f>IFERROR(IF(MATCH(B203,RECETAS!$A$2:$A$1700,0) &lt;&gt; "", TRUE,""),FALSE)</f>
        <v>1</v>
      </c>
      <c r="B203" t="str">
        <f>TRANSPOSE(T5_[Etiquetas de fila])</f>
        <v>Schweppes Ginger Zero 350cc</v>
      </c>
      <c r="C203">
        <f>TRANSPOSE(T5_[Recuento de T5 CODIGO])</f>
        <v>2</v>
      </c>
    </row>
    <row r="204" spans="1:3" x14ac:dyDescent="0.25">
      <c r="A204" t="b">
        <f>IFERROR(IF(MATCH(B204,RECETAS!$A$2:$A$1700,0) &lt;&gt; "", TRUE,""),FALSE)</f>
        <v>1</v>
      </c>
      <c r="B204" t="str">
        <f>TRANSPOSE(T5_[Etiquetas de fila])</f>
        <v>Sex on The beach</v>
      </c>
      <c r="C204">
        <f>TRANSPOSE(T5_[Recuento de T5 CODIGO])</f>
        <v>4</v>
      </c>
    </row>
    <row r="205" spans="1:3" x14ac:dyDescent="0.25">
      <c r="A205" t="b">
        <f>IFERROR(IF(MATCH(B205,RECETAS!$A$2:$A$1700,0) &lt;&gt; "", TRUE,""),FALSE)</f>
        <v>1</v>
      </c>
      <c r="B205" t="str">
        <f>TRANSPOSE(T5_[Etiquetas de fila])</f>
        <v>Shot Tequila Jimador</v>
      </c>
      <c r="C205">
        <f>TRANSPOSE(T5_[Recuento de T5 CODIGO])</f>
        <v>2</v>
      </c>
    </row>
    <row r="206" spans="1:3" x14ac:dyDescent="0.25">
      <c r="A206" t="b">
        <f>IFERROR(IF(MATCH(B206,RECETAS!$A$2:$A$1700,0) &lt;&gt; "", TRUE,""),FALSE)</f>
        <v>1</v>
      </c>
      <c r="B206" t="str">
        <f>TRANSPOSE(T5_[Etiquetas de fila])</f>
        <v>Sonata Teclados</v>
      </c>
      <c r="C206">
        <f>TRANSPOSE(T5_[Recuento de T5 CODIGO])</f>
        <v>16</v>
      </c>
    </row>
    <row r="207" spans="1:3" x14ac:dyDescent="0.25">
      <c r="A207" t="b">
        <f>IFERROR(IF(MATCH(B207,RECETAS!$A$2:$A$1700,0) &lt;&gt; "", TRUE,""),FALSE)</f>
        <v>1</v>
      </c>
      <c r="B207" t="str">
        <f>TRANSPOSE(T5_[Etiquetas de fila])</f>
        <v>Sprite 350cc</v>
      </c>
      <c r="C207">
        <f>TRANSPOSE(T5_[Recuento de T5 CODIGO])</f>
        <v>10</v>
      </c>
    </row>
    <row r="208" spans="1:3" x14ac:dyDescent="0.25">
      <c r="A208" t="b">
        <f>IFERROR(IF(MATCH(B208,RECETAS!$A$2:$A$1700,0) &lt;&gt; "", TRUE,""),FALSE)</f>
        <v>1</v>
      </c>
      <c r="B208" t="str">
        <f>TRANSPOSE(T5_[Etiquetas de fila])</f>
        <v>Sprite Zero 350cc</v>
      </c>
      <c r="C208">
        <f>TRANSPOSE(T5_[Recuento de T5 CODIGO])</f>
        <v>4</v>
      </c>
    </row>
    <row r="209" spans="1:3" x14ac:dyDescent="0.25">
      <c r="A209" t="b">
        <f>IFERROR(IF(MATCH(B209,RECETAS!$A$2:$A$1700,0) &lt;&gt; "", TRUE,""),FALSE)</f>
        <v>1</v>
      </c>
      <c r="B209" t="str">
        <f>TRANSPOSE(T5_[Etiquetas de fila])</f>
        <v>Stella Artois</v>
      </c>
      <c r="C209">
        <f>TRANSPOSE(T5_[Recuento de T5 CODIGO])</f>
        <v>5</v>
      </c>
    </row>
    <row r="210" spans="1:3" x14ac:dyDescent="0.25">
      <c r="A210" t="b">
        <f>IFERROR(IF(MATCH(B210,RECETAS!$A$2:$A$1700,0) &lt;&gt; "", TRUE,""),FALSE)</f>
        <v>1</v>
      </c>
      <c r="B210" t="str">
        <f>TRANSPOSE(T5_[Etiquetas de fila])</f>
        <v>Stella Artois Sin Alcohol</v>
      </c>
      <c r="C210">
        <f>TRANSPOSE(T5_[Recuento de T5 CODIGO])</f>
        <v>7</v>
      </c>
    </row>
    <row r="211" spans="1:3" x14ac:dyDescent="0.25">
      <c r="A211" t="b">
        <f>IFERROR(IF(MATCH(B211,RECETAS!$A$2:$A$1700,0) &lt;&gt; "", TRUE,""),FALSE)</f>
        <v>1</v>
      </c>
      <c r="B211" t="str">
        <f>TRANSPOSE(T5_[Etiquetas de fila])</f>
        <v>Tanqueray London</v>
      </c>
      <c r="C211">
        <f>TRANSPOSE(T5_[Recuento de T5 CODIGO])</f>
        <v>1</v>
      </c>
    </row>
    <row r="212" spans="1:3" x14ac:dyDescent="0.25">
      <c r="A212" t="b">
        <f>IFERROR(IF(MATCH(B212,RECETAS!$A$2:$A$1700,0) &lt;&gt; "", TRUE,""),FALSE)</f>
        <v>1</v>
      </c>
      <c r="B212" t="str">
        <f>TRANSPOSE(T5_[Etiquetas de fila])</f>
        <v>Tanqueray Sevilla</v>
      </c>
      <c r="C212">
        <f>TRANSPOSE(T5_[Recuento de T5 CODIGO])</f>
        <v>2</v>
      </c>
    </row>
    <row r="213" spans="1:3" x14ac:dyDescent="0.25">
      <c r="A213" t="b">
        <f>IFERROR(IF(MATCH(B213,RECETAS!$A$2:$A$1700,0) &lt;&gt; "", TRUE,""),FALSE)</f>
        <v>1</v>
      </c>
      <c r="B213" t="str">
        <f>TRANSPOSE(T5_[Etiquetas de fila])</f>
        <v>Tartaro de Salmón</v>
      </c>
      <c r="C213">
        <f>TRANSPOSE(T5_[Recuento de T5 CODIGO])</f>
        <v>4</v>
      </c>
    </row>
    <row r="214" spans="1:3" x14ac:dyDescent="0.25">
      <c r="A214" t="b">
        <f>IFERROR(IF(MATCH(B214,RECETAS!$A$2:$A$1700,0) &lt;&gt; "", TRUE,""),FALSE)</f>
        <v>1</v>
      </c>
      <c r="B214" t="str">
        <f>TRANSPOSE(T5_[Etiquetas de fila])</f>
        <v>Teclados Burger</v>
      </c>
      <c r="C214">
        <f>TRANSPOSE(T5_[Recuento de T5 CODIGO])</f>
        <v>33</v>
      </c>
    </row>
    <row r="215" spans="1:3" x14ac:dyDescent="0.25">
      <c r="A215" t="b">
        <f>IFERROR(IF(MATCH(B215,RECETAS!$A$2:$A$1700,0) &lt;&gt; "", TRUE,""),FALSE)</f>
        <v>0</v>
      </c>
      <c r="B215" t="str">
        <f>TRANSPOSE(T5_[Etiquetas de fila])</f>
        <v>TECLADOS SMOKED</v>
      </c>
      <c r="C215">
        <f>TRANSPOSE(T5_[Recuento de T5 CODIGO])</f>
        <v>2</v>
      </c>
    </row>
    <row r="216" spans="1:3" x14ac:dyDescent="0.25">
      <c r="A216" t="b">
        <f>IFERROR(IF(MATCH(B216,RECETAS!$A$2:$A$1700,0) &lt;&gt; "", TRUE,""),FALSE)</f>
        <v>1</v>
      </c>
      <c r="B216" t="str">
        <f>TRANSPOSE(T5_[Etiquetas de fila])</f>
        <v>Tennesse Mule</v>
      </c>
      <c r="C216">
        <f>TRANSPOSE(T5_[Recuento de T5 CODIGO])</f>
        <v>1</v>
      </c>
    </row>
    <row r="217" spans="1:3" x14ac:dyDescent="0.25">
      <c r="A217" t="b">
        <f>IFERROR(IF(MATCH(B217,RECETAS!$A$2:$A$1700,0) &lt;&gt; "", TRUE,""),FALSE)</f>
        <v>1</v>
      </c>
      <c r="B217" t="str">
        <f>TRANSPOSE(T5_[Etiquetas de fila])</f>
        <v>Totopos</v>
      </c>
      <c r="C217">
        <f>TRANSPOSE(T5_[Recuento de T5 CODIGO])</f>
        <v>12</v>
      </c>
    </row>
    <row r="218" spans="1:3" x14ac:dyDescent="0.25">
      <c r="A218" t="b">
        <f>IFERROR(IF(MATCH(B218,RECETAS!$A$2:$A$1700,0) &lt;&gt; "", TRUE,""),FALSE)</f>
        <v>1</v>
      </c>
      <c r="B218" t="str">
        <f>TRANSPOSE(T5_[Etiquetas de fila])</f>
        <v>Tropical Gin</v>
      </c>
      <c r="C218">
        <f>TRANSPOSE(T5_[Recuento de T5 CODIGO])</f>
        <v>21</v>
      </c>
    </row>
    <row r="219" spans="1:3" x14ac:dyDescent="0.25">
      <c r="A219" t="b">
        <f>IFERROR(IF(MATCH(B219,RECETAS!$A$2:$A$1700,0) &lt;&gt; "", TRUE,""),FALSE)</f>
        <v>1</v>
      </c>
      <c r="B219" t="str">
        <f>TRANSPOSE(T5_[Etiquetas de fila])</f>
        <v>Vaso Sangria</v>
      </c>
      <c r="C219">
        <f>TRANSPOSE(T5_[Recuento de T5 CODIGO])</f>
        <v>8</v>
      </c>
    </row>
    <row r="220" spans="1:3" x14ac:dyDescent="0.25">
      <c r="A220" t="b">
        <f>IFERROR(IF(MATCH(B220,RECETAS!$A$2:$A$1700,0) &lt;&gt; "", TRUE,""),FALSE)</f>
        <v>1</v>
      </c>
      <c r="B220" t="str">
        <f>TRANSPOSE(T5_[Etiquetas de fila])</f>
        <v>White Russian</v>
      </c>
      <c r="C220">
        <f>TRANSPOSE(T5_[Recuento de T5 CODIGO])</f>
        <v>7</v>
      </c>
    </row>
    <row r="221" spans="1:3" x14ac:dyDescent="0.25">
      <c r="A221" t="b">
        <f>IFERROR(IF(MATCH(B221,RECETAS!$A$2:$A$1700,0) &lt;&gt; "", TRUE,""),FALSE)</f>
        <v>0</v>
      </c>
      <c r="B221" t="str">
        <f>TRANSPOSE(T5_[Etiquetas de fila])</f>
        <v>WRAP ACEVICHADO</v>
      </c>
      <c r="C221">
        <f>TRANSPOSE(T5_[Recuento de T5 CODIGO])</f>
        <v>1</v>
      </c>
    </row>
    <row r="222" spans="1:3" x14ac:dyDescent="0.25">
      <c r="A222" t="b">
        <f>IFERROR(IF(MATCH(B222,RECETAS!$A$2:$A$1700,0) &lt;&gt; "", TRUE,""),FALSE)</f>
        <v>0</v>
      </c>
      <c r="B222" t="str">
        <f>TRANSPOSE(T5_[Etiquetas de fila])</f>
        <v>WRAP DE MECHADA</v>
      </c>
      <c r="C222">
        <f>TRANSPOSE(T5_[Recuento de T5 CODIGO])</f>
        <v>4</v>
      </c>
    </row>
    <row r="223" spans="1:3" x14ac:dyDescent="0.25">
      <c r="A223" t="b">
        <f>IFERROR(IF(MATCH(B223,RECETAS!$A$2:$A$1700,0) &lt;&gt; "", TRUE,""),FALSE)</f>
        <v>0</v>
      </c>
      <c r="B223" t="str">
        <f>TRANSPOSE(T5_[Etiquetas de fila])</f>
        <v>WRAP DE POLLO</v>
      </c>
      <c r="C223">
        <f>TRANSPOSE(T5_[Recuento de T5 CODIGO])</f>
        <v>3</v>
      </c>
    </row>
    <row r="224" spans="1:3" x14ac:dyDescent="0.25">
      <c r="A224" t="b">
        <f>IFERROR(IF(MATCH(B224,RECETAS!$A$2:$A$1700,0) &lt;&gt; "", TRUE,""),FALSE)</f>
        <v>0</v>
      </c>
      <c r="B224" t="str">
        <f>TRANSPOSE(T5_[Etiquetas de fila])</f>
        <v>WRAP VEGGIE</v>
      </c>
      <c r="C224">
        <f>TRANSPOSE(T5_[Recuento de T5 CODIGO])</f>
        <v>3</v>
      </c>
    </row>
    <row r="225" spans="1:3" x14ac:dyDescent="0.25">
      <c r="A225" t="b">
        <f>IFERROR(IF(MATCH(B225,RECETAS!$A$2:$A$1700,0) &lt;&gt; "", TRUE,""),FALSE)</f>
        <v>0</v>
      </c>
      <c r="B225" t="str">
        <f>TRANSPOSE(T5_[Etiquetas de fila])</f>
        <v>Total general</v>
      </c>
      <c r="C225">
        <f>TRANSPOSE(T5_[Recuento de T5 CODIGO])</f>
        <v>3783</v>
      </c>
    </row>
    <row r="226" spans="1:3" x14ac:dyDescent="0.25">
      <c r="A226" t="b">
        <f>IFERROR(IF(MATCH(B226,RECETAS!$A$2:$A$1700,0) &lt;&gt; "", TRUE,""),FALSE)</f>
        <v>0</v>
      </c>
      <c r="B226" t="e">
        <f>TRANSPOSE(T5_[Etiquetas de fila])</f>
        <v>#VALUE!</v>
      </c>
      <c r="C226" t="e">
        <f>TRANSPOSE(T5_[Recuento de T5 CODIGO])</f>
        <v>#VALUE!</v>
      </c>
    </row>
    <row r="227" spans="1:3" x14ac:dyDescent="0.25">
      <c r="A227" t="b">
        <f>IFERROR(IF(MATCH(B227,RECETAS!$A$2:$A$1700,0) &lt;&gt; "", TRUE,""),FALSE)</f>
        <v>0</v>
      </c>
      <c r="B227" t="e">
        <f>TRANSPOSE(T5_[Etiquetas de fila])</f>
        <v>#VALUE!</v>
      </c>
      <c r="C227" t="e">
        <f>TRANSPOSE(T5_[Recuento de T5 CODIGO])</f>
        <v>#VALUE!</v>
      </c>
    </row>
    <row r="228" spans="1:3" x14ac:dyDescent="0.25">
      <c r="A228" t="b">
        <f>IFERROR(IF(MATCH(B228,RECETAS!$A$2:$A$1700,0) &lt;&gt; "", TRUE,""),FALSE)</f>
        <v>0</v>
      </c>
      <c r="B228" t="e">
        <f>TRANSPOSE(T5_[Etiquetas de fila])</f>
        <v>#VALUE!</v>
      </c>
      <c r="C228" t="e">
        <f>TRANSPOSE(T5_[Recuento de T5 CODIGO])</f>
        <v>#VALUE!</v>
      </c>
    </row>
    <row r="229" spans="1:3" x14ac:dyDescent="0.25">
      <c r="A229" t="b">
        <f>IFERROR(IF(MATCH(B229,RECETAS!$A$2:$A$1700,0) &lt;&gt; "", TRUE,""),FALSE)</f>
        <v>0</v>
      </c>
      <c r="B229" t="e">
        <f>TRANSPOSE(T5_[Etiquetas de fila])</f>
        <v>#VALUE!</v>
      </c>
      <c r="C229" t="e">
        <f>TRANSPOSE(T5_[Recuento de T5 CODIGO])</f>
        <v>#VALUE!</v>
      </c>
    </row>
    <row r="230" spans="1:3" x14ac:dyDescent="0.25">
      <c r="A230" t="b">
        <f>IFERROR(IF(MATCH(B230,RECETAS!$A$2:$A$1700,0) &lt;&gt; "", TRUE,""),FALSE)</f>
        <v>0</v>
      </c>
      <c r="B230" t="e">
        <f>TRANSPOSE(T5_[Etiquetas de fila])</f>
        <v>#VALUE!</v>
      </c>
      <c r="C230" t="e">
        <f>TRANSPOSE(T5_[Recuento de T5 CODIGO])</f>
        <v>#VALUE!</v>
      </c>
    </row>
    <row r="231" spans="1:3" x14ac:dyDescent="0.25">
      <c r="A231" t="b">
        <f>IFERROR(IF(MATCH(B231,RECETAS!$A$2:$A$1700,0) &lt;&gt; "", TRUE,""),FALSE)</f>
        <v>0</v>
      </c>
      <c r="B231" t="e">
        <f>TRANSPOSE(T5_[Etiquetas de fila])</f>
        <v>#VALUE!</v>
      </c>
      <c r="C231" t="e">
        <f>TRANSPOSE(T5_[Recuento de T5 CODIGO])</f>
        <v>#VALUE!</v>
      </c>
    </row>
    <row r="232" spans="1:3" x14ac:dyDescent="0.25">
      <c r="A232" t="b">
        <f>IFERROR(IF(MATCH(B232,RECETAS!$A$2:$A$1700,0) &lt;&gt; "", TRUE,""),FALSE)</f>
        <v>0</v>
      </c>
      <c r="B232" t="e">
        <f>TRANSPOSE(T5_[Etiquetas de fila])</f>
        <v>#VALUE!</v>
      </c>
      <c r="C232" t="e">
        <f>TRANSPOSE(T5_[Recuento de T5 CODIGO])</f>
        <v>#VALUE!</v>
      </c>
    </row>
    <row r="233" spans="1:3" x14ac:dyDescent="0.25">
      <c r="A233" t="b">
        <f>IFERROR(IF(MATCH(B233,RECETAS!$A$2:$A$1700,0) &lt;&gt; "", TRUE,""),FALSE)</f>
        <v>0</v>
      </c>
      <c r="B233" t="e">
        <f>TRANSPOSE(T5_[Etiquetas de fila])</f>
        <v>#VALUE!</v>
      </c>
      <c r="C233" t="e">
        <f>TRANSPOSE(T5_[Recuento de T5 CODIGO])</f>
        <v>#VALUE!</v>
      </c>
    </row>
    <row r="234" spans="1:3" x14ac:dyDescent="0.25">
      <c r="A234" t="b">
        <f>IFERROR(IF(MATCH(B234,RECETAS!$A$2:$A$1700,0) &lt;&gt; "", TRUE,""),FALSE)</f>
        <v>0</v>
      </c>
      <c r="B234" t="e">
        <f>TRANSPOSE(T5_[Etiquetas de fila])</f>
        <v>#VALUE!</v>
      </c>
      <c r="C234" t="e">
        <f>TRANSPOSE(T5_[Recuento de T5 CODIGO])</f>
        <v>#VALUE!</v>
      </c>
    </row>
    <row r="235" spans="1:3" x14ac:dyDescent="0.25">
      <c r="A235" t="b">
        <f>IFERROR(IF(MATCH(B235,RECETAS!$A$2:$A$1700,0) &lt;&gt; "", TRUE,""),FALSE)</f>
        <v>0</v>
      </c>
      <c r="B235" t="e">
        <f>TRANSPOSE(T5_[Etiquetas de fila])</f>
        <v>#VALUE!</v>
      </c>
      <c r="C235" t="e">
        <f>TRANSPOSE(T5_[Recuento de T5 CODIGO])</f>
        <v>#VALUE!</v>
      </c>
    </row>
    <row r="236" spans="1:3" x14ac:dyDescent="0.25">
      <c r="A236" t="b">
        <f>IFERROR(IF(MATCH(B236,RECETAS!$A$2:$A$1700,0) &lt;&gt; "", TRUE,""),FALSE)</f>
        <v>0</v>
      </c>
      <c r="B236" t="e">
        <f>TRANSPOSE(T5_[Etiquetas de fila])</f>
        <v>#VALUE!</v>
      </c>
      <c r="C236" t="e">
        <f>TRANSPOSE(T5_[Recuento de T5 CODIGO])</f>
        <v>#VALUE!</v>
      </c>
    </row>
    <row r="237" spans="1:3" x14ac:dyDescent="0.25">
      <c r="A237" t="b">
        <f>IFERROR(IF(MATCH(B237,RECETAS!$A$2:$A$1700,0) &lt;&gt; "", TRUE,""),FALSE)</f>
        <v>0</v>
      </c>
      <c r="B237" t="e">
        <f>TRANSPOSE(T5_[Etiquetas de fila])</f>
        <v>#VALUE!</v>
      </c>
      <c r="C237" t="e">
        <f>TRANSPOSE(T5_[Recuento de T5 CODIGO])</f>
        <v>#VALUE!</v>
      </c>
    </row>
    <row r="238" spans="1:3" x14ac:dyDescent="0.25">
      <c r="A238" t="b">
        <f>IFERROR(IF(MATCH(B238,RECETAS!$A$2:$A$1700,0) &lt;&gt; "", TRUE,""),FALSE)</f>
        <v>0</v>
      </c>
      <c r="B238" t="e">
        <f>TRANSPOSE(T5_[Etiquetas de fila])</f>
        <v>#VALUE!</v>
      </c>
      <c r="C238" t="e">
        <f>TRANSPOSE(T5_[Recuento de T5 CODIGO])</f>
        <v>#VALUE!</v>
      </c>
    </row>
    <row r="239" spans="1:3" x14ac:dyDescent="0.25">
      <c r="A239" t="b">
        <f>IFERROR(IF(MATCH(B239,RECETAS!$A$2:$A$1700,0) &lt;&gt; "", TRUE,""),FALSE)</f>
        <v>0</v>
      </c>
      <c r="B239" t="e">
        <f>TRANSPOSE(T5_[Etiquetas de fila])</f>
        <v>#VALUE!</v>
      </c>
      <c r="C239" t="e">
        <f>TRANSPOSE(T5_[Recuento de T5 CODIGO])</f>
        <v>#VALUE!</v>
      </c>
    </row>
    <row r="240" spans="1:3" x14ac:dyDescent="0.25">
      <c r="A240" t="b">
        <f>IFERROR(IF(MATCH(B240,RECETAS!$A$2:$A$1700,0) &lt;&gt; "", TRUE,""),FALSE)</f>
        <v>0</v>
      </c>
      <c r="B240" t="e">
        <f>TRANSPOSE(T5_[Etiquetas de fila])</f>
        <v>#VALUE!</v>
      </c>
      <c r="C240" t="e">
        <f>TRANSPOSE(T5_[Recuento de T5 CODIGO])</f>
        <v>#VALUE!</v>
      </c>
    </row>
    <row r="241" spans="1:3" x14ac:dyDescent="0.25">
      <c r="A241" t="b">
        <f>IFERROR(IF(MATCH(B241,RECETAS!$A$2:$A$1700,0) &lt;&gt; "", TRUE,""),FALSE)</f>
        <v>0</v>
      </c>
      <c r="B241" t="e">
        <f>TRANSPOSE(T5_[Etiquetas de fila])</f>
        <v>#VALUE!</v>
      </c>
      <c r="C241" t="e">
        <f>TRANSPOSE(T5_[Recuento de T5 CODIGO])</f>
        <v>#VALUE!</v>
      </c>
    </row>
    <row r="242" spans="1:3" x14ac:dyDescent="0.25">
      <c r="A242" t="b">
        <f>IFERROR(IF(MATCH(B242,RECETAS!$A$2:$A$1700,0) &lt;&gt; "", TRUE,""),FALSE)</f>
        <v>0</v>
      </c>
      <c r="B242" t="e">
        <f>TRANSPOSE(T5_[Etiquetas de fila])</f>
        <v>#VALUE!</v>
      </c>
      <c r="C242" t="e">
        <f>TRANSPOSE(T5_[Recuento de T5 CODIGO])</f>
        <v>#VALUE!</v>
      </c>
    </row>
    <row r="243" spans="1:3" x14ac:dyDescent="0.25">
      <c r="A243" t="b">
        <f>IFERROR(IF(MATCH(B243,RECETAS!$A$2:$A$1700,0) &lt;&gt; "", TRUE,""),FALSE)</f>
        <v>0</v>
      </c>
      <c r="B243" t="e">
        <f>TRANSPOSE(T5_[Etiquetas de fila])</f>
        <v>#VALUE!</v>
      </c>
      <c r="C243" t="e">
        <f>TRANSPOSE(T5_[Recuento de T5 CODIGO])</f>
        <v>#VALUE!</v>
      </c>
    </row>
    <row r="244" spans="1:3" x14ac:dyDescent="0.25">
      <c r="A244" t="b">
        <f>IFERROR(IF(MATCH(B244,RECETAS!$A$2:$A$1700,0) &lt;&gt; "", TRUE,""),FALSE)</f>
        <v>0</v>
      </c>
      <c r="B244" t="e">
        <f>TRANSPOSE(T5_[Etiquetas de fila])</f>
        <v>#VALUE!</v>
      </c>
      <c r="C244" t="e">
        <f>TRANSPOSE(T5_[Recuento de T5 CODIGO])</f>
        <v>#VALUE!</v>
      </c>
    </row>
    <row r="245" spans="1:3" x14ac:dyDescent="0.25">
      <c r="A245" t="b">
        <f>IFERROR(IF(MATCH(B245,RECETAS!$A$2:$A$1700,0) &lt;&gt; "", TRUE,""),FALSE)</f>
        <v>0</v>
      </c>
      <c r="B245" t="e">
        <f>TRANSPOSE(T5_[Etiquetas de fila])</f>
        <v>#VALUE!</v>
      </c>
      <c r="C245" t="e">
        <f>TRANSPOSE(T5_[Recuento de T5 CODIGO])</f>
        <v>#VALUE!</v>
      </c>
    </row>
    <row r="246" spans="1:3" x14ac:dyDescent="0.25">
      <c r="A246" t="b">
        <f>IFERROR(IF(MATCH(B246,RECETAS!$A$2:$A$1700,0) &lt;&gt; "", TRUE,""),FALSE)</f>
        <v>0</v>
      </c>
      <c r="B246" t="e">
        <f>TRANSPOSE(T5_[Etiquetas de fila])</f>
        <v>#VALUE!</v>
      </c>
      <c r="C246" t="e">
        <f>TRANSPOSE(T5_[Recuento de T5 CODIGO])</f>
        <v>#VALUE!</v>
      </c>
    </row>
    <row r="247" spans="1:3" x14ac:dyDescent="0.25">
      <c r="A247" t="b">
        <f>IFERROR(IF(MATCH(B247,RECETAS!$A$2:$A$1700,0) &lt;&gt; "", TRUE,""),FALSE)</f>
        <v>0</v>
      </c>
      <c r="B247" t="e">
        <f>TRANSPOSE(T5_[Etiquetas de fila])</f>
        <v>#VALUE!</v>
      </c>
      <c r="C247" t="e">
        <f>TRANSPOSE(T5_[Recuento de T5 CODIGO])</f>
        <v>#VALUE!</v>
      </c>
    </row>
    <row r="248" spans="1:3" x14ac:dyDescent="0.25">
      <c r="A248" t="b">
        <f>IFERROR(IF(MATCH(B248,RECETAS!$A$2:$A$1700,0) &lt;&gt; "", TRUE,""),FALSE)</f>
        <v>0</v>
      </c>
      <c r="B248" t="e">
        <f>TRANSPOSE(T5_[Etiquetas de fila])</f>
        <v>#VALUE!</v>
      </c>
      <c r="C248" t="e">
        <f>TRANSPOSE(T5_[Recuento de T5 CODIGO])</f>
        <v>#VALUE!</v>
      </c>
    </row>
    <row r="249" spans="1:3" x14ac:dyDescent="0.25">
      <c r="A249" t="b">
        <f>IFERROR(IF(MATCH(B249,RECETAS!$A$2:$A$1700,0) &lt;&gt; "", TRUE,""),FALSE)</f>
        <v>0</v>
      </c>
      <c r="B249" t="e">
        <f>TRANSPOSE(T5_[Etiquetas de fila])</f>
        <v>#VALUE!</v>
      </c>
      <c r="C249" t="e">
        <f>TRANSPOSE(T5_[Recuento de T5 CODIGO])</f>
        <v>#VALUE!</v>
      </c>
    </row>
    <row r="250" spans="1:3" x14ac:dyDescent="0.25">
      <c r="A250" t="b">
        <f>IFERROR(IF(MATCH(B250,RECETAS!$A$2:$A$1700,0) &lt;&gt; "", TRUE,""),FALSE)</f>
        <v>0</v>
      </c>
      <c r="B250" t="e">
        <f>TRANSPOSE(T5_[Etiquetas de fila])</f>
        <v>#VALUE!</v>
      </c>
      <c r="C250" t="e">
        <f>TRANSPOSE(T5_[Recuento de T5 CODIGO])</f>
        <v>#VALUE!</v>
      </c>
    </row>
    <row r="251" spans="1:3" x14ac:dyDescent="0.25">
      <c r="A251" t="b">
        <f>IFERROR(IF(MATCH(B251,RECETAS!$A$2:$A$1700,0) &lt;&gt; "", TRUE,""),FALSE)</f>
        <v>0</v>
      </c>
      <c r="B251" t="e">
        <f>TRANSPOSE(T5_[Etiquetas de fila])</f>
        <v>#VALUE!</v>
      </c>
      <c r="C251" t="e">
        <f>TRANSPOSE(T5_[Recuento de T5 CODIGO])</f>
        <v>#VALUE!</v>
      </c>
    </row>
    <row r="252" spans="1:3" x14ac:dyDescent="0.25">
      <c r="A252" t="b">
        <f>IFERROR(IF(MATCH(B252,RECETAS!$A$2:$A$1700,0) &lt;&gt; "", TRUE,""),FALSE)</f>
        <v>0</v>
      </c>
      <c r="B252" t="e">
        <f>TRANSPOSE(T5_[Etiquetas de fila])</f>
        <v>#VALUE!</v>
      </c>
      <c r="C252" t="e">
        <f>TRANSPOSE(T5_[Recuento de T5 CODIGO])</f>
        <v>#VALUE!</v>
      </c>
    </row>
    <row r="253" spans="1:3" x14ac:dyDescent="0.25">
      <c r="A253" t="b">
        <f>IFERROR(IF(MATCH(B253,RECETAS!$A$2:$A$1700,0) &lt;&gt; "", TRUE,""),FALSE)</f>
        <v>0</v>
      </c>
      <c r="B253" t="e">
        <f>TRANSPOSE(T5_[Etiquetas de fila])</f>
        <v>#VALUE!</v>
      </c>
      <c r="C253" t="e">
        <f>TRANSPOSE(T5_[Recuento de T5 CODIGO])</f>
        <v>#VALUE!</v>
      </c>
    </row>
    <row r="254" spans="1:3" x14ac:dyDescent="0.25">
      <c r="A254" t="b">
        <f>IFERROR(IF(MATCH(B254,RECETAS!$A$2:$A$1700,0) &lt;&gt; "", TRUE,""),FALSE)</f>
        <v>0</v>
      </c>
      <c r="B254" t="e">
        <f>TRANSPOSE(T5_[Etiquetas de fila])</f>
        <v>#VALUE!</v>
      </c>
      <c r="C254" t="e">
        <f>TRANSPOSE(T5_[Recuento de T5 CODIGO])</f>
        <v>#VALUE!</v>
      </c>
    </row>
    <row r="255" spans="1:3" x14ac:dyDescent="0.25">
      <c r="A255" t="b">
        <f>IFERROR(IF(MATCH(B255,RECETAS!$A$2:$A$1700,0) &lt;&gt; "", TRUE,""),FALSE)</f>
        <v>0</v>
      </c>
      <c r="B255" t="e">
        <f>TRANSPOSE(T5_[Etiquetas de fila])</f>
        <v>#VALUE!</v>
      </c>
      <c r="C255" t="e">
        <f>TRANSPOSE(T5_[Recuento de T5 CODIGO])</f>
        <v>#VALUE!</v>
      </c>
    </row>
    <row r="256" spans="1:3" x14ac:dyDescent="0.25">
      <c r="A256" t="b">
        <f>IFERROR(IF(MATCH(B256,RECETAS!$A$2:$A$1700,0) &lt;&gt; "", TRUE,""),FALSE)</f>
        <v>0</v>
      </c>
      <c r="B256" t="e">
        <f>TRANSPOSE(T5_[Etiquetas de fila])</f>
        <v>#VALUE!</v>
      </c>
      <c r="C256" t="e">
        <f>TRANSPOSE(T5_[Recuento de T5 CODIGO])</f>
        <v>#VALUE!</v>
      </c>
    </row>
    <row r="257" spans="1:3" x14ac:dyDescent="0.25">
      <c r="A257" t="b">
        <f>IFERROR(IF(MATCH(B257,RECETAS!$A$2:$A$1700,0) &lt;&gt; "", TRUE,""),FALSE)</f>
        <v>0</v>
      </c>
      <c r="B257" t="e">
        <f>TRANSPOSE(T5_[Etiquetas de fila])</f>
        <v>#VALUE!</v>
      </c>
      <c r="C257" t="e">
        <f>TRANSPOSE(T5_[Recuento de T5 CODIGO])</f>
        <v>#VALUE!</v>
      </c>
    </row>
    <row r="258" spans="1:3" x14ac:dyDescent="0.25">
      <c r="A258" t="b">
        <f>IFERROR(IF(MATCH(B258,RECETAS!$A$2:$A$1700,0) &lt;&gt; "", TRUE,""),FALSE)</f>
        <v>0</v>
      </c>
      <c r="B258" t="e">
        <f>TRANSPOSE(T5_[Etiquetas de fila])</f>
        <v>#VALUE!</v>
      </c>
      <c r="C258" t="e">
        <f>TRANSPOSE(T5_[Recuento de T5 CODIGO])</f>
        <v>#VALUE!</v>
      </c>
    </row>
    <row r="259" spans="1:3" x14ac:dyDescent="0.25">
      <c r="A259" t="b">
        <f>IFERROR(IF(MATCH(B259,RECETAS!$A$2:$A$1700,0) &lt;&gt; "", TRUE,""),FALSE)</f>
        <v>0</v>
      </c>
      <c r="B259" t="e">
        <f>TRANSPOSE(T5_[Etiquetas de fila])</f>
        <v>#VALUE!</v>
      </c>
      <c r="C259" t="e">
        <f>TRANSPOSE(T5_[Recuento de T5 CODIGO])</f>
        <v>#VALUE!</v>
      </c>
    </row>
    <row r="260" spans="1:3" x14ac:dyDescent="0.25">
      <c r="A260" t="b">
        <f>IFERROR(IF(MATCH(B260,RECETAS!$A$2:$A$1700,0) &lt;&gt; "", TRUE,""),FALSE)</f>
        <v>0</v>
      </c>
      <c r="B260" t="e">
        <f>TRANSPOSE(T5_[Etiquetas de fila])</f>
        <v>#VALUE!</v>
      </c>
      <c r="C260" t="e">
        <f>TRANSPOSE(T5_[Recuento de T5 CODIGO])</f>
        <v>#VALUE!</v>
      </c>
    </row>
    <row r="261" spans="1:3" x14ac:dyDescent="0.25">
      <c r="A261" t="b">
        <f>IFERROR(IF(MATCH(B261,RECETAS!$A$2:$A$1700,0) &lt;&gt; "", TRUE,""),FALSE)</f>
        <v>0</v>
      </c>
      <c r="B261" t="e">
        <f>TRANSPOSE(T5_[Etiquetas de fila])</f>
        <v>#VALUE!</v>
      </c>
      <c r="C261" t="e">
        <f>TRANSPOSE(T5_[Recuento de T5 CODIGO])</f>
        <v>#VALUE!</v>
      </c>
    </row>
    <row r="262" spans="1:3" x14ac:dyDescent="0.25">
      <c r="A262" t="b">
        <f>IFERROR(IF(MATCH(B262,RECETAS!$A$2:$A$1700,0) &lt;&gt; "", TRUE,""),FALSE)</f>
        <v>0</v>
      </c>
      <c r="B262" t="e">
        <f>TRANSPOSE(T5_[Etiquetas de fila])</f>
        <v>#VALUE!</v>
      </c>
      <c r="C262" t="e">
        <f>TRANSPOSE(T5_[Recuento de T5 CODIGO])</f>
        <v>#VALUE!</v>
      </c>
    </row>
    <row r="263" spans="1:3" x14ac:dyDescent="0.25">
      <c r="A263" t="b">
        <f>IFERROR(IF(MATCH(B263,RECETAS!$A$2:$A$1700,0) &lt;&gt; "", TRUE,""),FALSE)</f>
        <v>0</v>
      </c>
      <c r="B263" t="e">
        <f>TRANSPOSE(T5_[Etiquetas de fila])</f>
        <v>#VALUE!</v>
      </c>
      <c r="C263" t="e">
        <f>TRANSPOSE(T5_[Recuento de T5 CODIGO])</f>
        <v>#VALUE!</v>
      </c>
    </row>
    <row r="264" spans="1:3" x14ac:dyDescent="0.25">
      <c r="A264" t="b">
        <f>IFERROR(IF(MATCH(B264,RECETAS!$A$2:$A$1700,0) &lt;&gt; "", TRUE,""),FALSE)</f>
        <v>0</v>
      </c>
      <c r="B264" t="e">
        <f>TRANSPOSE(T5_[Etiquetas de fila])</f>
        <v>#VALUE!</v>
      </c>
      <c r="C264" t="e">
        <f>TRANSPOSE(T5_[Recuento de T5 CODIGO])</f>
        <v>#VALUE!</v>
      </c>
    </row>
    <row r="265" spans="1:3" x14ac:dyDescent="0.25">
      <c r="A265" t="b">
        <f>IFERROR(IF(MATCH(B265,RECETAS!$A$2:$A$1700,0) &lt;&gt; "", TRUE,""),FALSE)</f>
        <v>0</v>
      </c>
      <c r="B265" t="e">
        <f>TRANSPOSE(T5_[Etiquetas de fila])</f>
        <v>#VALUE!</v>
      </c>
      <c r="C265" t="e">
        <f>TRANSPOSE(T5_[Recuento de T5 CODIGO])</f>
        <v>#VALUE!</v>
      </c>
    </row>
    <row r="266" spans="1:3" x14ac:dyDescent="0.25">
      <c r="A266" t="b">
        <f>IFERROR(IF(MATCH(B266,RECETAS!$A$2:$A$1700,0) &lt;&gt; "", TRUE,""),FALSE)</f>
        <v>0</v>
      </c>
      <c r="B266" t="e">
        <f>TRANSPOSE(T5_[Etiquetas de fila])</f>
        <v>#VALUE!</v>
      </c>
      <c r="C266" t="e">
        <f>TRANSPOSE(T5_[Recuento de T5 CODIGO])</f>
        <v>#VALUE!</v>
      </c>
    </row>
    <row r="267" spans="1:3" x14ac:dyDescent="0.25">
      <c r="A267" t="b">
        <f>IFERROR(IF(MATCH(B267,RECETAS!$A$2:$A$1700,0) &lt;&gt; "", TRUE,""),FALSE)</f>
        <v>0</v>
      </c>
      <c r="B267" t="e">
        <f>TRANSPOSE(T5_[Etiquetas de fila])</f>
        <v>#VALUE!</v>
      </c>
      <c r="C267" t="e">
        <f>TRANSPOSE(T5_[Recuento de T5 CODIGO])</f>
        <v>#VALUE!</v>
      </c>
    </row>
    <row r="268" spans="1:3" x14ac:dyDescent="0.25">
      <c r="A268" t="b">
        <f>IFERROR(IF(MATCH(B268,RECETAS!$A$2:$A$1700,0) &lt;&gt; "", TRUE,""),FALSE)</f>
        <v>0</v>
      </c>
      <c r="B268" t="e">
        <f>TRANSPOSE(T5_[Etiquetas de fila])</f>
        <v>#VALUE!</v>
      </c>
      <c r="C268" t="e">
        <f>TRANSPOSE(T5_[Recuento de T5 CODIGO])</f>
        <v>#VALUE!</v>
      </c>
    </row>
    <row r="269" spans="1:3" x14ac:dyDescent="0.25">
      <c r="A269" t="b">
        <f>IFERROR(IF(MATCH(B269,RECETAS!$A$2:$A$1700,0) &lt;&gt; "", TRUE,""),FALSE)</f>
        <v>0</v>
      </c>
      <c r="B269" t="e">
        <f>TRANSPOSE(T5_[Etiquetas de fila])</f>
        <v>#VALUE!</v>
      </c>
      <c r="C269" t="e">
        <f>TRANSPOSE(T5_[Recuento de T5 CODIGO])</f>
        <v>#VALUE!</v>
      </c>
    </row>
    <row r="270" spans="1:3" x14ac:dyDescent="0.25">
      <c r="A270" t="b">
        <f>IFERROR(IF(MATCH(B270,RECETAS!$A$2:$A$1700,0) &lt;&gt; "", TRUE,""),FALSE)</f>
        <v>0</v>
      </c>
      <c r="B270" t="e">
        <f>TRANSPOSE(T5_[Etiquetas de fila])</f>
        <v>#VALUE!</v>
      </c>
      <c r="C270" t="e">
        <f>TRANSPOSE(T5_[Recuento de T5 CODIGO])</f>
        <v>#VALUE!</v>
      </c>
    </row>
    <row r="271" spans="1:3" x14ac:dyDescent="0.25">
      <c r="A271" t="b">
        <f>IFERROR(IF(MATCH(B271,RECETAS!$A$2:$A$1700,0) &lt;&gt; "", TRUE,""),FALSE)</f>
        <v>0</v>
      </c>
      <c r="B271" t="e">
        <f>TRANSPOSE(T5_[Etiquetas de fila])</f>
        <v>#VALUE!</v>
      </c>
      <c r="C271" t="e">
        <f>TRANSPOSE(T5_[Recuento de T5 CODIGO])</f>
        <v>#VALUE!</v>
      </c>
    </row>
    <row r="272" spans="1:3" x14ac:dyDescent="0.25">
      <c r="A272" t="b">
        <f>IFERROR(IF(MATCH(B272,RECETAS!$A$2:$A$1700,0) &lt;&gt; "", TRUE,""),FALSE)</f>
        <v>0</v>
      </c>
      <c r="B272" t="e">
        <f>TRANSPOSE(T5_[Etiquetas de fila])</f>
        <v>#VALUE!</v>
      </c>
      <c r="C272" t="e">
        <f>TRANSPOSE(T5_[Recuento de T5 CODIGO])</f>
        <v>#VALUE!</v>
      </c>
    </row>
    <row r="273" spans="1:3" x14ac:dyDescent="0.25">
      <c r="A273" t="b">
        <f>IFERROR(IF(MATCH(B273,RECETAS!$A$2:$A$1700,0) &lt;&gt; "", TRUE,""),FALSE)</f>
        <v>0</v>
      </c>
      <c r="B273" t="e">
        <f>TRANSPOSE(T5_[Etiquetas de fila])</f>
        <v>#VALUE!</v>
      </c>
      <c r="C273" t="e">
        <f>TRANSPOSE(T5_[Recuento de T5 CODIGO])</f>
        <v>#VALUE!</v>
      </c>
    </row>
    <row r="274" spans="1:3" x14ac:dyDescent="0.25">
      <c r="A274" t="b">
        <f>IFERROR(IF(MATCH(B274,RECETAS!$A$2:$A$1700,0) &lt;&gt; "", TRUE,""),FALSE)</f>
        <v>0</v>
      </c>
      <c r="B274" t="e">
        <f>TRANSPOSE(T5_[Etiquetas de fila])</f>
        <v>#VALUE!</v>
      </c>
      <c r="C274" t="e">
        <f>TRANSPOSE(T5_[Recuento de T5 CODIGO])</f>
        <v>#VALUE!</v>
      </c>
    </row>
    <row r="275" spans="1:3" x14ac:dyDescent="0.25">
      <c r="A275" t="b">
        <f>IFERROR(IF(MATCH(B275,RECETAS!$A$2:$A$1700,0) &lt;&gt; "", TRUE,""),FALSE)</f>
        <v>0</v>
      </c>
      <c r="B275" t="e">
        <f>TRANSPOSE(T5_[Etiquetas de fila])</f>
        <v>#VALUE!</v>
      </c>
      <c r="C275" t="e">
        <f>TRANSPOSE(T5_[Recuento de T5 CODIGO])</f>
        <v>#VALUE!</v>
      </c>
    </row>
    <row r="276" spans="1:3" x14ac:dyDescent="0.25">
      <c r="A276" t="b">
        <f>IFERROR(IF(MATCH(B276,RECETAS!$A$2:$A$1700,0) &lt;&gt; "", TRUE,""),FALSE)</f>
        <v>0</v>
      </c>
      <c r="B276" t="e">
        <f>TRANSPOSE(T5_[Etiquetas de fila])</f>
        <v>#VALUE!</v>
      </c>
      <c r="C276" t="e">
        <f>TRANSPOSE(T5_[Recuento de T5 CODIGO])</f>
        <v>#VALUE!</v>
      </c>
    </row>
    <row r="277" spans="1:3" x14ac:dyDescent="0.25">
      <c r="A277" t="b">
        <f>IFERROR(IF(MATCH(B277,RECETAS!$A$2:$A$1700,0) &lt;&gt; "", TRUE,""),FALSE)</f>
        <v>0</v>
      </c>
      <c r="B277" t="e">
        <f>TRANSPOSE(T5_[Etiquetas de fila])</f>
        <v>#VALUE!</v>
      </c>
      <c r="C277" t="e">
        <f>TRANSPOSE(T5_[Recuento de T5 CODIGO])</f>
        <v>#VALUE!</v>
      </c>
    </row>
    <row r="278" spans="1:3" x14ac:dyDescent="0.25">
      <c r="A278" t="b">
        <f>IFERROR(IF(MATCH(B278,RECETAS!$A$2:$A$1700,0) &lt;&gt; "", TRUE,""),FALSE)</f>
        <v>0</v>
      </c>
      <c r="B278" t="e">
        <f>TRANSPOSE(T5_[Etiquetas de fila])</f>
        <v>#VALUE!</v>
      </c>
      <c r="C278" t="e">
        <f>TRANSPOSE(T5_[Recuento de T5 CODIGO])</f>
        <v>#VALUE!</v>
      </c>
    </row>
    <row r="279" spans="1:3" x14ac:dyDescent="0.25">
      <c r="A279" t="b">
        <f>IFERROR(IF(MATCH(B279,RECETAS!$A$2:$A$1700,0) &lt;&gt; "", TRUE,""),FALSE)</f>
        <v>0</v>
      </c>
      <c r="B279" t="e">
        <f>TRANSPOSE(T5_[Etiquetas de fila])</f>
        <v>#VALUE!</v>
      </c>
      <c r="C279" t="e">
        <f>TRANSPOSE(T5_[Recuento de T5 CODIGO])</f>
        <v>#VALUE!</v>
      </c>
    </row>
    <row r="280" spans="1:3" x14ac:dyDescent="0.25">
      <c r="A280" t="b">
        <f>IFERROR(IF(MATCH(B280,RECETAS!$A$2:$A$1700,0) &lt;&gt; "", TRUE,""),FALSE)</f>
        <v>0</v>
      </c>
      <c r="B280" t="e">
        <f>TRANSPOSE(T5_[Etiquetas de fila])</f>
        <v>#VALUE!</v>
      </c>
      <c r="C280" t="e">
        <f>TRANSPOSE(T5_[Recuento de T5 CODIGO])</f>
        <v>#VALUE!</v>
      </c>
    </row>
    <row r="281" spans="1:3" x14ac:dyDescent="0.25">
      <c r="A281" t="b">
        <f>IFERROR(IF(MATCH(B281,RECETAS!$A$2:$A$1700,0) &lt;&gt; "", TRUE,""),FALSE)</f>
        <v>0</v>
      </c>
      <c r="B281" t="e">
        <f>TRANSPOSE(T5_[Etiquetas de fila])</f>
        <v>#VALUE!</v>
      </c>
      <c r="C281" t="e">
        <f>TRANSPOSE(T5_[Recuento de T5 CODIGO])</f>
        <v>#VALUE!</v>
      </c>
    </row>
    <row r="282" spans="1:3" x14ac:dyDescent="0.25">
      <c r="A282" t="b">
        <f>IFERROR(IF(MATCH(B282,RECETAS!$A$2:$A$1700,0) &lt;&gt; "", TRUE,""),FALSE)</f>
        <v>0</v>
      </c>
      <c r="B282" t="e">
        <f>TRANSPOSE(T5_[Etiquetas de fila])</f>
        <v>#VALUE!</v>
      </c>
      <c r="C282" t="e">
        <f>TRANSPOSE(T5_[Recuento de T5 CODIGO])</f>
        <v>#VALUE!</v>
      </c>
    </row>
    <row r="283" spans="1:3" x14ac:dyDescent="0.25">
      <c r="A283" t="b">
        <f>IFERROR(IF(MATCH(B283,RECETAS!$A$2:$A$1700,0) &lt;&gt; "", TRUE,""),FALSE)</f>
        <v>0</v>
      </c>
      <c r="B283" t="e">
        <f>TRANSPOSE(T5_[Etiquetas de fila])</f>
        <v>#VALUE!</v>
      </c>
      <c r="C283" t="e">
        <f>TRANSPOSE(T5_[Recuento de T5 CODIGO])</f>
        <v>#VALUE!</v>
      </c>
    </row>
    <row r="284" spans="1:3" x14ac:dyDescent="0.25">
      <c r="A284" t="b">
        <f>IFERROR(IF(MATCH(B284,RECETAS!$A$2:$A$1700,0) &lt;&gt; "", TRUE,""),FALSE)</f>
        <v>0</v>
      </c>
      <c r="B284" t="e">
        <f>TRANSPOSE(T5_[Etiquetas de fila])</f>
        <v>#VALUE!</v>
      </c>
      <c r="C284" t="e">
        <f>TRANSPOSE(T5_[Recuento de T5 CODIGO])</f>
        <v>#VALUE!</v>
      </c>
    </row>
    <row r="285" spans="1:3" x14ac:dyDescent="0.25">
      <c r="A285" t="b">
        <f>IFERROR(IF(MATCH(B285,RECETAS!$A$2:$A$1700,0) &lt;&gt; "", TRUE,""),FALSE)</f>
        <v>0</v>
      </c>
      <c r="B285" t="e">
        <f>TRANSPOSE(T5_[Etiquetas de fila])</f>
        <v>#VALUE!</v>
      </c>
      <c r="C285" t="e">
        <f>TRANSPOSE(T5_[Recuento de T5 CODIGO])</f>
        <v>#VALUE!</v>
      </c>
    </row>
    <row r="286" spans="1:3" x14ac:dyDescent="0.25">
      <c r="A286" t="b">
        <f>IFERROR(IF(MATCH(B286,RECETAS!$A$2:$A$1700,0) &lt;&gt; "", TRUE,""),FALSE)</f>
        <v>0</v>
      </c>
      <c r="B286" t="e">
        <f>TRANSPOSE(T5_[Etiquetas de fila])</f>
        <v>#VALUE!</v>
      </c>
      <c r="C286" t="e">
        <f>TRANSPOSE(T5_[Recuento de T5 CODIGO])</f>
        <v>#VALUE!</v>
      </c>
    </row>
    <row r="287" spans="1:3" x14ac:dyDescent="0.25">
      <c r="A287" t="b">
        <f>IFERROR(IF(MATCH(B287,RECETAS!$A$2:$A$1700,0) &lt;&gt; "", TRUE,""),FALSE)</f>
        <v>0</v>
      </c>
      <c r="B287" t="e">
        <f>TRANSPOSE(T5_[Etiquetas de fila])</f>
        <v>#VALUE!</v>
      </c>
      <c r="C287" t="e">
        <f>TRANSPOSE(T5_[Recuento de T5 CODIGO])</f>
        <v>#VALUE!</v>
      </c>
    </row>
    <row r="288" spans="1:3" x14ac:dyDescent="0.25">
      <c r="A288" t="b">
        <f>IFERROR(IF(MATCH(B288,RECETAS!$A$2:$A$1700,0) &lt;&gt; "", TRUE,""),FALSE)</f>
        <v>0</v>
      </c>
      <c r="B288" t="e">
        <f>TRANSPOSE(T5_[Etiquetas de fila])</f>
        <v>#VALUE!</v>
      </c>
      <c r="C288" t="e">
        <f>TRANSPOSE(T5_[Recuento de T5 CODIGO])</f>
        <v>#VALUE!</v>
      </c>
    </row>
    <row r="289" spans="1:3" x14ac:dyDescent="0.25">
      <c r="A289" t="b">
        <f>IFERROR(IF(MATCH(B289,RECETAS!$A$2:$A$1700,0) &lt;&gt; "", TRUE,""),FALSE)</f>
        <v>0</v>
      </c>
      <c r="B289" t="e">
        <f>TRANSPOSE(T5_[Etiquetas de fila])</f>
        <v>#VALUE!</v>
      </c>
      <c r="C289" t="e">
        <f>TRANSPOSE(T5_[Recuento de T5 CODIGO])</f>
        <v>#VALUE!</v>
      </c>
    </row>
    <row r="290" spans="1:3" x14ac:dyDescent="0.25">
      <c r="A290" t="b">
        <f>IFERROR(IF(MATCH(B290,RECETAS!$A$2:$A$1700,0) &lt;&gt; "", TRUE,""),FALSE)</f>
        <v>0</v>
      </c>
      <c r="B290" t="e">
        <f>TRANSPOSE(T5_[Etiquetas de fila])</f>
        <v>#VALUE!</v>
      </c>
      <c r="C290" t="e">
        <f>TRANSPOSE(T5_[Recuento de T5 CODIGO])</f>
        <v>#VALUE!</v>
      </c>
    </row>
    <row r="291" spans="1:3" x14ac:dyDescent="0.25">
      <c r="A291" t="b">
        <f>IFERROR(IF(MATCH(B291,RECETAS!$A$2:$A$1700,0) &lt;&gt; "", TRUE,""),FALSE)</f>
        <v>0</v>
      </c>
      <c r="B291" t="e">
        <f>TRANSPOSE(T5_[Etiquetas de fila])</f>
        <v>#VALUE!</v>
      </c>
      <c r="C291" t="e">
        <f>TRANSPOSE(T5_[Recuento de T5 CODIGO])</f>
        <v>#VALUE!</v>
      </c>
    </row>
    <row r="292" spans="1:3" x14ac:dyDescent="0.25">
      <c r="A292" t="b">
        <f>IFERROR(IF(MATCH(B292,RECETAS!$A$2:$A$1700,0) &lt;&gt; "", TRUE,""),FALSE)</f>
        <v>0</v>
      </c>
      <c r="B292" t="e">
        <f>TRANSPOSE(T5_[Etiquetas de fila])</f>
        <v>#VALUE!</v>
      </c>
      <c r="C292" t="e">
        <f>TRANSPOSE(T5_[Recuento de T5 CODIGO])</f>
        <v>#VALUE!</v>
      </c>
    </row>
    <row r="293" spans="1:3" x14ac:dyDescent="0.25">
      <c r="A293" t="b">
        <f>IFERROR(IF(MATCH(B293,RECETAS!$A$2:$A$1700,0) &lt;&gt; "", TRUE,""),FALSE)</f>
        <v>0</v>
      </c>
      <c r="B293" t="e">
        <f>TRANSPOSE(T5_[Etiquetas de fila])</f>
        <v>#VALUE!</v>
      </c>
      <c r="C293" t="e">
        <f>TRANSPOSE(T5_[Recuento de T5 CODIGO])</f>
        <v>#VALUE!</v>
      </c>
    </row>
    <row r="294" spans="1:3" x14ac:dyDescent="0.25">
      <c r="A294" t="b">
        <f>IFERROR(IF(MATCH(B294,RECETAS!$A$2:$A$1700,0) &lt;&gt; "", TRUE,""),FALSE)</f>
        <v>0</v>
      </c>
      <c r="B294" t="e">
        <f>TRANSPOSE(T5_[Etiquetas de fila])</f>
        <v>#VALUE!</v>
      </c>
      <c r="C294" t="e">
        <f>TRANSPOSE(T5_[Recuento de T5 CODIGO])</f>
        <v>#VALUE!</v>
      </c>
    </row>
    <row r="295" spans="1:3" x14ac:dyDescent="0.25">
      <c r="A295" t="b">
        <f>IFERROR(IF(MATCH(B295,RECETAS!$A$2:$A$1700,0) &lt;&gt; "", TRUE,""),FALSE)</f>
        <v>0</v>
      </c>
      <c r="B295" t="e">
        <f>TRANSPOSE(T5_[Etiquetas de fila])</f>
        <v>#VALUE!</v>
      </c>
      <c r="C295" t="e">
        <f>TRANSPOSE(T5_[Recuento de T5 CODIGO])</f>
        <v>#VALUE!</v>
      </c>
    </row>
    <row r="296" spans="1:3" x14ac:dyDescent="0.25">
      <c r="A296" t="b">
        <f>IFERROR(IF(MATCH(B296,RECETAS!$A$2:$A$1700,0) &lt;&gt; "", TRUE,""),FALSE)</f>
        <v>0</v>
      </c>
      <c r="B296" t="e">
        <f>TRANSPOSE(T5_[Etiquetas de fila])</f>
        <v>#VALUE!</v>
      </c>
      <c r="C296" t="e">
        <f>TRANSPOSE(T5_[Recuento de T5 CODIGO])</f>
        <v>#VALUE!</v>
      </c>
    </row>
    <row r="297" spans="1:3" x14ac:dyDescent="0.25">
      <c r="A297" t="b">
        <f>IFERROR(IF(MATCH(B297,RECETAS!$A$2:$A$1700,0) &lt;&gt; "", TRUE,""),FALSE)</f>
        <v>0</v>
      </c>
      <c r="B297" t="e">
        <f>TRANSPOSE(T5_[Etiquetas de fila])</f>
        <v>#VALUE!</v>
      </c>
      <c r="C297" t="e">
        <f>TRANSPOSE(T5_[Recuento de T5 CODIGO])</f>
        <v>#VALUE!</v>
      </c>
    </row>
    <row r="298" spans="1:3" x14ac:dyDescent="0.25">
      <c r="A298" t="b">
        <f>IFERROR(IF(MATCH(B298,RECETAS!$A$2:$A$1700,0) &lt;&gt; "", TRUE,""),FALSE)</f>
        <v>0</v>
      </c>
      <c r="B298" t="e">
        <f>TRANSPOSE(T5_[Etiquetas de fila])</f>
        <v>#VALUE!</v>
      </c>
      <c r="C298" t="e">
        <f>TRANSPOSE(T5_[Recuento de T5 CODIGO])</f>
        <v>#VALUE!</v>
      </c>
    </row>
    <row r="299" spans="1:3" x14ac:dyDescent="0.25">
      <c r="A299" t="b">
        <f>IFERROR(IF(MATCH(B299,RECETAS!$A$2:$A$1700,0) &lt;&gt; "", TRUE,""),FALSE)</f>
        <v>0</v>
      </c>
      <c r="B299" t="e">
        <f>TRANSPOSE(T5_[Etiquetas de fila])</f>
        <v>#VALUE!</v>
      </c>
      <c r="C299" t="e">
        <f>TRANSPOSE(T5_[Recuento de T5 CODIGO])</f>
        <v>#VALUE!</v>
      </c>
    </row>
    <row r="300" spans="1:3" x14ac:dyDescent="0.25">
      <c r="A300" t="b">
        <f>IFERROR(IF(MATCH(B300,RECETAS!$A$2:$A$1700,0) &lt;&gt; "", TRUE,""),FALSE)</f>
        <v>0</v>
      </c>
      <c r="B300" t="e">
        <f>TRANSPOSE(T5_[Etiquetas de fila])</f>
        <v>#VALUE!</v>
      </c>
      <c r="C300" t="e">
        <f>TRANSPOSE(T5_[Recuento de T5 CODIGO])</f>
        <v>#VALUE!</v>
      </c>
    </row>
    <row r="301" spans="1:3" x14ac:dyDescent="0.25">
      <c r="A301" t="b">
        <f>IFERROR(IF(MATCH(B301,RECETAS!$A$2:$A$1700,0) &lt;&gt; "", TRUE,""),FALSE)</f>
        <v>0</v>
      </c>
      <c r="B301" t="e">
        <f>TRANSPOSE(T5_[Etiquetas de fila])</f>
        <v>#VALUE!</v>
      </c>
      <c r="C301" t="e">
        <f>TRANSPOSE(T5_[Recuento de T5 CODIGO])</f>
        <v>#VALUE!</v>
      </c>
    </row>
    <row r="302" spans="1:3" x14ac:dyDescent="0.25">
      <c r="A302" t="b">
        <f>IFERROR(IF(MATCH(B302,RECETAS!$A$2:$A$1700,0) &lt;&gt; "", TRUE,""),FALSE)</f>
        <v>0</v>
      </c>
      <c r="B302" t="e">
        <f>TRANSPOSE(T5_[Etiquetas de fila])</f>
        <v>#VALUE!</v>
      </c>
      <c r="C302" t="e">
        <f>TRANSPOSE(T5_[Recuento de T5 CODIGO])</f>
        <v>#VALUE!</v>
      </c>
    </row>
    <row r="303" spans="1:3" x14ac:dyDescent="0.25">
      <c r="A303" t="b">
        <f>IFERROR(IF(MATCH(B303,RECETAS!$A$2:$A$1700,0) &lt;&gt; "", TRUE,""),FALSE)</f>
        <v>0</v>
      </c>
      <c r="B303" t="e">
        <f>TRANSPOSE(T5_[Etiquetas de fila])</f>
        <v>#VALUE!</v>
      </c>
      <c r="C303" t="e">
        <f>TRANSPOSE(T5_[Recuento de T5 CODIGO])</f>
        <v>#VALUE!</v>
      </c>
    </row>
    <row r="304" spans="1:3" x14ac:dyDescent="0.25">
      <c r="A304" t="b">
        <f>IFERROR(IF(MATCH(B304,RECETAS!$A$2:$A$1700,0) &lt;&gt; "", TRUE,""),FALSE)</f>
        <v>0</v>
      </c>
      <c r="B304" t="e">
        <f>TRANSPOSE(T5_[Etiquetas de fila])</f>
        <v>#VALUE!</v>
      </c>
      <c r="C304" t="e">
        <f>TRANSPOSE(T5_[Recuento de T5 CODIGO])</f>
        <v>#VALUE!</v>
      </c>
    </row>
    <row r="305" spans="1:3" x14ac:dyDescent="0.25">
      <c r="A305" t="b">
        <f>IFERROR(IF(MATCH(B305,RECETAS!$A$2:$A$1700,0) &lt;&gt; "", TRUE,""),FALSE)</f>
        <v>0</v>
      </c>
      <c r="B305" t="e">
        <f>TRANSPOSE(T5_[Etiquetas de fila])</f>
        <v>#VALUE!</v>
      </c>
      <c r="C305" t="e">
        <f>TRANSPOSE(T5_[Recuento de T5 CODIGO])</f>
        <v>#VALUE!</v>
      </c>
    </row>
    <row r="306" spans="1:3" x14ac:dyDescent="0.25">
      <c r="A306" t="b">
        <f>IFERROR(IF(MATCH(B306,RECETAS!$A$2:$A$1700,0) &lt;&gt; "", TRUE,""),FALSE)</f>
        <v>0</v>
      </c>
      <c r="B306" t="e">
        <f>TRANSPOSE(T5_[Etiquetas de fila])</f>
        <v>#VALUE!</v>
      </c>
      <c r="C306" t="e">
        <f>TRANSPOSE(T5_[Recuento de T5 CODIGO])</f>
        <v>#VALUE!</v>
      </c>
    </row>
    <row r="307" spans="1:3" x14ac:dyDescent="0.25">
      <c r="A307" t="b">
        <f>IFERROR(IF(MATCH(B307,RECETAS!$A$2:$A$1700,0) &lt;&gt; "", TRUE,""),FALSE)</f>
        <v>0</v>
      </c>
      <c r="B307" t="e">
        <f>TRANSPOSE(T5_[Etiquetas de fila])</f>
        <v>#VALUE!</v>
      </c>
      <c r="C307" t="e">
        <f>TRANSPOSE(T5_[Recuento de T5 CODIGO])</f>
        <v>#VALUE!</v>
      </c>
    </row>
    <row r="308" spans="1:3" x14ac:dyDescent="0.25">
      <c r="A308" t="b">
        <f>IFERROR(IF(MATCH(B308,RECETAS!$A$2:$A$1700,0) &lt;&gt; "", TRUE,""),FALSE)</f>
        <v>0</v>
      </c>
      <c r="B308" t="e">
        <f>TRANSPOSE(T5_[Etiquetas de fila])</f>
        <v>#VALUE!</v>
      </c>
      <c r="C308" t="e">
        <f>TRANSPOSE(T5_[Recuento de T5 CODIGO])</f>
        <v>#VALUE!</v>
      </c>
    </row>
    <row r="309" spans="1:3" x14ac:dyDescent="0.25">
      <c r="A309" t="b">
        <f>IFERROR(IF(MATCH(B309,RECETAS!$A$2:$A$1700,0) &lt;&gt; "", TRUE,""),FALSE)</f>
        <v>0</v>
      </c>
      <c r="B309" t="e">
        <f>TRANSPOSE(T5_[Etiquetas de fila])</f>
        <v>#VALUE!</v>
      </c>
      <c r="C309" t="e">
        <f>TRANSPOSE(T5_[Recuento de T5 CODIGO])</f>
        <v>#VALUE!</v>
      </c>
    </row>
    <row r="310" spans="1:3" x14ac:dyDescent="0.25">
      <c r="A310" t="b">
        <f>IFERROR(IF(MATCH(B310,RECETAS!$A$2:$A$1700,0) &lt;&gt; "", TRUE,""),FALSE)</f>
        <v>0</v>
      </c>
      <c r="B310" t="e">
        <f>TRANSPOSE(T5_[Etiquetas de fila])</f>
        <v>#VALUE!</v>
      </c>
      <c r="C310" t="e">
        <f>TRANSPOSE(T5_[Recuento de T5 CODIGO])</f>
        <v>#VALUE!</v>
      </c>
    </row>
    <row r="311" spans="1:3" x14ac:dyDescent="0.25">
      <c r="A311" t="b">
        <f>IFERROR(IF(MATCH(B311,RECETAS!$A$2:$A$1700,0) &lt;&gt; "", TRUE,""),FALSE)</f>
        <v>0</v>
      </c>
      <c r="B311" t="e">
        <f>TRANSPOSE(T5_[Etiquetas de fila])</f>
        <v>#VALUE!</v>
      </c>
      <c r="C311" t="e">
        <f>TRANSPOSE(T5_[Recuento de T5 CODIGO])</f>
        <v>#VALUE!</v>
      </c>
    </row>
    <row r="312" spans="1:3" x14ac:dyDescent="0.25">
      <c r="A312" t="b">
        <f>IFERROR(IF(MATCH(B312,RECETAS!$A$2:$A$1700,0) &lt;&gt; "", TRUE,""),FALSE)</f>
        <v>0</v>
      </c>
      <c r="B312" t="e">
        <f>TRANSPOSE(T5_[Etiquetas de fila])</f>
        <v>#VALUE!</v>
      </c>
      <c r="C312" t="e">
        <f>TRANSPOSE(T5_[Recuento de T5 CODIGO])</f>
        <v>#VALUE!</v>
      </c>
    </row>
    <row r="313" spans="1:3" x14ac:dyDescent="0.25">
      <c r="A313" t="b">
        <f>IFERROR(IF(MATCH(B313,RECETAS!$A$2:$A$1700,0) &lt;&gt; "", TRUE,""),FALSE)</f>
        <v>0</v>
      </c>
      <c r="B313" t="e">
        <f>TRANSPOSE(T5_[Etiquetas de fila])</f>
        <v>#VALUE!</v>
      </c>
      <c r="C313" t="e">
        <f>TRANSPOSE(T5_[Recuento de T5 CODIGO])</f>
        <v>#VALUE!</v>
      </c>
    </row>
    <row r="314" spans="1:3" x14ac:dyDescent="0.25">
      <c r="A314" t="b">
        <f>IFERROR(IF(MATCH(B314,RECETAS!$A$2:$A$1700,0) &lt;&gt; "", TRUE,""),FALSE)</f>
        <v>0</v>
      </c>
      <c r="B314" t="e">
        <f>TRANSPOSE(T5_[Etiquetas de fila])</f>
        <v>#VALUE!</v>
      </c>
      <c r="C314" t="e">
        <f>TRANSPOSE(T5_[Recuento de T5 CODIGO])</f>
        <v>#VALUE!</v>
      </c>
    </row>
    <row r="315" spans="1:3" x14ac:dyDescent="0.25">
      <c r="A315" t="b">
        <f>IFERROR(IF(MATCH(B315,RECETAS!$A$2:$A$1700,0) &lt;&gt; "", TRUE,""),FALSE)</f>
        <v>0</v>
      </c>
      <c r="B315" t="e">
        <f>TRANSPOSE(T5_[Etiquetas de fila])</f>
        <v>#VALUE!</v>
      </c>
      <c r="C315" t="e">
        <f>TRANSPOSE(T5_[Recuento de T5 CODIGO])</f>
        <v>#VALUE!</v>
      </c>
    </row>
    <row r="316" spans="1:3" x14ac:dyDescent="0.25">
      <c r="A316" t="b">
        <f>IFERROR(IF(MATCH(B316,RECETAS!$A$2:$A$1700,0) &lt;&gt; "", TRUE,""),FALSE)</f>
        <v>0</v>
      </c>
      <c r="B316" t="e">
        <f>TRANSPOSE(T5_[Etiquetas de fila])</f>
        <v>#VALUE!</v>
      </c>
      <c r="C316" t="e">
        <f>TRANSPOSE(T5_[Recuento de T5 CODIGO])</f>
        <v>#VALUE!</v>
      </c>
    </row>
    <row r="317" spans="1:3" x14ac:dyDescent="0.25">
      <c r="A317" t="b">
        <f>IFERROR(IF(MATCH(B317,RECETAS!$A$2:$A$1700,0) &lt;&gt; "", TRUE,""),FALSE)</f>
        <v>0</v>
      </c>
      <c r="B317" t="e">
        <f>TRANSPOSE(T5_[Etiquetas de fila])</f>
        <v>#VALUE!</v>
      </c>
      <c r="C317" t="e">
        <f>TRANSPOSE(T5_[Recuento de T5 CODIGO])</f>
        <v>#VALUE!</v>
      </c>
    </row>
    <row r="318" spans="1:3" x14ac:dyDescent="0.25">
      <c r="A318" t="b">
        <f>IFERROR(IF(MATCH(B318,RECETAS!$A$2:$A$1700,0) &lt;&gt; "", TRUE,""),FALSE)</f>
        <v>0</v>
      </c>
      <c r="B318" t="e">
        <f>TRANSPOSE(T5_[Etiquetas de fila])</f>
        <v>#VALUE!</v>
      </c>
      <c r="C318" t="e">
        <f>TRANSPOSE(T5_[Recuento de T5 CODIGO])</f>
        <v>#VALUE!</v>
      </c>
    </row>
    <row r="319" spans="1:3" x14ac:dyDescent="0.25">
      <c r="A319" t="b">
        <f>IFERROR(IF(MATCH(B319,RECETAS!$A$2:$A$1700,0) &lt;&gt; "", TRUE,""),FALSE)</f>
        <v>0</v>
      </c>
      <c r="B319" t="e">
        <f>TRANSPOSE(T5_[Etiquetas de fila])</f>
        <v>#VALUE!</v>
      </c>
      <c r="C319" t="e">
        <f>TRANSPOSE(T5_[Recuento de T5 CODIGO])</f>
        <v>#VALUE!</v>
      </c>
    </row>
    <row r="320" spans="1:3" x14ac:dyDescent="0.25">
      <c r="A320" t="b">
        <f>IFERROR(IF(MATCH(B320,RECETAS!$A$2:$A$1700,0) &lt;&gt; "", TRUE,""),FALSE)</f>
        <v>0</v>
      </c>
      <c r="B320" t="e">
        <f>TRANSPOSE(T5_[Etiquetas de fila])</f>
        <v>#VALUE!</v>
      </c>
      <c r="C320" t="e">
        <f>TRANSPOSE(T5_[Recuento de T5 CODIGO])</f>
        <v>#VALUE!</v>
      </c>
    </row>
    <row r="321" spans="1:3" x14ac:dyDescent="0.25">
      <c r="A321" t="b">
        <f>IFERROR(IF(MATCH(B321,RECETAS!$A$2:$A$1700,0) &lt;&gt; "", TRUE,""),FALSE)</f>
        <v>0</v>
      </c>
      <c r="B321" t="e">
        <f>TRANSPOSE(T5_[Etiquetas de fila])</f>
        <v>#VALUE!</v>
      </c>
      <c r="C321" t="e">
        <f>TRANSPOSE(T5_[Recuento de T5 CODIGO])</f>
        <v>#VALUE!</v>
      </c>
    </row>
    <row r="322" spans="1:3" x14ac:dyDescent="0.25">
      <c r="A322" t="b">
        <f>IFERROR(IF(MATCH(B322,RECETAS!$A$2:$A$1700,0) &lt;&gt; "", TRUE,""),FALSE)</f>
        <v>0</v>
      </c>
      <c r="B322" t="e">
        <f>TRANSPOSE(T5_[Etiquetas de fila])</f>
        <v>#VALUE!</v>
      </c>
      <c r="C322" t="e">
        <f>TRANSPOSE(T5_[Recuento de T5 CODIGO])</f>
        <v>#VALUE!</v>
      </c>
    </row>
    <row r="323" spans="1:3" x14ac:dyDescent="0.25">
      <c r="A323" t="b">
        <f>IFERROR(IF(MATCH(B323,RECETAS!$A$2:$A$1700,0) &lt;&gt; "", TRUE,""),FALSE)</f>
        <v>0</v>
      </c>
      <c r="B323" t="e">
        <f>TRANSPOSE(T5_[Etiquetas de fila])</f>
        <v>#VALUE!</v>
      </c>
      <c r="C323" t="e">
        <f>TRANSPOSE(T5_[Recuento de T5 CODIGO])</f>
        <v>#VALUE!</v>
      </c>
    </row>
    <row r="324" spans="1:3" x14ac:dyDescent="0.25">
      <c r="A324" t="b">
        <f>IFERROR(IF(MATCH(B324,RECETAS!$A$2:$A$1700,0) &lt;&gt; "", TRUE,""),FALSE)</f>
        <v>0</v>
      </c>
      <c r="B324" t="e">
        <f>TRANSPOSE(T5_[Etiquetas de fila])</f>
        <v>#VALUE!</v>
      </c>
      <c r="C324" t="e">
        <f>TRANSPOSE(T5_[Recuento de T5 CODIGO])</f>
        <v>#VALUE!</v>
      </c>
    </row>
    <row r="325" spans="1:3" x14ac:dyDescent="0.25">
      <c r="A325" t="b">
        <f>IFERROR(IF(MATCH(B325,RECETAS!$A$2:$A$1700,0) &lt;&gt; "", TRUE,""),FALSE)</f>
        <v>0</v>
      </c>
      <c r="B325" t="e">
        <f>TRANSPOSE(T5_[Etiquetas de fila])</f>
        <v>#VALUE!</v>
      </c>
      <c r="C325" t="e">
        <f>TRANSPOSE(T5_[Recuento de T5 CODIGO])</f>
        <v>#VALUE!</v>
      </c>
    </row>
    <row r="326" spans="1:3" x14ac:dyDescent="0.25">
      <c r="A326" t="b">
        <f>IFERROR(IF(MATCH(B326,RECETAS!$A$2:$A$1700,0) &lt;&gt; "", TRUE,""),FALSE)</f>
        <v>0</v>
      </c>
      <c r="B326" t="e">
        <f>TRANSPOSE(T5_[Etiquetas de fila])</f>
        <v>#VALUE!</v>
      </c>
      <c r="C326" t="e">
        <f>TRANSPOSE(T5_[Recuento de T5 CODIGO])</f>
        <v>#VALUE!</v>
      </c>
    </row>
    <row r="327" spans="1:3" x14ac:dyDescent="0.25">
      <c r="A327" t="b">
        <f>IFERROR(IF(MATCH(B327,RECETAS!$A$2:$A$1700,0) &lt;&gt; "", TRUE,""),FALSE)</f>
        <v>0</v>
      </c>
      <c r="B327" t="e">
        <f>TRANSPOSE(T5_[Etiquetas de fila])</f>
        <v>#VALUE!</v>
      </c>
      <c r="C327" t="e">
        <f>TRANSPOSE(T5_[Recuento de T5 CODIGO])</f>
        <v>#VALUE!</v>
      </c>
    </row>
    <row r="328" spans="1:3" x14ac:dyDescent="0.25">
      <c r="A328" t="b">
        <f>IFERROR(IF(MATCH(B328,RECETAS!$A$2:$A$1700,0) &lt;&gt; "", TRUE,""),FALSE)</f>
        <v>0</v>
      </c>
      <c r="B328" t="e">
        <f>TRANSPOSE(T5_[Etiquetas de fila])</f>
        <v>#VALUE!</v>
      </c>
      <c r="C328" t="e">
        <f>TRANSPOSE(T5_[Recuento de T5 CODIGO])</f>
        <v>#VALUE!</v>
      </c>
    </row>
    <row r="329" spans="1:3" x14ac:dyDescent="0.25">
      <c r="A329" t="b">
        <f>IFERROR(IF(MATCH(B329,RECETAS!$A$2:$A$1700,0) &lt;&gt; "", TRUE,""),FALSE)</f>
        <v>0</v>
      </c>
      <c r="B329" t="e">
        <f>TRANSPOSE(T5_[Etiquetas de fila])</f>
        <v>#VALUE!</v>
      </c>
      <c r="C329" t="e">
        <f>TRANSPOSE(T5_[Recuento de T5 CODIGO])</f>
        <v>#VALUE!</v>
      </c>
    </row>
    <row r="330" spans="1:3" x14ac:dyDescent="0.25">
      <c r="A330" t="b">
        <f>IFERROR(IF(MATCH(B330,RECETAS!$A$2:$A$1700,0) &lt;&gt; "", TRUE,""),FALSE)</f>
        <v>0</v>
      </c>
      <c r="B330" t="e">
        <f>TRANSPOSE(T5_[Etiquetas de fila])</f>
        <v>#VALUE!</v>
      </c>
      <c r="C330" t="e">
        <f>TRANSPOSE(T5_[Recuento de T5 CODIGO])</f>
        <v>#VALUE!</v>
      </c>
    </row>
    <row r="331" spans="1:3" x14ac:dyDescent="0.25">
      <c r="A331" t="b">
        <f>IFERROR(IF(MATCH(B331,RECETAS!$A$2:$A$1700,0) &lt;&gt; "", TRUE,""),FALSE)</f>
        <v>0</v>
      </c>
      <c r="B331" t="e">
        <f>TRANSPOSE(T5_[Etiquetas de fila])</f>
        <v>#VALUE!</v>
      </c>
      <c r="C331" t="e">
        <f>TRANSPOSE(T5_[Recuento de T5 CODIGO])</f>
        <v>#VALUE!</v>
      </c>
    </row>
    <row r="332" spans="1:3" x14ac:dyDescent="0.25">
      <c r="A332" t="b">
        <f>IFERROR(IF(MATCH(B332,RECETAS!$A$2:$A$1700,0) &lt;&gt; "", TRUE,""),FALSE)</f>
        <v>0</v>
      </c>
      <c r="B332" t="e">
        <f>TRANSPOSE(T5_[Etiquetas de fila])</f>
        <v>#VALUE!</v>
      </c>
      <c r="C332" t="e">
        <f>TRANSPOSE(T5_[Recuento de T5 CODIGO])</f>
        <v>#VALUE!</v>
      </c>
    </row>
    <row r="333" spans="1:3" x14ac:dyDescent="0.25">
      <c r="A333" t="b">
        <f>IFERROR(IF(MATCH(B333,RECETAS!$A$2:$A$1700,0) &lt;&gt; "", TRUE,""),FALSE)</f>
        <v>0</v>
      </c>
      <c r="B333" t="e">
        <f>TRANSPOSE(T5_[Etiquetas de fila])</f>
        <v>#VALUE!</v>
      </c>
      <c r="C333" t="e">
        <f>TRANSPOSE(T5_[Recuento de T5 CODIGO])</f>
        <v>#VALUE!</v>
      </c>
    </row>
    <row r="334" spans="1:3" x14ac:dyDescent="0.25">
      <c r="A334" t="b">
        <f>IFERROR(IF(MATCH(B334,RECETAS!$A$2:$A$1700,0) &lt;&gt; "", TRUE,""),FALSE)</f>
        <v>0</v>
      </c>
      <c r="B334" t="e">
        <f>TRANSPOSE(T5_[Etiquetas de fila])</f>
        <v>#VALUE!</v>
      </c>
      <c r="C334" t="e">
        <f>TRANSPOSE(T5_[Recuento de T5 CODIGO])</f>
        <v>#VALUE!</v>
      </c>
    </row>
    <row r="335" spans="1:3" x14ac:dyDescent="0.25">
      <c r="A335" t="b">
        <f>IFERROR(IF(MATCH(B335,RECETAS!$A$2:$A$1700,0) &lt;&gt; "", TRUE,""),FALSE)</f>
        <v>0</v>
      </c>
      <c r="B335" t="e">
        <f>TRANSPOSE(T5_[Etiquetas de fila])</f>
        <v>#VALUE!</v>
      </c>
      <c r="C335" t="e">
        <f>TRANSPOSE(T5_[Recuento de T5 CODIGO])</f>
        <v>#VALUE!</v>
      </c>
    </row>
    <row r="336" spans="1:3" x14ac:dyDescent="0.25">
      <c r="A336" t="b">
        <f>IFERROR(IF(MATCH(B336,RECETAS!$A$2:$A$1700,0) &lt;&gt; "", TRUE,""),FALSE)</f>
        <v>0</v>
      </c>
      <c r="B336" t="e">
        <f>TRANSPOSE(T5_[Etiquetas de fila])</f>
        <v>#VALUE!</v>
      </c>
      <c r="C336" t="e">
        <f>TRANSPOSE(T5_[Recuento de T5 CODIGO])</f>
        <v>#VALUE!</v>
      </c>
    </row>
    <row r="337" spans="1:3" x14ac:dyDescent="0.25">
      <c r="A337" t="b">
        <f>IFERROR(IF(MATCH(B337,RECETAS!$A$2:$A$1700,0) &lt;&gt; "", TRUE,""),FALSE)</f>
        <v>0</v>
      </c>
      <c r="B337" t="e">
        <f>TRANSPOSE(T5_[Etiquetas de fila])</f>
        <v>#VALUE!</v>
      </c>
      <c r="C337" t="e">
        <f>TRANSPOSE(T5_[Recuento de T5 CODIGO])</f>
        <v>#VALUE!</v>
      </c>
    </row>
    <row r="338" spans="1:3" x14ac:dyDescent="0.25">
      <c r="A338" t="b">
        <f>IFERROR(IF(MATCH(B338,RECETAS!$A$2:$A$1700,0) &lt;&gt; "", TRUE,""),FALSE)</f>
        <v>0</v>
      </c>
      <c r="B338" t="e">
        <f>TRANSPOSE(T5_[Etiquetas de fila])</f>
        <v>#VALUE!</v>
      </c>
      <c r="C338" t="e">
        <f>TRANSPOSE(T5_[Recuento de T5 CODIGO])</f>
        <v>#VALUE!</v>
      </c>
    </row>
    <row r="339" spans="1:3" x14ac:dyDescent="0.25">
      <c r="A339" t="b">
        <f>IFERROR(IF(MATCH(B339,RECETAS!$A$2:$A$1700,0) &lt;&gt; "", TRUE,""),FALSE)</f>
        <v>0</v>
      </c>
      <c r="B339" t="e">
        <f>TRANSPOSE(T5_[Etiquetas de fila])</f>
        <v>#VALUE!</v>
      </c>
      <c r="C339" t="e">
        <f>TRANSPOSE(T5_[Recuento de T5 CODIGO])</f>
        <v>#VALUE!</v>
      </c>
    </row>
    <row r="340" spans="1:3" x14ac:dyDescent="0.25">
      <c r="A340" t="b">
        <f>IFERROR(IF(MATCH(B340,RECETAS!$A$2:$A$1700,0) &lt;&gt; "", TRUE,""),FALSE)</f>
        <v>0</v>
      </c>
      <c r="B340" t="e">
        <f>TRANSPOSE(T5_[Etiquetas de fila])</f>
        <v>#VALUE!</v>
      </c>
      <c r="C340" t="e">
        <f>TRANSPOSE(T5_[Recuento de T5 CODIGO])</f>
        <v>#VALUE!</v>
      </c>
    </row>
    <row r="341" spans="1:3" x14ac:dyDescent="0.25">
      <c r="A341" t="b">
        <f>IFERROR(IF(MATCH(B341,RECETAS!$A$2:$A$1700,0) &lt;&gt; "", TRUE,""),FALSE)</f>
        <v>0</v>
      </c>
      <c r="B341" t="e">
        <f>TRANSPOSE(T5_[Etiquetas de fila])</f>
        <v>#VALUE!</v>
      </c>
      <c r="C341" t="e">
        <f>TRANSPOSE(T5_[Recuento de T5 CODIGO])</f>
        <v>#VALUE!</v>
      </c>
    </row>
    <row r="342" spans="1:3" x14ac:dyDescent="0.25">
      <c r="A342" t="b">
        <f>IFERROR(IF(MATCH(B342,RECETAS!$A$2:$A$1700,0) &lt;&gt; "", TRUE,""),FALSE)</f>
        <v>0</v>
      </c>
      <c r="B342" t="e">
        <f>TRANSPOSE(T5_[Etiquetas de fila])</f>
        <v>#VALUE!</v>
      </c>
      <c r="C342" t="e">
        <f>TRANSPOSE(T5_[Recuento de T5 CODIGO])</f>
        <v>#VALUE!</v>
      </c>
    </row>
    <row r="343" spans="1:3" x14ac:dyDescent="0.25">
      <c r="A343" t="b">
        <f>IFERROR(IF(MATCH(B343,RECETAS!$A$2:$A$1700,0) &lt;&gt; "", TRUE,""),FALSE)</f>
        <v>0</v>
      </c>
      <c r="B343" t="e">
        <f>TRANSPOSE(T5_[Etiquetas de fila])</f>
        <v>#VALUE!</v>
      </c>
      <c r="C343" t="e">
        <f>TRANSPOSE(T5_[Recuento de T5 CODIGO])</f>
        <v>#VALUE!</v>
      </c>
    </row>
    <row r="344" spans="1:3" x14ac:dyDescent="0.25">
      <c r="A344" t="b">
        <f>IFERROR(IF(MATCH(B344,RECETAS!$A$2:$A$1700,0) &lt;&gt; "", TRUE,""),FALSE)</f>
        <v>0</v>
      </c>
      <c r="B344" t="e">
        <f>TRANSPOSE(T5_[Etiquetas de fila])</f>
        <v>#VALUE!</v>
      </c>
      <c r="C344" t="e">
        <f>TRANSPOSE(T5_[Recuento de T5 CODIGO])</f>
        <v>#VALUE!</v>
      </c>
    </row>
    <row r="345" spans="1:3" x14ac:dyDescent="0.25">
      <c r="A345" t="b">
        <f>IFERROR(IF(MATCH(B345,RECETAS!$A$2:$A$1700,0) &lt;&gt; "", TRUE,""),FALSE)</f>
        <v>0</v>
      </c>
      <c r="B345" t="e">
        <f>TRANSPOSE(T5_[Etiquetas de fila])</f>
        <v>#VALUE!</v>
      </c>
      <c r="C345" t="e">
        <f>TRANSPOSE(T5_[Recuento de T5 CODIGO])</f>
        <v>#VALUE!</v>
      </c>
    </row>
    <row r="346" spans="1:3" x14ac:dyDescent="0.25">
      <c r="A346" t="b">
        <f>IFERROR(IF(MATCH(B346,RECETAS!$A$2:$A$1700,0) &lt;&gt; "", TRUE,""),FALSE)</f>
        <v>0</v>
      </c>
      <c r="B346" t="e">
        <f>TRANSPOSE(T5_[Etiquetas de fila])</f>
        <v>#VALUE!</v>
      </c>
      <c r="C346" t="e">
        <f>TRANSPOSE(T5_[Recuento de T5 CODIGO])</f>
        <v>#VALUE!</v>
      </c>
    </row>
    <row r="347" spans="1:3" x14ac:dyDescent="0.25">
      <c r="A347" t="b">
        <f>IFERROR(IF(MATCH(B347,RECETAS!$A$2:$A$1700,0) &lt;&gt; "", TRUE,""),FALSE)</f>
        <v>0</v>
      </c>
      <c r="B347" t="e">
        <f>TRANSPOSE(T5_[Etiquetas de fila])</f>
        <v>#VALUE!</v>
      </c>
      <c r="C347" t="e">
        <f>TRANSPOSE(T5_[Recuento de T5 CODIGO])</f>
        <v>#VALUE!</v>
      </c>
    </row>
    <row r="348" spans="1:3" x14ac:dyDescent="0.25">
      <c r="A348" t="b">
        <f>IFERROR(IF(MATCH(B348,RECETAS!$A$2:$A$1700,0) &lt;&gt; "", TRUE,""),FALSE)</f>
        <v>0</v>
      </c>
      <c r="B348" t="e">
        <f>TRANSPOSE(T5_[Etiquetas de fila])</f>
        <v>#VALUE!</v>
      </c>
      <c r="C348" t="e">
        <f>TRANSPOSE(T5_[Recuento de T5 CODIGO])</f>
        <v>#VALUE!</v>
      </c>
    </row>
    <row r="349" spans="1:3" x14ac:dyDescent="0.25">
      <c r="A349" t="b">
        <f>IFERROR(IF(MATCH(B349,RECETAS!$A$2:$A$1700,0) &lt;&gt; "", TRUE,""),FALSE)</f>
        <v>0</v>
      </c>
      <c r="B349" t="e">
        <f>TRANSPOSE(T5_[Etiquetas de fila])</f>
        <v>#VALUE!</v>
      </c>
      <c r="C349" t="e">
        <f>TRANSPOSE(T5_[Recuento de T5 CODIGO])</f>
        <v>#VALUE!</v>
      </c>
    </row>
    <row r="350" spans="1:3" x14ac:dyDescent="0.25">
      <c r="A350" t="b">
        <f>IFERROR(IF(MATCH(B350,RECETAS!$A$2:$A$1700,0) &lt;&gt; "", TRUE,""),FALSE)</f>
        <v>0</v>
      </c>
      <c r="B350" t="e">
        <f>TRANSPOSE(T5_[Etiquetas de fila])</f>
        <v>#VALUE!</v>
      </c>
      <c r="C350" t="e">
        <f>TRANSPOSE(T5_[Recuento de T5 CODIGO])</f>
        <v>#VALUE!</v>
      </c>
    </row>
    <row r="351" spans="1:3" x14ac:dyDescent="0.25">
      <c r="A351" t="b">
        <f>IFERROR(IF(MATCH(B351,RECETAS!$A$2:$A$1700,0) &lt;&gt; "", TRUE,""),FALSE)</f>
        <v>0</v>
      </c>
      <c r="B351" t="e">
        <f>TRANSPOSE(T5_[Etiquetas de fila])</f>
        <v>#VALUE!</v>
      </c>
      <c r="C351" t="e">
        <f>TRANSPOSE(T5_[Recuento de T5 CODIGO])</f>
        <v>#VALUE!</v>
      </c>
    </row>
    <row r="352" spans="1:3" x14ac:dyDescent="0.25">
      <c r="A352" t="b">
        <f>IFERROR(IF(MATCH(B352,RECETAS!$A$2:$A$1700,0) &lt;&gt; "", TRUE,""),FALSE)</f>
        <v>0</v>
      </c>
      <c r="B352" t="e">
        <f>TRANSPOSE(T5_[Etiquetas de fila])</f>
        <v>#VALUE!</v>
      </c>
      <c r="C352" t="e">
        <f>TRANSPOSE(T5_[Recuento de T5 CODIGO])</f>
        <v>#VALUE!</v>
      </c>
    </row>
    <row r="353" spans="1:3" x14ac:dyDescent="0.25">
      <c r="A353" t="b">
        <f>IFERROR(IF(MATCH(B353,RECETAS!$A$2:$A$1700,0) &lt;&gt; "", TRUE,""),FALSE)</f>
        <v>0</v>
      </c>
      <c r="B353" t="e">
        <f>TRANSPOSE(T5_[Etiquetas de fila])</f>
        <v>#VALUE!</v>
      </c>
      <c r="C353" t="e">
        <f>TRANSPOSE(T5_[Recuento de T5 CODIGO])</f>
        <v>#VALUE!</v>
      </c>
    </row>
    <row r="354" spans="1:3" x14ac:dyDescent="0.25">
      <c r="A354" t="b">
        <f>IFERROR(IF(MATCH(B354,RECETAS!$A$2:$A$1700,0) &lt;&gt; "", TRUE,""),FALSE)</f>
        <v>0</v>
      </c>
      <c r="B354" t="e">
        <f>TRANSPOSE(T5_[Etiquetas de fila])</f>
        <v>#VALUE!</v>
      </c>
      <c r="C354" t="e">
        <f>TRANSPOSE(T5_[Recuento de T5 CODIGO])</f>
        <v>#VALUE!</v>
      </c>
    </row>
    <row r="355" spans="1:3" x14ac:dyDescent="0.25">
      <c r="A355" t="b">
        <f>IFERROR(IF(MATCH(B355,RECETAS!$A$2:$A$1700,0) &lt;&gt; "", TRUE,""),FALSE)</f>
        <v>0</v>
      </c>
      <c r="B355" t="e">
        <f>TRANSPOSE(T5_[Etiquetas de fila])</f>
        <v>#VALUE!</v>
      </c>
      <c r="C355" t="e">
        <f>TRANSPOSE(T5_[Recuento de T5 CODIGO])</f>
        <v>#VALUE!</v>
      </c>
    </row>
    <row r="356" spans="1:3" x14ac:dyDescent="0.25">
      <c r="A356" t="b">
        <f>IFERROR(IF(MATCH(B356,RECETAS!$A$2:$A$1700,0) &lt;&gt; "", TRUE,""),FALSE)</f>
        <v>0</v>
      </c>
      <c r="B356" t="e">
        <f>TRANSPOSE(T5_[Etiquetas de fila])</f>
        <v>#VALUE!</v>
      </c>
      <c r="C356" t="e">
        <f>TRANSPOSE(T5_[Recuento de T5 CODIGO])</f>
        <v>#VALUE!</v>
      </c>
    </row>
    <row r="357" spans="1:3" x14ac:dyDescent="0.25">
      <c r="A357" t="b">
        <f>IFERROR(IF(MATCH(B357,RECETAS!$A$2:$A$1700,0) &lt;&gt; "", TRUE,""),FALSE)</f>
        <v>0</v>
      </c>
      <c r="B357" t="e">
        <f>TRANSPOSE(T5_[Etiquetas de fila])</f>
        <v>#VALUE!</v>
      </c>
      <c r="C357" t="e">
        <f>TRANSPOSE(T5_[Recuento de T5 CODIGO])</f>
        <v>#VALUE!</v>
      </c>
    </row>
    <row r="358" spans="1:3" x14ac:dyDescent="0.25">
      <c r="A358" t="b">
        <f>IFERROR(IF(MATCH(B358,RECETAS!$A$2:$A$1700,0) &lt;&gt; "", TRUE,""),FALSE)</f>
        <v>0</v>
      </c>
      <c r="B358" t="e">
        <f>TRANSPOSE(T5_[Etiquetas de fila])</f>
        <v>#VALUE!</v>
      </c>
      <c r="C358" t="e">
        <f>TRANSPOSE(T5_[Recuento de T5 CODIGO])</f>
        <v>#VALUE!</v>
      </c>
    </row>
    <row r="359" spans="1:3" x14ac:dyDescent="0.25">
      <c r="A359" t="b">
        <f>IFERROR(IF(MATCH(B359,RECETAS!$A$2:$A$1700,0) &lt;&gt; "", TRUE,""),FALSE)</f>
        <v>0</v>
      </c>
      <c r="B359" t="e">
        <f>TRANSPOSE(T5_[Etiquetas de fila])</f>
        <v>#VALUE!</v>
      </c>
      <c r="C359" t="e">
        <f>TRANSPOSE(T5_[Recuento de T5 CODIGO])</f>
        <v>#VALUE!</v>
      </c>
    </row>
    <row r="360" spans="1:3" x14ac:dyDescent="0.25">
      <c r="A360" t="b">
        <f>IFERROR(IF(MATCH(B360,RECETAS!$A$2:$A$1700,0) &lt;&gt; "", TRUE,""),FALSE)</f>
        <v>0</v>
      </c>
      <c r="B360" t="e">
        <f>TRANSPOSE(T5_[Etiquetas de fila])</f>
        <v>#VALUE!</v>
      </c>
      <c r="C360" t="e">
        <f>TRANSPOSE(T5_[Recuento de T5 CODIGO])</f>
        <v>#VALUE!</v>
      </c>
    </row>
    <row r="361" spans="1:3" x14ac:dyDescent="0.25">
      <c r="A361" t="b">
        <f>IFERROR(IF(MATCH(B361,RECETAS!$A$2:$A$1700,0) &lt;&gt; "", TRUE,""),FALSE)</f>
        <v>0</v>
      </c>
      <c r="B361" t="e">
        <f>TRANSPOSE(T5_[Etiquetas de fila])</f>
        <v>#VALUE!</v>
      </c>
      <c r="C361" t="e">
        <f>TRANSPOSE(T5_[Recuento de T5 CODIGO])</f>
        <v>#VALUE!</v>
      </c>
    </row>
    <row r="362" spans="1:3" x14ac:dyDescent="0.25">
      <c r="A362" t="b">
        <f>IFERROR(IF(MATCH(B362,RECETAS!$A$2:$A$1700,0) &lt;&gt; "", TRUE,""),FALSE)</f>
        <v>0</v>
      </c>
      <c r="B362" t="e">
        <f>TRANSPOSE(T5_[Etiquetas de fila])</f>
        <v>#VALUE!</v>
      </c>
      <c r="C362" t="e">
        <f>TRANSPOSE(T5_[Recuento de T5 CODIGO])</f>
        <v>#VALUE!</v>
      </c>
    </row>
    <row r="363" spans="1:3" x14ac:dyDescent="0.25">
      <c r="A363" t="b">
        <f>IFERROR(IF(MATCH(B363,RECETAS!$A$2:$A$1700,0) &lt;&gt; "", TRUE,""),FALSE)</f>
        <v>0</v>
      </c>
      <c r="B363" t="e">
        <f>TRANSPOSE(T5_[Etiquetas de fila])</f>
        <v>#VALUE!</v>
      </c>
      <c r="C363" t="e">
        <f>TRANSPOSE(T5_[Recuento de T5 CODIGO])</f>
        <v>#VALUE!</v>
      </c>
    </row>
    <row r="364" spans="1:3" x14ac:dyDescent="0.25">
      <c r="A364" t="b">
        <f>IFERROR(IF(MATCH(B364,RECETAS!$A$2:$A$1700,0) &lt;&gt; "", TRUE,""),FALSE)</f>
        <v>0</v>
      </c>
      <c r="B364" t="e">
        <f>TRANSPOSE(T5_[Etiquetas de fila])</f>
        <v>#VALUE!</v>
      </c>
      <c r="C364" t="e">
        <f>TRANSPOSE(T5_[Recuento de T5 CODIGO])</f>
        <v>#VALUE!</v>
      </c>
    </row>
    <row r="365" spans="1:3" x14ac:dyDescent="0.25">
      <c r="A365" t="b">
        <f>IFERROR(IF(MATCH(B365,RECETAS!$A$2:$A$1700,0) &lt;&gt; "", TRUE,""),FALSE)</f>
        <v>0</v>
      </c>
      <c r="B365" t="e">
        <f>TRANSPOSE(T5_[Etiquetas de fila])</f>
        <v>#VALUE!</v>
      </c>
      <c r="C365" t="e">
        <f>TRANSPOSE(T5_[Recuento de T5 CODIGO])</f>
        <v>#VALUE!</v>
      </c>
    </row>
    <row r="366" spans="1:3" x14ac:dyDescent="0.25">
      <c r="A366" t="b">
        <f>IFERROR(IF(MATCH(B366,RECETAS!$A$2:$A$1700,0) &lt;&gt; "", TRUE,""),FALSE)</f>
        <v>0</v>
      </c>
      <c r="B366" t="e">
        <f>TRANSPOSE(T5_[Etiquetas de fila])</f>
        <v>#VALUE!</v>
      </c>
      <c r="C366" t="e">
        <f>TRANSPOSE(T5_[Recuento de T5 CODIGO])</f>
        <v>#VALUE!</v>
      </c>
    </row>
    <row r="367" spans="1:3" x14ac:dyDescent="0.25">
      <c r="A367" t="b">
        <f>IFERROR(IF(MATCH(B367,RECETAS!$A$2:$A$1700,0) &lt;&gt; "", TRUE,""),FALSE)</f>
        <v>0</v>
      </c>
      <c r="B367" t="e">
        <f>TRANSPOSE(T5_[Etiquetas de fila])</f>
        <v>#VALUE!</v>
      </c>
      <c r="C367" t="e">
        <f>TRANSPOSE(T5_[Recuento de T5 CODIGO])</f>
        <v>#VALUE!</v>
      </c>
    </row>
    <row r="368" spans="1:3" x14ac:dyDescent="0.25">
      <c r="A368" t="b">
        <f>IFERROR(IF(MATCH(B368,RECETAS!$A$2:$A$1700,0) &lt;&gt; "", TRUE,""),FALSE)</f>
        <v>0</v>
      </c>
      <c r="B368" t="e">
        <f>TRANSPOSE(T5_[Etiquetas de fila])</f>
        <v>#VALUE!</v>
      </c>
      <c r="C368" t="e">
        <f>TRANSPOSE(T5_[Recuento de T5 CODIGO])</f>
        <v>#VALUE!</v>
      </c>
    </row>
    <row r="369" spans="1:3" x14ac:dyDescent="0.25">
      <c r="A369" t="b">
        <f>IFERROR(IF(MATCH(B369,RECETAS!$A$2:$A$1700,0) &lt;&gt; "", TRUE,""),FALSE)</f>
        <v>0</v>
      </c>
      <c r="B369" t="e">
        <f>TRANSPOSE(T5_[Etiquetas de fila])</f>
        <v>#VALUE!</v>
      </c>
      <c r="C369" t="e">
        <f>TRANSPOSE(T5_[Recuento de T5 CODIGO])</f>
        <v>#VALUE!</v>
      </c>
    </row>
    <row r="370" spans="1:3" x14ac:dyDescent="0.25">
      <c r="A370" t="b">
        <f>IFERROR(IF(MATCH(B370,RECETAS!$A$2:$A$1700,0) &lt;&gt; "", TRUE,""),FALSE)</f>
        <v>0</v>
      </c>
      <c r="B370" t="e">
        <f>TRANSPOSE(T5_[Etiquetas de fila])</f>
        <v>#VALUE!</v>
      </c>
      <c r="C370" t="e">
        <f>TRANSPOSE(T5_[Recuento de T5 CODIGO])</f>
        <v>#VALUE!</v>
      </c>
    </row>
    <row r="371" spans="1:3" x14ac:dyDescent="0.25">
      <c r="A371" t="b">
        <f>IFERROR(IF(MATCH(B371,RECETAS!$A$2:$A$1700,0) &lt;&gt; "", TRUE,""),FALSE)</f>
        <v>0</v>
      </c>
      <c r="B371" t="e">
        <f>TRANSPOSE(T5_[Etiquetas de fila])</f>
        <v>#VALUE!</v>
      </c>
      <c r="C371" t="e">
        <f>TRANSPOSE(T5_[Recuento de T5 CODIGO])</f>
        <v>#VALUE!</v>
      </c>
    </row>
    <row r="372" spans="1:3" x14ac:dyDescent="0.25">
      <c r="A372" t="b">
        <f>IFERROR(IF(MATCH(B372,RECETAS!$A$2:$A$1700,0) &lt;&gt; "", TRUE,""),FALSE)</f>
        <v>0</v>
      </c>
      <c r="B372" t="e">
        <f>TRANSPOSE(T5_[Etiquetas de fila])</f>
        <v>#VALUE!</v>
      </c>
      <c r="C372" t="e">
        <f>TRANSPOSE(T5_[Recuento de T5 CODIGO])</f>
        <v>#VALUE!</v>
      </c>
    </row>
    <row r="373" spans="1:3" x14ac:dyDescent="0.25">
      <c r="A373" t="b">
        <f>IFERROR(IF(MATCH(B373,RECETAS!$A$2:$A$1700,0) &lt;&gt; "", TRUE,""),FALSE)</f>
        <v>0</v>
      </c>
      <c r="B373" t="e">
        <f>TRANSPOSE(T5_[Etiquetas de fila])</f>
        <v>#VALUE!</v>
      </c>
      <c r="C373" t="e">
        <f>TRANSPOSE(T5_[Recuento de T5 CODIGO])</f>
        <v>#VALUE!</v>
      </c>
    </row>
    <row r="374" spans="1:3" x14ac:dyDescent="0.25">
      <c r="A374" t="b">
        <f>IFERROR(IF(MATCH(B374,RECETAS!$A$2:$A$1700,0) &lt;&gt; "", TRUE,""),FALSE)</f>
        <v>0</v>
      </c>
      <c r="B374" t="e">
        <f>TRANSPOSE(T5_[Etiquetas de fila])</f>
        <v>#VALUE!</v>
      </c>
      <c r="C374" t="e">
        <f>TRANSPOSE(T5_[Recuento de T5 CODIGO])</f>
        <v>#VALUE!</v>
      </c>
    </row>
    <row r="375" spans="1:3" x14ac:dyDescent="0.25">
      <c r="A375" t="b">
        <f>IFERROR(IF(MATCH(B375,RECETAS!$A$2:$A$1700,0) &lt;&gt; "", TRUE,""),FALSE)</f>
        <v>0</v>
      </c>
      <c r="B375" t="e">
        <f>TRANSPOSE(T5_[Etiquetas de fila])</f>
        <v>#VALUE!</v>
      </c>
      <c r="C375" t="e">
        <f>TRANSPOSE(T5_[Recuento de T5 CODIGO])</f>
        <v>#VALUE!</v>
      </c>
    </row>
    <row r="376" spans="1:3" x14ac:dyDescent="0.25">
      <c r="A376" t="b">
        <f>IFERROR(IF(MATCH(B376,RECETAS!$A$2:$A$1700,0) &lt;&gt; "", TRUE,""),FALSE)</f>
        <v>0</v>
      </c>
      <c r="B376" t="e">
        <f>TRANSPOSE(T5_[Etiquetas de fila])</f>
        <v>#VALUE!</v>
      </c>
      <c r="C376" t="e">
        <f>TRANSPOSE(T5_[Recuento de T5 CODIGO])</f>
        <v>#VALUE!</v>
      </c>
    </row>
    <row r="377" spans="1:3" x14ac:dyDescent="0.25">
      <c r="A377" t="b">
        <f>IFERROR(IF(MATCH(B377,RECETAS!$A$2:$A$1700,0) &lt;&gt; "", TRUE,""),FALSE)</f>
        <v>0</v>
      </c>
      <c r="B377" t="e">
        <f>TRANSPOSE(T5_[Etiquetas de fila])</f>
        <v>#VALUE!</v>
      </c>
      <c r="C377" t="e">
        <f>TRANSPOSE(T5_[Recuento de T5 CODIGO])</f>
        <v>#VALUE!</v>
      </c>
    </row>
    <row r="378" spans="1:3" x14ac:dyDescent="0.25">
      <c r="A378" t="b">
        <f>IFERROR(IF(MATCH(B378,RECETAS!$A$2:$A$1700,0) &lt;&gt; "", TRUE,""),FALSE)</f>
        <v>0</v>
      </c>
      <c r="B378" t="e">
        <f>TRANSPOSE(T5_[Etiquetas de fila])</f>
        <v>#VALUE!</v>
      </c>
      <c r="C378" t="e">
        <f>TRANSPOSE(T5_[Recuento de T5 CODIGO])</f>
        <v>#VALUE!</v>
      </c>
    </row>
    <row r="379" spans="1:3" x14ac:dyDescent="0.25">
      <c r="A379" t="b">
        <f>IFERROR(IF(MATCH(B379,RECETAS!$A$2:$A$1700,0) &lt;&gt; "", TRUE,""),FALSE)</f>
        <v>0</v>
      </c>
      <c r="B379" t="e">
        <f>TRANSPOSE(T5_[Etiquetas de fila])</f>
        <v>#VALUE!</v>
      </c>
      <c r="C379" t="e">
        <f>TRANSPOSE(T5_[Recuento de T5 CODIGO])</f>
        <v>#VALUE!</v>
      </c>
    </row>
    <row r="380" spans="1:3" x14ac:dyDescent="0.25">
      <c r="A380" t="b">
        <f>IFERROR(IF(MATCH(B380,RECETAS!$A$2:$A$1700,0) &lt;&gt; "", TRUE,""),FALSE)</f>
        <v>0</v>
      </c>
      <c r="B380" t="e">
        <f>TRANSPOSE(T5_[Etiquetas de fila])</f>
        <v>#VALUE!</v>
      </c>
      <c r="C380" t="e">
        <f>TRANSPOSE(T5_[Recuento de T5 CODIGO])</f>
        <v>#VALUE!</v>
      </c>
    </row>
    <row r="381" spans="1:3" x14ac:dyDescent="0.25">
      <c r="A381" t="b">
        <f>IFERROR(IF(MATCH(B381,RECETAS!$A$2:$A$1700,0) &lt;&gt; "", TRUE,""),FALSE)</f>
        <v>0</v>
      </c>
      <c r="B381" t="e">
        <f>TRANSPOSE(T5_[Etiquetas de fila])</f>
        <v>#VALUE!</v>
      </c>
      <c r="C381" t="e">
        <f>TRANSPOSE(T5_[Recuento de T5 CODIGO])</f>
        <v>#VALUE!</v>
      </c>
    </row>
    <row r="382" spans="1:3" x14ac:dyDescent="0.25">
      <c r="A382" t="b">
        <f>IFERROR(IF(MATCH(B382,RECETAS!$A$2:$A$1700,0) &lt;&gt; "", TRUE,""),FALSE)</f>
        <v>0</v>
      </c>
      <c r="B382" t="e">
        <f>TRANSPOSE(T5_[Etiquetas de fila])</f>
        <v>#VALUE!</v>
      </c>
      <c r="C382" t="e">
        <f>TRANSPOSE(T5_[Recuento de T5 CODIGO])</f>
        <v>#VALUE!</v>
      </c>
    </row>
    <row r="383" spans="1:3" x14ac:dyDescent="0.25">
      <c r="A383" t="b">
        <f>IFERROR(IF(MATCH(B383,RECETAS!$A$2:$A$1700,0) &lt;&gt; "", TRUE,""),FALSE)</f>
        <v>0</v>
      </c>
      <c r="B383" t="e">
        <f>TRANSPOSE(T5_[Etiquetas de fila])</f>
        <v>#VALUE!</v>
      </c>
      <c r="C383" t="e">
        <f>TRANSPOSE(T5_[Recuento de T5 CODIGO])</f>
        <v>#VALUE!</v>
      </c>
    </row>
    <row r="384" spans="1:3" x14ac:dyDescent="0.25">
      <c r="A384" t="b">
        <f>IFERROR(IF(MATCH(B384,RECETAS!$A$2:$A$1700,0) &lt;&gt; "", TRUE,""),FALSE)</f>
        <v>0</v>
      </c>
      <c r="B384" t="e">
        <f>TRANSPOSE(T5_[Etiquetas de fila])</f>
        <v>#VALUE!</v>
      </c>
      <c r="C384" t="e">
        <f>TRANSPOSE(T5_[Recuento de T5 CODIGO])</f>
        <v>#VALUE!</v>
      </c>
    </row>
    <row r="385" spans="1:3" x14ac:dyDescent="0.25">
      <c r="A385" t="b">
        <f>IFERROR(IF(MATCH(B385,RECETAS!$A$2:$A$1700,0) &lt;&gt; "", TRUE,""),FALSE)</f>
        <v>0</v>
      </c>
      <c r="B385" t="e">
        <f>TRANSPOSE(T5_[Etiquetas de fila])</f>
        <v>#VALUE!</v>
      </c>
      <c r="C385" t="e">
        <f>TRANSPOSE(T5_[Recuento de T5 CODIGO])</f>
        <v>#VALUE!</v>
      </c>
    </row>
    <row r="386" spans="1:3" x14ac:dyDescent="0.25">
      <c r="A386" t="b">
        <f>IFERROR(IF(MATCH(B386,RECETAS!$A$2:$A$1700,0) &lt;&gt; "", TRUE,""),FALSE)</f>
        <v>0</v>
      </c>
      <c r="B386" t="e">
        <f>TRANSPOSE(T5_[Etiquetas de fila])</f>
        <v>#VALUE!</v>
      </c>
      <c r="C386" t="e">
        <f>TRANSPOSE(T5_[Recuento de T5 CODIGO])</f>
        <v>#VALUE!</v>
      </c>
    </row>
    <row r="387" spans="1:3" x14ac:dyDescent="0.25">
      <c r="A387" t="b">
        <f>IFERROR(IF(MATCH(B387,RECETAS!$A$2:$A$1700,0) &lt;&gt; "", TRUE,""),FALSE)</f>
        <v>0</v>
      </c>
      <c r="B387" t="e">
        <f>TRANSPOSE(T5_[Etiquetas de fila])</f>
        <v>#VALUE!</v>
      </c>
      <c r="C387" t="e">
        <f>TRANSPOSE(T5_[Recuento de T5 CODIGO])</f>
        <v>#VALUE!</v>
      </c>
    </row>
    <row r="388" spans="1:3" x14ac:dyDescent="0.25">
      <c r="A388" t="b">
        <f>IFERROR(IF(MATCH(B388,RECETAS!$A$2:$A$1700,0) &lt;&gt; "", TRUE,""),FALSE)</f>
        <v>0</v>
      </c>
      <c r="B388" t="e">
        <f>TRANSPOSE(T5_[Etiquetas de fila])</f>
        <v>#VALUE!</v>
      </c>
      <c r="C388" t="e">
        <f>TRANSPOSE(T5_[Recuento de T5 CODIGO])</f>
        <v>#VALUE!</v>
      </c>
    </row>
    <row r="389" spans="1:3" x14ac:dyDescent="0.25">
      <c r="A389" t="b">
        <f>IFERROR(IF(MATCH(B389,RECETAS!$A$2:$A$1700,0) &lt;&gt; "", TRUE,""),FALSE)</f>
        <v>0</v>
      </c>
      <c r="B389" t="e">
        <f>TRANSPOSE(T5_[Etiquetas de fila])</f>
        <v>#VALUE!</v>
      </c>
      <c r="C389" t="e">
        <f>TRANSPOSE(T5_[Recuento de T5 CODIGO])</f>
        <v>#VALUE!</v>
      </c>
    </row>
    <row r="390" spans="1:3" x14ac:dyDescent="0.25">
      <c r="A390" t="b">
        <f>IFERROR(IF(MATCH(B390,RECETAS!$A$2:$A$1700,0) &lt;&gt; "", TRUE,""),FALSE)</f>
        <v>0</v>
      </c>
      <c r="B390" t="e">
        <f>TRANSPOSE(T5_[Etiquetas de fila])</f>
        <v>#VALUE!</v>
      </c>
      <c r="C390" t="e">
        <f>TRANSPOSE(T5_[Recuento de T5 CODIGO])</f>
        <v>#VALUE!</v>
      </c>
    </row>
    <row r="391" spans="1:3" x14ac:dyDescent="0.25">
      <c r="A391" t="b">
        <f>IFERROR(IF(MATCH(B391,RECETAS!$A$2:$A$1700,0) &lt;&gt; "", TRUE,""),FALSE)</f>
        <v>0</v>
      </c>
      <c r="B391" t="e">
        <f>TRANSPOSE(T5_[Etiquetas de fila])</f>
        <v>#VALUE!</v>
      </c>
      <c r="C391" t="e">
        <f>TRANSPOSE(T5_[Recuento de T5 CODIGO])</f>
        <v>#VALUE!</v>
      </c>
    </row>
    <row r="392" spans="1:3" x14ac:dyDescent="0.25">
      <c r="A392" t="b">
        <f>IFERROR(IF(MATCH(B392,RECETAS!$A$2:$A$1700,0) &lt;&gt; "", TRUE,""),FALSE)</f>
        <v>0</v>
      </c>
      <c r="B392" t="e">
        <f>TRANSPOSE(T5_[Etiquetas de fila])</f>
        <v>#VALUE!</v>
      </c>
      <c r="C392" t="e">
        <f>TRANSPOSE(T5_[Recuento de T5 CODIGO])</f>
        <v>#VALUE!</v>
      </c>
    </row>
    <row r="393" spans="1:3" x14ac:dyDescent="0.25">
      <c r="A393" t="b">
        <f>IFERROR(IF(MATCH(B393,RECETAS!$A$2:$A$1700,0) &lt;&gt; "", TRUE,""),FALSE)</f>
        <v>0</v>
      </c>
      <c r="B393" t="e">
        <f>TRANSPOSE(T5_[Etiquetas de fila])</f>
        <v>#VALUE!</v>
      </c>
      <c r="C393" t="e">
        <f>TRANSPOSE(T5_[Recuento de T5 CODIGO])</f>
        <v>#VALUE!</v>
      </c>
    </row>
    <row r="394" spans="1:3" x14ac:dyDescent="0.25">
      <c r="A394" t="b">
        <f>IFERROR(IF(MATCH(B394,RECETAS!$A$2:$A$1700,0) &lt;&gt; "", TRUE,""),FALSE)</f>
        <v>0</v>
      </c>
      <c r="B394" t="e">
        <f>TRANSPOSE(T5_[Etiquetas de fila])</f>
        <v>#VALUE!</v>
      </c>
      <c r="C394" t="e">
        <f>TRANSPOSE(T5_[Recuento de T5 CODIGO])</f>
        <v>#VALUE!</v>
      </c>
    </row>
    <row r="395" spans="1:3" x14ac:dyDescent="0.25">
      <c r="A395" t="b">
        <f>IFERROR(IF(MATCH(B395,RECETAS!$A$2:$A$1700,0) &lt;&gt; "", TRUE,""),FALSE)</f>
        <v>0</v>
      </c>
      <c r="B395" t="e">
        <f>TRANSPOSE(T5_[Etiquetas de fila])</f>
        <v>#VALUE!</v>
      </c>
      <c r="C395" t="e">
        <f>TRANSPOSE(T5_[Recuento de T5 CODIGO])</f>
        <v>#VALUE!</v>
      </c>
    </row>
    <row r="396" spans="1:3" x14ac:dyDescent="0.25">
      <c r="A396" t="b">
        <f>IFERROR(IF(MATCH(B396,RECETAS!$A$2:$A$1700,0) &lt;&gt; "", TRUE,""),FALSE)</f>
        <v>0</v>
      </c>
      <c r="B396" t="e">
        <f>TRANSPOSE(T5_[Etiquetas de fila])</f>
        <v>#VALUE!</v>
      </c>
      <c r="C396" t="e">
        <f>TRANSPOSE(T5_[Recuento de T5 CODIGO])</f>
        <v>#VALUE!</v>
      </c>
    </row>
    <row r="397" spans="1:3" x14ac:dyDescent="0.25">
      <c r="A397" t="b">
        <f>IFERROR(IF(MATCH(B397,RECETAS!$A$2:$A$1700,0) &lt;&gt; "", TRUE,""),FALSE)</f>
        <v>0</v>
      </c>
      <c r="B397" t="e">
        <f>TRANSPOSE(T5_[Etiquetas de fila])</f>
        <v>#VALUE!</v>
      </c>
      <c r="C397" t="e">
        <f>TRANSPOSE(T5_[Recuento de T5 CODIGO])</f>
        <v>#VALUE!</v>
      </c>
    </row>
    <row r="398" spans="1:3" x14ac:dyDescent="0.25">
      <c r="A398" t="b">
        <f>IFERROR(IF(MATCH(B398,RECETAS!$A$2:$A$1700,0) &lt;&gt; "", TRUE,""),FALSE)</f>
        <v>0</v>
      </c>
      <c r="B398" t="e">
        <f>TRANSPOSE(T5_[Etiquetas de fila])</f>
        <v>#VALUE!</v>
      </c>
      <c r="C398" t="e">
        <f>TRANSPOSE(T5_[Recuento de T5 CODIGO])</f>
        <v>#VALUE!</v>
      </c>
    </row>
    <row r="399" spans="1:3" x14ac:dyDescent="0.25">
      <c r="A399" t="b">
        <f>IFERROR(IF(MATCH(B399,RECETAS!$A$2:$A$1700,0) &lt;&gt; "", TRUE,""),FALSE)</f>
        <v>0</v>
      </c>
      <c r="B399" t="e">
        <f>TRANSPOSE(T5_[Etiquetas de fila])</f>
        <v>#VALUE!</v>
      </c>
      <c r="C399" t="e">
        <f>TRANSPOSE(T5_[Recuento de T5 CODIGO])</f>
        <v>#VALUE!</v>
      </c>
    </row>
    <row r="400" spans="1:3" x14ac:dyDescent="0.25">
      <c r="A400" t="b">
        <f>IFERROR(IF(MATCH(B400,RECETAS!$A$2:$A$1700,0) &lt;&gt; "", TRUE,""),FALSE)</f>
        <v>0</v>
      </c>
      <c r="B400" t="e">
        <f>TRANSPOSE(T5_[Etiquetas de fila])</f>
        <v>#VALUE!</v>
      </c>
      <c r="C400" t="e">
        <f>TRANSPOSE(T5_[Recuento de T5 CODIGO])</f>
        <v>#VALUE!</v>
      </c>
    </row>
  </sheetData>
  <conditionalFormatting sqref="A3:A400">
    <cfRule type="cellIs" dxfId="42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B79B-7A2E-458E-9C2B-AD48B49F8A73}">
  <dimension ref="A1:D225"/>
  <sheetViews>
    <sheetView topLeftCell="A37" workbookViewId="0">
      <selection activeCell="C1" sqref="C1:D1048576"/>
    </sheetView>
  </sheetViews>
  <sheetFormatPr baseColWidth="10" defaultRowHeight="15" x14ac:dyDescent="0.25"/>
  <cols>
    <col min="1" max="1" width="33.5703125" bestFit="1" customWidth="1"/>
    <col min="2" max="2" width="24.85546875" bestFit="1" customWidth="1"/>
    <col min="3" max="4" width="11.42578125" style="251"/>
  </cols>
  <sheetData>
    <row r="1" spans="1:4" x14ac:dyDescent="0.25">
      <c r="A1" t="s">
        <v>897</v>
      </c>
      <c r="B1" t="s">
        <v>1063</v>
      </c>
      <c r="C1" s="251" t="s">
        <v>1083</v>
      </c>
      <c r="D1" s="251" t="s">
        <v>1086</v>
      </c>
    </row>
    <row r="2" spans="1:4" x14ac:dyDescent="0.25">
      <c r="A2" s="250" t="s">
        <v>899</v>
      </c>
      <c r="B2">
        <v>3</v>
      </c>
      <c r="C2" s="251">
        <f>LOOKUP(T5_[[#This Row],[Etiquetas de fila]],'VALORIZACION CARTA'!B:B,'VALORIZACION CARTA'!C:C)</f>
        <v>2963.8265999999999</v>
      </c>
      <c r="D2" s="251">
        <f>SUM(T5_[[#This Row],[Recuento de T5 CODIGO]]*T5_[[#This Row],[Columna1]])</f>
        <v>8891.4797999999992</v>
      </c>
    </row>
    <row r="3" spans="1:4" x14ac:dyDescent="0.25">
      <c r="A3" s="250" t="s">
        <v>900</v>
      </c>
      <c r="B3">
        <v>1</v>
      </c>
      <c r="C3" s="251">
        <f>LOOKUP(T5_[[#This Row],[Etiquetas de fila]],'VALORIZACION CARTA'!B:B,'VALORIZACION CARTA'!C:C)</f>
        <v>1330.5275000000001</v>
      </c>
      <c r="D3" s="251">
        <f>SUM(T5_[[#This Row],[Recuento de T5 CODIGO]]*T5_[[#This Row],[Columna1]])</f>
        <v>1330.5275000000001</v>
      </c>
    </row>
    <row r="4" spans="1:4" x14ac:dyDescent="0.25">
      <c r="A4" s="250" t="s">
        <v>1036</v>
      </c>
      <c r="B4">
        <v>3</v>
      </c>
      <c r="C4" s="251">
        <f>LOOKUP(T5_[[#This Row],[Etiquetas de fila]],'VALORIZACION CARTA'!B:B,'VALORIZACION CARTA'!C:C)</f>
        <v>1231.047</v>
      </c>
      <c r="D4" s="251">
        <f>SUM(T5_[[#This Row],[Recuento de T5 CODIGO]]*T5_[[#This Row],[Columna1]])</f>
        <v>3693.1410000000001</v>
      </c>
    </row>
    <row r="5" spans="1:4" x14ac:dyDescent="0.25">
      <c r="A5" s="250" t="s">
        <v>314</v>
      </c>
      <c r="B5">
        <v>2</v>
      </c>
      <c r="C5" s="251">
        <f>LOOKUP(T5_[[#This Row],[Etiquetas de fila]],'VALORIZACION CARTA'!B:B,'VALORIZACION CARTA'!C:C)</f>
        <v>1023.3517325</v>
      </c>
      <c r="D5" s="251">
        <f>SUM(T5_[[#This Row],[Recuento de T5 CODIGO]]*T5_[[#This Row],[Columna1]])</f>
        <v>2046.7034650000001</v>
      </c>
    </row>
    <row r="6" spans="1:4" x14ac:dyDescent="0.25">
      <c r="A6" s="250" t="s">
        <v>315</v>
      </c>
      <c r="B6">
        <v>5</v>
      </c>
      <c r="C6" s="251">
        <f>LOOKUP(T5_[[#This Row],[Etiquetas de fila]],'VALORIZACION CARTA'!B:B,'VALORIZACION CARTA'!C:C)</f>
        <v>735.52575000000002</v>
      </c>
      <c r="D6" s="251">
        <f>SUM(T5_[[#This Row],[Recuento de T5 CODIGO]]*T5_[[#This Row],[Columna1]])</f>
        <v>3677.6287499999999</v>
      </c>
    </row>
    <row r="7" spans="1:4" x14ac:dyDescent="0.25">
      <c r="A7" s="250" t="s">
        <v>534</v>
      </c>
      <c r="B7">
        <v>2</v>
      </c>
      <c r="C7" s="251">
        <f>LOOKUP(T5_[[#This Row],[Etiquetas de fila]],'VALORIZACION CARTA'!B:B,'VALORIZACION CARTA'!C:C)</f>
        <v>908.22450000000003</v>
      </c>
      <c r="D7" s="251">
        <f>SUM(T5_[[#This Row],[Recuento de T5 CODIGO]]*T5_[[#This Row],[Columna1]])</f>
        <v>1816.4490000000001</v>
      </c>
    </row>
    <row r="8" spans="1:4" x14ac:dyDescent="0.25">
      <c r="A8" s="250" t="s">
        <v>844</v>
      </c>
      <c r="B8">
        <v>19</v>
      </c>
      <c r="C8" s="251">
        <f>LOOKUP(T5_[[#This Row],[Etiquetas de fila]],'VALORIZACION CARTA'!B:B,'VALORIZACION CARTA'!C:C)</f>
        <v>1640.1064499999998</v>
      </c>
      <c r="D8" s="251">
        <f>SUM(T5_[[#This Row],[Recuento de T5 CODIGO]]*T5_[[#This Row],[Columna1]])</f>
        <v>31162.022549999994</v>
      </c>
    </row>
    <row r="9" spans="1:4" x14ac:dyDescent="0.25">
      <c r="A9" s="250" t="s">
        <v>1060</v>
      </c>
      <c r="B9">
        <v>4</v>
      </c>
      <c r="C9" s="251">
        <f>LOOKUP(T5_[[#This Row],[Etiquetas de fila]],'VALORIZACION CARTA'!B:B,'VALORIZACION CARTA'!C:C)</f>
        <v>783.2898275</v>
      </c>
      <c r="D9" s="251">
        <f>SUM(T5_[[#This Row],[Recuento de T5 CODIGO]]*T5_[[#This Row],[Columna1]])</f>
        <v>3133.15931</v>
      </c>
    </row>
    <row r="10" spans="1:4" x14ac:dyDescent="0.25">
      <c r="A10" s="250" t="s">
        <v>1061</v>
      </c>
      <c r="B10">
        <v>2</v>
      </c>
      <c r="C10" s="251">
        <f>LOOKUP(T5_[[#This Row],[Etiquetas de fila]],'VALORIZACION CARTA'!B:B,'VALORIZACION CARTA'!C:C)</f>
        <v>995.18124999999998</v>
      </c>
      <c r="D10" s="251">
        <f>SUM(T5_[[#This Row],[Recuento de T5 CODIGO]]*T5_[[#This Row],[Columna1]])</f>
        <v>1990.3625</v>
      </c>
    </row>
    <row r="11" spans="1:4" x14ac:dyDescent="0.25">
      <c r="A11" s="250" t="s">
        <v>903</v>
      </c>
      <c r="B11">
        <v>4</v>
      </c>
      <c r="C11" s="251">
        <f>LOOKUP(T5_[[#This Row],[Etiquetas de fila]],'VALORIZACION CARTA'!B:B,'VALORIZACION CARTA'!C:C)</f>
        <v>2109.2086250000002</v>
      </c>
      <c r="D11" s="251">
        <f>SUM(T5_[[#This Row],[Recuento de T5 CODIGO]]*T5_[[#This Row],[Columna1]])</f>
        <v>8436.8345000000008</v>
      </c>
    </row>
    <row r="12" spans="1:4" x14ac:dyDescent="0.25">
      <c r="A12" s="250" t="s">
        <v>905</v>
      </c>
      <c r="B12">
        <v>1</v>
      </c>
      <c r="C12" s="251">
        <f>LOOKUP(T5_[[#This Row],[Etiquetas de fila]],'VALORIZACION CARTA'!B:B,'VALORIZACION CARTA'!C:C)</f>
        <v>2403.2813750000005</v>
      </c>
      <c r="D12" s="251">
        <f>SUM(T5_[[#This Row],[Recuento de T5 CODIGO]]*T5_[[#This Row],[Columna1]])</f>
        <v>2403.2813750000005</v>
      </c>
    </row>
    <row r="13" spans="1:4" x14ac:dyDescent="0.25">
      <c r="A13" s="250" t="s">
        <v>863</v>
      </c>
      <c r="B13">
        <v>39</v>
      </c>
      <c r="C13" s="251">
        <f>LOOKUP(T5_[[#This Row],[Etiquetas de fila]],'VALORIZACION CARTA'!B:B,'VALORIZACION CARTA'!C:C)</f>
        <v>1472.6250000000002</v>
      </c>
      <c r="D13" s="251">
        <f>SUM(T5_[[#This Row],[Recuento de T5 CODIGO]]*T5_[[#This Row],[Columna1]])</f>
        <v>57432.375000000007</v>
      </c>
    </row>
    <row r="14" spans="1:4" x14ac:dyDescent="0.25">
      <c r="A14" s="250" t="s">
        <v>906</v>
      </c>
      <c r="B14">
        <v>2</v>
      </c>
      <c r="C14" s="251">
        <f>LOOKUP(T5_[[#This Row],[Etiquetas de fila]],'VALORIZACION CARTA'!B:B,'VALORIZACION CARTA'!C:C)</f>
        <v>469.48409666666663</v>
      </c>
      <c r="D14" s="251">
        <f>SUM(T5_[[#This Row],[Recuento de T5 CODIGO]]*T5_[[#This Row],[Columna1]])</f>
        <v>938.96819333333326</v>
      </c>
    </row>
    <row r="15" spans="1:4" x14ac:dyDescent="0.25">
      <c r="A15" s="250" t="s">
        <v>606</v>
      </c>
      <c r="B15">
        <v>3</v>
      </c>
      <c r="C15" s="251">
        <f>LOOKUP(T5_[[#This Row],[Etiquetas de fila]],'VALORIZACION CARTA'!B:B,'VALORIZACION CARTA'!C:C)</f>
        <v>452.69583333333333</v>
      </c>
      <c r="D15" s="251">
        <f>SUM(T5_[[#This Row],[Recuento de T5 CODIGO]]*T5_[[#This Row],[Columna1]])</f>
        <v>1358.0875000000001</v>
      </c>
    </row>
    <row r="16" spans="1:4" x14ac:dyDescent="0.25">
      <c r="A16" s="250" t="s">
        <v>536</v>
      </c>
      <c r="B16">
        <v>1</v>
      </c>
      <c r="C16" s="251">
        <f>LOOKUP(T5_[[#This Row],[Etiquetas de fila]],'VALORIZACION CARTA'!B:B,'VALORIZACION CARTA'!C:C)</f>
        <v>930.67007000000012</v>
      </c>
      <c r="D16" s="251">
        <f>SUM(T5_[[#This Row],[Recuento de T5 CODIGO]]*T5_[[#This Row],[Columna1]])</f>
        <v>930.67007000000012</v>
      </c>
    </row>
    <row r="17" spans="1:4" x14ac:dyDescent="0.25">
      <c r="A17" s="250" t="s">
        <v>878</v>
      </c>
      <c r="B17">
        <v>3</v>
      </c>
      <c r="C17" s="251">
        <f>LOOKUP(T5_[[#This Row],[Etiquetas de fila]],'VALORIZACION CARTA'!B:B,'VALORIZACION CARTA'!C:C)</f>
        <v>824.44499999999994</v>
      </c>
      <c r="D17" s="251">
        <f>SUM(T5_[[#This Row],[Recuento de T5 CODIGO]]*T5_[[#This Row],[Columna1]])</f>
        <v>2473.335</v>
      </c>
    </row>
    <row r="18" spans="1:4" x14ac:dyDescent="0.25">
      <c r="A18" s="250" t="s">
        <v>910</v>
      </c>
      <c r="B18">
        <v>2</v>
      </c>
      <c r="C18" s="251">
        <f>LOOKUP(T5_[[#This Row],[Etiquetas de fila]],'VALORIZACION CARTA'!B:B,'VALORIZACION CARTA'!C:C)</f>
        <v>557.9765625</v>
      </c>
      <c r="D18" s="251">
        <f>SUM(T5_[[#This Row],[Recuento de T5 CODIGO]]*T5_[[#This Row],[Columna1]])</f>
        <v>1115.953125</v>
      </c>
    </row>
    <row r="19" spans="1:4" x14ac:dyDescent="0.25">
      <c r="A19" s="250" t="s">
        <v>1038</v>
      </c>
      <c r="B19">
        <v>2</v>
      </c>
      <c r="C19" s="251">
        <f>LOOKUP(T5_[[#This Row],[Etiquetas de fila]],'VALORIZACION CARTA'!B:B,'VALORIZACION CARTA'!C:C)</f>
        <v>560.41606249999995</v>
      </c>
      <c r="D19" s="251">
        <f>SUM(T5_[[#This Row],[Recuento de T5 CODIGO]]*T5_[[#This Row],[Columna1]])</f>
        <v>1120.8321249999999</v>
      </c>
    </row>
    <row r="20" spans="1:4" x14ac:dyDescent="0.25">
      <c r="A20" s="250" t="s">
        <v>888</v>
      </c>
      <c r="B20">
        <v>6</v>
      </c>
      <c r="C20" s="251">
        <f>LOOKUP(T5_[[#This Row],[Etiquetas de fila]],'VALORIZACION CARTA'!B:B,'VALORIZACION CARTA'!C:C)</f>
        <v>536.40037499999994</v>
      </c>
      <c r="D20" s="251">
        <f>SUM(T5_[[#This Row],[Recuento de T5 CODIGO]]*T5_[[#This Row],[Columna1]])</f>
        <v>3218.4022499999996</v>
      </c>
    </row>
    <row r="21" spans="1:4" x14ac:dyDescent="0.25">
      <c r="A21" s="250" t="s">
        <v>608</v>
      </c>
      <c r="B21">
        <v>1</v>
      </c>
      <c r="C21" s="251">
        <f>LOOKUP(T5_[[#This Row],[Etiquetas de fila]],'VALORIZACION CARTA'!B:B,'VALORIZACION CARTA'!C:C)</f>
        <v>385.9550625</v>
      </c>
      <c r="D21" s="251">
        <f>SUM(T5_[[#This Row],[Recuento de T5 CODIGO]]*T5_[[#This Row],[Columna1]])</f>
        <v>385.9550625</v>
      </c>
    </row>
    <row r="22" spans="1:4" x14ac:dyDescent="0.25">
      <c r="A22" s="250" t="s">
        <v>609</v>
      </c>
      <c r="B22">
        <v>6</v>
      </c>
      <c r="C22" s="251">
        <f>LOOKUP(T5_[[#This Row],[Etiquetas de fila]],'VALORIZACION CARTA'!B:B,'VALORIZACION CARTA'!C:C)</f>
        <v>5020.5566775956286</v>
      </c>
      <c r="D22" s="251">
        <f>SUM(T5_[[#This Row],[Recuento de T5 CODIGO]]*T5_[[#This Row],[Columna1]])</f>
        <v>30123.340065573771</v>
      </c>
    </row>
    <row r="23" spans="1:4" x14ac:dyDescent="0.25">
      <c r="A23" s="250" t="s">
        <v>876</v>
      </c>
      <c r="B23">
        <v>26</v>
      </c>
      <c r="C23" s="251">
        <f>LOOKUP(T5_[[#This Row],[Etiquetas de fila]],'VALORIZACION CARTA'!B:B,'VALORIZACION CARTA'!C:C)</f>
        <v>5736.3950000000004</v>
      </c>
      <c r="D23" s="251">
        <f>SUM(T5_[[#This Row],[Recuento de T5 CODIGO]]*T5_[[#This Row],[Columna1]])</f>
        <v>149146.27000000002</v>
      </c>
    </row>
    <row r="24" spans="1:4" x14ac:dyDescent="0.25">
      <c r="A24" s="250" t="s">
        <v>916</v>
      </c>
      <c r="B24">
        <v>88</v>
      </c>
      <c r="C24" s="251">
        <f>LOOKUP(T5_[[#This Row],[Etiquetas de fila]],'VALORIZACION CARTA'!B:B,'VALORIZACION CARTA'!C:C)</f>
        <v>3519.4250000000002</v>
      </c>
      <c r="D24" s="251">
        <f>SUM(T5_[[#This Row],[Recuento de T5 CODIGO]]*T5_[[#This Row],[Columna1]])</f>
        <v>309709.40000000002</v>
      </c>
    </row>
    <row r="25" spans="1:4" x14ac:dyDescent="0.25">
      <c r="A25" s="250" t="s">
        <v>917</v>
      </c>
      <c r="B25">
        <v>41</v>
      </c>
      <c r="C25" s="251">
        <f>LOOKUP(T5_[[#This Row],[Etiquetas de fila]],'VALORIZACION CARTA'!B:B,'VALORIZACION CARTA'!C:C)</f>
        <v>2751.875</v>
      </c>
      <c r="D25" s="251">
        <f>SUM(T5_[[#This Row],[Recuento de T5 CODIGO]]*T5_[[#This Row],[Columna1]])</f>
        <v>112826.875</v>
      </c>
    </row>
    <row r="26" spans="1:4" x14ac:dyDescent="0.25">
      <c r="A26" s="250" t="s">
        <v>853</v>
      </c>
      <c r="B26">
        <v>67</v>
      </c>
      <c r="C26" s="251">
        <f>LOOKUP(T5_[[#This Row],[Etiquetas de fila]],'VALORIZACION CARTA'!B:B,'VALORIZACION CARTA'!C:C)</f>
        <v>3628.0124999999998</v>
      </c>
      <c r="D26" s="251">
        <f>SUM(T5_[[#This Row],[Recuento de T5 CODIGO]]*T5_[[#This Row],[Columna1]])</f>
        <v>243076.83749999999</v>
      </c>
    </row>
    <row r="27" spans="1:4" x14ac:dyDescent="0.25">
      <c r="A27" s="250" t="s">
        <v>610</v>
      </c>
      <c r="B27">
        <v>91</v>
      </c>
      <c r="C27" s="251">
        <f>LOOKUP(T5_[[#This Row],[Etiquetas de fila]],'VALORIZACION CARTA'!B:B,'VALORIZACION CARTA'!C:C)</f>
        <v>3943.0650000000001</v>
      </c>
      <c r="D27" s="251">
        <f>SUM(T5_[[#This Row],[Recuento de T5 CODIGO]]*T5_[[#This Row],[Columna1]])</f>
        <v>358818.91499999998</v>
      </c>
    </row>
    <row r="28" spans="1:4" x14ac:dyDescent="0.25">
      <c r="A28" s="250" t="s">
        <v>724</v>
      </c>
      <c r="B28">
        <v>19</v>
      </c>
      <c r="C28" s="251">
        <f>LOOKUP(T5_[[#This Row],[Etiquetas de fila]],'VALORIZACION CARTA'!B:B,'VALORIZACION CARTA'!C:C)</f>
        <v>1087.0650000000001</v>
      </c>
      <c r="D28" s="251">
        <f>SUM(T5_[[#This Row],[Recuento de T5 CODIGO]]*T5_[[#This Row],[Columna1]])</f>
        <v>20654.235000000001</v>
      </c>
    </row>
    <row r="29" spans="1:4" x14ac:dyDescent="0.25">
      <c r="A29" s="250" t="s">
        <v>892</v>
      </c>
      <c r="B29">
        <v>1</v>
      </c>
      <c r="C29" s="251">
        <f>LOOKUP(T5_[[#This Row],[Etiquetas de fila]],'VALORIZACION CARTA'!B:B,'VALORIZACION CARTA'!C:C)</f>
        <v>1087.0650000000001</v>
      </c>
      <c r="D29" s="251">
        <f>SUM(T5_[[#This Row],[Recuento de T5 CODIGO]]*T5_[[#This Row],[Columna1]])</f>
        <v>1087.0650000000001</v>
      </c>
    </row>
    <row r="30" spans="1:4" x14ac:dyDescent="0.25">
      <c r="A30" s="250" t="s">
        <v>841</v>
      </c>
      <c r="B30">
        <v>43</v>
      </c>
      <c r="C30" s="251">
        <f>LOOKUP(T5_[[#This Row],[Etiquetas de fila]],'VALORIZACION CARTA'!B:B,'VALORIZACION CARTA'!C:C)</f>
        <v>664.35</v>
      </c>
      <c r="D30" s="251">
        <f>SUM(T5_[[#This Row],[Recuento de T5 CODIGO]]*T5_[[#This Row],[Columna1]])</f>
        <v>28567.05</v>
      </c>
    </row>
    <row r="31" spans="1:4" x14ac:dyDescent="0.25">
      <c r="A31" s="250" t="s">
        <v>869</v>
      </c>
      <c r="B31">
        <v>2</v>
      </c>
      <c r="C31" s="251">
        <f>LOOKUP(T5_[[#This Row],[Etiquetas de fila]],'VALORIZACION CARTA'!B:B,'VALORIZACION CARTA'!C:C)</f>
        <v>664.24679999999989</v>
      </c>
      <c r="D31" s="251">
        <f>SUM(T5_[[#This Row],[Recuento de T5 CODIGO]]*T5_[[#This Row],[Columna1]])</f>
        <v>1328.4935999999998</v>
      </c>
    </row>
    <row r="32" spans="1:4" x14ac:dyDescent="0.25">
      <c r="A32" s="250" t="s">
        <v>316</v>
      </c>
      <c r="B32">
        <v>29</v>
      </c>
      <c r="C32" s="251">
        <f>LOOKUP(T5_[[#This Row],[Etiquetas de fila]],'VALORIZACION CARTA'!B:B,'VALORIZACION CARTA'!C:C)</f>
        <v>664.24679999999989</v>
      </c>
      <c r="D32" s="251">
        <f>SUM(T5_[[#This Row],[Recuento de T5 CODIGO]]*T5_[[#This Row],[Columna1]])</f>
        <v>19263.157199999998</v>
      </c>
    </row>
    <row r="33" spans="1:4" x14ac:dyDescent="0.25">
      <c r="A33" s="250" t="s">
        <v>859</v>
      </c>
      <c r="B33">
        <v>8</v>
      </c>
      <c r="C33" s="251">
        <f>LOOKUP(T5_[[#This Row],[Etiquetas de fila]],'VALORIZACION CARTA'!B:B,'VALORIZACION CARTA'!C:C)</f>
        <v>855.13499999999999</v>
      </c>
      <c r="D33" s="251">
        <f>SUM(T5_[[#This Row],[Recuento de T5 CODIGO]]*T5_[[#This Row],[Columna1]])</f>
        <v>6841.08</v>
      </c>
    </row>
    <row r="34" spans="1:4" x14ac:dyDescent="0.25">
      <c r="A34" s="250" t="s">
        <v>919</v>
      </c>
      <c r="B34">
        <v>17</v>
      </c>
      <c r="C34" s="251">
        <f>LOOKUP(T5_[[#This Row],[Etiquetas de fila]],'VALORIZACION CARTA'!B:B,'VALORIZACION CARTA'!C:C)</f>
        <v>855.13499999999999</v>
      </c>
      <c r="D34" s="251">
        <f>SUM(T5_[[#This Row],[Recuento de T5 CODIGO]]*T5_[[#This Row],[Columna1]])</f>
        <v>14537.295</v>
      </c>
    </row>
    <row r="35" spans="1:4" x14ac:dyDescent="0.25">
      <c r="A35" s="250" t="s">
        <v>920</v>
      </c>
      <c r="B35">
        <v>2</v>
      </c>
      <c r="C35" s="251">
        <f>LOOKUP(T5_[[#This Row],[Etiquetas de fila]],'VALORIZACION CARTA'!B:B,'VALORIZACION CARTA'!C:C)</f>
        <v>855.13499999999999</v>
      </c>
      <c r="D35" s="251">
        <f>SUM(T5_[[#This Row],[Recuento de T5 CODIGO]]*T5_[[#This Row],[Columna1]])</f>
        <v>1710.27</v>
      </c>
    </row>
    <row r="36" spans="1:4" x14ac:dyDescent="0.25">
      <c r="A36" s="250" t="s">
        <v>886</v>
      </c>
      <c r="B36">
        <v>4</v>
      </c>
      <c r="C36" s="251">
        <f>LOOKUP(T5_[[#This Row],[Etiquetas de fila]],'VALORIZACION CARTA'!B:B,'VALORIZACION CARTA'!C:C)</f>
        <v>855.13499999999999</v>
      </c>
      <c r="D36" s="251">
        <f>SUM(T5_[[#This Row],[Recuento de T5 CODIGO]]*T5_[[#This Row],[Columna1]])</f>
        <v>3420.54</v>
      </c>
    </row>
    <row r="37" spans="1:4" x14ac:dyDescent="0.25">
      <c r="A37" s="250" t="s">
        <v>882</v>
      </c>
      <c r="B37">
        <v>6</v>
      </c>
      <c r="C37" s="251">
        <f>LOOKUP(T5_[[#This Row],[Etiquetas de fila]],'VALORIZACION CARTA'!B:B,'VALORIZACION CARTA'!C:C)</f>
        <v>855.13499999999999</v>
      </c>
      <c r="D37" s="251">
        <f>SUM(T5_[[#This Row],[Recuento de T5 CODIGO]]*T5_[[#This Row],[Columna1]])</f>
        <v>5130.8099999999995</v>
      </c>
    </row>
    <row r="38" spans="1:4" x14ac:dyDescent="0.25">
      <c r="A38" s="250" t="s">
        <v>921</v>
      </c>
      <c r="B38">
        <v>13</v>
      </c>
      <c r="C38" s="251">
        <f>LOOKUP(T5_[[#This Row],[Etiquetas de fila]],'VALORIZACION CARTA'!B:B,'VALORIZACION CARTA'!C:C)</f>
        <v>427.84008749999998</v>
      </c>
      <c r="D38" s="251">
        <f>SUM(T5_[[#This Row],[Recuento de T5 CODIGO]]*T5_[[#This Row],[Columna1]])</f>
        <v>5561.9211374999995</v>
      </c>
    </row>
    <row r="39" spans="1:4" x14ac:dyDescent="0.25">
      <c r="A39" s="250" t="s">
        <v>843</v>
      </c>
      <c r="B39">
        <v>4</v>
      </c>
      <c r="C39" s="251">
        <f>LOOKUP(T5_[[#This Row],[Etiquetas de fila]],'VALORIZACION CARTA'!B:B,'VALORIZACION CARTA'!C:C)</f>
        <v>2207.8986885245899</v>
      </c>
      <c r="D39" s="251">
        <f>SUM(T5_[[#This Row],[Recuento de T5 CODIGO]]*T5_[[#This Row],[Columna1]])</f>
        <v>8831.5947540983598</v>
      </c>
    </row>
    <row r="40" spans="1:4" x14ac:dyDescent="0.25">
      <c r="A40" s="250" t="s">
        <v>531</v>
      </c>
      <c r="B40">
        <v>3</v>
      </c>
      <c r="C40" s="251">
        <f>LOOKUP(T5_[[#This Row],[Etiquetas de fila]],'VALORIZACION CARTA'!B:B,'VALORIZACION CARTA'!C:C)</f>
        <v>3519.4250000000002</v>
      </c>
      <c r="D40" s="251">
        <f>SUM(T5_[[#This Row],[Recuento de T5 CODIGO]]*T5_[[#This Row],[Columna1]])</f>
        <v>10558.275000000001</v>
      </c>
    </row>
    <row r="41" spans="1:4" x14ac:dyDescent="0.25">
      <c r="A41" s="250" t="s">
        <v>532</v>
      </c>
      <c r="B41">
        <v>5</v>
      </c>
      <c r="C41" s="251">
        <f>LOOKUP(T5_[[#This Row],[Etiquetas de fila]],'VALORIZACION CARTA'!B:B,'VALORIZACION CARTA'!C:C)</f>
        <v>2751.875</v>
      </c>
      <c r="D41" s="251">
        <f>SUM(T5_[[#This Row],[Recuento de T5 CODIGO]]*T5_[[#This Row],[Columna1]])</f>
        <v>13759.375</v>
      </c>
    </row>
    <row r="42" spans="1:4" x14ac:dyDescent="0.25">
      <c r="A42" s="250" t="s">
        <v>612</v>
      </c>
      <c r="B42">
        <v>3</v>
      </c>
      <c r="C42" s="251">
        <f>LOOKUP(T5_[[#This Row],[Etiquetas de fila]],'VALORIZACION CARTA'!B:B,'VALORIZACION CARTA'!C:C)</f>
        <v>2751.875</v>
      </c>
      <c r="D42" s="251">
        <f>SUM(T5_[[#This Row],[Recuento de T5 CODIGO]]*T5_[[#This Row],[Columna1]])</f>
        <v>8255.625</v>
      </c>
    </row>
    <row r="43" spans="1:4" x14ac:dyDescent="0.25">
      <c r="A43" s="250" t="s">
        <v>524</v>
      </c>
      <c r="B43">
        <v>3</v>
      </c>
      <c r="C43" s="251">
        <f>LOOKUP(T5_[[#This Row],[Etiquetas de fila]],'VALORIZACION CARTA'!B:B,'VALORIZACION CARTA'!C:C)</f>
        <v>3717.6790000000005</v>
      </c>
      <c r="D43" s="251">
        <f>SUM(T5_[[#This Row],[Recuento de T5 CODIGO]]*T5_[[#This Row],[Columna1]])</f>
        <v>11153.037000000002</v>
      </c>
    </row>
    <row r="44" spans="1:4" x14ac:dyDescent="0.25">
      <c r="A44" s="250" t="s">
        <v>665</v>
      </c>
      <c r="B44">
        <v>1</v>
      </c>
      <c r="C44" s="251">
        <f>LOOKUP(T5_[[#This Row],[Etiquetas de fila]],'VALORIZACION CARTA'!B:B,'VALORIZACION CARTA'!C:C)</f>
        <v>3641.1716333333334</v>
      </c>
      <c r="D44" s="251">
        <f>SUM(T5_[[#This Row],[Recuento de T5 CODIGO]]*T5_[[#This Row],[Columna1]])</f>
        <v>3641.1716333333334</v>
      </c>
    </row>
    <row r="45" spans="1:4" x14ac:dyDescent="0.25">
      <c r="A45" s="250" t="s">
        <v>527</v>
      </c>
      <c r="B45">
        <v>1</v>
      </c>
      <c r="C45" s="251">
        <f>LOOKUP(T5_[[#This Row],[Etiquetas de fila]],'VALORIZACION CARTA'!B:B,'VALORIZACION CARTA'!C:C)</f>
        <v>4426.8</v>
      </c>
      <c r="D45" s="251">
        <f>SUM(T5_[[#This Row],[Recuento de T5 CODIGO]]*T5_[[#This Row],[Columna1]])</f>
        <v>4426.8</v>
      </c>
    </row>
    <row r="46" spans="1:4" x14ac:dyDescent="0.25">
      <c r="A46" s="250" t="s">
        <v>587</v>
      </c>
      <c r="B46">
        <v>1</v>
      </c>
      <c r="C46" s="251">
        <f>LOOKUP(T5_[[#This Row],[Etiquetas de fila]],'VALORIZACION CARTA'!B:B,'VALORIZACION CARTA'!C:C)</f>
        <v>1037.68</v>
      </c>
      <c r="D46" s="251">
        <f>SUM(T5_[[#This Row],[Recuento de T5 CODIGO]]*T5_[[#This Row],[Columna1]])</f>
        <v>1037.68</v>
      </c>
    </row>
    <row r="47" spans="1:4" x14ac:dyDescent="0.25">
      <c r="A47" s="250" t="s">
        <v>545</v>
      </c>
      <c r="B47">
        <v>1</v>
      </c>
      <c r="C47" s="251">
        <f>LOOKUP(T5_[[#This Row],[Etiquetas de fila]],'VALORIZACION CARTA'!B:B,'VALORIZACION CARTA'!C:C)</f>
        <v>7892.8534999999993</v>
      </c>
      <c r="D47" s="251">
        <f>SUM(T5_[[#This Row],[Recuento de T5 CODIGO]]*T5_[[#This Row],[Columna1]])</f>
        <v>7892.8534999999993</v>
      </c>
    </row>
    <row r="48" spans="1:4" x14ac:dyDescent="0.25">
      <c r="A48" s="250" t="s">
        <v>667</v>
      </c>
      <c r="B48">
        <v>1</v>
      </c>
      <c r="C48" s="251">
        <f>LOOKUP(T5_[[#This Row],[Etiquetas de fila]],'VALORIZACION CARTA'!B:B,'VALORIZACION CARTA'!C:C)</f>
        <v>2347.2574999999997</v>
      </c>
      <c r="D48" s="251">
        <f>SUM(T5_[[#This Row],[Recuento de T5 CODIGO]]*T5_[[#This Row],[Columna1]])</f>
        <v>2347.2574999999997</v>
      </c>
    </row>
    <row r="49" spans="1:4" x14ac:dyDescent="0.25">
      <c r="A49" s="250" t="s">
        <v>927</v>
      </c>
      <c r="B49">
        <v>17</v>
      </c>
      <c r="C49" s="251">
        <f>LOOKUP(T5_[[#This Row],[Etiquetas de fila]],'VALORIZACION CARTA'!B:B,'VALORIZACION CARTA'!C:C)</f>
        <v>573.38798125000005</v>
      </c>
      <c r="D49" s="251">
        <f>SUM(T5_[[#This Row],[Recuento de T5 CODIGO]]*T5_[[#This Row],[Columna1]])</f>
        <v>9747.5956812500008</v>
      </c>
    </row>
    <row r="50" spans="1:4" x14ac:dyDescent="0.25">
      <c r="A50" s="250" t="s">
        <v>617</v>
      </c>
      <c r="B50">
        <v>8</v>
      </c>
      <c r="C50" s="251">
        <f>LOOKUP(T5_[[#This Row],[Etiquetas de fila]],'VALORIZACION CARTA'!B:B,'VALORIZACION CARTA'!C:C)</f>
        <v>529.87860624999996</v>
      </c>
      <c r="D50" s="251">
        <f>SUM(T5_[[#This Row],[Recuento de T5 CODIGO]]*T5_[[#This Row],[Columna1]])</f>
        <v>4239.0288499999997</v>
      </c>
    </row>
    <row r="51" spans="1:4" x14ac:dyDescent="0.25">
      <c r="A51" s="250" t="s">
        <v>928</v>
      </c>
      <c r="B51">
        <v>11</v>
      </c>
      <c r="C51" s="251">
        <f>LOOKUP(T5_[[#This Row],[Etiquetas de fila]],'VALORIZACION CARTA'!B:B,'VALORIZACION CARTA'!C:C)</f>
        <v>591.68423125000004</v>
      </c>
      <c r="D51" s="251">
        <f>SUM(T5_[[#This Row],[Recuento de T5 CODIGO]]*T5_[[#This Row],[Columna1]])</f>
        <v>6508.5265437500002</v>
      </c>
    </row>
    <row r="52" spans="1:4" x14ac:dyDescent="0.25">
      <c r="A52" s="250" t="s">
        <v>548</v>
      </c>
      <c r="B52">
        <v>4</v>
      </c>
      <c r="C52" s="251">
        <f>LOOKUP(T5_[[#This Row],[Etiquetas de fila]],'VALORIZACION CARTA'!B:B,'VALORIZACION CARTA'!C:C)</f>
        <v>1995.91520625</v>
      </c>
      <c r="D52" s="251">
        <f>SUM(T5_[[#This Row],[Recuento de T5 CODIGO]]*T5_[[#This Row],[Columna1]])</f>
        <v>7983.6608249999999</v>
      </c>
    </row>
    <row r="53" spans="1:4" x14ac:dyDescent="0.25">
      <c r="A53" s="250" t="s">
        <v>873</v>
      </c>
      <c r="B53">
        <v>14</v>
      </c>
      <c r="C53" s="251">
        <f>LOOKUP(T5_[[#This Row],[Etiquetas de fila]],'VALORIZACION CARTA'!B:B,'VALORIZACION CARTA'!C:C)</f>
        <v>3667.1136333333334</v>
      </c>
      <c r="D53" s="251">
        <f>SUM(T5_[[#This Row],[Recuento de T5 CODIGO]]*T5_[[#This Row],[Columna1]])</f>
        <v>51339.590866666666</v>
      </c>
    </row>
    <row r="54" spans="1:4" x14ac:dyDescent="0.25">
      <c r="A54" s="250" t="s">
        <v>865</v>
      </c>
      <c r="B54">
        <v>11</v>
      </c>
      <c r="C54" s="251">
        <f>LOOKUP(T5_[[#This Row],[Etiquetas de fila]],'VALORIZACION CARTA'!B:B,'VALORIZACION CARTA'!C:C)</f>
        <v>3698.7449666666666</v>
      </c>
      <c r="D54" s="251">
        <f>SUM(T5_[[#This Row],[Recuento de T5 CODIGO]]*T5_[[#This Row],[Columna1]])</f>
        <v>40686.194633333333</v>
      </c>
    </row>
    <row r="55" spans="1:4" x14ac:dyDescent="0.25">
      <c r="A55" s="250" t="s">
        <v>872</v>
      </c>
      <c r="B55">
        <v>19</v>
      </c>
      <c r="C55" s="251">
        <f>LOOKUP(T5_[[#This Row],[Etiquetas de fila]],'VALORIZACION CARTA'!B:B,'VALORIZACION CARTA'!C:C)</f>
        <v>4426.8</v>
      </c>
      <c r="D55" s="251">
        <f>SUM(T5_[[#This Row],[Recuento de T5 CODIGO]]*T5_[[#This Row],[Columna1]])</f>
        <v>84109.2</v>
      </c>
    </row>
    <row r="56" spans="1:4" x14ac:dyDescent="0.25">
      <c r="A56" s="250" t="s">
        <v>896</v>
      </c>
      <c r="B56">
        <v>1</v>
      </c>
      <c r="C56" s="251">
        <f>LOOKUP(T5_[[#This Row],[Etiquetas de fila]],'VALORIZACION CARTA'!B:B,'VALORIZACION CARTA'!C:C)</f>
        <v>3675.8249999999998</v>
      </c>
      <c r="D56" s="251">
        <f>SUM(T5_[[#This Row],[Recuento de T5 CODIGO]]*T5_[[#This Row],[Columna1]])</f>
        <v>3675.8249999999998</v>
      </c>
    </row>
    <row r="57" spans="1:4" x14ac:dyDescent="0.25">
      <c r="A57" s="250" t="s">
        <v>929</v>
      </c>
      <c r="B57">
        <v>15</v>
      </c>
      <c r="C57" s="251">
        <f>LOOKUP(T5_[[#This Row],[Etiquetas de fila]],'VALORIZACION CARTA'!B:B,'VALORIZACION CARTA'!C:C)</f>
        <v>3675.8249999999998</v>
      </c>
      <c r="D57" s="251">
        <f>SUM(T5_[[#This Row],[Recuento de T5 CODIGO]]*T5_[[#This Row],[Columna1]])</f>
        <v>55137.375</v>
      </c>
    </row>
    <row r="58" spans="1:4" x14ac:dyDescent="0.25">
      <c r="A58" s="250" t="s">
        <v>930</v>
      </c>
      <c r="B58">
        <v>2</v>
      </c>
      <c r="C58" s="251">
        <f>LOOKUP(T5_[[#This Row],[Etiquetas de fila]],'VALORIZACION CARTA'!B:B,'VALORIZACION CARTA'!C:C)</f>
        <v>745.45679833333338</v>
      </c>
      <c r="D58" s="251">
        <f>SUM(T5_[[#This Row],[Recuento de T5 CODIGO]]*T5_[[#This Row],[Columna1]])</f>
        <v>1490.9135966666668</v>
      </c>
    </row>
    <row r="59" spans="1:4" x14ac:dyDescent="0.25">
      <c r="A59" s="250" t="s">
        <v>707</v>
      </c>
      <c r="B59">
        <v>2</v>
      </c>
      <c r="C59" s="251">
        <f>LOOKUP(T5_[[#This Row],[Etiquetas de fila]],'VALORIZACION CARTA'!B:B,'VALORIZACION CARTA'!C:C)</f>
        <v>745.45679833333338</v>
      </c>
      <c r="D59" s="251">
        <f>SUM(T5_[[#This Row],[Recuento de T5 CODIGO]]*T5_[[#This Row],[Columna1]])</f>
        <v>1490.9135966666668</v>
      </c>
    </row>
    <row r="60" spans="1:4" x14ac:dyDescent="0.25">
      <c r="A60" s="250" t="s">
        <v>708</v>
      </c>
      <c r="B60">
        <v>1</v>
      </c>
      <c r="C60" s="251">
        <f>LOOKUP(T5_[[#This Row],[Etiquetas de fila]],'VALORIZACION CARTA'!B:B,'VALORIZACION CARTA'!C:C)</f>
        <v>745.45679833333338</v>
      </c>
      <c r="D60" s="251">
        <f>SUM(T5_[[#This Row],[Recuento de T5 CODIGO]]*T5_[[#This Row],[Columna1]])</f>
        <v>745.45679833333338</v>
      </c>
    </row>
    <row r="61" spans="1:4" x14ac:dyDescent="0.25">
      <c r="A61" s="250" t="s">
        <v>931</v>
      </c>
      <c r="B61">
        <v>6</v>
      </c>
      <c r="C61" s="251">
        <f>LOOKUP(T5_[[#This Row],[Etiquetas de fila]],'VALORIZACION CARTA'!B:B,'VALORIZACION CARTA'!C:C)</f>
        <v>745.45679833333338</v>
      </c>
      <c r="D61" s="251">
        <f>SUM(T5_[[#This Row],[Recuento de T5 CODIGO]]*T5_[[#This Row],[Columna1]])</f>
        <v>4472.7407899999998</v>
      </c>
    </row>
    <row r="62" spans="1:4" x14ac:dyDescent="0.25">
      <c r="A62" s="250" t="s">
        <v>932</v>
      </c>
      <c r="B62">
        <v>1</v>
      </c>
      <c r="C62" s="251">
        <f>LOOKUP(T5_[[#This Row],[Etiquetas de fila]],'VALORIZACION CARTA'!B:B,'VALORIZACION CARTA'!C:C)</f>
        <v>745.45679833333338</v>
      </c>
      <c r="D62" s="251">
        <f>SUM(T5_[[#This Row],[Recuento de T5 CODIGO]]*T5_[[#This Row],[Columna1]])</f>
        <v>745.45679833333338</v>
      </c>
    </row>
    <row r="63" spans="1:4" x14ac:dyDescent="0.25">
      <c r="A63" s="250" t="s">
        <v>620</v>
      </c>
      <c r="B63">
        <v>2</v>
      </c>
      <c r="C63" s="251">
        <f>LOOKUP(T5_[[#This Row],[Etiquetas de fila]],'VALORIZACION CARTA'!B:B,'VALORIZACION CARTA'!C:C)</f>
        <v>745.45679833333338</v>
      </c>
      <c r="D63" s="251">
        <f>SUM(T5_[[#This Row],[Recuento de T5 CODIGO]]*T5_[[#This Row],[Columna1]])</f>
        <v>1490.9135966666668</v>
      </c>
    </row>
    <row r="64" spans="1:4" x14ac:dyDescent="0.25">
      <c r="A64" s="250" t="s">
        <v>718</v>
      </c>
      <c r="B64">
        <v>2</v>
      </c>
      <c r="C64" s="251">
        <f>LOOKUP(T5_[[#This Row],[Etiquetas de fila]],'VALORIZACION CARTA'!B:B,'VALORIZACION CARTA'!C:C)</f>
        <v>745.45679833333338</v>
      </c>
      <c r="D64" s="251">
        <f>SUM(T5_[[#This Row],[Recuento de T5 CODIGO]]*T5_[[#This Row],[Columna1]])</f>
        <v>1490.9135966666668</v>
      </c>
    </row>
    <row r="65" spans="1:4" x14ac:dyDescent="0.25">
      <c r="A65" s="250" t="s">
        <v>618</v>
      </c>
      <c r="B65">
        <v>1</v>
      </c>
      <c r="C65" s="251">
        <f>LOOKUP(T5_[[#This Row],[Etiquetas de fila]],'VALORIZACION CARTA'!B:B,'VALORIZACION CARTA'!C:C)</f>
        <v>745.45679833333338</v>
      </c>
      <c r="D65" s="251">
        <f>SUM(T5_[[#This Row],[Recuento de T5 CODIGO]]*T5_[[#This Row],[Columna1]])</f>
        <v>745.45679833333338</v>
      </c>
    </row>
    <row r="66" spans="1:4" x14ac:dyDescent="0.25">
      <c r="A66" s="250" t="s">
        <v>933</v>
      </c>
      <c r="B66">
        <v>1</v>
      </c>
      <c r="C66" s="251">
        <f>LOOKUP(T5_[[#This Row],[Etiquetas de fila]],'VALORIZACION CARTA'!B:B,'VALORIZACION CARTA'!C:C)</f>
        <v>745.45679833333338</v>
      </c>
      <c r="D66" s="251">
        <f>SUM(T5_[[#This Row],[Recuento de T5 CODIGO]]*T5_[[#This Row],[Columna1]])</f>
        <v>745.45679833333338</v>
      </c>
    </row>
    <row r="67" spans="1:4" x14ac:dyDescent="0.25">
      <c r="A67" s="250" t="s">
        <v>619</v>
      </c>
      <c r="B67">
        <v>2</v>
      </c>
      <c r="C67" s="251">
        <f>LOOKUP(T5_[[#This Row],[Etiquetas de fila]],'VALORIZACION CARTA'!B:B,'VALORIZACION CARTA'!C:C)</f>
        <v>745.45679833333338</v>
      </c>
      <c r="D67" s="251">
        <f>SUM(T5_[[#This Row],[Recuento de T5 CODIGO]]*T5_[[#This Row],[Columna1]])</f>
        <v>1490.9135966666668</v>
      </c>
    </row>
    <row r="68" spans="1:4" x14ac:dyDescent="0.25">
      <c r="A68" s="250" t="s">
        <v>936</v>
      </c>
      <c r="B68">
        <v>4</v>
      </c>
      <c r="C68" s="251">
        <f>LOOKUP(T5_[[#This Row],[Etiquetas de fila]],'VALORIZACION CARTA'!B:B,'VALORIZACION CARTA'!C:C)</f>
        <v>704.62379999999996</v>
      </c>
      <c r="D68" s="251">
        <f>SUM(T5_[[#This Row],[Recuento de T5 CODIGO]]*T5_[[#This Row],[Columna1]])</f>
        <v>2818.4951999999998</v>
      </c>
    </row>
    <row r="69" spans="1:4" x14ac:dyDescent="0.25">
      <c r="A69" s="250" t="s">
        <v>938</v>
      </c>
      <c r="B69">
        <v>1</v>
      </c>
      <c r="C69" s="251">
        <f>LOOKUP(T5_[[#This Row],[Etiquetas de fila]],'VALORIZACION CARTA'!B:B,'VALORIZACION CARTA'!C:C)</f>
        <v>661.29699999999991</v>
      </c>
      <c r="D69" s="251">
        <f>SUM(T5_[[#This Row],[Recuento de T5 CODIGO]]*T5_[[#This Row],[Columna1]])</f>
        <v>661.29699999999991</v>
      </c>
    </row>
    <row r="70" spans="1:4" x14ac:dyDescent="0.25">
      <c r="A70" s="250" t="s">
        <v>834</v>
      </c>
      <c r="B70">
        <v>7</v>
      </c>
      <c r="C70" s="251">
        <f>LOOKUP(T5_[[#This Row],[Etiquetas de fila]],'VALORIZACION CARTA'!B:B,'VALORIZACION CARTA'!C:C)</f>
        <v>7062.8060655737709</v>
      </c>
      <c r="D70" s="251">
        <f>SUM(T5_[[#This Row],[Recuento de T5 CODIGO]]*T5_[[#This Row],[Columna1]])</f>
        <v>49439.642459016395</v>
      </c>
    </row>
    <row r="71" spans="1:4" x14ac:dyDescent="0.25">
      <c r="A71" s="250" t="s">
        <v>893</v>
      </c>
      <c r="B71">
        <v>4</v>
      </c>
      <c r="C71" s="251">
        <f>LOOKUP(T5_[[#This Row],[Etiquetas de fila]],'VALORIZACION CARTA'!B:B,'VALORIZACION CARTA'!C:C)</f>
        <v>2050.8890333333334</v>
      </c>
      <c r="D71" s="251">
        <f>SUM(T5_[[#This Row],[Recuento de T5 CODIGO]]*T5_[[#This Row],[Columna1]])</f>
        <v>8203.5561333333335</v>
      </c>
    </row>
    <row r="72" spans="1:4" x14ac:dyDescent="0.25">
      <c r="A72" s="250" t="s">
        <v>940</v>
      </c>
      <c r="B72">
        <v>16</v>
      </c>
      <c r="C72" s="251">
        <f>LOOKUP(T5_[[#This Row],[Etiquetas de fila]],'VALORIZACION CARTA'!B:B,'VALORIZACION CARTA'!C:C)</f>
        <v>638.72610374999999</v>
      </c>
      <c r="D72" s="251">
        <f>SUM(T5_[[#This Row],[Recuento de T5 CODIGO]]*T5_[[#This Row],[Columna1]])</f>
        <v>10219.61766</v>
      </c>
    </row>
    <row r="73" spans="1:4" x14ac:dyDescent="0.25">
      <c r="A73" s="250" t="s">
        <v>941</v>
      </c>
      <c r="B73">
        <v>846</v>
      </c>
      <c r="C73" s="251">
        <f>LOOKUP(T5_[[#This Row],[Etiquetas de fila]],'VALORIZACION CARTA'!B:B,'VALORIZACION CARTA'!C:C)</f>
        <v>638.72610374999999</v>
      </c>
      <c r="D73" s="251">
        <f>SUM(T5_[[#This Row],[Recuento de T5 CODIGO]]*T5_[[#This Row],[Columna1]])</f>
        <v>540362.2837725</v>
      </c>
    </row>
    <row r="74" spans="1:4" x14ac:dyDescent="0.25">
      <c r="A74" s="250" t="s">
        <v>877</v>
      </c>
      <c r="B74">
        <v>3</v>
      </c>
      <c r="C74" s="251">
        <f>LOOKUP(T5_[[#This Row],[Etiquetas de fila]],'VALORIZACION CARTA'!B:B,'VALORIZACION CARTA'!C:C)</f>
        <v>1321.691</v>
      </c>
      <c r="D74" s="251">
        <f>SUM(T5_[[#This Row],[Recuento de T5 CODIGO]]*T5_[[#This Row],[Columna1]])</f>
        <v>3965.0730000000003</v>
      </c>
    </row>
    <row r="75" spans="1:4" x14ac:dyDescent="0.25">
      <c r="A75" s="250" t="s">
        <v>879</v>
      </c>
      <c r="B75">
        <v>1</v>
      </c>
      <c r="C75" s="251">
        <f>LOOKUP(T5_[[#This Row],[Etiquetas de fila]],'VALORIZACION CARTA'!B:B,'VALORIZACION CARTA'!C:C)</f>
        <v>2383.69425</v>
      </c>
      <c r="D75" s="251">
        <f>SUM(T5_[[#This Row],[Recuento de T5 CODIGO]]*T5_[[#This Row],[Columna1]])</f>
        <v>2383.69425</v>
      </c>
    </row>
    <row r="76" spans="1:4" x14ac:dyDescent="0.25">
      <c r="A76" s="250" t="s">
        <v>591</v>
      </c>
      <c r="B76">
        <v>13</v>
      </c>
      <c r="C76" s="251">
        <f>LOOKUP(T5_[[#This Row],[Etiquetas de fila]],'VALORIZACION CARTA'!B:B,'VALORIZACION CARTA'!C:C)</f>
        <v>536.40037499999994</v>
      </c>
      <c r="D76" s="251">
        <f>SUM(T5_[[#This Row],[Recuento de T5 CODIGO]]*T5_[[#This Row],[Columna1]])</f>
        <v>6973.2048749999994</v>
      </c>
    </row>
    <row r="77" spans="1:4" x14ac:dyDescent="0.25">
      <c r="A77" s="250" t="s">
        <v>592</v>
      </c>
      <c r="B77">
        <v>3</v>
      </c>
      <c r="C77" s="251">
        <f>LOOKUP(T5_[[#This Row],[Etiquetas de fila]],'VALORIZACION CARTA'!B:B,'VALORIZACION CARTA'!C:C)</f>
        <v>557.9765625</v>
      </c>
      <c r="D77" s="251">
        <f>SUM(T5_[[#This Row],[Recuento de T5 CODIGO]]*T5_[[#This Row],[Columna1]])</f>
        <v>1673.9296875</v>
      </c>
    </row>
    <row r="78" spans="1:4" x14ac:dyDescent="0.25">
      <c r="A78" s="250" t="s">
        <v>593</v>
      </c>
      <c r="B78">
        <v>1</v>
      </c>
      <c r="C78" s="251">
        <f>LOOKUP(T5_[[#This Row],[Etiquetas de fila]],'VALORIZACION CARTA'!B:B,'VALORIZACION CARTA'!C:C)</f>
        <v>552.1753124999999</v>
      </c>
      <c r="D78" s="251">
        <f>SUM(T5_[[#This Row],[Recuento de T5 CODIGO]]*T5_[[#This Row],[Columna1]])</f>
        <v>552.1753124999999</v>
      </c>
    </row>
    <row r="79" spans="1:4" x14ac:dyDescent="0.25">
      <c r="A79" s="250" t="s">
        <v>594</v>
      </c>
      <c r="B79">
        <v>2</v>
      </c>
      <c r="C79" s="251">
        <f>LOOKUP(T5_[[#This Row],[Etiquetas de fila]],'VALORIZACION CARTA'!B:B,'VALORIZACION CARTA'!C:C)</f>
        <v>560.41606249999995</v>
      </c>
      <c r="D79" s="251">
        <f>SUM(T5_[[#This Row],[Recuento de T5 CODIGO]]*T5_[[#This Row],[Columna1]])</f>
        <v>1120.8321249999999</v>
      </c>
    </row>
    <row r="80" spans="1:4" x14ac:dyDescent="0.25">
      <c r="A80" s="250" t="s">
        <v>942</v>
      </c>
      <c r="B80">
        <v>2</v>
      </c>
      <c r="C80" s="251">
        <f>LOOKUP(T5_[[#This Row],[Etiquetas de fila]],'VALORIZACION CARTA'!B:B,'VALORIZACION CARTA'!C:C)</f>
        <v>560.41606249999995</v>
      </c>
      <c r="D80" s="251">
        <f>SUM(T5_[[#This Row],[Recuento de T5 CODIGO]]*T5_[[#This Row],[Columna1]])</f>
        <v>1120.8321249999999</v>
      </c>
    </row>
    <row r="81" spans="1:4" x14ac:dyDescent="0.25">
      <c r="A81" s="250" t="s">
        <v>595</v>
      </c>
      <c r="B81">
        <v>12</v>
      </c>
      <c r="C81" s="251">
        <f>LOOKUP(T5_[[#This Row],[Etiquetas de fila]],'VALORIZACION CARTA'!B:B,'VALORIZACION CARTA'!C:C)</f>
        <v>427.84008749999998</v>
      </c>
      <c r="D81" s="251">
        <f>SUM(T5_[[#This Row],[Recuento de T5 CODIGO]]*T5_[[#This Row],[Columna1]])</f>
        <v>5134.0810499999998</v>
      </c>
    </row>
    <row r="82" spans="1:4" x14ac:dyDescent="0.25">
      <c r="A82" s="250" t="s">
        <v>943</v>
      </c>
      <c r="B82">
        <v>4</v>
      </c>
      <c r="C82" s="251">
        <f>LOOKUP(T5_[[#This Row],[Etiquetas de fila]],'VALORIZACION CARTA'!B:B,'VALORIZACION CARTA'!C:C)</f>
        <v>427.84008749999998</v>
      </c>
      <c r="D82" s="251">
        <f>SUM(T5_[[#This Row],[Recuento de T5 CODIGO]]*T5_[[#This Row],[Columna1]])</f>
        <v>1711.3603499999999</v>
      </c>
    </row>
    <row r="83" spans="1:4" x14ac:dyDescent="0.25">
      <c r="A83" s="250" t="s">
        <v>596</v>
      </c>
      <c r="B83">
        <v>46</v>
      </c>
      <c r="C83" s="251">
        <f>LOOKUP(T5_[[#This Row],[Etiquetas de fila]],'VALORIZACION CARTA'!B:B,'VALORIZACION CARTA'!C:C)</f>
        <v>573.38798125000005</v>
      </c>
      <c r="D83" s="251">
        <f>SUM(T5_[[#This Row],[Recuento de T5 CODIGO]]*T5_[[#This Row],[Columna1]])</f>
        <v>26375.847137500001</v>
      </c>
    </row>
    <row r="84" spans="1:4" x14ac:dyDescent="0.25">
      <c r="A84" s="250" t="s">
        <v>597</v>
      </c>
      <c r="B84">
        <v>25</v>
      </c>
      <c r="C84" s="251">
        <f>LOOKUP(T5_[[#This Row],[Etiquetas de fila]],'VALORIZACION CARTA'!B:B,'VALORIZACION CARTA'!C:C)</f>
        <v>529.87860624999996</v>
      </c>
      <c r="D84" s="251">
        <f>SUM(T5_[[#This Row],[Recuento de T5 CODIGO]]*T5_[[#This Row],[Columna1]])</f>
        <v>13246.965156249998</v>
      </c>
    </row>
    <row r="85" spans="1:4" x14ac:dyDescent="0.25">
      <c r="A85" s="250" t="s">
        <v>598</v>
      </c>
      <c r="B85">
        <v>20</v>
      </c>
      <c r="C85" s="251">
        <f>LOOKUP(T5_[[#This Row],[Etiquetas de fila]],'VALORIZACION CARTA'!B:B,'VALORIZACION CARTA'!C:C)</f>
        <v>591.68423125000004</v>
      </c>
      <c r="D85" s="251">
        <f>SUM(T5_[[#This Row],[Recuento de T5 CODIGO]]*T5_[[#This Row],[Columna1]])</f>
        <v>11833.684625000002</v>
      </c>
    </row>
    <row r="86" spans="1:4" x14ac:dyDescent="0.25">
      <c r="A86" s="250" t="s">
        <v>944</v>
      </c>
      <c r="B86">
        <v>10</v>
      </c>
      <c r="C86" s="251">
        <f>LOOKUP(T5_[[#This Row],[Etiquetas de fila]],'VALORIZACION CARTA'!B:B,'VALORIZACION CARTA'!C:C)</f>
        <v>591.68423125000004</v>
      </c>
      <c r="D86" s="251">
        <f>SUM(T5_[[#This Row],[Recuento de T5 CODIGO]]*T5_[[#This Row],[Columna1]])</f>
        <v>5916.8423125000008</v>
      </c>
    </row>
    <row r="87" spans="1:4" x14ac:dyDescent="0.25">
      <c r="A87" s="250" t="s">
        <v>945</v>
      </c>
      <c r="B87">
        <v>2</v>
      </c>
      <c r="C87" s="251">
        <f>LOOKUP(T5_[[#This Row],[Etiquetas de fila]],'VALORIZACION CARTA'!B:B,'VALORIZACION CARTA'!C:C)</f>
        <v>591.68423125000004</v>
      </c>
      <c r="D87" s="251">
        <f>SUM(T5_[[#This Row],[Recuento de T5 CODIGO]]*T5_[[#This Row],[Columna1]])</f>
        <v>1183.3684625000001</v>
      </c>
    </row>
    <row r="88" spans="1:4" x14ac:dyDescent="0.25">
      <c r="A88" s="250" t="s">
        <v>599</v>
      </c>
      <c r="B88">
        <v>7</v>
      </c>
      <c r="C88" s="251">
        <f>LOOKUP(T5_[[#This Row],[Etiquetas de fila]],'VALORIZACION CARTA'!B:B,'VALORIZACION CARTA'!C:C)</f>
        <v>915.41563749999989</v>
      </c>
      <c r="D88" s="251">
        <f>SUM(T5_[[#This Row],[Recuento de T5 CODIGO]]*T5_[[#This Row],[Columna1]])</f>
        <v>6407.9094624999989</v>
      </c>
    </row>
    <row r="89" spans="1:4" x14ac:dyDescent="0.25">
      <c r="A89" s="250" t="s">
        <v>600</v>
      </c>
      <c r="B89">
        <v>5</v>
      </c>
      <c r="C89" s="251">
        <f>LOOKUP(T5_[[#This Row],[Etiquetas de fila]],'VALORIZACION CARTA'!B:B,'VALORIZACION CARTA'!C:C)</f>
        <v>1049.9626625000001</v>
      </c>
      <c r="D89" s="251">
        <f>SUM(T5_[[#This Row],[Recuento de T5 CODIGO]]*T5_[[#This Row],[Columna1]])</f>
        <v>5249.8133125000004</v>
      </c>
    </row>
    <row r="90" spans="1:4" x14ac:dyDescent="0.25">
      <c r="A90" s="250" t="s">
        <v>601</v>
      </c>
      <c r="B90">
        <v>8</v>
      </c>
      <c r="C90" s="251">
        <f>LOOKUP(T5_[[#This Row],[Etiquetas de fila]],'VALORIZACION CARTA'!B:B,'VALORIZACION CARTA'!C:C)</f>
        <v>919.50254374999997</v>
      </c>
      <c r="D90" s="251">
        <f>SUM(T5_[[#This Row],[Recuento de T5 CODIGO]]*T5_[[#This Row],[Columna1]])</f>
        <v>7356.0203499999998</v>
      </c>
    </row>
    <row r="91" spans="1:4" x14ac:dyDescent="0.25">
      <c r="A91" s="250" t="s">
        <v>602</v>
      </c>
      <c r="B91">
        <v>7</v>
      </c>
      <c r="C91" s="251">
        <f>LOOKUP(T5_[[#This Row],[Etiquetas de fila]],'VALORIZACION CARTA'!B:B,'VALORIZACION CARTA'!C:C)</f>
        <v>868.31766874999994</v>
      </c>
      <c r="D91" s="251">
        <f>SUM(T5_[[#This Row],[Recuento de T5 CODIGO]]*T5_[[#This Row],[Columna1]])</f>
        <v>6078.2236812499996</v>
      </c>
    </row>
    <row r="92" spans="1:4" x14ac:dyDescent="0.25">
      <c r="A92" s="250" t="s">
        <v>946</v>
      </c>
      <c r="B92">
        <v>59</v>
      </c>
      <c r="C92" s="251">
        <f>LOOKUP(T5_[[#This Row],[Etiquetas de fila]],'VALORIZACION CARTA'!B:B,'VALORIZACION CARTA'!C:C)</f>
        <v>868.31766874999994</v>
      </c>
      <c r="D92" s="251">
        <f>SUM(T5_[[#This Row],[Recuento de T5 CODIGO]]*T5_[[#This Row],[Columna1]])</f>
        <v>51230.742456249995</v>
      </c>
    </row>
    <row r="93" spans="1:4" x14ac:dyDescent="0.25">
      <c r="A93" s="250" t="s">
        <v>317</v>
      </c>
      <c r="B93">
        <v>86</v>
      </c>
      <c r="C93" s="251">
        <f>LOOKUP(T5_[[#This Row],[Etiquetas de fila]],'VALORIZACION CARTA'!B:B,'VALORIZACION CARTA'!C:C)</f>
        <v>496.56381249999998</v>
      </c>
      <c r="D93" s="251">
        <f>SUM(T5_[[#This Row],[Recuento de T5 CODIGO]]*T5_[[#This Row],[Columna1]])</f>
        <v>42704.487874999999</v>
      </c>
    </row>
    <row r="94" spans="1:4" x14ac:dyDescent="0.25">
      <c r="A94" s="250" t="s">
        <v>552</v>
      </c>
      <c r="B94">
        <v>74</v>
      </c>
      <c r="C94" s="251">
        <f>LOOKUP(T5_[[#This Row],[Etiquetas de fila]],'VALORIZACION CARTA'!B:B,'VALORIZACION CARTA'!C:C)</f>
        <v>1351.6988125</v>
      </c>
      <c r="D94" s="251">
        <f>SUM(T5_[[#This Row],[Recuento de T5 CODIGO]]*T5_[[#This Row],[Columna1]])</f>
        <v>100025.71212500001</v>
      </c>
    </row>
    <row r="95" spans="1:4" x14ac:dyDescent="0.25">
      <c r="A95" s="250" t="s">
        <v>947</v>
      </c>
      <c r="B95">
        <v>32</v>
      </c>
      <c r="C95" s="251">
        <f>LOOKUP(T5_[[#This Row],[Etiquetas de fila]],'VALORIZACION CARTA'!B:B,'VALORIZACION CARTA'!C:C)</f>
        <v>1351.6988125</v>
      </c>
      <c r="D95" s="251">
        <f>SUM(T5_[[#This Row],[Recuento de T5 CODIGO]]*T5_[[#This Row],[Columna1]])</f>
        <v>43254.362000000001</v>
      </c>
    </row>
    <row r="96" spans="1:4" x14ac:dyDescent="0.25">
      <c r="A96" s="250" t="s">
        <v>948</v>
      </c>
      <c r="B96">
        <v>51</v>
      </c>
      <c r="C96" s="251">
        <f>LOOKUP(T5_[[#This Row],[Etiquetas de fila]],'VALORIZACION CARTA'!B:B,'VALORIZACION CARTA'!C:C)</f>
        <v>1351.6988125</v>
      </c>
      <c r="D96" s="251">
        <f>SUM(T5_[[#This Row],[Recuento de T5 CODIGO]]*T5_[[#This Row],[Columna1]])</f>
        <v>68936.639437499995</v>
      </c>
    </row>
    <row r="97" spans="1:4" x14ac:dyDescent="0.25">
      <c r="A97" s="250" t="s">
        <v>318</v>
      </c>
      <c r="B97">
        <v>100</v>
      </c>
      <c r="C97" s="251">
        <f>LOOKUP(T5_[[#This Row],[Etiquetas de fila]],'VALORIZACION CARTA'!B:B,'VALORIZACION CARTA'!C:C)</f>
        <v>618.27850000000001</v>
      </c>
      <c r="D97" s="251">
        <f>SUM(T5_[[#This Row],[Recuento de T5 CODIGO]]*T5_[[#This Row],[Columna1]])</f>
        <v>61827.85</v>
      </c>
    </row>
    <row r="98" spans="1:4" x14ac:dyDescent="0.25">
      <c r="A98" s="250" t="s">
        <v>603</v>
      </c>
      <c r="B98">
        <v>9</v>
      </c>
      <c r="C98" s="251">
        <f>LOOKUP(T5_[[#This Row],[Etiquetas de fila]],'VALORIZACION CARTA'!B:B,'VALORIZACION CARTA'!C:C)</f>
        <v>627.93800999999996</v>
      </c>
      <c r="D98" s="251">
        <f>SUM(T5_[[#This Row],[Recuento de T5 CODIGO]]*T5_[[#This Row],[Columna1]])</f>
        <v>5651.4420899999996</v>
      </c>
    </row>
    <row r="99" spans="1:4" x14ac:dyDescent="0.25">
      <c r="A99" s="250" t="s">
        <v>693</v>
      </c>
      <c r="B99">
        <v>14</v>
      </c>
      <c r="C99" s="251">
        <f>LOOKUP(T5_[[#This Row],[Etiquetas de fila]],'VALORIZACION CARTA'!B:B,'VALORIZACION CARTA'!C:C)</f>
        <v>1674.93</v>
      </c>
      <c r="D99" s="251">
        <f>SUM(T5_[[#This Row],[Recuento de T5 CODIGO]]*T5_[[#This Row],[Columna1]])</f>
        <v>23449.02</v>
      </c>
    </row>
    <row r="100" spans="1:4" x14ac:dyDescent="0.25">
      <c r="A100" s="250" t="s">
        <v>854</v>
      </c>
      <c r="B100">
        <v>5</v>
      </c>
      <c r="C100" s="251">
        <f>LOOKUP(T5_[[#This Row],[Etiquetas de fila]],'VALORIZACION CARTA'!B:B,'VALORIZACION CARTA'!C:C)</f>
        <v>2204.0295000000001</v>
      </c>
      <c r="D100" s="251">
        <f>SUM(T5_[[#This Row],[Recuento de T5 CODIGO]]*T5_[[#This Row],[Columna1]])</f>
        <v>11020.147500000001</v>
      </c>
    </row>
    <row r="101" spans="1:4" x14ac:dyDescent="0.25">
      <c r="A101" s="250" t="s">
        <v>622</v>
      </c>
      <c r="B101">
        <v>1</v>
      </c>
      <c r="C101" s="251">
        <f>LOOKUP(T5_[[#This Row],[Etiquetas de fila]],'VALORIZACION CARTA'!B:B,'VALORIZACION CARTA'!C:C)</f>
        <v>2392.3049999999998</v>
      </c>
      <c r="D101" s="251">
        <f>SUM(T5_[[#This Row],[Recuento de T5 CODIGO]]*T5_[[#This Row],[Columna1]])</f>
        <v>2392.3049999999998</v>
      </c>
    </row>
    <row r="102" spans="1:4" x14ac:dyDescent="0.25">
      <c r="A102" s="250" t="s">
        <v>950</v>
      </c>
      <c r="B102">
        <v>1</v>
      </c>
      <c r="C102" s="251">
        <f>LOOKUP(T5_[[#This Row],[Etiquetas de fila]],'VALORIZACION CARTA'!B:B,'VALORIZACION CARTA'!C:C)</f>
        <v>2392.3802500000002</v>
      </c>
      <c r="D102" s="251">
        <f>SUM(T5_[[#This Row],[Recuento de T5 CODIGO]]*T5_[[#This Row],[Columna1]])</f>
        <v>2392.3802500000002</v>
      </c>
    </row>
    <row r="103" spans="1:4" x14ac:dyDescent="0.25">
      <c r="A103" s="250" t="s">
        <v>623</v>
      </c>
      <c r="B103">
        <v>1</v>
      </c>
      <c r="C103" s="251">
        <f>LOOKUP(T5_[[#This Row],[Etiquetas de fila]],'VALORIZACION CARTA'!B:B,'VALORIZACION CARTA'!C:C)</f>
        <v>1331.2800000000002</v>
      </c>
      <c r="D103" s="251">
        <f>SUM(T5_[[#This Row],[Recuento de T5 CODIGO]]*T5_[[#This Row],[Columna1]])</f>
        <v>1331.2800000000002</v>
      </c>
    </row>
    <row r="104" spans="1:4" x14ac:dyDescent="0.25">
      <c r="A104" s="250" t="s">
        <v>1045</v>
      </c>
      <c r="B104">
        <v>2</v>
      </c>
      <c r="C104" s="251">
        <f>LOOKUP(T5_[[#This Row],[Etiquetas de fila]],'VALORIZACION CARTA'!B:B,'VALORIZACION CARTA'!C:C)</f>
        <v>1358.70712</v>
      </c>
      <c r="D104" s="251">
        <f>SUM(T5_[[#This Row],[Recuento de T5 CODIGO]]*T5_[[#This Row],[Columna1]])</f>
        <v>2717.4142400000001</v>
      </c>
    </row>
    <row r="105" spans="1:4" x14ac:dyDescent="0.25">
      <c r="A105" s="250" t="s">
        <v>742</v>
      </c>
      <c r="B105">
        <v>6</v>
      </c>
      <c r="C105" s="251">
        <f>LOOKUP(T5_[[#This Row],[Etiquetas de fila]],'VALORIZACION CARTA'!B:B,'VALORIZACION CARTA'!C:C)</f>
        <v>1358.70712</v>
      </c>
      <c r="D105" s="251">
        <f>SUM(T5_[[#This Row],[Recuento de T5 CODIGO]]*T5_[[#This Row],[Columna1]])</f>
        <v>8152.2427200000002</v>
      </c>
    </row>
    <row r="106" spans="1:4" x14ac:dyDescent="0.25">
      <c r="A106" s="250" t="s">
        <v>951</v>
      </c>
      <c r="B106">
        <v>21</v>
      </c>
      <c r="C106" s="251">
        <f>LOOKUP(T5_[[#This Row],[Etiquetas de fila]],'VALORIZACION CARTA'!B:B,'VALORIZACION CARTA'!C:C)</f>
        <v>1163.4689039999998</v>
      </c>
      <c r="D106" s="251">
        <f>SUM(T5_[[#This Row],[Recuento de T5 CODIGO]]*T5_[[#This Row],[Columna1]])</f>
        <v>24432.846983999996</v>
      </c>
    </row>
    <row r="107" spans="1:4" x14ac:dyDescent="0.25">
      <c r="A107" s="250" t="s">
        <v>624</v>
      </c>
      <c r="B107">
        <v>3</v>
      </c>
      <c r="C107" s="251">
        <f>LOOKUP(T5_[[#This Row],[Etiquetas de fila]],'VALORIZACION CARTA'!B:B,'VALORIZACION CARTA'!C:C)</f>
        <v>2952.4660000000003</v>
      </c>
      <c r="D107" s="251">
        <f>SUM(T5_[[#This Row],[Recuento de T5 CODIGO]]*T5_[[#This Row],[Columna1]])</f>
        <v>8857.398000000001</v>
      </c>
    </row>
    <row r="108" spans="1:4" x14ac:dyDescent="0.25">
      <c r="A108" s="250" t="s">
        <v>954</v>
      </c>
      <c r="B108">
        <v>24</v>
      </c>
      <c r="C108" s="251">
        <f>LOOKUP(T5_[[#This Row],[Etiquetas de fila]],'VALORIZACION CARTA'!B:B,'VALORIZACION CARTA'!C:C)</f>
        <v>356.00709375000002</v>
      </c>
      <c r="D108" s="251">
        <f>SUM(T5_[[#This Row],[Recuento de T5 CODIGO]]*T5_[[#This Row],[Columna1]])</f>
        <v>8544.170250000001</v>
      </c>
    </row>
    <row r="109" spans="1:4" x14ac:dyDescent="0.25">
      <c r="A109" s="250" t="s">
        <v>880</v>
      </c>
      <c r="B109">
        <v>24</v>
      </c>
      <c r="C109" s="251">
        <f>LOOKUP(T5_[[#This Row],[Etiquetas de fila]],'VALORIZACION CARTA'!B:B,'VALORIZACION CARTA'!C:C)</f>
        <v>260.28646875000004</v>
      </c>
      <c r="D109" s="251">
        <f>SUM(T5_[[#This Row],[Recuento de T5 CODIGO]]*T5_[[#This Row],[Columna1]])</f>
        <v>6246.875250000001</v>
      </c>
    </row>
    <row r="110" spans="1:4" x14ac:dyDescent="0.25">
      <c r="A110" s="250" t="s">
        <v>857</v>
      </c>
      <c r="B110">
        <v>28</v>
      </c>
      <c r="C110" s="251">
        <f>LOOKUP(T5_[[#This Row],[Etiquetas de fila]],'VALORIZACION CARTA'!B:B,'VALORIZACION CARTA'!C:C)</f>
        <v>396.25884374999998</v>
      </c>
      <c r="D110" s="251">
        <f>SUM(T5_[[#This Row],[Recuento de T5 CODIGO]]*T5_[[#This Row],[Columna1]])</f>
        <v>11095.247625</v>
      </c>
    </row>
    <row r="111" spans="1:4" x14ac:dyDescent="0.25">
      <c r="A111" s="250" t="s">
        <v>957</v>
      </c>
      <c r="B111">
        <v>4</v>
      </c>
      <c r="C111" s="251">
        <f>LOOKUP(T5_[[#This Row],[Etiquetas de fila]],'VALORIZACION CARTA'!B:B,'VALORIZACION CARTA'!C:C)</f>
        <v>553.29974000000004</v>
      </c>
      <c r="D111" s="251">
        <f>SUM(T5_[[#This Row],[Recuento de T5 CODIGO]]*T5_[[#This Row],[Columna1]])</f>
        <v>2213.1989600000002</v>
      </c>
    </row>
    <row r="112" spans="1:4" x14ac:dyDescent="0.25">
      <c r="A112" s="250" t="s">
        <v>862</v>
      </c>
      <c r="B112">
        <v>43</v>
      </c>
      <c r="C112" s="251">
        <f>LOOKUP(T5_[[#This Row],[Etiquetas de fila]],'VALORIZACION CARTA'!B:B,'VALORIZACION CARTA'!C:C)</f>
        <v>466.57668750000005</v>
      </c>
      <c r="D112" s="251">
        <f>SUM(T5_[[#This Row],[Recuento de T5 CODIGO]]*T5_[[#This Row],[Columna1]])</f>
        <v>20062.797562500004</v>
      </c>
    </row>
    <row r="113" spans="1:4" x14ac:dyDescent="0.25">
      <c r="A113" s="250" t="s">
        <v>959</v>
      </c>
      <c r="B113">
        <v>6</v>
      </c>
      <c r="C113" s="251">
        <f>LOOKUP(T5_[[#This Row],[Etiquetas de fila]],'VALORIZACION CARTA'!B:B,'VALORIZACION CARTA'!C:C)</f>
        <v>3360.56</v>
      </c>
      <c r="D113" s="251">
        <f>SUM(T5_[[#This Row],[Recuento de T5 CODIGO]]*T5_[[#This Row],[Columna1]])</f>
        <v>20163.36</v>
      </c>
    </row>
    <row r="114" spans="1:4" x14ac:dyDescent="0.25">
      <c r="A114" s="250" t="s">
        <v>875</v>
      </c>
      <c r="B114">
        <v>13</v>
      </c>
      <c r="C114" s="251">
        <f>LOOKUP(T5_[[#This Row],[Etiquetas de fila]],'VALORIZACION CARTA'!B:B,'VALORIZACION CARTA'!C:C)</f>
        <v>2215.8185750000002</v>
      </c>
      <c r="D114" s="251">
        <f>SUM(T5_[[#This Row],[Recuento de T5 CODIGO]]*T5_[[#This Row],[Columna1]])</f>
        <v>28805.641475000004</v>
      </c>
    </row>
    <row r="115" spans="1:4" x14ac:dyDescent="0.25">
      <c r="A115" s="250" t="s">
        <v>961</v>
      </c>
      <c r="B115">
        <v>4</v>
      </c>
      <c r="C115" s="251">
        <f>LOOKUP(T5_[[#This Row],[Etiquetas de fila]],'VALORIZACION CARTA'!B:B,'VALORIZACION CARTA'!C:C)</f>
        <v>475.18470374999993</v>
      </c>
      <c r="D115" s="251">
        <f>SUM(T5_[[#This Row],[Recuento de T5 CODIGO]]*T5_[[#This Row],[Columna1]])</f>
        <v>1900.7388149999997</v>
      </c>
    </row>
    <row r="116" spans="1:4" x14ac:dyDescent="0.25">
      <c r="A116" s="250" t="s">
        <v>881</v>
      </c>
      <c r="B116">
        <v>8</v>
      </c>
      <c r="C116" s="251">
        <f>LOOKUP(T5_[[#This Row],[Etiquetas de fila]],'VALORIZACION CARTA'!B:B,'VALORIZACION CARTA'!C:C)</f>
        <v>991.76869749999992</v>
      </c>
      <c r="D116" s="251">
        <f>SUM(T5_[[#This Row],[Recuento de T5 CODIGO]]*T5_[[#This Row],[Columna1]])</f>
        <v>7934.1495799999993</v>
      </c>
    </row>
    <row r="117" spans="1:4" x14ac:dyDescent="0.25">
      <c r="A117" s="250" t="s">
        <v>963</v>
      </c>
      <c r="B117">
        <v>9</v>
      </c>
      <c r="C117" s="251">
        <f>LOOKUP(T5_[[#This Row],[Etiquetas de fila]],'VALORIZACION CARTA'!B:B,'VALORIZACION CARTA'!C:C)</f>
        <v>991.76869749999992</v>
      </c>
      <c r="D117" s="251">
        <f>SUM(T5_[[#This Row],[Recuento de T5 CODIGO]]*T5_[[#This Row],[Columna1]])</f>
        <v>8925.918277499999</v>
      </c>
    </row>
    <row r="118" spans="1:4" x14ac:dyDescent="0.25">
      <c r="A118" s="250" t="s">
        <v>845</v>
      </c>
      <c r="B118">
        <v>6</v>
      </c>
      <c r="C118" s="251">
        <f>LOOKUP(T5_[[#This Row],[Etiquetas de fila]],'VALORIZACION CARTA'!B:B,'VALORIZACION CARTA'!C:C)</f>
        <v>806.65921874999992</v>
      </c>
      <c r="D118" s="251">
        <f>SUM(T5_[[#This Row],[Recuento de T5 CODIGO]]*T5_[[#This Row],[Columna1]])</f>
        <v>4839.9553124999993</v>
      </c>
    </row>
    <row r="119" spans="1:4" x14ac:dyDescent="0.25">
      <c r="A119" s="250" t="s">
        <v>894</v>
      </c>
      <c r="B119">
        <v>2</v>
      </c>
      <c r="C119" s="251">
        <f>LOOKUP(T5_[[#This Row],[Etiquetas de fila]],'VALORIZACION CARTA'!B:B,'VALORIZACION CARTA'!C:C)</f>
        <v>512.87973333333332</v>
      </c>
      <c r="D119" s="251">
        <f>SUM(T5_[[#This Row],[Recuento de T5 CODIGO]]*T5_[[#This Row],[Columna1]])</f>
        <v>1025.7594666666666</v>
      </c>
    </row>
    <row r="120" spans="1:4" x14ac:dyDescent="0.25">
      <c r="A120" s="250" t="s">
        <v>874</v>
      </c>
      <c r="B120">
        <v>8</v>
      </c>
      <c r="C120" s="251">
        <f>LOOKUP(T5_[[#This Row],[Etiquetas de fila]],'VALORIZACION CARTA'!B:B,'VALORIZACION CARTA'!C:C)</f>
        <v>915.41563749999989</v>
      </c>
      <c r="D120" s="251">
        <f>SUM(T5_[[#This Row],[Recuento de T5 CODIGO]]*T5_[[#This Row],[Columna1]])</f>
        <v>7323.3250999999991</v>
      </c>
    </row>
    <row r="121" spans="1:4" x14ac:dyDescent="0.25">
      <c r="A121" s="250" t="s">
        <v>965</v>
      </c>
      <c r="B121">
        <v>18</v>
      </c>
      <c r="C121" s="251">
        <f>LOOKUP(T5_[[#This Row],[Etiquetas de fila]],'VALORIZACION CARTA'!B:B,'VALORIZACION CARTA'!C:C)</f>
        <v>1049.9626625000001</v>
      </c>
      <c r="D121" s="251">
        <f>SUM(T5_[[#This Row],[Recuento de T5 CODIGO]]*T5_[[#This Row],[Columna1]])</f>
        <v>18899.327925000001</v>
      </c>
    </row>
    <row r="122" spans="1:4" x14ac:dyDescent="0.25">
      <c r="A122" s="250" t="s">
        <v>891</v>
      </c>
      <c r="B122">
        <v>7</v>
      </c>
      <c r="C122" s="251">
        <f>LOOKUP(T5_[[#This Row],[Etiquetas de fila]],'VALORIZACION CARTA'!B:B,'VALORIZACION CARTA'!C:C)</f>
        <v>919.50254374999997</v>
      </c>
      <c r="D122" s="251">
        <f>SUM(T5_[[#This Row],[Recuento de T5 CODIGO]]*T5_[[#This Row],[Columna1]])</f>
        <v>6436.5178062499999</v>
      </c>
    </row>
    <row r="123" spans="1:4" x14ac:dyDescent="0.25">
      <c r="A123" s="250" t="s">
        <v>966</v>
      </c>
      <c r="B123">
        <v>5</v>
      </c>
      <c r="C123" s="251">
        <f>LOOKUP(T5_[[#This Row],[Etiquetas de fila]],'VALORIZACION CARTA'!B:B,'VALORIZACION CARTA'!C:C)</f>
        <v>868.31766874999994</v>
      </c>
      <c r="D123" s="251">
        <f>SUM(T5_[[#This Row],[Recuento de T5 CODIGO]]*T5_[[#This Row],[Columna1]])</f>
        <v>4341.5883437499997</v>
      </c>
    </row>
    <row r="124" spans="1:4" x14ac:dyDescent="0.25">
      <c r="A124" s="250" t="s">
        <v>1047</v>
      </c>
      <c r="B124">
        <v>11</v>
      </c>
      <c r="C124" s="251">
        <f>LOOKUP(T5_[[#This Row],[Etiquetas de fila]],'VALORIZACION CARTA'!B:B,'VALORIZACION CARTA'!C:C)</f>
        <v>868.31766874999994</v>
      </c>
      <c r="D124" s="251">
        <f>SUM(T5_[[#This Row],[Recuento de T5 CODIGO]]*T5_[[#This Row],[Columna1]])</f>
        <v>9551.4943562499993</v>
      </c>
    </row>
    <row r="125" spans="1:4" x14ac:dyDescent="0.25">
      <c r="A125" s="250" t="s">
        <v>1048</v>
      </c>
      <c r="B125">
        <v>10</v>
      </c>
      <c r="C125" s="251">
        <f>LOOKUP(T5_[[#This Row],[Etiquetas de fila]],'VALORIZACION CARTA'!B:B,'VALORIZACION CARTA'!C:C)</f>
        <v>868.31766874999994</v>
      </c>
      <c r="D125" s="251">
        <f>SUM(T5_[[#This Row],[Recuento de T5 CODIGO]]*T5_[[#This Row],[Columna1]])</f>
        <v>8683.1766874999994</v>
      </c>
    </row>
    <row r="126" spans="1:4" x14ac:dyDescent="0.25">
      <c r="A126" s="250" t="s">
        <v>1049</v>
      </c>
      <c r="B126">
        <v>1</v>
      </c>
      <c r="C126" s="251">
        <f>LOOKUP(T5_[[#This Row],[Etiquetas de fila]],'VALORIZACION CARTA'!B:B,'VALORIZACION CARTA'!C:C)</f>
        <v>2661.4147874999999</v>
      </c>
      <c r="D126" s="251">
        <f>SUM(T5_[[#This Row],[Recuento de T5 CODIGO]]*T5_[[#This Row],[Columna1]])</f>
        <v>2661.4147874999999</v>
      </c>
    </row>
    <row r="127" spans="1:4" x14ac:dyDescent="0.25">
      <c r="A127" s="250" t="s">
        <v>968</v>
      </c>
      <c r="B127">
        <v>11</v>
      </c>
      <c r="C127" s="251">
        <f>LOOKUP(T5_[[#This Row],[Etiquetas de fila]],'VALORIZACION CARTA'!B:B,'VALORIZACION CARTA'!C:C)</f>
        <v>664.35</v>
      </c>
      <c r="D127" s="251">
        <f>SUM(T5_[[#This Row],[Recuento de T5 CODIGO]]*T5_[[#This Row],[Columna1]])</f>
        <v>7307.85</v>
      </c>
    </row>
    <row r="128" spans="1:4" x14ac:dyDescent="0.25">
      <c r="A128" s="250" t="s">
        <v>970</v>
      </c>
      <c r="B128">
        <v>16</v>
      </c>
      <c r="C128" s="251">
        <f>LOOKUP(T5_[[#This Row],[Etiquetas de fila]],'VALORIZACION CARTA'!B:B,'VALORIZACION CARTA'!C:C)</f>
        <v>664.24679999999989</v>
      </c>
      <c r="D128" s="251">
        <f>SUM(T5_[[#This Row],[Recuento de T5 CODIGO]]*T5_[[#This Row],[Columna1]])</f>
        <v>10627.948799999998</v>
      </c>
    </row>
    <row r="129" spans="1:4" x14ac:dyDescent="0.25">
      <c r="A129" s="250" t="s">
        <v>556</v>
      </c>
      <c r="B129">
        <v>1</v>
      </c>
      <c r="C129" s="251">
        <f>LOOKUP(T5_[[#This Row],[Etiquetas de fila]],'VALORIZACION CARTA'!B:B,'VALORIZACION CARTA'!C:C)</f>
        <v>0</v>
      </c>
      <c r="D129" s="251">
        <f>SUM(T5_[[#This Row],[Recuento de T5 CODIGO]]*T5_[[#This Row],[Columna1]])</f>
        <v>0</v>
      </c>
    </row>
    <row r="130" spans="1:4" x14ac:dyDescent="0.25">
      <c r="A130" s="250" t="s">
        <v>557</v>
      </c>
      <c r="B130">
        <v>5</v>
      </c>
      <c r="C130" s="251">
        <f>LOOKUP(T5_[[#This Row],[Etiquetas de fila]],'VALORIZACION CARTA'!B:B,'VALORIZACION CARTA'!C:C)</f>
        <v>0</v>
      </c>
      <c r="D130" s="251">
        <f>SUM(T5_[[#This Row],[Recuento de T5 CODIGO]]*T5_[[#This Row],[Columna1]])</f>
        <v>0</v>
      </c>
    </row>
    <row r="131" spans="1:4" x14ac:dyDescent="0.25">
      <c r="A131" s="250" t="s">
        <v>716</v>
      </c>
      <c r="B131">
        <v>2</v>
      </c>
      <c r="C131" s="251">
        <f>LOOKUP(T5_[[#This Row],[Etiquetas de fila]],'VALORIZACION CARTA'!B:B,'VALORIZACION CARTA'!C:C)</f>
        <v>0</v>
      </c>
      <c r="D131" s="251">
        <f>SUM(T5_[[#This Row],[Recuento de T5 CODIGO]]*T5_[[#This Row],[Columna1]])</f>
        <v>0</v>
      </c>
    </row>
    <row r="132" spans="1:4" x14ac:dyDescent="0.25">
      <c r="A132" s="250" t="s">
        <v>971</v>
      </c>
      <c r="B132">
        <v>2</v>
      </c>
      <c r="C132" s="251">
        <f>LOOKUP(T5_[[#This Row],[Etiquetas de fila]],'VALORIZACION CARTA'!B:B,'VALORIZACION CARTA'!C:C)</f>
        <v>704.62379999999996</v>
      </c>
      <c r="D132" s="251">
        <f>SUM(T5_[[#This Row],[Recuento de T5 CODIGO]]*T5_[[#This Row],[Columna1]])</f>
        <v>1409.2475999999999</v>
      </c>
    </row>
    <row r="133" spans="1:4" x14ac:dyDescent="0.25">
      <c r="A133" s="250" t="s">
        <v>972</v>
      </c>
      <c r="B133">
        <v>16</v>
      </c>
      <c r="C133" s="251">
        <f>LOOKUP(T5_[[#This Row],[Etiquetas de fila]],'VALORIZACION CARTA'!B:B,'VALORIZACION CARTA'!C:C)</f>
        <v>3994.56</v>
      </c>
      <c r="D133" s="251">
        <f>SUM(T5_[[#This Row],[Recuento de T5 CODIGO]]*T5_[[#This Row],[Columna1]])</f>
        <v>63912.959999999999</v>
      </c>
    </row>
    <row r="134" spans="1:4" x14ac:dyDescent="0.25">
      <c r="A134" s="250" t="s">
        <v>973</v>
      </c>
      <c r="B134">
        <v>14</v>
      </c>
      <c r="C134" s="251">
        <f>LOOKUP(T5_[[#This Row],[Etiquetas de fila]],'VALORIZACION CARTA'!B:B,'VALORIZACION CARTA'!C:C)</f>
        <v>3662.6923076923072</v>
      </c>
      <c r="D134" s="251">
        <f>SUM(T5_[[#This Row],[Recuento de T5 CODIGO]]*T5_[[#This Row],[Columna1]])</f>
        <v>51277.692307692298</v>
      </c>
    </row>
    <row r="135" spans="1:4" x14ac:dyDescent="0.25">
      <c r="A135" s="250" t="s">
        <v>974</v>
      </c>
      <c r="B135">
        <v>1</v>
      </c>
      <c r="C135" s="251">
        <f>LOOKUP(T5_[[#This Row],[Etiquetas de fila]],'VALORIZACION CARTA'!B:B,'VALORIZACION CARTA'!C:C)</f>
        <v>349.86</v>
      </c>
      <c r="D135" s="251">
        <f>SUM(T5_[[#This Row],[Recuento de T5 CODIGO]]*T5_[[#This Row],[Columna1]])</f>
        <v>349.86</v>
      </c>
    </row>
    <row r="136" spans="1:4" x14ac:dyDescent="0.25">
      <c r="A136" s="250" t="s">
        <v>975</v>
      </c>
      <c r="B136">
        <v>9</v>
      </c>
      <c r="C136" s="251">
        <f>LOOKUP(T5_[[#This Row],[Etiquetas de fila]],'VALORIZACION CARTA'!B:B,'VALORIZACION CARTA'!C:C)</f>
        <v>467.67</v>
      </c>
      <c r="D136" s="251">
        <f>SUM(T5_[[#This Row],[Recuento de T5 CODIGO]]*T5_[[#This Row],[Columna1]])</f>
        <v>4209.03</v>
      </c>
    </row>
    <row r="137" spans="1:4" x14ac:dyDescent="0.25">
      <c r="A137" s="250" t="s">
        <v>976</v>
      </c>
      <c r="B137">
        <v>9</v>
      </c>
      <c r="C137" s="251">
        <f>LOOKUP(T5_[[#This Row],[Etiquetas de fila]],'VALORIZACION CARTA'!B:B,'VALORIZACION CARTA'!C:C)</f>
        <v>4533.476333333334</v>
      </c>
      <c r="D137" s="251">
        <f>SUM(T5_[[#This Row],[Recuento de T5 CODIGO]]*T5_[[#This Row],[Columna1]])</f>
        <v>40801.287000000004</v>
      </c>
    </row>
    <row r="138" spans="1:4" x14ac:dyDescent="0.25">
      <c r="A138" s="250" t="s">
        <v>977</v>
      </c>
      <c r="B138">
        <v>1</v>
      </c>
      <c r="C138" s="251">
        <f>LOOKUP(T5_[[#This Row],[Etiquetas de fila]],'VALORIZACION CARTA'!B:B,'VALORIZACION CARTA'!C:C)</f>
        <v>2001.9100000000003</v>
      </c>
      <c r="D138" s="251">
        <f>SUM(T5_[[#This Row],[Recuento de T5 CODIGO]]*T5_[[#This Row],[Columna1]])</f>
        <v>2001.9100000000003</v>
      </c>
    </row>
    <row r="139" spans="1:4" x14ac:dyDescent="0.25">
      <c r="A139" s="250" t="s">
        <v>978</v>
      </c>
      <c r="B139">
        <v>1</v>
      </c>
      <c r="C139" s="251">
        <f>LOOKUP(T5_[[#This Row],[Etiquetas de fila]],'VALORIZACION CARTA'!B:B,'VALORIZACION CARTA'!C:C)</f>
        <v>1942.4580576923076</v>
      </c>
      <c r="D139" s="251">
        <f>SUM(T5_[[#This Row],[Recuento de T5 CODIGO]]*T5_[[#This Row],[Columna1]])</f>
        <v>1942.4580576923076</v>
      </c>
    </row>
    <row r="140" spans="1:4" x14ac:dyDescent="0.25">
      <c r="A140" s="250" t="s">
        <v>980</v>
      </c>
      <c r="B140">
        <v>3</v>
      </c>
      <c r="C140" s="251">
        <f>LOOKUP(T5_[[#This Row],[Etiquetas de fila]],'VALORIZACION CARTA'!B:B,'VALORIZACION CARTA'!C:C)</f>
        <v>5087.5800000000008</v>
      </c>
      <c r="D140" s="251">
        <f>SUM(T5_[[#This Row],[Recuento de T5 CODIGO]]*T5_[[#This Row],[Columna1]])</f>
        <v>15262.740000000002</v>
      </c>
    </row>
    <row r="141" spans="1:4" x14ac:dyDescent="0.25">
      <c r="A141" s="250" t="s">
        <v>981</v>
      </c>
      <c r="B141">
        <v>10</v>
      </c>
      <c r="C141" s="251">
        <f>LOOKUP(T5_[[#This Row],[Etiquetas de fila]],'VALORIZACION CARTA'!B:B,'VALORIZACION CARTA'!C:C)</f>
        <v>5214.9100000000008</v>
      </c>
      <c r="D141" s="251">
        <f>SUM(T5_[[#This Row],[Recuento de T5 CODIGO]]*T5_[[#This Row],[Columna1]])</f>
        <v>52149.100000000006</v>
      </c>
    </row>
    <row r="142" spans="1:4" x14ac:dyDescent="0.25">
      <c r="A142" s="250" t="s">
        <v>555</v>
      </c>
      <c r="B142">
        <v>5</v>
      </c>
      <c r="C142" s="251">
        <f>LOOKUP(T5_[[#This Row],[Etiquetas de fila]],'VALORIZACION CARTA'!B:B,'VALORIZACION CARTA'!C:C)</f>
        <v>4473.9366666666674</v>
      </c>
      <c r="D142" s="251">
        <f>SUM(T5_[[#This Row],[Recuento de T5 CODIGO]]*T5_[[#This Row],[Columna1]])</f>
        <v>22369.683333333338</v>
      </c>
    </row>
    <row r="143" spans="1:4" x14ac:dyDescent="0.25">
      <c r="A143" s="250" t="s">
        <v>982</v>
      </c>
      <c r="B143">
        <v>21</v>
      </c>
      <c r="C143" s="251">
        <f>LOOKUP(T5_[[#This Row],[Etiquetas de fila]],'VALORIZACION CARTA'!B:B,'VALORIZACION CARTA'!C:C)</f>
        <v>879.64050000000009</v>
      </c>
      <c r="D143" s="251">
        <f>SUM(T5_[[#This Row],[Recuento de T5 CODIGO]]*T5_[[#This Row],[Columna1]])</f>
        <v>18472.450500000003</v>
      </c>
    </row>
    <row r="144" spans="1:4" x14ac:dyDescent="0.25">
      <c r="A144" s="250" t="s">
        <v>983</v>
      </c>
      <c r="B144">
        <v>6</v>
      </c>
      <c r="C144" s="251">
        <f>LOOKUP(T5_[[#This Row],[Etiquetas de fila]],'VALORIZACION CARTA'!B:B,'VALORIZACION CARTA'!C:C)</f>
        <v>704.62379999999996</v>
      </c>
      <c r="D144" s="251">
        <f>SUM(T5_[[#This Row],[Recuento de T5 CODIGO]]*T5_[[#This Row],[Columna1]])</f>
        <v>4227.7428</v>
      </c>
    </row>
    <row r="145" spans="1:4" x14ac:dyDescent="0.25">
      <c r="A145" s="250" t="s">
        <v>984</v>
      </c>
      <c r="B145">
        <v>6</v>
      </c>
      <c r="C145" s="251">
        <f>LOOKUP(T5_[[#This Row],[Etiquetas de fila]],'VALORIZACION CARTA'!B:B,'VALORIZACION CARTA'!C:C)</f>
        <v>704.64960000000008</v>
      </c>
      <c r="D145" s="251">
        <f>SUM(T5_[[#This Row],[Recuento de T5 CODIGO]]*T5_[[#This Row],[Columna1]])</f>
        <v>4227.8976000000002</v>
      </c>
    </row>
    <row r="146" spans="1:4" x14ac:dyDescent="0.25">
      <c r="A146" s="250" t="s">
        <v>985</v>
      </c>
      <c r="B146">
        <v>4</v>
      </c>
      <c r="C146" s="251">
        <f>LOOKUP(T5_[[#This Row],[Etiquetas de fila]],'VALORIZACION CARTA'!B:B,'VALORIZACION CARTA'!C:C)</f>
        <v>704.62379999999996</v>
      </c>
      <c r="D146" s="251">
        <f>SUM(T5_[[#This Row],[Recuento de T5 CODIGO]]*T5_[[#This Row],[Columna1]])</f>
        <v>2818.4951999999998</v>
      </c>
    </row>
    <row r="147" spans="1:4" x14ac:dyDescent="0.25">
      <c r="A147" s="250" t="s">
        <v>986</v>
      </c>
      <c r="B147">
        <v>5</v>
      </c>
      <c r="C147" s="251">
        <f>LOOKUP(T5_[[#This Row],[Etiquetas de fila]],'VALORIZACION CARTA'!B:B,'VALORIZACION CARTA'!C:C)</f>
        <v>704.62379999999996</v>
      </c>
      <c r="D147" s="251">
        <f>SUM(T5_[[#This Row],[Recuento de T5 CODIGO]]*T5_[[#This Row],[Columna1]])</f>
        <v>3523.1189999999997</v>
      </c>
    </row>
    <row r="148" spans="1:4" x14ac:dyDescent="0.25">
      <c r="A148" s="250" t="s">
        <v>626</v>
      </c>
      <c r="B148">
        <v>70</v>
      </c>
      <c r="C148" s="251">
        <f>LOOKUP(T5_[[#This Row],[Etiquetas de fila]],'VALORIZACION CARTA'!B:B,'VALORIZACION CARTA'!C:C)</f>
        <v>106.04015625000002</v>
      </c>
      <c r="D148" s="251">
        <f>SUM(T5_[[#This Row],[Recuento de T5 CODIGO]]*T5_[[#This Row],[Columna1]])</f>
        <v>7422.8109375000013</v>
      </c>
    </row>
    <row r="149" spans="1:4" x14ac:dyDescent="0.25">
      <c r="A149" s="250" t="s">
        <v>205</v>
      </c>
      <c r="B149">
        <v>52</v>
      </c>
      <c r="C149" s="251">
        <f>LOOKUP(T5_[[#This Row],[Etiquetas de fila]],'VALORIZACION CARTA'!B:B,'VALORIZACION CARTA'!C:C)</f>
        <v>106.04015625000002</v>
      </c>
      <c r="D149" s="251">
        <f>SUM(T5_[[#This Row],[Recuento de T5 CODIGO]]*T5_[[#This Row],[Columna1]])</f>
        <v>5514.0881250000011</v>
      </c>
    </row>
    <row r="150" spans="1:4" x14ac:dyDescent="0.25">
      <c r="A150" s="250" t="s">
        <v>885</v>
      </c>
      <c r="B150">
        <v>8</v>
      </c>
      <c r="C150" s="251">
        <f>LOOKUP(T5_[[#This Row],[Etiquetas de fila]],'VALORIZACION CARTA'!B:B,'VALORIZACION CARTA'!C:C)</f>
        <v>349.86</v>
      </c>
      <c r="D150" s="251">
        <f>SUM(T5_[[#This Row],[Recuento de T5 CODIGO]]*T5_[[#This Row],[Columna1]])</f>
        <v>2798.88</v>
      </c>
    </row>
    <row r="151" spans="1:4" x14ac:dyDescent="0.25">
      <c r="A151" s="250" t="s">
        <v>858</v>
      </c>
      <c r="B151">
        <v>18</v>
      </c>
      <c r="C151" s="251">
        <f>LOOKUP(T5_[[#This Row],[Etiquetas de fila]],'VALORIZACION CARTA'!B:B,'VALORIZACION CARTA'!C:C)</f>
        <v>467.67</v>
      </c>
      <c r="D151" s="251">
        <f>SUM(T5_[[#This Row],[Recuento de T5 CODIGO]]*T5_[[#This Row],[Columna1]])</f>
        <v>8418.06</v>
      </c>
    </row>
    <row r="152" spans="1:4" x14ac:dyDescent="0.25">
      <c r="A152" s="250" t="s">
        <v>558</v>
      </c>
      <c r="B152">
        <v>7</v>
      </c>
      <c r="C152" s="251">
        <f>LOOKUP(T5_[[#This Row],[Etiquetas de fila]],'VALORIZACION CARTA'!B:B,'VALORIZACION CARTA'!C:C)</f>
        <v>852.38900000000001</v>
      </c>
      <c r="D152" s="251">
        <f>SUM(T5_[[#This Row],[Recuento de T5 CODIGO]]*T5_[[#This Row],[Columna1]])</f>
        <v>5966.723</v>
      </c>
    </row>
    <row r="153" spans="1:4" x14ac:dyDescent="0.25">
      <c r="A153" s="250" t="s">
        <v>559</v>
      </c>
      <c r="B153">
        <v>1</v>
      </c>
      <c r="C153" s="251">
        <f>LOOKUP(T5_[[#This Row],[Etiquetas de fila]],'VALORIZACION CARTA'!B:B,'VALORIZACION CARTA'!C:C)</f>
        <v>1392.5335</v>
      </c>
      <c r="D153" s="251">
        <f>SUM(T5_[[#This Row],[Recuento de T5 CODIGO]]*T5_[[#This Row],[Columna1]])</f>
        <v>1392.5335</v>
      </c>
    </row>
    <row r="154" spans="1:4" x14ac:dyDescent="0.25">
      <c r="A154" s="250" t="s">
        <v>560</v>
      </c>
      <c r="B154">
        <v>1</v>
      </c>
      <c r="C154" s="251">
        <f>LOOKUP(T5_[[#This Row],[Etiquetas de fila]],'VALORIZACION CARTA'!B:B,'VALORIZACION CARTA'!C:C)</f>
        <v>1236.5723125000002</v>
      </c>
      <c r="D154" s="251">
        <f>SUM(T5_[[#This Row],[Recuento de T5 CODIGO]]*T5_[[#This Row],[Columna1]])</f>
        <v>1236.5723125000002</v>
      </c>
    </row>
    <row r="155" spans="1:4" x14ac:dyDescent="0.25">
      <c r="A155" s="250" t="s">
        <v>988</v>
      </c>
      <c r="B155">
        <v>2</v>
      </c>
      <c r="C155" s="251">
        <f>LOOKUP(T5_[[#This Row],[Etiquetas de fila]],'VALORIZACION CARTA'!B:B,'VALORIZACION CARTA'!C:C)</f>
        <v>1375.6343125000001</v>
      </c>
      <c r="D155" s="251">
        <f>SUM(T5_[[#This Row],[Recuento de T5 CODIGO]]*T5_[[#This Row],[Columna1]])</f>
        <v>2751.2686250000002</v>
      </c>
    </row>
    <row r="156" spans="1:4" x14ac:dyDescent="0.25">
      <c r="A156" s="250" t="s">
        <v>989</v>
      </c>
      <c r="B156">
        <v>1</v>
      </c>
      <c r="C156" s="251">
        <f>LOOKUP(T5_[[#This Row],[Etiquetas de fila]],'VALORIZACION CARTA'!B:B,'VALORIZACION CARTA'!C:C)</f>
        <v>1137.0918125000001</v>
      </c>
      <c r="D156" s="251">
        <f>SUM(T5_[[#This Row],[Recuento de T5 CODIGO]]*T5_[[#This Row],[Columna1]])</f>
        <v>1137.0918125000001</v>
      </c>
    </row>
    <row r="157" spans="1:4" x14ac:dyDescent="0.25">
      <c r="A157" s="250" t="s">
        <v>990</v>
      </c>
      <c r="B157">
        <v>19</v>
      </c>
      <c r="C157" s="251">
        <f>LOOKUP(T5_[[#This Row],[Etiquetas de fila]],'VALORIZACION CARTA'!B:B,'VALORIZACION CARTA'!C:C)</f>
        <v>1137.0918125000001</v>
      </c>
      <c r="D157" s="251">
        <f>SUM(T5_[[#This Row],[Recuento de T5 CODIGO]]*T5_[[#This Row],[Columna1]])</f>
        <v>21604.744437500001</v>
      </c>
    </row>
    <row r="158" spans="1:4" x14ac:dyDescent="0.25">
      <c r="A158" s="250" t="s">
        <v>320</v>
      </c>
      <c r="B158">
        <v>44</v>
      </c>
      <c r="C158" s="251">
        <f>LOOKUP(T5_[[#This Row],[Etiquetas de fila]],'VALORIZACION CARTA'!B:B,'VALORIZACION CARTA'!C:C)</f>
        <v>496.56381249999998</v>
      </c>
      <c r="D158" s="251">
        <f>SUM(T5_[[#This Row],[Recuento de T5 CODIGO]]*T5_[[#This Row],[Columna1]])</f>
        <v>21848.80775</v>
      </c>
    </row>
    <row r="159" spans="1:4" x14ac:dyDescent="0.25">
      <c r="A159" s="250" t="s">
        <v>838</v>
      </c>
      <c r="B159">
        <v>36</v>
      </c>
      <c r="C159" s="251">
        <f>LOOKUP(T5_[[#This Row],[Etiquetas de fila]],'VALORIZACION CARTA'!B:B,'VALORIZACION CARTA'!C:C)</f>
        <v>1560.506625</v>
      </c>
      <c r="D159" s="251">
        <f>SUM(T5_[[#This Row],[Recuento de T5 CODIGO]]*T5_[[#This Row],[Columna1]])</f>
        <v>56178.238499999999</v>
      </c>
    </row>
    <row r="160" spans="1:4" x14ac:dyDescent="0.25">
      <c r="A160" s="250" t="s">
        <v>991</v>
      </c>
      <c r="B160">
        <v>14</v>
      </c>
      <c r="C160" s="251">
        <f>LOOKUP(T5_[[#This Row],[Etiquetas de fila]],'VALORIZACION CARTA'!B:B,'VALORIZACION CARTA'!C:C)</f>
        <v>1560.506625</v>
      </c>
      <c r="D160" s="251">
        <f>SUM(T5_[[#This Row],[Recuento de T5 CODIGO]]*T5_[[#This Row],[Columna1]])</f>
        <v>21847.09275</v>
      </c>
    </row>
    <row r="161" spans="1:4" x14ac:dyDescent="0.25">
      <c r="A161" s="250" t="s">
        <v>993</v>
      </c>
      <c r="B161">
        <v>120</v>
      </c>
      <c r="C161" s="251">
        <f>LOOKUP(T5_[[#This Row],[Etiquetas de fila]],'VALORIZACION CARTA'!B:B,'VALORIZACION CARTA'!C:C)</f>
        <v>1560.506625</v>
      </c>
      <c r="D161" s="251">
        <f>SUM(T5_[[#This Row],[Recuento de T5 CODIGO]]*T5_[[#This Row],[Columna1]])</f>
        <v>187260.79499999998</v>
      </c>
    </row>
    <row r="162" spans="1:4" x14ac:dyDescent="0.25">
      <c r="A162" s="250" t="s">
        <v>994</v>
      </c>
      <c r="B162">
        <v>5</v>
      </c>
      <c r="C162" s="251">
        <f>LOOKUP(T5_[[#This Row],[Etiquetas de fila]],'VALORIZACION CARTA'!B:B,'VALORIZACION CARTA'!C:C)</f>
        <v>2110.0743124999999</v>
      </c>
      <c r="D162" s="251">
        <f>SUM(T5_[[#This Row],[Recuento de T5 CODIGO]]*T5_[[#This Row],[Columna1]])</f>
        <v>10550.3715625</v>
      </c>
    </row>
    <row r="163" spans="1:4" x14ac:dyDescent="0.25">
      <c r="A163" s="250" t="s">
        <v>995</v>
      </c>
      <c r="B163">
        <v>18</v>
      </c>
      <c r="C163" s="251">
        <f>LOOKUP(T5_[[#This Row],[Etiquetas de fila]],'VALORIZACION CARTA'!B:B,'VALORIZACION CARTA'!C:C)</f>
        <v>1237.3248125</v>
      </c>
      <c r="D163" s="251">
        <f>SUM(T5_[[#This Row],[Recuento de T5 CODIGO]]*T5_[[#This Row],[Columna1]])</f>
        <v>22271.846624999998</v>
      </c>
    </row>
    <row r="164" spans="1:4" x14ac:dyDescent="0.25">
      <c r="A164" s="250" t="s">
        <v>321</v>
      </c>
      <c r="B164">
        <v>42</v>
      </c>
      <c r="C164" s="251">
        <f>LOOKUP(T5_[[#This Row],[Etiquetas de fila]],'VALORIZACION CARTA'!B:B,'VALORIZACION CARTA'!C:C)</f>
        <v>618.27850000000001</v>
      </c>
      <c r="D164" s="251">
        <f>SUM(T5_[[#This Row],[Recuento de T5 CODIGO]]*T5_[[#This Row],[Columna1]])</f>
        <v>25967.697</v>
      </c>
    </row>
    <row r="165" spans="1:4" x14ac:dyDescent="0.25">
      <c r="A165" s="250" t="s">
        <v>997</v>
      </c>
      <c r="B165">
        <v>17</v>
      </c>
      <c r="C165" s="251">
        <f>LOOKUP(T5_[[#This Row],[Etiquetas de fila]],'VALORIZACION CARTA'!B:B,'VALORIZACION CARTA'!C:C)</f>
        <v>485.19437499999998</v>
      </c>
      <c r="D165" s="251">
        <f>SUM(T5_[[#This Row],[Recuento de T5 CODIGO]]*T5_[[#This Row],[Columna1]])</f>
        <v>8248.3043749999997</v>
      </c>
    </row>
    <row r="166" spans="1:4" x14ac:dyDescent="0.25">
      <c r="A166" s="250" t="s">
        <v>1051</v>
      </c>
      <c r="B166">
        <v>1</v>
      </c>
      <c r="C166" s="251">
        <f>LOOKUP(T5_[[#This Row],[Etiquetas de fila]],'VALORIZACION CARTA'!B:B,'VALORIZACION CARTA'!C:C)</f>
        <v>485.19437499999998</v>
      </c>
      <c r="D166" s="251">
        <f>SUM(T5_[[#This Row],[Recuento de T5 CODIGO]]*T5_[[#This Row],[Columna1]])</f>
        <v>485.19437499999998</v>
      </c>
    </row>
    <row r="167" spans="1:4" x14ac:dyDescent="0.25">
      <c r="A167" s="250" t="s">
        <v>998</v>
      </c>
      <c r="B167">
        <v>3</v>
      </c>
      <c r="C167" s="251">
        <f>LOOKUP(T5_[[#This Row],[Etiquetas de fila]],'VALORIZACION CARTA'!B:B,'VALORIZACION CARTA'!C:C)</f>
        <v>485.19437499999998</v>
      </c>
      <c r="D167" s="251">
        <f>SUM(T5_[[#This Row],[Recuento de T5 CODIGO]]*T5_[[#This Row],[Columna1]])</f>
        <v>1455.5831249999999</v>
      </c>
    </row>
    <row r="168" spans="1:4" x14ac:dyDescent="0.25">
      <c r="A168" s="250" t="s">
        <v>999</v>
      </c>
      <c r="B168">
        <v>6</v>
      </c>
      <c r="C168" s="251">
        <f>LOOKUP(T5_[[#This Row],[Etiquetas de fila]],'VALORIZACION CARTA'!B:B,'VALORIZACION CARTA'!C:C)</f>
        <v>1532.1075000000001</v>
      </c>
      <c r="D168" s="251">
        <f>SUM(T5_[[#This Row],[Recuento de T5 CODIGO]]*T5_[[#This Row],[Columna1]])</f>
        <v>9192.6450000000004</v>
      </c>
    </row>
    <row r="169" spans="1:4" x14ac:dyDescent="0.25">
      <c r="A169" s="250" t="s">
        <v>864</v>
      </c>
      <c r="B169">
        <v>15</v>
      </c>
      <c r="C169" s="251">
        <f>LOOKUP(T5_[[#This Row],[Etiquetas de fila]],'VALORIZACION CARTA'!B:B,'VALORIZACION CARTA'!C:C)</f>
        <v>2252.9318750000002</v>
      </c>
      <c r="D169" s="251">
        <f>SUM(T5_[[#This Row],[Recuento de T5 CODIGO]]*T5_[[#This Row],[Columna1]])</f>
        <v>33793.978125000001</v>
      </c>
    </row>
    <row r="170" spans="1:4" x14ac:dyDescent="0.25">
      <c r="A170" s="250" t="s">
        <v>1052</v>
      </c>
      <c r="B170">
        <v>5</v>
      </c>
      <c r="C170" s="251">
        <f>LOOKUP(T5_[[#This Row],[Etiquetas de fila]],'VALORIZACION CARTA'!B:B,'VALORIZACION CARTA'!C:C)</f>
        <v>1978.2297499999997</v>
      </c>
      <c r="D170" s="251">
        <f>SUM(T5_[[#This Row],[Recuento de T5 CODIGO]]*T5_[[#This Row],[Columna1]])</f>
        <v>9891.1487499999985</v>
      </c>
    </row>
    <row r="171" spans="1:4" x14ac:dyDescent="0.25">
      <c r="A171" s="250" t="s">
        <v>846</v>
      </c>
      <c r="B171">
        <v>2</v>
      </c>
      <c r="C171" s="251">
        <f>LOOKUP(T5_[[#This Row],[Etiquetas de fila]],'VALORIZACION CARTA'!B:B,'VALORIZACION CARTA'!C:C)</f>
        <v>2458.1767</v>
      </c>
      <c r="D171" s="251">
        <f>SUM(T5_[[#This Row],[Recuento de T5 CODIGO]]*T5_[[#This Row],[Columna1]])</f>
        <v>4916.3534</v>
      </c>
    </row>
    <row r="172" spans="1:4" x14ac:dyDescent="0.25">
      <c r="A172" s="250" t="s">
        <v>1062</v>
      </c>
      <c r="B172">
        <v>74</v>
      </c>
      <c r="C172" s="251">
        <f>LOOKUP(T5_[[#This Row],[Etiquetas de fila]],'VALORIZACION CARTA'!B:B,'VALORIZACION CARTA'!C:C)</f>
        <v>2458.1767</v>
      </c>
      <c r="D172" s="251">
        <f>SUM(T5_[[#This Row],[Recuento de T5 CODIGO]]*T5_[[#This Row],[Columna1]])</f>
        <v>181905.07579999999</v>
      </c>
    </row>
    <row r="173" spans="1:4" x14ac:dyDescent="0.25">
      <c r="A173" s="250" t="s">
        <v>1000</v>
      </c>
      <c r="B173">
        <v>10</v>
      </c>
      <c r="C173" s="251">
        <f>LOOKUP(T5_[[#This Row],[Etiquetas de fila]],'VALORIZACION CARTA'!B:B,'VALORIZACION CARTA'!C:C)</f>
        <v>3146.3599999999997</v>
      </c>
      <c r="D173" s="251">
        <f>SUM(T5_[[#This Row],[Recuento de T5 CODIGO]]*T5_[[#This Row],[Columna1]])</f>
        <v>31463.599999999999</v>
      </c>
    </row>
    <row r="174" spans="1:4" x14ac:dyDescent="0.25">
      <c r="A174" s="250" t="s">
        <v>871</v>
      </c>
      <c r="B174">
        <v>34</v>
      </c>
      <c r="C174" s="251">
        <f>LOOKUP(T5_[[#This Row],[Etiquetas de fila]],'VALORIZACION CARTA'!B:B,'VALORIZACION CARTA'!C:C)</f>
        <v>1037.68</v>
      </c>
      <c r="D174" s="251">
        <f>SUM(T5_[[#This Row],[Recuento de T5 CODIGO]]*T5_[[#This Row],[Columna1]])</f>
        <v>35281.120000000003</v>
      </c>
    </row>
    <row r="175" spans="1:4" x14ac:dyDescent="0.25">
      <c r="A175" s="250" t="s">
        <v>839</v>
      </c>
      <c r="B175">
        <v>42</v>
      </c>
      <c r="C175" s="251">
        <f>LOOKUP(T5_[[#This Row],[Etiquetas de fila]],'VALORIZACION CARTA'!B:B,'VALORIZACION CARTA'!C:C)</f>
        <v>7892.8534999999993</v>
      </c>
      <c r="D175" s="251">
        <f>SUM(T5_[[#This Row],[Recuento de T5 CODIGO]]*T5_[[#This Row],[Columna1]])</f>
        <v>331499.84699999995</v>
      </c>
    </row>
    <row r="176" spans="1:4" x14ac:dyDescent="0.25">
      <c r="A176" s="250" t="s">
        <v>322</v>
      </c>
      <c r="B176">
        <v>32</v>
      </c>
      <c r="C176" s="251">
        <f>LOOKUP(T5_[[#This Row],[Etiquetas de fila]],'VALORIZACION CARTA'!B:B,'VALORIZACION CARTA'!C:C)</f>
        <v>820.92109749999997</v>
      </c>
      <c r="D176" s="251">
        <f>SUM(T5_[[#This Row],[Recuento de T5 CODIGO]]*T5_[[#This Row],[Columna1]])</f>
        <v>26269.475119999999</v>
      </c>
    </row>
    <row r="177" spans="1:4" x14ac:dyDescent="0.25">
      <c r="A177" s="250" t="s">
        <v>1003</v>
      </c>
      <c r="B177">
        <v>14</v>
      </c>
      <c r="C177" s="251">
        <f>LOOKUP(T5_[[#This Row],[Etiquetas de fila]],'VALORIZACION CARTA'!B:B,'VALORIZACION CARTA'!C:C)</f>
        <v>664.11019499999998</v>
      </c>
      <c r="D177" s="251">
        <f>SUM(T5_[[#This Row],[Recuento de T5 CODIGO]]*T5_[[#This Row],[Columna1]])</f>
        <v>9297.5427299999992</v>
      </c>
    </row>
    <row r="178" spans="1:4" x14ac:dyDescent="0.25">
      <c r="A178" s="250" t="s">
        <v>856</v>
      </c>
      <c r="B178">
        <v>8</v>
      </c>
      <c r="C178" s="251">
        <f>LOOKUP(T5_[[#This Row],[Etiquetas de fila]],'VALORIZACION CARTA'!B:B,'VALORIZACION CARTA'!C:C)</f>
        <v>627.93800999999996</v>
      </c>
      <c r="D178" s="251">
        <f>SUM(T5_[[#This Row],[Recuento de T5 CODIGO]]*T5_[[#This Row],[Columna1]])</f>
        <v>5023.5040799999997</v>
      </c>
    </row>
    <row r="179" spans="1:4" x14ac:dyDescent="0.25">
      <c r="A179" s="250" t="s">
        <v>630</v>
      </c>
      <c r="B179">
        <v>1</v>
      </c>
      <c r="C179" s="251">
        <f>LOOKUP(T5_[[#This Row],[Etiquetas de fila]],'VALORIZACION CARTA'!B:B,'VALORIZACION CARTA'!C:C)</f>
        <v>645.11457499999995</v>
      </c>
      <c r="D179" s="251">
        <f>SUM(T5_[[#This Row],[Recuento de T5 CODIGO]]*T5_[[#This Row],[Columna1]])</f>
        <v>645.11457499999995</v>
      </c>
    </row>
    <row r="180" spans="1:4" x14ac:dyDescent="0.25">
      <c r="A180" s="250" t="s">
        <v>323</v>
      </c>
      <c r="B180">
        <v>7</v>
      </c>
      <c r="C180" s="251">
        <f>LOOKUP(T5_[[#This Row],[Etiquetas de fila]],'VALORIZACION CARTA'!B:B,'VALORIZACION CARTA'!C:C)</f>
        <v>865.52550000000008</v>
      </c>
      <c r="D180" s="251">
        <f>SUM(T5_[[#This Row],[Recuento de T5 CODIGO]]*T5_[[#This Row],[Columna1]])</f>
        <v>6058.6785000000009</v>
      </c>
    </row>
    <row r="181" spans="1:4" x14ac:dyDescent="0.25">
      <c r="A181" s="250" t="s">
        <v>564</v>
      </c>
      <c r="B181">
        <v>3</v>
      </c>
      <c r="C181" s="251">
        <f>LOOKUP(T5_[[#This Row],[Etiquetas de fila]],'VALORIZACION CARTA'!B:B,'VALORIZACION CARTA'!C:C)</f>
        <v>2572.4454999999998</v>
      </c>
      <c r="D181" s="251">
        <f>SUM(T5_[[#This Row],[Recuento de T5 CODIGO]]*T5_[[#This Row],[Columna1]])</f>
        <v>7717.3364999999994</v>
      </c>
    </row>
    <row r="182" spans="1:4" x14ac:dyDescent="0.25">
      <c r="A182" s="250" t="s">
        <v>1005</v>
      </c>
      <c r="B182">
        <v>9</v>
      </c>
      <c r="C182" s="251">
        <f>LOOKUP(T5_[[#This Row],[Etiquetas de fila]],'VALORIZACION CARTA'!B:B,'VALORIZACION CARTA'!C:C)</f>
        <v>302.76300000000003</v>
      </c>
      <c r="D182" s="251">
        <f>SUM(T5_[[#This Row],[Recuento de T5 CODIGO]]*T5_[[#This Row],[Columna1]])</f>
        <v>2724.8670000000002</v>
      </c>
    </row>
    <row r="183" spans="1:4" x14ac:dyDescent="0.25">
      <c r="A183" s="250" t="s">
        <v>1006</v>
      </c>
      <c r="B183">
        <v>9</v>
      </c>
      <c r="C183" s="251">
        <f>LOOKUP(T5_[[#This Row],[Etiquetas de fila]],'VALORIZACION CARTA'!B:B,'VALORIZACION CARTA'!C:C)</f>
        <v>664.35</v>
      </c>
      <c r="D183" s="251">
        <f>SUM(T5_[[#This Row],[Recuento de T5 CODIGO]]*T5_[[#This Row],[Columna1]])</f>
        <v>5979.1500000000005</v>
      </c>
    </row>
    <row r="184" spans="1:4" x14ac:dyDescent="0.25">
      <c r="A184" s="250" t="s">
        <v>850</v>
      </c>
      <c r="B184">
        <v>14</v>
      </c>
      <c r="C184" s="251">
        <f>LOOKUP(T5_[[#This Row],[Etiquetas de fila]],'VALORIZACION CARTA'!B:B,'VALORIZACION CARTA'!C:C)</f>
        <v>317.40450000000004</v>
      </c>
      <c r="D184" s="251">
        <f>SUM(T5_[[#This Row],[Recuento de T5 CODIGO]]*T5_[[#This Row],[Columna1]])</f>
        <v>4443.6630000000005</v>
      </c>
    </row>
    <row r="185" spans="1:4" x14ac:dyDescent="0.25">
      <c r="A185" s="250" t="s">
        <v>849</v>
      </c>
      <c r="B185">
        <v>6</v>
      </c>
      <c r="C185" s="251">
        <f>LOOKUP(T5_[[#This Row],[Etiquetas de fila]],'VALORIZACION CARTA'!B:B,'VALORIZACION CARTA'!C:C)</f>
        <v>664.24679999999989</v>
      </c>
      <c r="D185" s="251">
        <f>SUM(T5_[[#This Row],[Recuento de T5 CODIGO]]*T5_[[#This Row],[Columna1]])</f>
        <v>3985.4807999999994</v>
      </c>
    </row>
    <row r="186" spans="1:4" x14ac:dyDescent="0.25">
      <c r="A186" s="250" t="s">
        <v>631</v>
      </c>
      <c r="B186">
        <v>1</v>
      </c>
      <c r="C186" s="251">
        <f>LOOKUP(T5_[[#This Row],[Etiquetas de fila]],'VALORIZACION CARTA'!B:B,'VALORIZACION CARTA'!C:C)</f>
        <v>1305.48</v>
      </c>
      <c r="D186" s="251">
        <f>SUM(T5_[[#This Row],[Recuento de T5 CODIGO]]*T5_[[#This Row],[Columna1]])</f>
        <v>1305.48</v>
      </c>
    </row>
    <row r="187" spans="1:4" x14ac:dyDescent="0.25">
      <c r="A187" s="250" t="s">
        <v>1053</v>
      </c>
      <c r="B187">
        <v>1</v>
      </c>
      <c r="C187" s="251">
        <f>LOOKUP(T5_[[#This Row],[Etiquetas de fila]],'VALORIZACION CARTA'!B:B,'VALORIZACION CARTA'!C:C)</f>
        <v>1305.48</v>
      </c>
      <c r="D187" s="251">
        <f>SUM(T5_[[#This Row],[Recuento de T5 CODIGO]]*T5_[[#This Row],[Columna1]])</f>
        <v>1305.48</v>
      </c>
    </row>
    <row r="188" spans="1:4" x14ac:dyDescent="0.25">
      <c r="A188" s="250" t="s">
        <v>808</v>
      </c>
      <c r="B188">
        <v>1</v>
      </c>
      <c r="C188" s="251">
        <f>LOOKUP(T5_[[#This Row],[Etiquetas de fila]],'VALORIZACION CARTA'!B:B,'VALORIZACION CARTA'!C:C)</f>
        <v>1255.8760199999999</v>
      </c>
      <c r="D188" s="251">
        <f>SUM(T5_[[#This Row],[Recuento de T5 CODIGO]]*T5_[[#This Row],[Columna1]])</f>
        <v>1255.8760199999999</v>
      </c>
    </row>
    <row r="189" spans="1:4" x14ac:dyDescent="0.25">
      <c r="A189" s="250" t="s">
        <v>604</v>
      </c>
      <c r="B189">
        <v>3</v>
      </c>
      <c r="C189" s="251">
        <f>LOOKUP(T5_[[#This Row],[Etiquetas de fila]],'VALORIZACION CARTA'!B:B,'VALORIZACION CARTA'!C:C)</f>
        <v>1255.8760199999999</v>
      </c>
      <c r="D189" s="251">
        <f>SUM(T5_[[#This Row],[Recuento de T5 CODIGO]]*T5_[[#This Row],[Columna1]])</f>
        <v>3767.62806</v>
      </c>
    </row>
    <row r="190" spans="1:4" x14ac:dyDescent="0.25">
      <c r="A190" s="250" t="s">
        <v>867</v>
      </c>
      <c r="B190">
        <v>4</v>
      </c>
      <c r="C190" s="251">
        <f>LOOKUP(T5_[[#This Row],[Etiquetas de fila]],'VALORIZACION CARTA'!B:B,'VALORIZACION CARTA'!C:C)</f>
        <v>704.62379999999996</v>
      </c>
      <c r="D190" s="251">
        <f>SUM(T5_[[#This Row],[Recuento de T5 CODIGO]]*T5_[[#This Row],[Columna1]])</f>
        <v>2818.4951999999998</v>
      </c>
    </row>
    <row r="191" spans="1:4" x14ac:dyDescent="0.25">
      <c r="A191" s="250" t="s">
        <v>847</v>
      </c>
      <c r="B191">
        <v>13</v>
      </c>
      <c r="C191" s="251">
        <f>LOOKUP(T5_[[#This Row],[Etiquetas de fila]],'VALORIZACION CARTA'!B:B,'VALORIZACION CARTA'!C:C)</f>
        <v>665.51099999999997</v>
      </c>
      <c r="D191" s="251">
        <f>SUM(T5_[[#This Row],[Recuento de T5 CODIGO]]*T5_[[#This Row],[Columna1]])</f>
        <v>8651.643</v>
      </c>
    </row>
    <row r="192" spans="1:4" x14ac:dyDescent="0.25">
      <c r="A192" s="250" t="s">
        <v>1009</v>
      </c>
      <c r="B192">
        <v>2</v>
      </c>
      <c r="C192" s="251">
        <f>LOOKUP(T5_[[#This Row],[Etiquetas de fila]],'VALORIZACION CARTA'!B:B,'VALORIZACION CARTA'!C:C)</f>
        <v>301.85999999999996</v>
      </c>
      <c r="D192" s="251">
        <f>SUM(T5_[[#This Row],[Recuento de T5 CODIGO]]*T5_[[#This Row],[Columna1]])</f>
        <v>603.71999999999991</v>
      </c>
    </row>
    <row r="193" spans="1:4" x14ac:dyDescent="0.25">
      <c r="A193" s="250" t="s">
        <v>1054</v>
      </c>
      <c r="B193">
        <v>2</v>
      </c>
      <c r="C193" s="251">
        <f>LOOKUP(T5_[[#This Row],[Etiquetas de fila]],'VALORIZACION CARTA'!B:B,'VALORIZACION CARTA'!C:C)</f>
        <v>704.64960000000008</v>
      </c>
      <c r="D193" s="251">
        <f>SUM(T5_[[#This Row],[Recuento de T5 CODIGO]]*T5_[[#This Row],[Columna1]])</f>
        <v>1409.2992000000002</v>
      </c>
    </row>
    <row r="194" spans="1:4" x14ac:dyDescent="0.25">
      <c r="A194" s="250" t="s">
        <v>1055</v>
      </c>
      <c r="B194">
        <v>2</v>
      </c>
      <c r="C194" s="251">
        <f>LOOKUP(T5_[[#This Row],[Etiquetas de fila]],'VALORIZACION CARTA'!B:B,'VALORIZACION CARTA'!C:C)</f>
        <v>704.62379999999996</v>
      </c>
      <c r="D194" s="251">
        <f>SUM(T5_[[#This Row],[Recuento de T5 CODIGO]]*T5_[[#This Row],[Columna1]])</f>
        <v>1409.2475999999999</v>
      </c>
    </row>
    <row r="195" spans="1:4" x14ac:dyDescent="0.25">
      <c r="A195" s="250" t="s">
        <v>855</v>
      </c>
      <c r="B195">
        <v>6</v>
      </c>
      <c r="C195" s="251">
        <f>LOOKUP(T5_[[#This Row],[Etiquetas de fila]],'VALORIZACION CARTA'!B:B,'VALORIZACION CARTA'!C:C)</f>
        <v>2202.8982500000002</v>
      </c>
      <c r="D195" s="251">
        <f>SUM(T5_[[#This Row],[Recuento de T5 CODIGO]]*T5_[[#This Row],[Columna1]])</f>
        <v>13217.389500000001</v>
      </c>
    </row>
    <row r="196" spans="1:4" x14ac:dyDescent="0.25">
      <c r="A196" s="250" t="s">
        <v>860</v>
      </c>
      <c r="B196">
        <v>19</v>
      </c>
      <c r="C196" s="251">
        <f>LOOKUP(T5_[[#This Row],[Etiquetas de fila]],'VALORIZACION CARTA'!B:B,'VALORIZACION CARTA'!C:C)</f>
        <v>1804.2482499999999</v>
      </c>
      <c r="D196" s="251">
        <f>SUM(T5_[[#This Row],[Recuento de T5 CODIGO]]*T5_[[#This Row],[Columna1]])</f>
        <v>34280.71675</v>
      </c>
    </row>
    <row r="197" spans="1:4" x14ac:dyDescent="0.25">
      <c r="A197" s="250" t="s">
        <v>324</v>
      </c>
      <c r="B197">
        <v>27</v>
      </c>
      <c r="C197" s="251">
        <f>LOOKUP(T5_[[#This Row],[Etiquetas de fila]],'VALORIZACION CARTA'!B:B,'VALORIZACION CARTA'!C:C)</f>
        <v>1744.7482500000001</v>
      </c>
      <c r="D197" s="251">
        <f>SUM(T5_[[#This Row],[Recuento de T5 CODIGO]]*T5_[[#This Row],[Columna1]])</f>
        <v>47108.202750000004</v>
      </c>
    </row>
    <row r="198" spans="1:4" x14ac:dyDescent="0.25">
      <c r="A198" s="250" t="s">
        <v>835</v>
      </c>
      <c r="B198">
        <v>17</v>
      </c>
      <c r="C198" s="251">
        <f>LOOKUP(T5_[[#This Row],[Etiquetas de fila]],'VALORIZACION CARTA'!B:B,'VALORIZACION CARTA'!C:C)</f>
        <v>1674.93</v>
      </c>
      <c r="D198" s="251">
        <f>SUM(T5_[[#This Row],[Recuento de T5 CODIGO]]*T5_[[#This Row],[Columna1]])</f>
        <v>28473.81</v>
      </c>
    </row>
    <row r="199" spans="1:4" x14ac:dyDescent="0.25">
      <c r="A199" s="250" t="s">
        <v>1012</v>
      </c>
      <c r="B199">
        <v>3</v>
      </c>
      <c r="C199" s="251">
        <f>LOOKUP(T5_[[#This Row],[Etiquetas de fila]],'VALORIZACION CARTA'!B:B,'VALORIZACION CARTA'!C:C)</f>
        <v>1042.57</v>
      </c>
      <c r="D199" s="251">
        <f>SUM(T5_[[#This Row],[Recuento de T5 CODIGO]]*T5_[[#This Row],[Columna1]])</f>
        <v>3127.71</v>
      </c>
    </row>
    <row r="200" spans="1:4" x14ac:dyDescent="0.25">
      <c r="A200" s="250" t="s">
        <v>1013</v>
      </c>
      <c r="B200">
        <v>1</v>
      </c>
      <c r="C200" s="251">
        <f>LOOKUP(T5_[[#This Row],[Etiquetas de fila]],'VALORIZACION CARTA'!B:B,'VALORIZACION CARTA'!C:C)</f>
        <v>1106.96</v>
      </c>
      <c r="D200" s="251">
        <f>SUM(T5_[[#This Row],[Recuento de T5 CODIGO]]*T5_[[#This Row],[Columna1]])</f>
        <v>1106.96</v>
      </c>
    </row>
    <row r="201" spans="1:4" x14ac:dyDescent="0.25">
      <c r="A201" s="250" t="s">
        <v>1015</v>
      </c>
      <c r="B201">
        <v>10</v>
      </c>
      <c r="C201" s="251">
        <f>LOOKUP(T5_[[#This Row],[Etiquetas de fila]],'VALORIZACION CARTA'!B:B,'VALORIZACION CARTA'!C:C)</f>
        <v>311.02222499999999</v>
      </c>
      <c r="D201" s="251">
        <f>SUM(T5_[[#This Row],[Recuento de T5 CODIGO]]*T5_[[#This Row],[Columna1]])</f>
        <v>3110.2222499999998</v>
      </c>
    </row>
    <row r="202" spans="1:4" x14ac:dyDescent="0.25">
      <c r="A202" s="250" t="s">
        <v>836</v>
      </c>
      <c r="B202">
        <v>145</v>
      </c>
      <c r="C202" s="251">
        <f>LOOKUP(T5_[[#This Row],[Etiquetas de fila]],'VALORIZACION CARTA'!B:B,'VALORIZACION CARTA'!C:C)</f>
        <v>879.64050000000009</v>
      </c>
      <c r="D202" s="251">
        <f>SUM(T5_[[#This Row],[Recuento de T5 CODIGO]]*T5_[[#This Row],[Columna1]])</f>
        <v>127547.87250000001</v>
      </c>
    </row>
    <row r="203" spans="1:4" x14ac:dyDescent="0.25">
      <c r="A203" s="250" t="s">
        <v>633</v>
      </c>
      <c r="B203">
        <v>2</v>
      </c>
      <c r="C203" s="251">
        <f>LOOKUP(T5_[[#This Row],[Etiquetas de fila]],'VALORIZACION CARTA'!B:B,'VALORIZACION CARTA'!C:C)</f>
        <v>879.64050000000009</v>
      </c>
      <c r="D203" s="251">
        <f>SUM(T5_[[#This Row],[Recuento de T5 CODIGO]]*T5_[[#This Row],[Columna1]])</f>
        <v>1759.2810000000002</v>
      </c>
    </row>
    <row r="204" spans="1:4" x14ac:dyDescent="0.25">
      <c r="A204" s="250" t="s">
        <v>1018</v>
      </c>
      <c r="B204">
        <v>4</v>
      </c>
      <c r="C204" s="251">
        <f>LOOKUP(T5_[[#This Row],[Etiquetas de fila]],'VALORIZACION CARTA'!B:B,'VALORIZACION CARTA'!C:C)</f>
        <v>576.65332750000005</v>
      </c>
      <c r="D204" s="251">
        <f>SUM(T5_[[#This Row],[Recuento de T5 CODIGO]]*T5_[[#This Row],[Columna1]])</f>
        <v>2306.6133100000002</v>
      </c>
    </row>
    <row r="205" spans="1:4" x14ac:dyDescent="0.25">
      <c r="A205" s="250" t="s">
        <v>1020</v>
      </c>
      <c r="B205">
        <v>2</v>
      </c>
      <c r="C205" s="251">
        <f>LOOKUP(T5_[[#This Row],[Etiquetas de fila]],'VALORIZACION CARTA'!B:B,'VALORIZACION CARTA'!C:C)</f>
        <v>1481.9132999999999</v>
      </c>
      <c r="D205" s="251">
        <f>SUM(T5_[[#This Row],[Recuento de T5 CODIGO]]*T5_[[#This Row],[Columna1]])</f>
        <v>2963.8265999999999</v>
      </c>
    </row>
    <row r="206" spans="1:4" x14ac:dyDescent="0.25">
      <c r="A206" s="250" t="s">
        <v>837</v>
      </c>
      <c r="B206">
        <v>16</v>
      </c>
      <c r="C206" s="251">
        <f>LOOKUP(T5_[[#This Row],[Etiquetas de fila]],'VALORIZACION CARTA'!B:B,'VALORIZACION CARTA'!C:C)</f>
        <v>9038.2820499999998</v>
      </c>
      <c r="D206" s="251">
        <f>SUM(T5_[[#This Row],[Recuento de T5 CODIGO]]*T5_[[#This Row],[Columna1]])</f>
        <v>144612.5128</v>
      </c>
    </row>
    <row r="207" spans="1:4" x14ac:dyDescent="0.25">
      <c r="A207" s="250" t="s">
        <v>840</v>
      </c>
      <c r="B207">
        <v>10</v>
      </c>
      <c r="C207" s="251">
        <f>LOOKUP(T5_[[#This Row],[Etiquetas de fila]],'VALORIZACION CARTA'!B:B,'VALORIZACION CARTA'!C:C)</f>
        <v>704.64960000000008</v>
      </c>
      <c r="D207" s="251">
        <f>SUM(T5_[[#This Row],[Recuento de T5 CODIGO]]*T5_[[#This Row],[Columna1]])</f>
        <v>7046.496000000001</v>
      </c>
    </row>
    <row r="208" spans="1:4" x14ac:dyDescent="0.25">
      <c r="A208" s="250" t="s">
        <v>1021</v>
      </c>
      <c r="B208">
        <v>4</v>
      </c>
      <c r="C208" s="251">
        <f>LOOKUP(T5_[[#This Row],[Etiquetas de fila]],'VALORIZACION CARTA'!B:B,'VALORIZACION CARTA'!C:C)</f>
        <v>704.62379999999996</v>
      </c>
      <c r="D208" s="251">
        <f>SUM(T5_[[#This Row],[Recuento de T5 CODIGO]]*T5_[[#This Row],[Columna1]])</f>
        <v>2818.4951999999998</v>
      </c>
    </row>
    <row r="209" spans="1:4" x14ac:dyDescent="0.25">
      <c r="A209" s="250" t="s">
        <v>1022</v>
      </c>
      <c r="B209">
        <v>5</v>
      </c>
      <c r="C209" s="251">
        <f>LOOKUP(T5_[[#This Row],[Etiquetas de fila]],'VALORIZACION CARTA'!B:B,'VALORIZACION CARTA'!C:C)</f>
        <v>816.07499999999993</v>
      </c>
      <c r="D209" s="251">
        <f>SUM(T5_[[#This Row],[Recuento de T5 CODIGO]]*T5_[[#This Row],[Columna1]])</f>
        <v>4080.3749999999995</v>
      </c>
    </row>
    <row r="210" spans="1:4" x14ac:dyDescent="0.25">
      <c r="A210" s="250" t="s">
        <v>848</v>
      </c>
      <c r="B210">
        <v>7</v>
      </c>
      <c r="C210" s="251">
        <f>LOOKUP(T5_[[#This Row],[Etiquetas de fila]],'VALORIZACION CARTA'!B:B,'VALORIZACION CARTA'!C:C)</f>
        <v>802.1090999999999</v>
      </c>
      <c r="D210" s="251">
        <f>SUM(T5_[[#This Row],[Recuento de T5 CODIGO]]*T5_[[#This Row],[Columna1]])</f>
        <v>5614.7636999999995</v>
      </c>
    </row>
    <row r="211" spans="1:4" x14ac:dyDescent="0.25">
      <c r="A211" s="250" t="s">
        <v>851</v>
      </c>
      <c r="B211">
        <v>1</v>
      </c>
      <c r="C211" s="251">
        <f>LOOKUP(T5_[[#This Row],[Etiquetas de fila]],'VALORIZACION CARTA'!B:B,'VALORIZACION CARTA'!C:C)</f>
        <v>1629.7215000000001</v>
      </c>
      <c r="D211" s="251">
        <f>SUM(T5_[[#This Row],[Recuento de T5 CODIGO]]*T5_[[#This Row],[Columna1]])</f>
        <v>1629.7215000000001</v>
      </c>
    </row>
    <row r="212" spans="1:4" x14ac:dyDescent="0.25">
      <c r="A212" s="250" t="s">
        <v>1023</v>
      </c>
      <c r="B212">
        <v>2</v>
      </c>
      <c r="C212" s="251">
        <f>LOOKUP(T5_[[#This Row],[Etiquetas de fila]],'VALORIZACION CARTA'!B:B,'VALORIZACION CARTA'!C:C)</f>
        <v>1861.9429999999998</v>
      </c>
      <c r="D212" s="251">
        <f>SUM(T5_[[#This Row],[Recuento de T5 CODIGO]]*T5_[[#This Row],[Columna1]])</f>
        <v>3723.8859999999995</v>
      </c>
    </row>
    <row r="213" spans="1:4" x14ac:dyDescent="0.25">
      <c r="A213" s="250" t="s">
        <v>326</v>
      </c>
      <c r="B213">
        <v>4</v>
      </c>
      <c r="C213" s="251">
        <f>LOOKUP(T5_[[#This Row],[Etiquetas de fila]],'VALORIZACION CARTA'!B:B,'VALORIZACION CARTA'!C:C)</f>
        <v>15478.01006557377</v>
      </c>
      <c r="D213" s="251">
        <f>SUM(T5_[[#This Row],[Recuento de T5 CODIGO]]*T5_[[#This Row],[Columna1]])</f>
        <v>61912.040262295079</v>
      </c>
    </row>
    <row r="214" spans="1:4" x14ac:dyDescent="0.25">
      <c r="A214" s="250" t="s">
        <v>852</v>
      </c>
      <c r="B214">
        <v>33</v>
      </c>
      <c r="C214" s="251">
        <f>LOOKUP(T5_[[#This Row],[Etiquetas de fila]],'VALORIZACION CARTA'!B:B,'VALORIZACION CARTA'!C:C)</f>
        <v>4127.4879841666661</v>
      </c>
      <c r="D214" s="251">
        <f>SUM(T5_[[#This Row],[Recuento de T5 CODIGO]]*T5_[[#This Row],[Columna1]])</f>
        <v>136207.10347749997</v>
      </c>
    </row>
    <row r="215" spans="1:4" x14ac:dyDescent="0.25">
      <c r="A215" s="250" t="s">
        <v>887</v>
      </c>
      <c r="B215">
        <v>2</v>
      </c>
      <c r="C215" s="251">
        <f>LOOKUP(T5_[[#This Row],[Etiquetas de fila]],'VALORIZACION CARTA'!B:B,'VALORIZACION CARTA'!C:C)</f>
        <v>2331.10721375</v>
      </c>
      <c r="D215" s="251">
        <f>SUM(T5_[[#This Row],[Recuento de T5 CODIGO]]*T5_[[#This Row],[Columna1]])</f>
        <v>4662.2144275000001</v>
      </c>
    </row>
    <row r="216" spans="1:4" x14ac:dyDescent="0.25">
      <c r="A216" s="250" t="s">
        <v>1025</v>
      </c>
      <c r="B216">
        <v>1</v>
      </c>
      <c r="C216" s="251">
        <f>LOOKUP(T5_[[#This Row],[Etiquetas de fila]],'VALORIZACION CARTA'!B:B,'VALORIZACION CARTA'!C:C)</f>
        <v>3276.0308749999999</v>
      </c>
      <c r="D216" s="251">
        <f>SUM(T5_[[#This Row],[Recuento de T5 CODIGO]]*T5_[[#This Row],[Columna1]])</f>
        <v>3276.0308749999999</v>
      </c>
    </row>
    <row r="217" spans="1:4" x14ac:dyDescent="0.25">
      <c r="A217" s="250" t="s">
        <v>861</v>
      </c>
      <c r="B217">
        <v>12</v>
      </c>
      <c r="C217" s="251">
        <f>LOOKUP(T5_[[#This Row],[Etiquetas de fila]],'VALORIZACION CARTA'!B:B,'VALORIZACION CARTA'!C:C)</f>
        <v>4263.1154999999999</v>
      </c>
      <c r="D217" s="251">
        <f>SUM(T5_[[#This Row],[Recuento de T5 CODIGO]]*T5_[[#This Row],[Columna1]])</f>
        <v>51157.385999999999</v>
      </c>
    </row>
    <row r="218" spans="1:4" x14ac:dyDescent="0.25">
      <c r="A218" s="250" t="s">
        <v>842</v>
      </c>
      <c r="B218">
        <v>21</v>
      </c>
      <c r="C218" s="251">
        <f>LOOKUP(T5_[[#This Row],[Etiquetas de fila]],'VALORIZACION CARTA'!B:B,'VALORIZACION CARTA'!C:C)</f>
        <v>841.05419999999992</v>
      </c>
      <c r="D218" s="251">
        <f>SUM(T5_[[#This Row],[Recuento de T5 CODIGO]]*T5_[[#This Row],[Columna1]])</f>
        <v>17662.138199999998</v>
      </c>
    </row>
    <row r="219" spans="1:4" x14ac:dyDescent="0.25">
      <c r="A219" s="250" t="s">
        <v>883</v>
      </c>
      <c r="B219">
        <v>8</v>
      </c>
      <c r="C219" s="251">
        <f>LOOKUP(T5_[[#This Row],[Etiquetas de fila]],'VALORIZACION CARTA'!B:B,'VALORIZACION CARTA'!C:C)</f>
        <v>623.55092999999999</v>
      </c>
      <c r="D219" s="251">
        <f>SUM(T5_[[#This Row],[Recuento de T5 CODIGO]]*T5_[[#This Row],[Columna1]])</f>
        <v>4988.40744</v>
      </c>
    </row>
    <row r="220" spans="1:4" x14ac:dyDescent="0.25">
      <c r="A220" s="250" t="s">
        <v>1028</v>
      </c>
      <c r="B220">
        <v>7</v>
      </c>
      <c r="C220" s="251">
        <f>LOOKUP(T5_[[#This Row],[Etiquetas de fila]],'VALORIZACION CARTA'!B:B,'VALORIZACION CARTA'!C:C)</f>
        <v>1011.9253666666666</v>
      </c>
      <c r="D220" s="251">
        <f>SUM(T5_[[#This Row],[Recuento de T5 CODIGO]]*T5_[[#This Row],[Columna1]])</f>
        <v>7083.4775666666665</v>
      </c>
    </row>
    <row r="221" spans="1:4" x14ac:dyDescent="0.25">
      <c r="A221" s="250" t="s">
        <v>1029</v>
      </c>
      <c r="B221">
        <v>1</v>
      </c>
      <c r="C221" s="251">
        <f>LOOKUP(T5_[[#This Row],[Etiquetas de fila]],'VALORIZACION CARTA'!B:B,'VALORIZACION CARTA'!C:C)</f>
        <v>1011.9253666666666</v>
      </c>
      <c r="D221" s="251">
        <f>SUM(T5_[[#This Row],[Recuento de T5 CODIGO]]*T5_[[#This Row],[Columna1]])</f>
        <v>1011.9253666666666</v>
      </c>
    </row>
    <row r="222" spans="1:4" x14ac:dyDescent="0.25">
      <c r="A222" s="250" t="s">
        <v>1030</v>
      </c>
      <c r="B222">
        <v>4</v>
      </c>
      <c r="C222" s="251">
        <f>LOOKUP(T5_[[#This Row],[Etiquetas de fila]],'VALORIZACION CARTA'!B:B,'VALORIZACION CARTA'!C:C)</f>
        <v>1011.9253666666666</v>
      </c>
      <c r="D222" s="251">
        <f>SUM(T5_[[#This Row],[Recuento de T5 CODIGO]]*T5_[[#This Row],[Columna1]])</f>
        <v>4047.7014666666664</v>
      </c>
    </row>
    <row r="223" spans="1:4" x14ac:dyDescent="0.25">
      <c r="A223" s="250" t="s">
        <v>866</v>
      </c>
      <c r="B223">
        <v>3</v>
      </c>
      <c r="C223" s="251">
        <f>LOOKUP(T5_[[#This Row],[Etiquetas de fila]],'VALORIZACION CARTA'!B:B,'VALORIZACION CARTA'!C:C)</f>
        <v>1011.9253666666666</v>
      </c>
      <c r="D223" s="251">
        <f>SUM(T5_[[#This Row],[Recuento de T5 CODIGO]]*T5_[[#This Row],[Columna1]])</f>
        <v>3035.7761</v>
      </c>
    </row>
    <row r="224" spans="1:4" x14ac:dyDescent="0.25">
      <c r="A224" s="250" t="s">
        <v>868</v>
      </c>
      <c r="B224">
        <v>3</v>
      </c>
      <c r="C224" s="251">
        <f>LOOKUP(T5_[[#This Row],[Etiquetas de fila]],'VALORIZACION CARTA'!B:B,'VALORIZACION CARTA'!C:C)</f>
        <v>1011.9253666666666</v>
      </c>
      <c r="D224" s="251">
        <f>SUM(T5_[[#This Row],[Recuento de T5 CODIGO]]*T5_[[#This Row],[Columna1]])</f>
        <v>3035.7761</v>
      </c>
    </row>
    <row r="225" spans="1:4" x14ac:dyDescent="0.25">
      <c r="A225" s="250" t="s">
        <v>1031</v>
      </c>
      <c r="B225">
        <v>3783</v>
      </c>
      <c r="C225" s="251">
        <f>LOOKUP(T5_[[#This Row],[Etiquetas de fila]],'VALORIZACION CARTA'!B:B,'VALORIZACION CARTA'!C:C)</f>
        <v>675.04281250000008</v>
      </c>
      <c r="D225" s="251">
        <f>SUM(T5_[[#This Row],[Recuento de T5 CODIGO]]*T5_[[#This Row],[Columna1]])</f>
        <v>2553686.9596875003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8F522-FD1D-41D4-BBCF-1BD08CEEAE29}">
  <sheetPr codeName="Hoja10"/>
  <dimension ref="A2:C400"/>
  <sheetViews>
    <sheetView zoomScale="90" zoomScaleNormal="90" workbookViewId="0">
      <selection activeCell="C4" sqref="C4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1</v>
      </c>
      <c r="B3" t="str">
        <f>TRANSPOSE(T6_[Etiquetas de fila])</f>
        <v>2 Shot Tequila Jimador</v>
      </c>
      <c r="C3">
        <f>TRANSPOSE(T6_[Recuento de T6 CODIGO])</f>
        <v>9</v>
      </c>
    </row>
    <row r="4" spans="1:3" x14ac:dyDescent="0.25">
      <c r="A4" t="b">
        <f>IFERROR(IF(MATCH(B4,RECETAS!$A$2:$A$1700,0) &lt;&gt; "", TRUE,""),FALSE)</f>
        <v>1</v>
      </c>
      <c r="B4" t="str">
        <f>TRANSPOSE(T6_[Etiquetas de fila])</f>
        <v>4 Shot Jagermeister</v>
      </c>
      <c r="C4">
        <f>TRANSPOSE(T6_[Recuento de T6 CODIGO])</f>
        <v>2</v>
      </c>
    </row>
    <row r="5" spans="1:3" x14ac:dyDescent="0.25">
      <c r="A5" t="b">
        <f>IFERROR(IF(MATCH(B5,RECETAS!$A$2:$A$1700,0) &lt;&gt; "", TRUE,""),FALSE)</f>
        <v>1</v>
      </c>
      <c r="B5" t="str">
        <f>TRANSPOSE(T6_[Etiquetas de fila])</f>
        <v>Absolut Blue</v>
      </c>
      <c r="C5">
        <f>TRANSPOSE(T6_[Recuento de T6 CODIGO])</f>
        <v>1</v>
      </c>
    </row>
    <row r="6" spans="1:3" x14ac:dyDescent="0.25">
      <c r="A6" t="b">
        <f>IFERROR(IF(MATCH(B6,RECETAS!$A$2:$A$1700,0) &lt;&gt; "", TRUE,""),FALSE)</f>
        <v>1</v>
      </c>
      <c r="B6" t="str">
        <f>TRANSPOSE(T6_[Etiquetas de fila])</f>
        <v>Alto 40° Reservado</v>
      </c>
      <c r="C6">
        <f>TRANSPOSE(T6_[Recuento de T6 CODIGO])</f>
        <v>1</v>
      </c>
    </row>
    <row r="7" spans="1:3" x14ac:dyDescent="0.25">
      <c r="A7" t="b">
        <f>IFERROR(IF(MATCH(B7,RECETAS!$A$2:$A$1700,0) &lt;&gt; "", TRUE,""),FALSE)</f>
        <v>1</v>
      </c>
      <c r="B7" t="str">
        <f>TRANSPOSE(T6_[Etiquetas de fila])</f>
        <v>Alto 40° Transparente</v>
      </c>
      <c r="C7">
        <f>TRANSPOSE(T6_[Recuento de T6 CODIGO])</f>
        <v>2</v>
      </c>
    </row>
    <row r="8" spans="1:3" x14ac:dyDescent="0.25">
      <c r="A8" t="b">
        <f>IFERROR(IF(MATCH(B8,RECETAS!$A$2:$A$1700,0) &lt;&gt; "", TRUE,""),FALSE)</f>
        <v>1</v>
      </c>
      <c r="B8" t="str">
        <f>TRANSPOSE(T6_[Etiquetas de fila])</f>
        <v>Alto del Carmen 35°</v>
      </c>
      <c r="C8">
        <f>TRANSPOSE(T6_[Recuento de T6 CODIGO])</f>
        <v>12</v>
      </c>
    </row>
    <row r="9" spans="1:3" x14ac:dyDescent="0.25">
      <c r="A9" t="b">
        <f>IFERROR(IF(MATCH(B9,RECETAS!$A$2:$A$1700,0) &lt;&gt; "", TRUE,""),FALSE)</f>
        <v>1</v>
      </c>
      <c r="B9" t="str">
        <f>TRANSPOSE(T6_[Etiquetas de fila])</f>
        <v>Alto del Carmen 40°</v>
      </c>
      <c r="C9">
        <f>TRANSPOSE(T6_[Recuento de T6 CODIGO])</f>
        <v>5</v>
      </c>
    </row>
    <row r="10" spans="1:3" x14ac:dyDescent="0.25">
      <c r="A10" t="b">
        <f>IFERROR(IF(MATCH(B10,RECETAS!$A$2:$A$1700,0) &lt;&gt; "", TRUE,""),FALSE)</f>
        <v>1</v>
      </c>
      <c r="B10" t="str">
        <f>TRANSPOSE(T6_[Etiquetas de fila])</f>
        <v>Aperol Spritz</v>
      </c>
      <c r="C10">
        <f>TRANSPOSE(T6_[Recuento de T6 CODIGO])</f>
        <v>14</v>
      </c>
    </row>
    <row r="11" spans="1:3" x14ac:dyDescent="0.25">
      <c r="A11" t="b">
        <f>IFERROR(IF(MATCH(B11,RECETAS!$A$2:$A$1700,0) &lt;&gt; "", TRUE,""),FALSE)</f>
        <v>0</v>
      </c>
      <c r="B11" t="str">
        <f>TRANSPOSE(T6_[Etiquetas de fila])</f>
        <v>AROS DE CEBOLLA APANADO</v>
      </c>
      <c r="C11">
        <f>TRANSPOSE(T6_[Recuento de T6 CODIGO])</f>
        <v>4</v>
      </c>
    </row>
    <row r="12" spans="1:3" x14ac:dyDescent="0.25">
      <c r="A12" t="b">
        <f>IFERROR(IF(MATCH(B12,RECETAS!$A$2:$A$1700,0) &lt;&gt; "", TRUE,""),FALSE)</f>
        <v>1</v>
      </c>
      <c r="B12" t="str">
        <f>TRANSPOSE(T6_[Etiquetas de fila])</f>
        <v>Atardecer de Plata</v>
      </c>
      <c r="C12">
        <f>TRANSPOSE(T6_[Recuento de T6 CODIGO])</f>
        <v>1</v>
      </c>
    </row>
    <row r="13" spans="1:3" x14ac:dyDescent="0.25">
      <c r="A13" t="b">
        <f>IFERROR(IF(MATCH(B13,RECETAS!$A$2:$A$1700,0) &lt;&gt; "", TRUE,""),FALSE)</f>
        <v>0</v>
      </c>
      <c r="B13" t="str">
        <f>TRANSPOSE(T6_[Etiquetas de fila])</f>
        <v>B.CRUDO</v>
      </c>
      <c r="C13">
        <f>TRANSPOSE(T6_[Recuento de T6 CODIGO])</f>
        <v>2</v>
      </c>
    </row>
    <row r="14" spans="1:3" x14ac:dyDescent="0.25">
      <c r="A14" t="b">
        <f>IFERROR(IF(MATCH(B14,RECETAS!$A$2:$A$1700,0) &lt;&gt; "", TRUE,""),FALSE)</f>
        <v>1</v>
      </c>
      <c r="B14" t="str">
        <f>TRANSPOSE(T6_[Etiquetas de fila])</f>
        <v>Baileys</v>
      </c>
      <c r="C14">
        <f>TRANSPOSE(T6_[Recuento de T6 CODIGO])</f>
        <v>2</v>
      </c>
    </row>
    <row r="15" spans="1:3" x14ac:dyDescent="0.25">
      <c r="A15" t="b">
        <f>IFERROR(IF(MATCH(B15,RECETAS!$A$2:$A$1700,0) &lt;&gt; "", TRUE,""),FALSE)</f>
        <v>1</v>
      </c>
      <c r="B15" t="str">
        <f>TRANSPOSE(T6_[Etiquetas de fila])</f>
        <v>Beefeater</v>
      </c>
      <c r="C15">
        <f>TRANSPOSE(T6_[Recuento de T6 CODIGO])</f>
        <v>2</v>
      </c>
    </row>
    <row r="16" spans="1:3" x14ac:dyDescent="0.25">
      <c r="A16" t="b">
        <f>IFERROR(IF(MATCH(B16,RECETAS!$A$2:$A$1700,0) &lt;&gt; "", TRUE,""),FALSE)</f>
        <v>1</v>
      </c>
      <c r="B16" t="str">
        <f>TRANSPOSE(T6_[Etiquetas de fila])</f>
        <v>Berlin Mule</v>
      </c>
      <c r="C16">
        <f>TRANSPOSE(T6_[Recuento de T6 CODIGO])</f>
        <v>2</v>
      </c>
    </row>
    <row r="17" spans="1:3" x14ac:dyDescent="0.25">
      <c r="A17" t="b">
        <f>IFERROR(IF(MATCH(B17,RECETAS!$A$2:$A$1700,0) &lt;&gt; "", TRUE,""),FALSE)</f>
        <v>1</v>
      </c>
      <c r="B17" t="str">
        <f>TRANSPOSE(T6_[Etiquetas de fila])</f>
        <v>Big Mechada</v>
      </c>
      <c r="C17">
        <f>TRANSPOSE(T6_[Recuento de T6 CODIGO])</f>
        <v>18</v>
      </c>
    </row>
    <row r="18" spans="1:3" x14ac:dyDescent="0.25">
      <c r="A18" t="b">
        <f>IFERROR(IF(MATCH(B18,RECETAS!$A$2:$A$1700,0) &lt;&gt; "", TRUE,""),FALSE)</f>
        <v>1</v>
      </c>
      <c r="B18" t="str">
        <f>TRANSPOSE(T6_[Etiquetas de fila])</f>
        <v>Black Russian</v>
      </c>
      <c r="C18">
        <f>TRANSPOSE(T6_[Recuento de T6 CODIGO])</f>
        <v>1</v>
      </c>
    </row>
    <row r="19" spans="1:3" x14ac:dyDescent="0.25">
      <c r="A19" t="b">
        <f>IFERROR(IF(MATCH(B19,RECETAS!$A$2:$A$1700,0) &lt;&gt; "", TRUE,""),FALSE)</f>
        <v>1</v>
      </c>
      <c r="B19" t="str">
        <f>TRANSPOSE(T6_[Etiquetas de fila])</f>
        <v>Brujas de Salamanca 40°</v>
      </c>
      <c r="C19">
        <f>TRANSPOSE(T6_[Recuento de T6 CODIGO])</f>
        <v>2</v>
      </c>
    </row>
    <row r="20" spans="1:3" x14ac:dyDescent="0.25">
      <c r="A20" t="b">
        <f>IFERROR(IF(MATCH(B20,RECETAS!$A$2:$A$1700,0) &lt;&gt; "", TRUE,""),FALSE)</f>
        <v>1</v>
      </c>
      <c r="B20" t="str">
        <f>TRANSPOSE(T6_[Etiquetas de fila])</f>
        <v>Budweiser</v>
      </c>
      <c r="C20">
        <f>TRANSPOSE(T6_[Recuento de T6 CODIGO])</f>
        <v>2</v>
      </c>
    </row>
    <row r="21" spans="1:3" x14ac:dyDescent="0.25">
      <c r="A21" t="b">
        <f>IFERROR(IF(MATCH(B21,RECETAS!$A$2:$A$1700,0) &lt;&gt; "", TRUE,""),FALSE)</f>
        <v>1</v>
      </c>
      <c r="B21" t="str">
        <f>TRANSPOSE(T6_[Etiquetas de fila])</f>
        <v>Caipirinha Frambuesa</v>
      </c>
      <c r="C21">
        <f>TRANSPOSE(T6_[Recuento de T6 CODIGO])</f>
        <v>2</v>
      </c>
    </row>
    <row r="22" spans="1:3" x14ac:dyDescent="0.25">
      <c r="A22" t="b">
        <f>IFERROR(IF(MATCH(B22,RECETAS!$A$2:$A$1700,0) &lt;&gt; "", TRUE,""),FALSE)</f>
        <v>1</v>
      </c>
      <c r="B22" t="str">
        <f>TRANSPOSE(T6_[Etiquetas de fila])</f>
        <v>Caipirinha Mango</v>
      </c>
      <c r="C22">
        <f>TRANSPOSE(T6_[Recuento de T6 CODIGO])</f>
        <v>3</v>
      </c>
    </row>
    <row r="23" spans="1:3" x14ac:dyDescent="0.25">
      <c r="A23" t="b">
        <f>IFERROR(IF(MATCH(B23,RECETAS!$A$2:$A$1700,0) &lt;&gt; "", TRUE,""),FALSE)</f>
        <v>1</v>
      </c>
      <c r="B23" t="str">
        <f>TRANSPOSE(T6_[Etiquetas de fila])</f>
        <v>Caipirinha Tradicional</v>
      </c>
      <c r="C23">
        <f>TRANSPOSE(T6_[Recuento de T6 CODIGO])</f>
        <v>9</v>
      </c>
    </row>
    <row r="24" spans="1:3" x14ac:dyDescent="0.25">
      <c r="A24" t="b">
        <f>IFERROR(IF(MATCH(B24,RECETAS!$A$2:$A$1700,0) &lt;&gt; "", TRUE,""),FALSE)</f>
        <v>1</v>
      </c>
      <c r="B24" t="str">
        <f>TRANSPOSE(T6_[Etiquetas de fila])</f>
        <v>Caipiroska Mango</v>
      </c>
      <c r="C24">
        <f>TRANSPOSE(T6_[Recuento de T6 CODIGO])</f>
        <v>1</v>
      </c>
    </row>
    <row r="25" spans="1:3" x14ac:dyDescent="0.25">
      <c r="A25" t="b">
        <f>IFERROR(IF(MATCH(B25,RECETAS!$A$2:$A$1700,0) &lt;&gt; "", TRUE,""),FALSE)</f>
        <v>1</v>
      </c>
      <c r="B25" t="str">
        <f>TRANSPOSE(T6_[Etiquetas de fila])</f>
        <v>Caipiroska Tradicional</v>
      </c>
      <c r="C25">
        <f>TRANSPOSE(T6_[Recuento de T6 CODIGO])</f>
        <v>1</v>
      </c>
    </row>
    <row r="26" spans="1:3" x14ac:dyDescent="0.25">
      <c r="A26" t="b">
        <f>IFERROR(IF(MATCH(B26,RECETAS!$A$2:$A$1700,0) &lt;&gt; "", TRUE,""),FALSE)</f>
        <v>1</v>
      </c>
      <c r="B26" t="str">
        <f>TRANSPOSE(T6_[Etiquetas de fila])</f>
        <v>Campari Naranja</v>
      </c>
      <c r="C26">
        <f>TRANSPOSE(T6_[Recuento de T6 CODIGO])</f>
        <v>2</v>
      </c>
    </row>
    <row r="27" spans="1:3" x14ac:dyDescent="0.25">
      <c r="A27" t="b">
        <f>IFERROR(IF(MATCH(B27,RECETAS!$A$2:$A$1700,0) &lt;&gt; "", TRUE,""),FALSE)</f>
        <v>0</v>
      </c>
      <c r="B27" t="str">
        <f>TRANSPOSE(T6_[Etiquetas de fila])</f>
        <v>CARIÑOSITO</v>
      </c>
      <c r="C27">
        <f>TRANSPOSE(T6_[Recuento de T6 CODIGO])</f>
        <v>1</v>
      </c>
    </row>
    <row r="28" spans="1:3" x14ac:dyDescent="0.25">
      <c r="A28" t="b">
        <f>IFERROR(IF(MATCH(B28,RECETAS!$A$2:$A$1700,0) &lt;&gt; "", TRUE,""),FALSE)</f>
        <v>1</v>
      </c>
      <c r="B28" t="str">
        <f>TRANSPOSE(T6_[Etiquetas de fila])</f>
        <v>Ceviche Mixto</v>
      </c>
      <c r="C28">
        <f>TRANSPOSE(T6_[Recuento de T6 CODIGO])</f>
        <v>10</v>
      </c>
    </row>
    <row r="29" spans="1:3" x14ac:dyDescent="0.25">
      <c r="A29" t="b">
        <f>IFERROR(IF(MATCH(B29,RECETAS!$A$2:$A$1700,0) &lt;&gt; "", TRUE,""),FALSE)</f>
        <v>0</v>
      </c>
      <c r="B29" t="str">
        <f>TRANSPOSE(T6_[Etiquetas de fila])</f>
        <v>CHARDONAY SOUR</v>
      </c>
      <c r="C29">
        <f>TRANSPOSE(T6_[Recuento de T6 CODIGO])</f>
        <v>21</v>
      </c>
    </row>
    <row r="30" spans="1:3" x14ac:dyDescent="0.25">
      <c r="A30" t="b">
        <f>IFERROR(IF(MATCH(B30,RECETAS!$A$2:$A$1700,0) &lt;&gt; "", TRUE,""),FALSE)</f>
        <v>1</v>
      </c>
      <c r="B30" t="str">
        <f>TRANSPOSE(T6_[Etiquetas de fila])</f>
        <v>Cheese Camarones</v>
      </c>
      <c r="C30">
        <f>TRANSPOSE(T6_[Recuento de T6 CODIGO])</f>
        <v>27</v>
      </c>
    </row>
    <row r="31" spans="1:3" x14ac:dyDescent="0.25">
      <c r="A31" t="b">
        <f>IFERROR(IF(MATCH(B31,RECETAS!$A$2:$A$1700,0) &lt;&gt; "", TRUE,""),FALSE)</f>
        <v>1</v>
      </c>
      <c r="B31" t="str">
        <f>TRANSPOSE(T6_[Etiquetas de fila])</f>
        <v>Cheese Champiñones</v>
      </c>
      <c r="C31">
        <f>TRANSPOSE(T6_[Recuento de T6 CODIGO])</f>
        <v>87</v>
      </c>
    </row>
    <row r="32" spans="1:3" x14ac:dyDescent="0.25">
      <c r="A32" t="b">
        <f>IFERROR(IF(MATCH(B32,RECETAS!$A$2:$A$1700,0) &lt;&gt; "", TRUE,""),FALSE)</f>
        <v>1</v>
      </c>
      <c r="B32" t="str">
        <f>TRANSPOSE(T6_[Etiquetas de fila])</f>
        <v>Cheese Fritas Grandes</v>
      </c>
      <c r="C32">
        <f>TRANSPOSE(T6_[Recuento de T6 CODIGO])</f>
        <v>43</v>
      </c>
    </row>
    <row r="33" spans="1:3" x14ac:dyDescent="0.25">
      <c r="A33" t="b">
        <f>IFERROR(IF(MATCH(B33,RECETAS!$A$2:$A$1700,0) &lt;&gt; "", TRUE,""),FALSE)</f>
        <v>1</v>
      </c>
      <c r="B33" t="str">
        <f>TRANSPOSE(T6_[Etiquetas de fila])</f>
        <v>Cheese Mechada</v>
      </c>
      <c r="C33">
        <f>TRANSPOSE(T6_[Recuento de T6 CODIGO])</f>
        <v>50</v>
      </c>
    </row>
    <row r="34" spans="1:3" x14ac:dyDescent="0.25">
      <c r="A34" t="b">
        <f>IFERROR(IF(MATCH(B34,RECETAS!$A$2:$A$1700,0) &lt;&gt; "", TRUE,""),FALSE)</f>
        <v>1</v>
      </c>
      <c r="B34" t="str">
        <f>TRANSPOSE(T6_[Etiquetas de fila])</f>
        <v>Cheese Teclados</v>
      </c>
      <c r="C34">
        <f>TRANSPOSE(T6_[Recuento de T6 CODIGO])</f>
        <v>115</v>
      </c>
    </row>
    <row r="35" spans="1:3" x14ac:dyDescent="0.25">
      <c r="A35" t="b">
        <f>IFERROR(IF(MATCH(B35,RECETAS!$A$2:$A$1700,0) &lt;&gt; "", TRUE,""),FALSE)</f>
        <v>1</v>
      </c>
      <c r="B35" t="str">
        <f>TRANSPOSE(T6_[Etiquetas de fila])</f>
        <v>Chicken Finger</v>
      </c>
      <c r="C35">
        <f>TRANSPOSE(T6_[Recuento de T6 CODIGO])</f>
        <v>20</v>
      </c>
    </row>
    <row r="36" spans="1:3" x14ac:dyDescent="0.25">
      <c r="A36" t="b">
        <f>IFERROR(IF(MATCH(B36,RECETAS!$A$2:$A$1700,0) &lt;&gt; "", TRUE,""),FALSE)</f>
        <v>0</v>
      </c>
      <c r="B36" t="str">
        <f>TRANSPOSE(T6_[Etiquetas de fila])</f>
        <v>CHURRASCO MARINO</v>
      </c>
      <c r="C36">
        <f>TRANSPOSE(T6_[Recuento de T6 CODIGO])</f>
        <v>7</v>
      </c>
    </row>
    <row r="37" spans="1:3" x14ac:dyDescent="0.25">
      <c r="A37" t="b">
        <f>IFERROR(IF(MATCH(B37,RECETAS!$A$2:$A$1700,0) &lt;&gt; "", TRUE,""),FALSE)</f>
        <v>1</v>
      </c>
      <c r="B37" t="str">
        <f>TRANSPOSE(T6_[Etiquetas de fila])</f>
        <v>Clavo Oxidado</v>
      </c>
      <c r="C37">
        <f>TRANSPOSE(T6_[Recuento de T6 CODIGO])</f>
        <v>8</v>
      </c>
    </row>
    <row r="38" spans="1:3" x14ac:dyDescent="0.25">
      <c r="A38" t="b">
        <f>IFERROR(IF(MATCH(B38,RECETAS!$A$2:$A$1700,0) &lt;&gt; "", TRUE,""),FALSE)</f>
        <v>1</v>
      </c>
      <c r="B38" t="str">
        <f>TRANSPOSE(T6_[Etiquetas de fila])</f>
        <v>Coca Cola 350cc</v>
      </c>
      <c r="C38">
        <f>TRANSPOSE(T6_[Recuento de T6 CODIGO])</f>
        <v>39</v>
      </c>
    </row>
    <row r="39" spans="1:3" x14ac:dyDescent="0.25">
      <c r="A39" t="b">
        <f>IFERROR(IF(MATCH(B39,RECETAS!$A$2:$A$1700,0) &lt;&gt; "", TRUE,""),FALSE)</f>
        <v>1</v>
      </c>
      <c r="B39" t="str">
        <f>TRANSPOSE(T6_[Etiquetas de fila])</f>
        <v>Coca Cola Light 350cc</v>
      </c>
      <c r="C39">
        <f>TRANSPOSE(T6_[Recuento de T6 CODIGO])</f>
        <v>4</v>
      </c>
    </row>
    <row r="40" spans="1:3" x14ac:dyDescent="0.25">
      <c r="A40" t="b">
        <f>IFERROR(IF(MATCH(B40,RECETAS!$A$2:$A$1700,0) &lt;&gt; "", TRUE,""),FALSE)</f>
        <v>1</v>
      </c>
      <c r="B40" t="str">
        <f>TRANSPOSE(T6_[Etiquetas de fila])</f>
        <v>Coca Cola Zero  350cc</v>
      </c>
      <c r="C40">
        <f>TRANSPOSE(T6_[Recuento de T6 CODIGO])</f>
        <v>38</v>
      </c>
    </row>
    <row r="41" spans="1:3" x14ac:dyDescent="0.25">
      <c r="A41" t="b">
        <f>IFERROR(IF(MATCH(B41,RECETAS!$A$2:$A$1700,0) &lt;&gt; "", TRUE,""),FALSE)</f>
        <v>1</v>
      </c>
      <c r="B41" t="str">
        <f>TRANSPOSE(T6_[Etiquetas de fila])</f>
        <v>Corona</v>
      </c>
      <c r="C41">
        <f>TRANSPOSE(T6_[Recuento de T6 CODIGO])</f>
        <v>12</v>
      </c>
    </row>
    <row r="42" spans="1:3" x14ac:dyDescent="0.25">
      <c r="A42" t="b">
        <f>IFERROR(IF(MATCH(B42,RECETAS!$A$2:$A$1700,0) &lt;&gt; "", TRUE,""),FALSE)</f>
        <v>0</v>
      </c>
      <c r="B42" t="str">
        <f>TRANSPOSE(T6_[Etiquetas de fila])</f>
        <v>CORONA 0.0</v>
      </c>
      <c r="C42">
        <f>TRANSPOSE(T6_[Recuento de T6 CODIGO])</f>
        <v>1</v>
      </c>
    </row>
    <row r="43" spans="1:3" x14ac:dyDescent="0.25">
      <c r="A43" t="b">
        <f>IFERROR(IF(MATCH(B43,RECETAS!$A$2:$A$1700,0) &lt;&gt; "", TRUE,""),FALSE)</f>
        <v>0</v>
      </c>
      <c r="B43" t="str">
        <f>TRANSPOSE(T6_[Etiquetas de fila])</f>
        <v>CORONA SUNRISE</v>
      </c>
      <c r="C43">
        <f>TRANSPOSE(T6_[Recuento de T6 CODIGO])</f>
        <v>7</v>
      </c>
    </row>
    <row r="44" spans="1:3" x14ac:dyDescent="0.25">
      <c r="A44" t="b">
        <f>IFERROR(IF(MATCH(B44,RECETAS!$A$2:$A$1700,0) &lt;&gt; "", TRUE,""),FALSE)</f>
        <v>1</v>
      </c>
      <c r="B44" t="str">
        <f>TRANSPOSE(T6_[Etiquetas de fila])</f>
        <v>Cosmopolitan</v>
      </c>
      <c r="C44">
        <f>TRANSPOSE(T6_[Recuento de T6 CODIGO])</f>
        <v>9</v>
      </c>
    </row>
    <row r="45" spans="1:3" x14ac:dyDescent="0.25">
      <c r="A45" t="b">
        <f>IFERROR(IF(MATCH(B45,RECETAS!$A$2:$A$1700,0) &lt;&gt; "", TRUE,""),FALSE)</f>
        <v>1</v>
      </c>
      <c r="B45" t="str">
        <f>TRANSPOSE(T6_[Etiquetas de fila])</f>
        <v>Crudo</v>
      </c>
      <c r="C45">
        <f>TRANSPOSE(T6_[Recuento de T6 CODIGO])</f>
        <v>12</v>
      </c>
    </row>
    <row r="46" spans="1:3" x14ac:dyDescent="0.25">
      <c r="A46" t="b">
        <f>IFERROR(IF(MATCH(B46,RECETAS!$A$2:$A$1700,0) &lt;&gt; "", TRUE,""),FALSE)</f>
        <v>1</v>
      </c>
      <c r="B46" t="str">
        <f>TRANSPOSE(T6_[Etiquetas de fila])</f>
        <v>D.CHEESE CAMARON</v>
      </c>
      <c r="C46">
        <f>TRANSPOSE(T6_[Recuento de T6 CODIGO])</f>
        <v>2</v>
      </c>
    </row>
    <row r="47" spans="1:3" x14ac:dyDescent="0.25">
      <c r="A47" t="b">
        <f>IFERROR(IF(MATCH(B47,RECETAS!$A$2:$A$1700,0) &lt;&gt; "", TRUE,""),FALSE)</f>
        <v>1</v>
      </c>
      <c r="B47" t="str">
        <f>TRANSPOSE(T6_[Etiquetas de fila])</f>
        <v>D.CHEESE CHAMPIGNON</v>
      </c>
      <c r="C47">
        <f>TRANSPOSE(T6_[Recuento de T6 CODIGO])</f>
        <v>5</v>
      </c>
    </row>
    <row r="48" spans="1:3" x14ac:dyDescent="0.25">
      <c r="A48" t="b">
        <f>IFERROR(IF(MATCH(B48,RECETAS!$A$2:$A$1700,0) &lt;&gt; "", TRUE,""),FALSE)</f>
        <v>1</v>
      </c>
      <c r="B48" t="str">
        <f>TRANSPOSE(T6_[Etiquetas de fila])</f>
        <v>D.CHEESE FRITAS GRANDES</v>
      </c>
      <c r="C48">
        <f>TRANSPOSE(T6_[Recuento de T6 CODIGO])</f>
        <v>5</v>
      </c>
    </row>
    <row r="49" spans="1:3" x14ac:dyDescent="0.25">
      <c r="A49" t="b">
        <f>IFERROR(IF(MATCH(B49,RECETAS!$A$2:$A$1700,0) &lt;&gt; "", TRUE,""),FALSE)</f>
        <v>1</v>
      </c>
      <c r="B49" t="str">
        <f>TRANSPOSE(T6_[Etiquetas de fila])</f>
        <v>D.CHEESE MECHADA</v>
      </c>
      <c r="C49">
        <f>TRANSPOSE(T6_[Recuento de T6 CODIGO])</f>
        <v>3</v>
      </c>
    </row>
    <row r="50" spans="1:3" x14ac:dyDescent="0.25">
      <c r="A50" t="b">
        <f>IFERROR(IF(MATCH(B50,RECETAS!$A$2:$A$1700,0) &lt;&gt; "", TRUE,""),FALSE)</f>
        <v>1</v>
      </c>
      <c r="B50" t="str">
        <f>TRANSPOSE(T6_[Etiquetas de fila])</f>
        <v>D.CHEESE TECLADOS</v>
      </c>
      <c r="C50">
        <f>TRANSPOSE(T6_[Recuento de T6 CODIGO])</f>
        <v>10</v>
      </c>
    </row>
    <row r="51" spans="1:3" x14ac:dyDescent="0.25">
      <c r="A51" t="b">
        <f>IFERROR(IF(MATCH(B51,RECETAS!$A$2:$A$1700,0) &lt;&gt; "", TRUE,""),FALSE)</f>
        <v>0</v>
      </c>
      <c r="B51" t="str">
        <f>TRANSPOSE(T6_[Etiquetas de fila])</f>
        <v>D.COCA NORMAL 1.5</v>
      </c>
      <c r="C51">
        <f>TRANSPOSE(T6_[Recuento de T6 CODIGO])</f>
        <v>1</v>
      </c>
    </row>
    <row r="52" spans="1:3" x14ac:dyDescent="0.25">
      <c r="A52" t="b">
        <f>IFERROR(IF(MATCH(B52,RECETAS!$A$2:$A$1700,0) &lt;&gt; "", TRUE,""),FALSE)</f>
        <v>1</v>
      </c>
      <c r="B52" t="str">
        <f>TRANSPOSE(T6_[Etiquetas de fila])</f>
        <v>D.COCA ZERO 1.5</v>
      </c>
      <c r="C52">
        <f>TRANSPOSE(T6_[Recuento de T6 CODIGO])</f>
        <v>1</v>
      </c>
    </row>
    <row r="53" spans="1:3" x14ac:dyDescent="0.25">
      <c r="A53" t="b">
        <f>IFERROR(IF(MATCH(B53,RECETAS!$A$2:$A$1700,0) &lt;&gt; "", TRUE,""),FALSE)</f>
        <v>1</v>
      </c>
      <c r="B53" t="str">
        <f>TRANSPOSE(T6_[Etiquetas de fila])</f>
        <v>D.FESTIVAL TECLADOS</v>
      </c>
      <c r="C53">
        <f>TRANSPOSE(T6_[Recuento de T6 CODIGO])</f>
        <v>2</v>
      </c>
    </row>
    <row r="54" spans="1:3" x14ac:dyDescent="0.25">
      <c r="A54" t="b">
        <f>IFERROR(IF(MATCH(B54,RECETAS!$A$2:$A$1700,0) &lt;&gt; "", TRUE,""),FALSE)</f>
        <v>1</v>
      </c>
      <c r="B54" t="str">
        <f>TRANSPOSE(T6_[Etiquetas de fila])</f>
        <v>D.PICNIC TECLADOS</v>
      </c>
      <c r="C54">
        <f>TRANSPOSE(T6_[Recuento de T6 CODIGO])</f>
        <v>2</v>
      </c>
    </row>
    <row r="55" spans="1:3" x14ac:dyDescent="0.25">
      <c r="A55" t="b">
        <f>IFERROR(IF(MATCH(B55,RECETAS!$A$2:$A$1700,0) &lt;&gt; "", TRUE,""),FALSE)</f>
        <v>1</v>
      </c>
      <c r="B55" t="str">
        <f>TRANSPOSE(T6_[Etiquetas de fila])</f>
        <v>D.PROMO DAIKIRI CHEESE</v>
      </c>
      <c r="C55">
        <f>TRANSPOSE(T6_[Recuento de T6 CODIGO])</f>
        <v>1</v>
      </c>
    </row>
    <row r="56" spans="1:3" x14ac:dyDescent="0.25">
      <c r="A56" t="b">
        <f>IFERROR(IF(MATCH(B56,RECETAS!$A$2:$A$1700,0) &lt;&gt; "", TRUE,""),FALSE)</f>
        <v>1</v>
      </c>
      <c r="B56" t="str">
        <f>TRANSPOSE(T6_[Etiquetas de fila])</f>
        <v>D.PROMO MOJ. FRAMBUESA TRILOGIA</v>
      </c>
      <c r="C56">
        <f>TRANSPOSE(T6_[Recuento de T6 CODIGO])</f>
        <v>1</v>
      </c>
    </row>
    <row r="57" spans="1:3" x14ac:dyDescent="0.25">
      <c r="A57" t="b">
        <f>IFERROR(IF(MATCH(B57,RECETAS!$A$2:$A$1700,0) &lt;&gt; "", TRUE,""),FALSE)</f>
        <v>1</v>
      </c>
      <c r="B57" t="str">
        <f>TRANSPOSE(T6_[Etiquetas de fila])</f>
        <v>D.PROMO MOJITO</v>
      </c>
      <c r="C57">
        <f>TRANSPOSE(T6_[Recuento de T6 CODIGO])</f>
        <v>1</v>
      </c>
    </row>
    <row r="58" spans="1:3" x14ac:dyDescent="0.25">
      <c r="A58" t="b">
        <f>IFERROR(IF(MATCH(B58,RECETAS!$A$2:$A$1700,0) &lt;&gt; "", TRUE,""),FALSE)</f>
        <v>1</v>
      </c>
      <c r="B58" t="str">
        <f>TRANSPOSE(T6_[Etiquetas de fila])</f>
        <v>D.PROMO MOJITO MARACUYA</v>
      </c>
      <c r="C58">
        <f>TRANSPOSE(T6_[Recuento de T6 CODIGO])</f>
        <v>1</v>
      </c>
    </row>
    <row r="59" spans="1:3" x14ac:dyDescent="0.25">
      <c r="A59" t="b">
        <f>IFERROR(IF(MATCH(B59,RECETAS!$A$2:$A$1700,0) &lt;&gt; "", TRUE,""),FALSE)</f>
        <v>1</v>
      </c>
      <c r="B59" t="str">
        <f>TRANSPOSE(T6_[Etiquetas de fila])</f>
        <v>D.PROMO MOJITO QUESADILLAS</v>
      </c>
      <c r="C59">
        <f>TRANSPOSE(T6_[Recuento de T6 CODIGO])</f>
        <v>2</v>
      </c>
    </row>
    <row r="60" spans="1:3" x14ac:dyDescent="0.25">
      <c r="A60" t="b">
        <f>IFERROR(IF(MATCH(B60,RECETAS!$A$2:$A$1700,0) &lt;&gt; "", TRUE,""),FALSE)</f>
        <v>1</v>
      </c>
      <c r="B60" t="str">
        <f>TRANSPOSE(T6_[Etiquetas de fila])</f>
        <v>D.PROMO SANGRIA CHEESE</v>
      </c>
      <c r="C60">
        <f>TRANSPOSE(T6_[Recuento de T6 CODIGO])</f>
        <v>1</v>
      </c>
    </row>
    <row r="61" spans="1:3" x14ac:dyDescent="0.25">
      <c r="A61" t="b">
        <f>IFERROR(IF(MATCH(B61,RECETAS!$A$2:$A$1700,0) &lt;&gt; "", TRUE,""),FALSE)</f>
        <v>1</v>
      </c>
      <c r="B61" t="str">
        <f>TRANSPOSE(T6_[Etiquetas de fila])</f>
        <v>D.QUESADILLA CAMARON</v>
      </c>
      <c r="C61">
        <f>TRANSPOSE(T6_[Recuento de T6 CODIGO])</f>
        <v>3</v>
      </c>
    </row>
    <row r="62" spans="1:3" x14ac:dyDescent="0.25">
      <c r="A62" t="b">
        <f>IFERROR(IF(MATCH(B62,RECETAS!$A$2:$A$1700,0) &lt;&gt; "", TRUE,""),FALSE)</f>
        <v>1</v>
      </c>
      <c r="B62" t="str">
        <f>TRANSPOSE(T6_[Etiquetas de fila])</f>
        <v>D.QUESADILLA CARNE</v>
      </c>
      <c r="C62">
        <f>TRANSPOSE(T6_[Recuento de T6 CODIGO])</f>
        <v>2</v>
      </c>
    </row>
    <row r="63" spans="1:3" x14ac:dyDescent="0.25">
      <c r="A63" t="b">
        <f>IFERROR(IF(MATCH(B63,RECETAS!$A$2:$A$1700,0) &lt;&gt; "", TRUE,""),FALSE)</f>
        <v>1</v>
      </c>
      <c r="B63" t="str">
        <f>TRANSPOSE(T6_[Etiquetas de fila])</f>
        <v>D.QUESADILLAS POLLO CHAMPIGNON</v>
      </c>
      <c r="C63">
        <f>TRANSPOSE(T6_[Recuento de T6 CODIGO])</f>
        <v>3</v>
      </c>
    </row>
    <row r="64" spans="1:3" x14ac:dyDescent="0.25">
      <c r="A64" t="b">
        <f>IFERROR(IF(MATCH(B64,RECETAS!$A$2:$A$1700,0) &lt;&gt; "", TRUE,""),FALSE)</f>
        <v>1</v>
      </c>
      <c r="B64" t="str">
        <f>TRANSPOSE(T6_[Etiquetas de fila])</f>
        <v>D.SONATA TECLADOS</v>
      </c>
      <c r="C64">
        <f>TRANSPOSE(T6_[Recuento de T6 CODIGO])</f>
        <v>1</v>
      </c>
    </row>
    <row r="65" spans="1:3" x14ac:dyDescent="0.25">
      <c r="A65" t="b">
        <f>IFERROR(IF(MATCH(B65,RECETAS!$A$2:$A$1700,0) &lt;&gt; "", TRUE,""),FALSE)</f>
        <v>1</v>
      </c>
      <c r="B65" t="str">
        <f>TRANSPOSE(T6_[Etiquetas de fila])</f>
        <v>D.TARTARO SALMON</v>
      </c>
      <c r="C65">
        <f>TRANSPOSE(T6_[Recuento de T6 CODIGO])</f>
        <v>1</v>
      </c>
    </row>
    <row r="66" spans="1:3" x14ac:dyDescent="0.25">
      <c r="A66" t="b">
        <f>IFERROR(IF(MATCH(B66,RECETAS!$A$2:$A$1700,0) &lt;&gt; "", TRUE,""),FALSE)</f>
        <v>1</v>
      </c>
      <c r="B66" t="str">
        <f>TRANSPOSE(T6_[Etiquetas de fila])</f>
        <v>D.TOTOPOS</v>
      </c>
      <c r="C66">
        <f>TRANSPOSE(T6_[Recuento de T6 CODIGO])</f>
        <v>1</v>
      </c>
    </row>
    <row r="67" spans="1:3" x14ac:dyDescent="0.25">
      <c r="A67" t="b">
        <f>IFERROR(IF(MATCH(B67,RECETAS!$A$2:$A$1700,0) &lt;&gt; "", TRUE,""),FALSE)</f>
        <v>1</v>
      </c>
      <c r="B67" t="str">
        <f>TRANSPOSE(T6_[Etiquetas de fila])</f>
        <v>Daiquiri Frambuesa</v>
      </c>
      <c r="C67">
        <f>TRANSPOSE(T6_[Recuento de T6 CODIGO])</f>
        <v>18</v>
      </c>
    </row>
    <row r="68" spans="1:3" x14ac:dyDescent="0.25">
      <c r="A68" t="b">
        <f>IFERROR(IF(MATCH(B68,RECETAS!$A$2:$A$1700,0) &lt;&gt; "", TRUE,""),FALSE)</f>
        <v>1</v>
      </c>
      <c r="B68" t="str">
        <f>TRANSPOSE(T6_[Etiquetas de fila])</f>
        <v>Daiquiri Futilla</v>
      </c>
      <c r="C68">
        <f>TRANSPOSE(T6_[Recuento de T6 CODIGO])</f>
        <v>15</v>
      </c>
    </row>
    <row r="69" spans="1:3" x14ac:dyDescent="0.25">
      <c r="A69" t="b">
        <f>IFERROR(IF(MATCH(B69,RECETAS!$A$2:$A$1700,0) &lt;&gt; "", TRUE,""),FALSE)</f>
        <v>1</v>
      </c>
      <c r="B69" t="str">
        <f>TRANSPOSE(T6_[Etiquetas de fila])</f>
        <v>Daiquiri Mango</v>
      </c>
      <c r="C69">
        <f>TRANSPOSE(T6_[Recuento de T6 CODIGO])</f>
        <v>9</v>
      </c>
    </row>
    <row r="70" spans="1:3" x14ac:dyDescent="0.25">
      <c r="A70" t="b">
        <f>IFERROR(IF(MATCH(B70,RECETAS!$A$2:$A$1700,0) &lt;&gt; "", TRUE,""),FALSE)</f>
        <v>1</v>
      </c>
      <c r="B70" t="str">
        <f>TRANSPOSE(T6_[Etiquetas de fila])</f>
        <v>Daiquiri XL Frambuesa</v>
      </c>
      <c r="C70">
        <f>TRANSPOSE(T6_[Recuento de T6 CODIGO])</f>
        <v>1</v>
      </c>
    </row>
    <row r="71" spans="1:3" x14ac:dyDescent="0.25">
      <c r="A71" t="b">
        <f>IFERROR(IF(MATCH(B71,RECETAS!$A$2:$A$1700,0) &lt;&gt; "", TRUE,""),FALSE)</f>
        <v>1</v>
      </c>
      <c r="B71" t="str">
        <f>TRANSPOSE(T6_[Etiquetas de fila])</f>
        <v>Doble Cheese Burger</v>
      </c>
      <c r="C71">
        <f>TRANSPOSE(T6_[Recuento de T6 CODIGO])</f>
        <v>16</v>
      </c>
    </row>
    <row r="72" spans="1:3" x14ac:dyDescent="0.25">
      <c r="A72" t="b">
        <f>IFERROR(IF(MATCH(B72,RECETAS!$A$2:$A$1700,0) &lt;&gt; "", TRUE,""),FALSE)</f>
        <v>1</v>
      </c>
      <c r="B72" t="str">
        <f>TRANSPOSE(T6_[Etiquetas de fila])</f>
        <v>Doble Cheese NOT Burger</v>
      </c>
      <c r="C72">
        <f>TRANSPOSE(T6_[Recuento de T6 CODIGO])</f>
        <v>4</v>
      </c>
    </row>
    <row r="73" spans="1:3" x14ac:dyDescent="0.25">
      <c r="A73" t="b">
        <f>IFERROR(IF(MATCH(B73,RECETAS!$A$2:$A$1700,0) &lt;&gt; "", TRUE,""),FALSE)</f>
        <v>1</v>
      </c>
      <c r="B73" t="str">
        <f>TRANSPOSE(T6_[Etiquetas de fila])</f>
        <v>Empanadas Mixtas</v>
      </c>
      <c r="C73">
        <f>TRANSPOSE(T6_[Recuento de T6 CODIGO])</f>
        <v>15</v>
      </c>
    </row>
    <row r="74" spans="1:3" x14ac:dyDescent="0.25">
      <c r="A74" t="b">
        <f>IFERROR(IF(MATCH(B74,RECETAS!$A$2:$A$1700,0) &lt;&gt; "", TRUE,""),FALSE)</f>
        <v>1</v>
      </c>
      <c r="B74" t="str">
        <f>TRANSPOSE(T6_[Etiquetas de fila])</f>
        <v>Espumante de la casa</v>
      </c>
      <c r="C74">
        <f>TRANSPOSE(T6_[Recuento de T6 CODIGO])</f>
        <v>3</v>
      </c>
    </row>
    <row r="75" spans="1:3" x14ac:dyDescent="0.25">
      <c r="A75" t="b">
        <f>IFERROR(IF(MATCH(B75,RECETAS!$A$2:$A$1700,0) &lt;&gt; "", TRUE,""),FALSE)</f>
        <v>0</v>
      </c>
      <c r="B75" t="str">
        <f>TRANSPOSE(T6_[Etiquetas de fila])</f>
        <v>EXPRESO MARTINI</v>
      </c>
      <c r="C75">
        <f>TRANSPOSE(T6_[Recuento de T6 CODIGO])</f>
        <v>19</v>
      </c>
    </row>
    <row r="76" spans="1:3" x14ac:dyDescent="0.25">
      <c r="A76" t="b">
        <f>IFERROR(IF(MATCH(B76,RECETAS!$A$2:$A$1700,0) &lt;&gt; "", TRUE,""),FALSE)</f>
        <v>1</v>
      </c>
      <c r="B76" t="str">
        <f>TRANSPOSE(T6_[Etiquetas de fila])</f>
        <v>Extasis</v>
      </c>
      <c r="C76">
        <f>TRANSPOSE(T6_[Recuento de T6 CODIGO])</f>
        <v>3</v>
      </c>
    </row>
    <row r="77" spans="1:3" x14ac:dyDescent="0.25">
      <c r="A77" t="b">
        <f>IFERROR(IF(MATCH(B77,RECETAS!$A$2:$A$1700,0) &lt;&gt; "", TRUE,""),FALSE)</f>
        <v>1</v>
      </c>
      <c r="B77" t="str">
        <f>TRANSPOSE(T6_[Etiquetas de fila])</f>
        <v>EXTRA BURGER</v>
      </c>
      <c r="C77">
        <f>TRANSPOSE(T6_[Recuento de T6 CODIGO])</f>
        <v>2</v>
      </c>
    </row>
    <row r="78" spans="1:3" x14ac:dyDescent="0.25">
      <c r="A78" t="b">
        <f>IFERROR(IF(MATCH(B78,RECETAS!$A$2:$A$1700,0) &lt;&gt; "", TRUE,""),FALSE)</f>
        <v>1</v>
      </c>
      <c r="B78" t="str">
        <f>TRANSPOSE(T6_[Etiquetas de fila])</f>
        <v>Extra Champignon</v>
      </c>
      <c r="C78">
        <f>TRANSPOSE(T6_[Recuento de T6 CODIGO])</f>
        <v>6</v>
      </c>
    </row>
    <row r="79" spans="1:3" x14ac:dyDescent="0.25">
      <c r="A79" t="b">
        <f>IFERROR(IF(MATCH(B79,RECETAS!$A$2:$A$1700,0) &lt;&gt; "", TRUE,""),FALSE)</f>
        <v>1</v>
      </c>
      <c r="B79" t="str">
        <f>TRANSPOSE(T6_[Etiquetas de fila])</f>
        <v>Extra churrasco</v>
      </c>
      <c r="C79">
        <f>TRANSPOSE(T6_[Recuento de T6 CODIGO])</f>
        <v>2</v>
      </c>
    </row>
    <row r="80" spans="1:3" x14ac:dyDescent="0.25">
      <c r="A80" t="b">
        <f>IFERROR(IF(MATCH(B80,RECETAS!$A$2:$A$1700,0) &lt;&gt; "", TRUE,""),FALSE)</f>
        <v>1</v>
      </c>
      <c r="B80" t="str">
        <f>TRANSPOSE(T6_[Etiquetas de fila])</f>
        <v>EXTRA CREMA ACIDA</v>
      </c>
      <c r="C80">
        <f>TRANSPOSE(T6_[Recuento de T6 CODIGO])</f>
        <v>2</v>
      </c>
    </row>
    <row r="81" spans="1:3" x14ac:dyDescent="0.25">
      <c r="A81" t="b">
        <f>IFERROR(IF(MATCH(B81,RECETAS!$A$2:$A$1700,0) &lt;&gt; "", TRUE,""),FALSE)</f>
        <v>1</v>
      </c>
      <c r="B81" t="str">
        <f>TRANSPOSE(T6_[Etiquetas de fila])</f>
        <v>EXTRA GUACAMOLE</v>
      </c>
      <c r="C81">
        <f>TRANSPOSE(T6_[Recuento de T6 CODIGO])</f>
        <v>1</v>
      </c>
    </row>
    <row r="82" spans="1:3" x14ac:dyDescent="0.25">
      <c r="A82" t="b">
        <f>IFERROR(IF(MATCH(B82,RECETAS!$A$2:$A$1700,0) &lt;&gt; "", TRUE,""),FALSE)</f>
        <v>1</v>
      </c>
      <c r="B82" t="str">
        <f>TRANSPOSE(T6_[Etiquetas de fila])</f>
        <v>Extra Palta</v>
      </c>
      <c r="C82">
        <f>TRANSPOSE(T6_[Recuento de T6 CODIGO])</f>
        <v>1</v>
      </c>
    </row>
    <row r="83" spans="1:3" x14ac:dyDescent="0.25">
      <c r="A83" t="b">
        <f>IFERROR(IF(MATCH(B83,RECETAS!$A$2:$A$1700,0) &lt;&gt; "", TRUE,""),FALSE)</f>
        <v>1</v>
      </c>
      <c r="B83" t="str">
        <f>TRANSPOSE(T6_[Etiquetas de fila])</f>
        <v>Extra Pollo</v>
      </c>
      <c r="C83">
        <f>TRANSPOSE(T6_[Recuento de T6 CODIGO])</f>
        <v>2</v>
      </c>
    </row>
    <row r="84" spans="1:3" x14ac:dyDescent="0.25">
      <c r="A84" t="b">
        <f>IFERROR(IF(MATCH(B84,RECETAS!$A$2:$A$1700,0) &lt;&gt; "", TRUE,""),FALSE)</f>
        <v>1</v>
      </c>
      <c r="B84" t="str">
        <f>TRANSPOSE(T6_[Etiquetas de fila])</f>
        <v>EXTRA TOCINO</v>
      </c>
      <c r="C84">
        <f>TRANSPOSE(T6_[Recuento de T6 CODIGO])</f>
        <v>1</v>
      </c>
    </row>
    <row r="85" spans="1:3" x14ac:dyDescent="0.25">
      <c r="A85" t="b">
        <f>IFERROR(IF(MATCH(B85,RECETAS!$A$2:$A$1700,0) &lt;&gt; "", TRUE,""),FALSE)</f>
        <v>1</v>
      </c>
      <c r="B85" t="str">
        <f>TRANSPOSE(T6_[Etiquetas de fila])</f>
        <v>EXTRA TORTILLA</v>
      </c>
      <c r="C85">
        <f>TRANSPOSE(T6_[Recuento de T6 CODIGO])</f>
        <v>3</v>
      </c>
    </row>
    <row r="86" spans="1:3" x14ac:dyDescent="0.25">
      <c r="A86" t="b">
        <f>IFERROR(IF(MATCH(B86,RECETAS!$A$2:$A$1700,0) &lt;&gt; "", TRUE,""),FALSE)</f>
        <v>0</v>
      </c>
      <c r="B86" t="str">
        <f>TRANSPOSE(T6_[Etiquetas de fila])</f>
        <v>EXTRAS</v>
      </c>
      <c r="C86">
        <f>TRANSPOSE(T6_[Recuento de T6 CODIGO])</f>
        <v>3</v>
      </c>
    </row>
    <row r="87" spans="1:3" x14ac:dyDescent="0.25">
      <c r="A87" t="b">
        <f>IFERROR(IF(MATCH(B87,RECETAS!$A$2:$A$1700,0) &lt;&gt; "", TRUE,""),FALSE)</f>
        <v>1</v>
      </c>
      <c r="B87" t="str">
        <f>TRANSPOSE(T6_[Etiquetas de fila])</f>
        <v>Fanta 350cc</v>
      </c>
      <c r="C87">
        <f>TRANSPOSE(T6_[Recuento de T6 CODIGO])</f>
        <v>6</v>
      </c>
    </row>
    <row r="88" spans="1:3" x14ac:dyDescent="0.25">
      <c r="A88" t="b">
        <f>IFERROR(IF(MATCH(B88,RECETAS!$A$2:$A$1700,0) &lt;&gt; "", TRUE,""),FALSE)</f>
        <v>1</v>
      </c>
      <c r="B88" t="str">
        <f>TRANSPOSE(T6_[Etiquetas de fila])</f>
        <v>Fentimans Ginger Beer</v>
      </c>
      <c r="C88">
        <f>TRANSPOSE(T6_[Recuento de T6 CODIGO])</f>
        <v>1</v>
      </c>
    </row>
    <row r="89" spans="1:3" x14ac:dyDescent="0.25">
      <c r="A89" t="b">
        <f>IFERROR(IF(MATCH(B89,RECETAS!$A$2:$A$1700,0) &lt;&gt; "", TRUE,""),FALSE)</f>
        <v>1</v>
      </c>
      <c r="B89" t="str">
        <f>TRANSPOSE(T6_[Etiquetas de fila])</f>
        <v>Fernet Branca</v>
      </c>
      <c r="C89">
        <f>TRANSPOSE(T6_[Recuento de T6 CODIGO])</f>
        <v>1</v>
      </c>
    </row>
    <row r="90" spans="1:3" x14ac:dyDescent="0.25">
      <c r="A90" t="b">
        <f>IFERROR(IF(MATCH(B90,RECETAS!$A$2:$A$1700,0) &lt;&gt; "", TRUE,""),FALSE)</f>
        <v>1</v>
      </c>
      <c r="B90" t="str">
        <f>TRANSPOSE(T6_[Etiquetas de fila])</f>
        <v>Festival Teclados</v>
      </c>
      <c r="C90">
        <f>TRANSPOSE(T6_[Recuento de T6 CODIGO])</f>
        <v>9</v>
      </c>
    </row>
    <row r="91" spans="1:3" x14ac:dyDescent="0.25">
      <c r="A91" t="b">
        <f>IFERROR(IF(MATCH(B91,RECETAS!$A$2:$A$1700,0) &lt;&gt; "", TRUE,""),FALSE)</f>
        <v>1</v>
      </c>
      <c r="B91" t="str">
        <f>TRANSPOSE(T6_[Etiquetas de fila])</f>
        <v>Florence Spritz</v>
      </c>
      <c r="C91">
        <f>TRANSPOSE(T6_[Recuento de T6 CODIGO])</f>
        <v>3</v>
      </c>
    </row>
    <row r="92" spans="1:3" x14ac:dyDescent="0.25">
      <c r="A92" t="b">
        <f>IFERROR(IF(MATCH(B92,RECETAS!$A$2:$A$1700,0) &lt;&gt; "", TRUE,""),FALSE)</f>
        <v>0</v>
      </c>
      <c r="B92" t="str">
        <f>TRANSPOSE(T6_[Etiquetas de fila])</f>
        <v>GIN DE VERANO</v>
      </c>
      <c r="C92">
        <f>TRANSPOSE(T6_[Recuento de T6 CODIGO])</f>
        <v>673</v>
      </c>
    </row>
    <row r="93" spans="1:3" x14ac:dyDescent="0.25">
      <c r="A93" t="b">
        <f>IFERROR(IF(MATCH(B93,RECETAS!$A$2:$A$1700,0) &lt;&gt; "", TRUE,""),FALSE)</f>
        <v>1</v>
      </c>
      <c r="B93" t="str">
        <f>TRANSPOSE(T6_[Etiquetas de fila])</f>
        <v>God Father</v>
      </c>
      <c r="C93">
        <f>TRANSPOSE(T6_[Recuento de T6 CODIGO])</f>
        <v>2</v>
      </c>
    </row>
    <row r="94" spans="1:3" x14ac:dyDescent="0.25">
      <c r="A94" t="b">
        <f>IFERROR(IF(MATCH(B94,RECETAS!$A$2:$A$1700,0) &lt;&gt; "", TRUE,""),FALSE)</f>
        <v>0</v>
      </c>
      <c r="B94" t="str">
        <f>TRANSPOSE(T6_[Etiquetas de fila])</f>
        <v>halloween</v>
      </c>
      <c r="C94">
        <f>TRANSPOSE(T6_[Recuento de T6 CODIGO])</f>
        <v>3</v>
      </c>
    </row>
    <row r="95" spans="1:3" x14ac:dyDescent="0.25">
      <c r="A95" t="b">
        <f>IFERROR(IF(MATCH(B95,RECETAS!$A$2:$A$1700,0) &lt;&gt; "", TRUE,""),FALSE)</f>
        <v>1</v>
      </c>
      <c r="B95" t="str">
        <f>TRANSPOSE(T6_[Etiquetas de fila])</f>
        <v>Hendricks</v>
      </c>
      <c r="C95">
        <f>TRANSPOSE(T6_[Recuento de T6 CODIGO])</f>
        <v>1</v>
      </c>
    </row>
    <row r="96" spans="1:3" x14ac:dyDescent="0.25">
      <c r="A96" t="b">
        <f>IFERROR(IF(MATCH(B96,RECETAS!$A$2:$A$1700,0) &lt;&gt; "", TRUE,""),FALSE)</f>
        <v>1</v>
      </c>
      <c r="B96" t="str">
        <f>TRANSPOSE(T6_[Etiquetas de fila])</f>
        <v>HH Caipirinha</v>
      </c>
      <c r="C96">
        <f>TRANSPOSE(T6_[Recuento de T6 CODIGO])</f>
        <v>3</v>
      </c>
    </row>
    <row r="97" spans="1:3" x14ac:dyDescent="0.25">
      <c r="A97" t="b">
        <f>IFERROR(IF(MATCH(B97,RECETAS!$A$2:$A$1700,0) &lt;&gt; "", TRUE,""),FALSE)</f>
        <v>1</v>
      </c>
      <c r="B97" t="str">
        <f>TRANSPOSE(T6_[Etiquetas de fila])</f>
        <v>HH Caipirinha Frambuesa</v>
      </c>
      <c r="C97">
        <f>TRANSPOSE(T6_[Recuento de T6 CODIGO])</f>
        <v>2</v>
      </c>
    </row>
    <row r="98" spans="1:3" x14ac:dyDescent="0.25">
      <c r="A98" t="b">
        <f>IFERROR(IF(MATCH(B98,RECETAS!$A$2:$A$1700,0) &lt;&gt; "", TRUE,""),FALSE)</f>
        <v>1</v>
      </c>
      <c r="B98" t="str">
        <f>TRANSPOSE(T6_[Etiquetas de fila])</f>
        <v>HH Caipirinha Frutilla</v>
      </c>
      <c r="C98">
        <f>TRANSPOSE(T6_[Recuento de T6 CODIGO])</f>
        <v>1</v>
      </c>
    </row>
    <row r="99" spans="1:3" x14ac:dyDescent="0.25">
      <c r="A99" t="b">
        <f>IFERROR(IF(MATCH(B99,RECETAS!$A$2:$A$1700,0) &lt;&gt; "", TRUE,""),FALSE)</f>
        <v>1</v>
      </c>
      <c r="B99" t="str">
        <f>TRANSPOSE(T6_[Etiquetas de fila])</f>
        <v>HH Caipirinha Mango</v>
      </c>
      <c r="C99">
        <f>TRANSPOSE(T6_[Recuento de T6 CODIGO])</f>
        <v>2</v>
      </c>
    </row>
    <row r="100" spans="1:3" x14ac:dyDescent="0.25">
      <c r="A100" t="b">
        <f>IFERROR(IF(MATCH(B100,RECETAS!$A$2:$A$1700,0) &lt;&gt; "", TRUE,""),FALSE)</f>
        <v>0</v>
      </c>
      <c r="B100" t="str">
        <f>TRANSPOSE(T6_[Etiquetas de fila])</f>
        <v>HH Chardonnay sour</v>
      </c>
      <c r="C100">
        <f>TRANSPOSE(T6_[Recuento de T6 CODIGO])</f>
        <v>11</v>
      </c>
    </row>
    <row r="101" spans="1:3" x14ac:dyDescent="0.25">
      <c r="A101" t="b">
        <f>IFERROR(IF(MATCH(B101,RECETAS!$A$2:$A$1700,0) &lt;&gt; "", TRUE,""),FALSE)</f>
        <v>1</v>
      </c>
      <c r="B101" t="str">
        <f>TRANSPOSE(T6_[Etiquetas de fila])</f>
        <v>HH Cosmopolitan</v>
      </c>
      <c r="C101">
        <f>TRANSPOSE(T6_[Recuento de T6 CODIGO])</f>
        <v>15</v>
      </c>
    </row>
    <row r="102" spans="1:3" x14ac:dyDescent="0.25">
      <c r="A102" t="b">
        <f>IFERROR(IF(MATCH(B102,RECETAS!$A$2:$A$1700,0) &lt;&gt; "", TRUE,""),FALSE)</f>
        <v>0</v>
      </c>
      <c r="B102" t="str">
        <f>TRANSPOSE(T6_[Etiquetas de fila])</f>
        <v>HH Crudo</v>
      </c>
      <c r="C102">
        <f>TRANSPOSE(T6_[Recuento de T6 CODIGO])</f>
        <v>10</v>
      </c>
    </row>
    <row r="103" spans="1:3" x14ac:dyDescent="0.25">
      <c r="A103" t="b">
        <f>IFERROR(IF(MATCH(B103,RECETAS!$A$2:$A$1700,0) &lt;&gt; "", TRUE,""),FALSE)</f>
        <v>1</v>
      </c>
      <c r="B103" t="str">
        <f>TRANSPOSE(T6_[Etiquetas de fila])</f>
        <v>HH Daiquiri Frambuesa</v>
      </c>
      <c r="C103">
        <f>TRANSPOSE(T6_[Recuento de T6 CODIGO])</f>
        <v>36</v>
      </c>
    </row>
    <row r="104" spans="1:3" x14ac:dyDescent="0.25">
      <c r="A104" t="b">
        <f>IFERROR(IF(MATCH(B104,RECETAS!$A$2:$A$1700,0) &lt;&gt; "", TRUE,""),FALSE)</f>
        <v>1</v>
      </c>
      <c r="B104" t="str">
        <f>TRANSPOSE(T6_[Etiquetas de fila])</f>
        <v>HH Daiquiri Frutilla</v>
      </c>
      <c r="C104">
        <f>TRANSPOSE(T6_[Recuento de T6 CODIGO])</f>
        <v>29</v>
      </c>
    </row>
    <row r="105" spans="1:3" x14ac:dyDescent="0.25">
      <c r="A105" t="b">
        <f>IFERROR(IF(MATCH(B105,RECETAS!$A$2:$A$1700,0) &lt;&gt; "", TRUE,""),FALSE)</f>
        <v>1</v>
      </c>
      <c r="B105" t="str">
        <f>TRANSPOSE(T6_[Etiquetas de fila])</f>
        <v>HH Daiquiri Mango</v>
      </c>
      <c r="C105">
        <f>TRANSPOSE(T6_[Recuento de T6 CODIGO])</f>
        <v>19</v>
      </c>
    </row>
    <row r="106" spans="1:3" x14ac:dyDescent="0.25">
      <c r="A106" t="b">
        <f>IFERROR(IF(MATCH(B106,RECETAS!$A$2:$A$1700,0) &lt;&gt; "", TRUE,""),FALSE)</f>
        <v>0</v>
      </c>
      <c r="B106" t="str">
        <f>TRANSPOSE(T6_[Etiquetas de fila])</f>
        <v>HH Doble Cheese Bruger</v>
      </c>
      <c r="C106">
        <f>TRANSPOSE(T6_[Recuento de T6 CODIGO])</f>
        <v>5</v>
      </c>
    </row>
    <row r="107" spans="1:3" x14ac:dyDescent="0.25">
      <c r="A107" t="b">
        <f>IFERROR(IF(MATCH(B107,RECETAS!$A$2:$A$1700,0) &lt;&gt; "", TRUE,""),FALSE)</f>
        <v>0</v>
      </c>
      <c r="B107" t="str">
        <f>TRANSPOSE(T6_[Etiquetas de fila])</f>
        <v>HH Laguna azul</v>
      </c>
      <c r="C107">
        <f>TRANSPOSE(T6_[Recuento de T6 CODIGO])</f>
        <v>1</v>
      </c>
    </row>
    <row r="108" spans="1:3" x14ac:dyDescent="0.25">
      <c r="A108" t="b">
        <f>IFERROR(IF(MATCH(B108,RECETAS!$A$2:$A$1700,0) &lt;&gt; "", TRUE,""),FALSE)</f>
        <v>1</v>
      </c>
      <c r="B108" t="str">
        <f>TRANSPOSE(T6_[Etiquetas de fila])</f>
        <v>HH Margarita</v>
      </c>
      <c r="C108">
        <f>TRANSPOSE(T6_[Recuento de T6 CODIGO])</f>
        <v>20</v>
      </c>
    </row>
    <row r="109" spans="1:3" x14ac:dyDescent="0.25">
      <c r="A109" t="b">
        <f>IFERROR(IF(MATCH(B109,RECETAS!$A$2:$A$1700,0) &lt;&gt; "", TRUE,""),FALSE)</f>
        <v>1</v>
      </c>
      <c r="B109" t="str">
        <f>TRANSPOSE(T6_[Etiquetas de fila])</f>
        <v>HH Margarita Blue</v>
      </c>
      <c r="C109">
        <f>TRANSPOSE(T6_[Recuento de T6 CODIGO])</f>
        <v>5</v>
      </c>
    </row>
    <row r="110" spans="1:3" x14ac:dyDescent="0.25">
      <c r="A110" t="b">
        <f>IFERROR(IF(MATCH(B110,RECETAS!$A$2:$A$1700,0) &lt;&gt; "", TRUE,""),FALSE)</f>
        <v>1</v>
      </c>
      <c r="B110" t="str">
        <f>TRANSPOSE(T6_[Etiquetas de fila])</f>
        <v>HH Margarita Frambuesa</v>
      </c>
      <c r="C110">
        <f>TRANSPOSE(T6_[Recuento de T6 CODIGO])</f>
        <v>4</v>
      </c>
    </row>
    <row r="111" spans="1:3" x14ac:dyDescent="0.25">
      <c r="A111" t="b">
        <f>IFERROR(IF(MATCH(B111,RECETAS!$A$2:$A$1700,0) &lt;&gt; "", TRUE,""),FALSE)</f>
        <v>1</v>
      </c>
      <c r="B111" t="str">
        <f>TRANSPOSE(T6_[Etiquetas de fila])</f>
        <v>HH Margarita Frutilla</v>
      </c>
      <c r="C111">
        <f>TRANSPOSE(T6_[Recuento de T6 CODIGO])</f>
        <v>8</v>
      </c>
    </row>
    <row r="112" spans="1:3" x14ac:dyDescent="0.25">
      <c r="A112" t="b">
        <f>IFERROR(IF(MATCH(B112,RECETAS!$A$2:$A$1700,0) &lt;&gt; "", TRUE,""),FALSE)</f>
        <v>1</v>
      </c>
      <c r="B112" t="str">
        <f>TRANSPOSE(T6_[Etiquetas de fila])</f>
        <v>HH MOJITO BERRIES</v>
      </c>
      <c r="C112">
        <f>TRANSPOSE(T6_[Recuento de T6 CODIGO])</f>
        <v>62</v>
      </c>
    </row>
    <row r="113" spans="1:3" x14ac:dyDescent="0.25">
      <c r="A113" t="b">
        <f>IFERROR(IF(MATCH(B113,RECETAS!$A$2:$A$1700,0) &lt;&gt; "", TRUE,""),FALSE)</f>
        <v>1</v>
      </c>
      <c r="B113" t="str">
        <f>TRANSPOSE(T6_[Etiquetas de fila])</f>
        <v>HH Mojito Clásico</v>
      </c>
      <c r="C113">
        <f>TRANSPOSE(T6_[Recuento de T6 CODIGO])</f>
        <v>77</v>
      </c>
    </row>
    <row r="114" spans="1:3" x14ac:dyDescent="0.25">
      <c r="A114" t="b">
        <f>IFERROR(IF(MATCH(B114,RECETAS!$A$2:$A$1700,0) &lt;&gt; "", TRUE,""),FALSE)</f>
        <v>1</v>
      </c>
      <c r="B114" t="str">
        <f>TRANSPOSE(T6_[Etiquetas de fila])</f>
        <v>HH Mojito Corona</v>
      </c>
      <c r="C114">
        <f>TRANSPOSE(T6_[Recuento de T6 CODIGO])</f>
        <v>62</v>
      </c>
    </row>
    <row r="115" spans="1:3" x14ac:dyDescent="0.25">
      <c r="A115" t="b">
        <f>IFERROR(IF(MATCH(B115,RECETAS!$A$2:$A$1700,0) &lt;&gt; "", TRUE,""),FALSE)</f>
        <v>1</v>
      </c>
      <c r="B115" t="str">
        <f>TRANSPOSE(T6_[Etiquetas de fila])</f>
        <v>HH MOJITO FRUTILLA</v>
      </c>
      <c r="C115">
        <f>TRANSPOSE(T6_[Recuento de T6 CODIGO])</f>
        <v>26</v>
      </c>
    </row>
    <row r="116" spans="1:3" x14ac:dyDescent="0.25">
      <c r="A116" t="b">
        <f>IFERROR(IF(MATCH(B116,RECETAS!$A$2:$A$1700,0) &lt;&gt; "", TRUE,""),FALSE)</f>
        <v>1</v>
      </c>
      <c r="B116" t="str">
        <f>TRANSPOSE(T6_[Etiquetas de fila])</f>
        <v>HH MOJITO MANGO</v>
      </c>
      <c r="C116">
        <f>TRANSPOSE(T6_[Recuento de T6 CODIGO])</f>
        <v>49</v>
      </c>
    </row>
    <row r="117" spans="1:3" x14ac:dyDescent="0.25">
      <c r="A117" t="b">
        <f>IFERROR(IF(MATCH(B117,RECETAS!$A$2:$A$1700,0) &lt;&gt; "", TRUE,""),FALSE)</f>
        <v>1</v>
      </c>
      <c r="B117" t="str">
        <f>TRANSPOSE(T6_[Etiquetas de fila])</f>
        <v>HH Mojito Maracuyá</v>
      </c>
      <c r="C117">
        <f>TRANSPOSE(T6_[Recuento de T6 CODIGO])</f>
        <v>72</v>
      </c>
    </row>
    <row r="118" spans="1:3" x14ac:dyDescent="0.25">
      <c r="A118" t="b">
        <f>IFERROR(IF(MATCH(B118,RECETAS!$A$2:$A$1700,0) &lt;&gt; "", TRUE,""),FALSE)</f>
        <v>1</v>
      </c>
      <c r="B118" t="str">
        <f>TRANSPOSE(T6_[Etiquetas de fila])</f>
        <v>HH Pisco Sour</v>
      </c>
      <c r="C118">
        <f>TRANSPOSE(T6_[Recuento de T6 CODIGO])</f>
        <v>14</v>
      </c>
    </row>
    <row r="119" spans="1:3" x14ac:dyDescent="0.25">
      <c r="A119" t="b">
        <f>IFERROR(IF(MATCH(B119,RECETAS!$A$2:$A$1700,0) &lt;&gt; "", TRUE,""),FALSE)</f>
        <v>1</v>
      </c>
      <c r="B119" t="str">
        <f>TRANSPOSE(T6_[Etiquetas de fila])</f>
        <v>HH Schop Becker</v>
      </c>
      <c r="C119">
        <f>TRANSPOSE(T6_[Recuento de T6 CODIGO])</f>
        <v>13</v>
      </c>
    </row>
    <row r="120" spans="1:3" x14ac:dyDescent="0.25">
      <c r="A120" t="b">
        <f>IFERROR(IF(MATCH(B120,RECETAS!$A$2:$A$1700,0) &lt;&gt; "", TRUE,""),FALSE)</f>
        <v>0</v>
      </c>
      <c r="B120" t="str">
        <f>TRANSPOSE(T6_[Etiquetas de fila])</f>
        <v>HH WHISKEY SOUR JHONNIE ROJO</v>
      </c>
      <c r="C120">
        <f>TRANSPOSE(T6_[Recuento de T6 CODIGO])</f>
        <v>5</v>
      </c>
    </row>
    <row r="121" spans="1:3" x14ac:dyDescent="0.25">
      <c r="A121" t="b">
        <f>IFERROR(IF(MATCH(B121,RECETAS!$A$2:$A$1700,0) &lt;&gt; "", TRUE,""),FALSE)</f>
        <v>1</v>
      </c>
      <c r="B121" t="str">
        <f>TRANSPOSE(T6_[Etiquetas de fila])</f>
        <v>Jack Daniels</v>
      </c>
      <c r="C121">
        <f>TRANSPOSE(T6_[Recuento de T6 CODIGO])</f>
        <v>8</v>
      </c>
    </row>
    <row r="122" spans="1:3" x14ac:dyDescent="0.25">
      <c r="A122" t="b">
        <f>IFERROR(IF(MATCH(B122,RECETAS!$A$2:$A$1700,0) &lt;&gt; "", TRUE,""),FALSE)</f>
        <v>1</v>
      </c>
      <c r="B122" t="str">
        <f>TRANSPOSE(T6_[Etiquetas de fila])</f>
        <v>Jack Daniels Fire</v>
      </c>
      <c r="C122">
        <f>TRANSPOSE(T6_[Recuento de T6 CODIGO])</f>
        <v>3</v>
      </c>
    </row>
    <row r="123" spans="1:3" x14ac:dyDescent="0.25">
      <c r="A123" t="b">
        <f>IFERROR(IF(MATCH(B123,RECETAS!$A$2:$A$1700,0) &lt;&gt; "", TRUE,""),FALSE)</f>
        <v>1</v>
      </c>
      <c r="B123" t="str">
        <f>TRANSPOSE(T6_[Etiquetas de fila])</f>
        <v>Jack Daniels Honey</v>
      </c>
      <c r="C123">
        <f>TRANSPOSE(T6_[Recuento de T6 CODIGO])</f>
        <v>2</v>
      </c>
    </row>
    <row r="124" spans="1:3" x14ac:dyDescent="0.25">
      <c r="A124" t="b">
        <f>IFERROR(IF(MATCH(B124,RECETAS!$A$2:$A$1700,0) &lt;&gt; "", TRUE,""),FALSE)</f>
        <v>1</v>
      </c>
      <c r="B124" t="str">
        <f>TRANSPOSE(T6_[Etiquetas de fila])</f>
        <v>Jagermeister</v>
      </c>
      <c r="C124">
        <f>TRANSPOSE(T6_[Recuento de T6 CODIGO])</f>
        <v>1</v>
      </c>
    </row>
    <row r="125" spans="1:3" x14ac:dyDescent="0.25">
      <c r="A125" t="b">
        <f>IFERROR(IF(MATCH(B125,RECETAS!$A$2:$A$1700,0) &lt;&gt; "", TRUE,""),FALSE)</f>
        <v>1</v>
      </c>
      <c r="B125" t="str">
        <f>TRANSPOSE(T6_[Etiquetas de fila])</f>
        <v>Jagermeister + Bebida</v>
      </c>
      <c r="C125">
        <f>TRANSPOSE(T6_[Recuento de T6 CODIGO])</f>
        <v>1</v>
      </c>
    </row>
    <row r="126" spans="1:3" x14ac:dyDescent="0.25">
      <c r="A126" t="b">
        <f>IFERROR(IF(MATCH(B126,RECETAS!$A$2:$A$1700,0) &lt;&gt; "", TRUE,""),FALSE)</f>
        <v>1</v>
      </c>
      <c r="B126" t="str">
        <f>TRANSPOSE(T6_[Etiquetas de fila])</f>
        <v>Jagermeister Mojito</v>
      </c>
      <c r="C126">
        <f>TRANSPOSE(T6_[Recuento de T6 CODIGO])</f>
        <v>7</v>
      </c>
    </row>
    <row r="127" spans="1:3" x14ac:dyDescent="0.25">
      <c r="A127" t="b">
        <f>IFERROR(IF(MATCH(B127,RECETAS!$A$2:$A$1700,0) &lt;&gt; "", TRUE,""),FALSE)</f>
        <v>1</v>
      </c>
      <c r="B127" t="str">
        <f>TRANSPOSE(T6_[Etiquetas de fila])</f>
        <v>Jarro Sangria</v>
      </c>
      <c r="C127">
        <f>TRANSPOSE(T6_[Recuento de T6 CODIGO])</f>
        <v>22</v>
      </c>
    </row>
    <row r="128" spans="1:3" x14ac:dyDescent="0.25">
      <c r="A128" t="b">
        <f>IFERROR(IF(MATCH(B128,RECETAS!$A$2:$A$1700,0) &lt;&gt; "", TRUE,""),FALSE)</f>
        <v>0</v>
      </c>
      <c r="B128" t="str">
        <f>TRANSPOSE(T6_[Etiquetas de fila])</f>
        <v>Johnnie Fruity 2X</v>
      </c>
      <c r="C128">
        <f>TRANSPOSE(T6_[Recuento de T6 CODIGO])</f>
        <v>7</v>
      </c>
    </row>
    <row r="129" spans="1:3" x14ac:dyDescent="0.25">
      <c r="A129" t="b">
        <f>IFERROR(IF(MATCH(B129,RECETAS!$A$2:$A$1700,0) &lt;&gt; "", TRUE,""),FALSE)</f>
        <v>0</v>
      </c>
      <c r="B129" t="str">
        <f>TRANSPOSE(T6_[Etiquetas de fila])</f>
        <v>Johnnie Ginger 2X</v>
      </c>
      <c r="C129">
        <f>TRANSPOSE(T6_[Recuento de T6 CODIGO])</f>
        <v>10</v>
      </c>
    </row>
    <row r="130" spans="1:3" x14ac:dyDescent="0.25">
      <c r="A130" t="b">
        <f>IFERROR(IF(MATCH(B130,RECETAS!$A$2:$A$1700,0) &lt;&gt; "", TRUE,""),FALSE)</f>
        <v>1</v>
      </c>
      <c r="B130" t="str">
        <f>TRANSPOSE(T6_[Etiquetas de fila])</f>
        <v>Johnnie Walker Black</v>
      </c>
      <c r="C130">
        <f>TRANSPOSE(T6_[Recuento de T6 CODIGO])</f>
        <v>4</v>
      </c>
    </row>
    <row r="131" spans="1:3" x14ac:dyDescent="0.25">
      <c r="A131" t="b">
        <f>IFERROR(IF(MATCH(B131,RECETAS!$A$2:$A$1700,0) &lt;&gt; "", TRUE,""),FALSE)</f>
        <v>1</v>
      </c>
      <c r="B131" t="str">
        <f>TRANSPOSE(T6_[Etiquetas de fila])</f>
        <v>Johnnie Walker Red</v>
      </c>
      <c r="C131">
        <f>TRANSPOSE(T6_[Recuento de T6 CODIGO])</f>
        <v>1</v>
      </c>
    </row>
    <row r="132" spans="1:3" x14ac:dyDescent="0.25">
      <c r="A132" t="b">
        <f>IFERROR(IF(MATCH(B132,RECETAS!$A$2:$A$1700,0) &lt;&gt; "", TRUE,""),FALSE)</f>
        <v>1</v>
      </c>
      <c r="B132" t="str">
        <f>TRANSPOSE(T6_[Etiquetas de fila])</f>
        <v>Jugo Frambuesa</v>
      </c>
      <c r="C132">
        <f>TRANSPOSE(T6_[Recuento de T6 CODIGO])</f>
        <v>35</v>
      </c>
    </row>
    <row r="133" spans="1:3" x14ac:dyDescent="0.25">
      <c r="A133" t="b">
        <f>IFERROR(IF(MATCH(B133,RECETAS!$A$2:$A$1700,0) &lt;&gt; "", TRUE,""),FALSE)</f>
        <v>1</v>
      </c>
      <c r="B133" t="str">
        <f>TRANSPOSE(T6_[Etiquetas de fila])</f>
        <v>Jugo Frutilla</v>
      </c>
      <c r="C133">
        <f>TRANSPOSE(T6_[Recuento de T6 CODIGO])</f>
        <v>43</v>
      </c>
    </row>
    <row r="134" spans="1:3" x14ac:dyDescent="0.25">
      <c r="A134" t="b">
        <f>IFERROR(IF(MATCH(B134,RECETAS!$A$2:$A$1700,0) &lt;&gt; "", TRUE,""),FALSE)</f>
        <v>1</v>
      </c>
      <c r="B134" t="str">
        <f>TRANSPOSE(T6_[Etiquetas de fila])</f>
        <v>Jugo Mango</v>
      </c>
      <c r="C134">
        <f>TRANSPOSE(T6_[Recuento de T6 CODIGO])</f>
        <v>47</v>
      </c>
    </row>
    <row r="135" spans="1:3" x14ac:dyDescent="0.25">
      <c r="A135" t="b">
        <f>IFERROR(IF(MATCH(B135,RECETAS!$A$2:$A$1700,0) &lt;&gt; "", TRUE,""),FALSE)</f>
        <v>0</v>
      </c>
      <c r="B135" t="str">
        <f>TRANSPOSE(T6_[Etiquetas de fila])</f>
        <v>KENTUCKY MULE</v>
      </c>
      <c r="C135">
        <f>TRANSPOSE(T6_[Recuento de T6 CODIGO])</f>
        <v>3</v>
      </c>
    </row>
    <row r="136" spans="1:3" x14ac:dyDescent="0.25">
      <c r="A136" t="b">
        <f>IFERROR(IF(MATCH(B136,RECETAS!$A$2:$A$1700,0) &lt;&gt; "", TRUE,""),FALSE)</f>
        <v>1</v>
      </c>
      <c r="B136" t="str">
        <f>TRANSPOSE(T6_[Etiquetas de fila])</f>
        <v>Laguna Azul</v>
      </c>
      <c r="C136">
        <f>TRANSPOSE(T6_[Recuento de T6 CODIGO])</f>
        <v>14</v>
      </c>
    </row>
    <row r="137" spans="1:3" x14ac:dyDescent="0.25">
      <c r="A137" t="b">
        <f>IFERROR(IF(MATCH(B137,RECETAS!$A$2:$A$1700,0) &lt;&gt; "", TRUE,""),FALSE)</f>
        <v>1</v>
      </c>
      <c r="B137" t="str">
        <f>TRANSPOSE(T6_[Etiquetas de fila])</f>
        <v>Limonada</v>
      </c>
      <c r="C137">
        <f>TRANSPOSE(T6_[Recuento de T6 CODIGO])</f>
        <v>49</v>
      </c>
    </row>
    <row r="138" spans="1:3" x14ac:dyDescent="0.25">
      <c r="A138" t="b">
        <f>IFERROR(IF(MATCH(B138,RECETAS!$A$2:$A$1700,0) &lt;&gt; "", TRUE,""),FALSE)</f>
        <v>1</v>
      </c>
      <c r="B138" t="str">
        <f>TRANSPOSE(T6_[Etiquetas de fila])</f>
        <v>Lomo a lo Pobre</v>
      </c>
      <c r="C138">
        <f>TRANSPOSE(T6_[Recuento de T6 CODIGO])</f>
        <v>4</v>
      </c>
    </row>
    <row r="139" spans="1:3" x14ac:dyDescent="0.25">
      <c r="A139" t="b">
        <f>IFERROR(IF(MATCH(B139,RECETAS!$A$2:$A$1700,0) &lt;&gt; "", TRUE,""),FALSE)</f>
        <v>1</v>
      </c>
      <c r="B139" t="str">
        <f>TRANSPOSE(T6_[Etiquetas de fila])</f>
        <v>London Mule</v>
      </c>
      <c r="C139">
        <f>TRANSPOSE(T6_[Recuento de T6 CODIGO])</f>
        <v>8</v>
      </c>
    </row>
    <row r="140" spans="1:3" x14ac:dyDescent="0.25">
      <c r="A140" t="b">
        <f>IFERROR(IF(MATCH(B140,RECETAS!$A$2:$A$1700,0) &lt;&gt; "", TRUE,""),FALSE)</f>
        <v>1</v>
      </c>
      <c r="B140" t="str">
        <f>TRANSPOSE(T6_[Etiquetas de fila])</f>
        <v>Maitai</v>
      </c>
      <c r="C140">
        <f>TRANSPOSE(T6_[Recuento de T6 CODIGO])</f>
        <v>1</v>
      </c>
    </row>
    <row r="141" spans="1:3" x14ac:dyDescent="0.25">
      <c r="A141" t="b">
        <f>IFERROR(IF(MATCH(B141,RECETAS!$A$2:$A$1700,0) &lt;&gt; "", TRUE,""),FALSE)</f>
        <v>0</v>
      </c>
      <c r="B141" t="str">
        <f>TRANSPOSE(T6_[Etiquetas de fila])</f>
        <v>Maleficent</v>
      </c>
      <c r="C141">
        <f>TRANSPOSE(T6_[Recuento de T6 CODIGO])</f>
        <v>10</v>
      </c>
    </row>
    <row r="142" spans="1:3" x14ac:dyDescent="0.25">
      <c r="A142" t="b">
        <f>IFERROR(IF(MATCH(B142,RECETAS!$A$2:$A$1700,0) &lt;&gt; "", TRUE,""),FALSE)</f>
        <v>1</v>
      </c>
      <c r="B142" t="str">
        <f>TRANSPOSE(T6_[Etiquetas de fila])</f>
        <v>Mamacita</v>
      </c>
      <c r="C142">
        <f>TRANSPOSE(T6_[Recuento de T6 CODIGO])</f>
        <v>5</v>
      </c>
    </row>
    <row r="143" spans="1:3" x14ac:dyDescent="0.25">
      <c r="A143" t="b">
        <f>IFERROR(IF(MATCH(B143,RECETAS!$A$2:$A$1700,0) &lt;&gt; "", TRUE,""),FALSE)</f>
        <v>0</v>
      </c>
      <c r="B143" t="str">
        <f>TRANSPOSE(T6_[Etiquetas de fila])</f>
        <v>Mango</v>
      </c>
      <c r="C143">
        <f>TRANSPOSE(T6_[Recuento de T6 CODIGO])</f>
        <v>19</v>
      </c>
    </row>
    <row r="144" spans="1:3" x14ac:dyDescent="0.25">
      <c r="A144" t="b">
        <f>IFERROR(IF(MATCH(B144,RECETAS!$A$2:$A$1700,0) &lt;&gt; "", TRUE,""),FALSE)</f>
        <v>1</v>
      </c>
      <c r="B144" t="str">
        <f>TRANSPOSE(T6_[Etiquetas de fila])</f>
        <v>Mango Colada</v>
      </c>
      <c r="C144">
        <f>TRANSPOSE(T6_[Recuento de T6 CODIGO])</f>
        <v>5</v>
      </c>
    </row>
    <row r="145" spans="1:3" x14ac:dyDescent="0.25">
      <c r="A145" t="b">
        <f>IFERROR(IF(MATCH(B145,RECETAS!$A$2:$A$1700,0) &lt;&gt; "", TRUE,""),FALSE)</f>
        <v>1</v>
      </c>
      <c r="B145" t="str">
        <f>TRANSPOSE(T6_[Etiquetas de fila])</f>
        <v>Margarita</v>
      </c>
      <c r="C145">
        <f>TRANSPOSE(T6_[Recuento de T6 CODIGO])</f>
        <v>6</v>
      </c>
    </row>
    <row r="146" spans="1:3" x14ac:dyDescent="0.25">
      <c r="A146" t="b">
        <f>IFERROR(IF(MATCH(B146,RECETAS!$A$2:$A$1700,0) &lt;&gt; "", TRUE,""),FALSE)</f>
        <v>1</v>
      </c>
      <c r="B146" t="str">
        <f>TRANSPOSE(T6_[Etiquetas de fila])</f>
        <v>Margarita Blue</v>
      </c>
      <c r="C146">
        <f>TRANSPOSE(T6_[Recuento de T6 CODIGO])</f>
        <v>8</v>
      </c>
    </row>
    <row r="147" spans="1:3" x14ac:dyDescent="0.25">
      <c r="A147" t="b">
        <f>IFERROR(IF(MATCH(B147,RECETAS!$A$2:$A$1700,0) &lt;&gt; "", TRUE,""),FALSE)</f>
        <v>0</v>
      </c>
      <c r="B147" t="str">
        <f>TRANSPOSE(T6_[Etiquetas de fila])</f>
        <v>margarita blue spicy</v>
      </c>
      <c r="C147">
        <f>TRANSPOSE(T6_[Recuento de T6 CODIGO])</f>
        <v>17</v>
      </c>
    </row>
    <row r="148" spans="1:3" x14ac:dyDescent="0.25">
      <c r="A148" t="b">
        <f>IFERROR(IF(MATCH(B148,RECETAS!$A$2:$A$1700,0) &lt;&gt; "", TRUE,""),FALSE)</f>
        <v>1</v>
      </c>
      <c r="B148" t="str">
        <f>TRANSPOSE(T6_[Etiquetas de fila])</f>
        <v>Margarita Frambuesa</v>
      </c>
      <c r="C148">
        <f>TRANSPOSE(T6_[Recuento de T6 CODIGO])</f>
        <v>2</v>
      </c>
    </row>
    <row r="149" spans="1:3" x14ac:dyDescent="0.25">
      <c r="A149" t="b">
        <f>IFERROR(IF(MATCH(B149,RECETAS!$A$2:$A$1700,0) &lt;&gt; "", TRUE,""),FALSE)</f>
        <v>1</v>
      </c>
      <c r="B149" t="str">
        <f>TRANSPOSE(T6_[Etiquetas de fila])</f>
        <v>Margarita Frutilla</v>
      </c>
      <c r="C149">
        <f>TRANSPOSE(T6_[Recuento de T6 CODIGO])</f>
        <v>2</v>
      </c>
    </row>
    <row r="150" spans="1:3" x14ac:dyDescent="0.25">
      <c r="A150" t="b">
        <f>IFERROR(IF(MATCH(B150,RECETAS!$A$2:$A$1700,0) &lt;&gt; "", TRUE,""),FALSE)</f>
        <v>0</v>
      </c>
      <c r="B150" t="str">
        <f>TRANSPOSE(T6_[Etiquetas de fila])</f>
        <v>margarita maracuya spicy</v>
      </c>
      <c r="C150">
        <f>TRANSPOSE(T6_[Recuento de T6 CODIGO])</f>
        <v>19</v>
      </c>
    </row>
    <row r="151" spans="1:3" x14ac:dyDescent="0.25">
      <c r="A151" t="b">
        <f>IFERROR(IF(MATCH(B151,RECETAS!$A$2:$A$1700,0) &lt;&gt; "", TRUE,""),FALSE)</f>
        <v>0</v>
      </c>
      <c r="B151" t="str">
        <f>TRANSPOSE(T6_[Etiquetas de fila])</f>
        <v>margarita spicy</v>
      </c>
      <c r="C151">
        <f>TRANSPOSE(T6_[Recuento de T6 CODIGO])</f>
        <v>11</v>
      </c>
    </row>
    <row r="152" spans="1:3" x14ac:dyDescent="0.25">
      <c r="A152" t="b">
        <f>IFERROR(IF(MATCH(B152,RECETAS!$A$2:$A$1700,0) &lt;&gt; "", TRUE,""),FALSE)</f>
        <v>1</v>
      </c>
      <c r="B152" t="str">
        <f>TRANSPOSE(T6_[Etiquetas de fila])</f>
        <v>Margarita XL Frutilla</v>
      </c>
      <c r="C152">
        <f>TRANSPOSE(T6_[Recuento de T6 CODIGO])</f>
        <v>1</v>
      </c>
    </row>
    <row r="153" spans="1:3" x14ac:dyDescent="0.25">
      <c r="A153" t="b">
        <f>IFERROR(IF(MATCH(B153,RECETAS!$A$2:$A$1700,0) &lt;&gt; "", TRUE,""),FALSE)</f>
        <v>1</v>
      </c>
      <c r="B153" t="str">
        <f>TRANSPOSE(T6_[Etiquetas de fila])</f>
        <v>Martini Dry</v>
      </c>
      <c r="C153">
        <f>TRANSPOSE(T6_[Recuento de T6 CODIGO])</f>
        <v>1</v>
      </c>
    </row>
    <row r="154" spans="1:3" x14ac:dyDescent="0.25">
      <c r="A154" t="b">
        <f>IFERROR(IF(MATCH(B154,RECETAS!$A$2:$A$1700,0) &lt;&gt; "", TRUE,""),FALSE)</f>
        <v>1</v>
      </c>
      <c r="B154" t="str">
        <f>TRANSPOSE(T6_[Etiquetas de fila])</f>
        <v>Menu Coca cola 350cc</v>
      </c>
      <c r="C154">
        <f>TRANSPOSE(T6_[Recuento de T6 CODIGO])</f>
        <v>19</v>
      </c>
    </row>
    <row r="155" spans="1:3" x14ac:dyDescent="0.25">
      <c r="A155" t="b">
        <f>IFERROR(IF(MATCH(B155,RECETAS!$A$2:$A$1700,0) &lt;&gt; "", TRUE,""),FALSE)</f>
        <v>1</v>
      </c>
      <c r="B155" t="str">
        <f>TRANSPOSE(T6_[Etiquetas de fila])</f>
        <v>Menu coca cola light 350cc</v>
      </c>
      <c r="C155">
        <f>TRANSPOSE(T6_[Recuento de T6 CODIGO])</f>
        <v>2</v>
      </c>
    </row>
    <row r="156" spans="1:3" x14ac:dyDescent="0.25">
      <c r="A156" t="b">
        <f>IFERROR(IF(MATCH(B156,RECETAS!$A$2:$A$1700,0) &lt;&gt; "", TRUE,""),FALSE)</f>
        <v>1</v>
      </c>
      <c r="B156" t="str">
        <f>TRANSPOSE(T6_[Etiquetas de fila])</f>
        <v>Menu Coca cola zero 350cc</v>
      </c>
      <c r="C156">
        <f>TRANSPOSE(T6_[Recuento de T6 CODIGO])</f>
        <v>4</v>
      </c>
    </row>
    <row r="157" spans="1:3" x14ac:dyDescent="0.25">
      <c r="A157" t="b">
        <f>IFERROR(IF(MATCH(B157,RECETAS!$A$2:$A$1700,0) &lt;&gt; "", TRUE,""),FALSE)</f>
        <v>1</v>
      </c>
      <c r="B157" t="str">
        <f>TRANSPOSE(T6_[Etiquetas de fila])</f>
        <v>Menu copa de vino blanco</v>
      </c>
      <c r="C157">
        <f>TRANSPOSE(T6_[Recuento de T6 CODIGO])</f>
        <v>1</v>
      </c>
    </row>
    <row r="158" spans="1:3" x14ac:dyDescent="0.25">
      <c r="A158" t="b">
        <f>IFERROR(IF(MATCH(B158,RECETAS!$A$2:$A$1700,0) &lt;&gt; "", TRUE,""),FALSE)</f>
        <v>1</v>
      </c>
      <c r="B158" t="str">
        <f>TRANSPOSE(T6_[Etiquetas de fila])</f>
        <v>Menu copa de vino tinto</v>
      </c>
      <c r="C158">
        <f>TRANSPOSE(T6_[Recuento de T6 CODIGO])</f>
        <v>4</v>
      </c>
    </row>
    <row r="159" spans="1:3" x14ac:dyDescent="0.25">
      <c r="A159" t="b">
        <f>IFERROR(IF(MATCH(B159,RECETAS!$A$2:$A$1700,0) &lt;&gt; "", TRUE,""),FALSE)</f>
        <v>1</v>
      </c>
      <c r="B159" t="str">
        <f>TRANSPOSE(T6_[Etiquetas de fila])</f>
        <v>MENU CRUDO</v>
      </c>
      <c r="C159">
        <f>TRANSPOSE(T6_[Recuento de T6 CODIGO])</f>
        <v>2</v>
      </c>
    </row>
    <row r="160" spans="1:3" x14ac:dyDescent="0.25">
      <c r="A160" t="b">
        <f>IFERROR(IF(MATCH(B160,RECETAS!$A$2:$A$1700,0) &lt;&gt; "", TRUE,""),FALSE)</f>
        <v>1</v>
      </c>
      <c r="B160" t="str">
        <f>TRANSPOSE(T6_[Etiquetas de fila])</f>
        <v>Menu Fanta 350cc</v>
      </c>
      <c r="C160">
        <f>TRANSPOSE(T6_[Recuento de T6 CODIGO])</f>
        <v>3</v>
      </c>
    </row>
    <row r="161" spans="1:3" x14ac:dyDescent="0.25">
      <c r="A161" t="b">
        <f>IFERROR(IF(MATCH(B161,RECETAS!$A$2:$A$1700,0) &lt;&gt; "", TRUE,""),FALSE)</f>
        <v>1</v>
      </c>
      <c r="B161" t="str">
        <f>TRANSPOSE(T6_[Etiquetas de fila])</f>
        <v>Menu Lomo a lo pobre</v>
      </c>
      <c r="C161">
        <f>TRANSPOSE(T6_[Recuento de T6 CODIGO])</f>
        <v>26</v>
      </c>
    </row>
    <row r="162" spans="1:3" x14ac:dyDescent="0.25">
      <c r="A162" t="b">
        <f>IFERROR(IF(MATCH(B162,RECETAS!$A$2:$A$1700,0) &lt;&gt; "", TRUE,""),FALSE)</f>
        <v>1</v>
      </c>
      <c r="B162" t="str">
        <f>TRANSPOSE(T6_[Etiquetas de fila])</f>
        <v>Menu Lomo Saltado</v>
      </c>
      <c r="C162">
        <f>TRANSPOSE(T6_[Recuento de T6 CODIGO])</f>
        <v>14</v>
      </c>
    </row>
    <row r="163" spans="1:3" x14ac:dyDescent="0.25">
      <c r="A163" t="b">
        <f>IFERROR(IF(MATCH(B163,RECETAS!$A$2:$A$1700,0) &lt;&gt; "", TRUE,""),FALSE)</f>
        <v>1</v>
      </c>
      <c r="B163" t="str">
        <f>TRANSPOSE(T6_[Etiquetas de fila])</f>
        <v>Menu Mineral sin gas</v>
      </c>
      <c r="C163">
        <f>TRANSPOSE(T6_[Recuento de T6 CODIGO])</f>
        <v>9</v>
      </c>
    </row>
    <row r="164" spans="1:3" x14ac:dyDescent="0.25">
      <c r="A164" t="b">
        <f>IFERROR(IF(MATCH(B164,RECETAS!$A$2:$A$1700,0) &lt;&gt; "", TRUE,""),FALSE)</f>
        <v>1</v>
      </c>
      <c r="B164" t="str">
        <f>TRANSPOSE(T6_[Etiquetas de fila])</f>
        <v>Menu Pasta con Camarones</v>
      </c>
      <c r="C164">
        <f>TRANSPOSE(T6_[Recuento de T6 CODIGO])</f>
        <v>2</v>
      </c>
    </row>
    <row r="165" spans="1:3" x14ac:dyDescent="0.25">
      <c r="A165" t="b">
        <f>IFERROR(IF(MATCH(B165,RECETAS!$A$2:$A$1700,0) &lt;&gt; "", TRUE,""),FALSE)</f>
        <v>1</v>
      </c>
      <c r="B165" t="str">
        <f>TRANSPOSE(T6_[Etiquetas de fila])</f>
        <v>Menu Pollo a lo pobre</v>
      </c>
      <c r="C165">
        <f>TRANSPOSE(T6_[Recuento de T6 CODIGO])</f>
        <v>1</v>
      </c>
    </row>
    <row r="166" spans="1:3" x14ac:dyDescent="0.25">
      <c r="A166" t="b">
        <f>IFERROR(IF(MATCH(B166,RECETAS!$A$2:$A$1700,0) &lt;&gt; "", TRUE,""),FALSE)</f>
        <v>1</v>
      </c>
      <c r="B166" t="str">
        <f>TRANSPOSE(T6_[Etiquetas de fila])</f>
        <v>Menu Pollo al Limon</v>
      </c>
      <c r="C166">
        <f>TRANSPOSE(T6_[Recuento de T6 CODIGO])</f>
        <v>6</v>
      </c>
    </row>
    <row r="167" spans="1:3" x14ac:dyDescent="0.25">
      <c r="A167" t="b">
        <f>IFERROR(IF(MATCH(B167,RECETAS!$A$2:$A$1700,0) &lt;&gt; "", TRUE,""),FALSE)</f>
        <v>1</v>
      </c>
      <c r="B167" t="str">
        <f>TRANSPOSE(T6_[Etiquetas de fila])</f>
        <v>Menu Salmon a la plancha</v>
      </c>
      <c r="C167">
        <f>TRANSPOSE(T6_[Recuento de T6 CODIGO])</f>
        <v>1</v>
      </c>
    </row>
    <row r="168" spans="1:3" x14ac:dyDescent="0.25">
      <c r="A168" t="b">
        <f>IFERROR(IF(MATCH(B168,RECETAS!$A$2:$A$1700,0) &lt;&gt; "", TRUE,""),FALSE)</f>
        <v>1</v>
      </c>
      <c r="B168" t="str">
        <f>TRANSPOSE(T6_[Etiquetas de fila])</f>
        <v>Menu Salmon a lo Pobre</v>
      </c>
      <c r="C168">
        <f>TRANSPOSE(T6_[Recuento de T6 CODIGO])</f>
        <v>3</v>
      </c>
    </row>
    <row r="169" spans="1:3" x14ac:dyDescent="0.25">
      <c r="A169" t="b">
        <f>IFERROR(IF(MATCH(B169,RECETAS!$A$2:$A$1700,0) &lt;&gt; "", TRUE,""),FALSE)</f>
        <v>1</v>
      </c>
      <c r="B169" t="str">
        <f>TRANSPOSE(T6_[Etiquetas de fila])</f>
        <v>Menu Salmon Salad</v>
      </c>
      <c r="C169">
        <f>TRANSPOSE(T6_[Recuento de T6 CODIGO])</f>
        <v>4</v>
      </c>
    </row>
    <row r="170" spans="1:3" x14ac:dyDescent="0.25">
      <c r="A170" t="b">
        <f>IFERROR(IF(MATCH(B170,RECETAS!$A$2:$A$1700,0) &lt;&gt; "", TRUE,""),FALSE)</f>
        <v>1</v>
      </c>
      <c r="B170" t="str">
        <f>TRANSPOSE(T6_[Etiquetas de fila])</f>
        <v>Menu Schop Stella</v>
      </c>
      <c r="C170">
        <f>TRANSPOSE(T6_[Recuento de T6 CODIGO])</f>
        <v>13</v>
      </c>
    </row>
    <row r="171" spans="1:3" x14ac:dyDescent="0.25">
      <c r="A171" t="b">
        <f>IFERROR(IF(MATCH(B171,RECETAS!$A$2:$A$1700,0) &lt;&gt; "", TRUE,""),FALSE)</f>
        <v>1</v>
      </c>
      <c r="B171" t="str">
        <f>TRANSPOSE(T6_[Etiquetas de fila])</f>
        <v>Menu Schweppes Ginger zero 350cc</v>
      </c>
      <c r="C171">
        <f>TRANSPOSE(T6_[Recuento de T6 CODIGO])</f>
        <v>4</v>
      </c>
    </row>
    <row r="172" spans="1:3" x14ac:dyDescent="0.25">
      <c r="A172" t="b">
        <f>IFERROR(IF(MATCH(B172,RECETAS!$A$2:$A$1700,0) &lt;&gt; "", TRUE,""),FALSE)</f>
        <v>1</v>
      </c>
      <c r="B172" t="str">
        <f>TRANSPOSE(T6_[Etiquetas de fila])</f>
        <v>Menu Sprite 350cc</v>
      </c>
      <c r="C172">
        <f>TRANSPOSE(T6_[Recuento de T6 CODIGO])</f>
        <v>7</v>
      </c>
    </row>
    <row r="173" spans="1:3" x14ac:dyDescent="0.25">
      <c r="A173" t="b">
        <f>IFERROR(IF(MATCH(B173,RECETAS!$A$2:$A$1700,0) &lt;&gt; "", TRUE,""),FALSE)</f>
        <v>1</v>
      </c>
      <c r="B173" t="str">
        <f>TRANSPOSE(T6_[Etiquetas de fila])</f>
        <v>Menu Sprite Zero 350cc</v>
      </c>
      <c r="C173">
        <f>TRANSPOSE(T6_[Recuento de T6 CODIGO])</f>
        <v>2</v>
      </c>
    </row>
    <row r="174" spans="1:3" x14ac:dyDescent="0.25">
      <c r="A174" t="b">
        <f>IFERROR(IF(MATCH(B174,RECETAS!$A$2:$A$1700,0) &lt;&gt; "", TRUE,""),FALSE)</f>
        <v>0</v>
      </c>
      <c r="B174" t="str">
        <f>TRANSPOSE(T6_[Etiquetas de fila])</f>
        <v>MERLUZA A LO POBRE</v>
      </c>
      <c r="C174">
        <f>TRANSPOSE(T6_[Recuento de T6 CODIGO])</f>
        <v>6</v>
      </c>
    </row>
    <row r="175" spans="1:3" x14ac:dyDescent="0.25">
      <c r="A175" t="b">
        <f>IFERROR(IF(MATCH(B175,RECETAS!$A$2:$A$1700,0) &lt;&gt; "", TRUE,""),FALSE)</f>
        <v>1</v>
      </c>
      <c r="B175" t="str">
        <f>TRANSPOSE(T6_[Etiquetas de fila])</f>
        <v>Michelada</v>
      </c>
      <c r="C175">
        <f>TRANSPOSE(T6_[Recuento de T6 CODIGO])</f>
        <v>68</v>
      </c>
    </row>
    <row r="176" spans="1:3" x14ac:dyDescent="0.25">
      <c r="A176" t="b">
        <f>IFERROR(IF(MATCH(B176,RECETAS!$A$2:$A$1700,0) &lt;&gt; "", TRUE,""),FALSE)</f>
        <v>1</v>
      </c>
      <c r="B176" t="str">
        <f>TRANSPOSE(T6_[Etiquetas de fila])</f>
        <v>Michelada Full</v>
      </c>
      <c r="C176">
        <f>TRANSPOSE(T6_[Recuento de T6 CODIGO])</f>
        <v>38</v>
      </c>
    </row>
    <row r="177" spans="1:3" x14ac:dyDescent="0.25">
      <c r="A177" t="b">
        <f>IFERROR(IF(MATCH(B177,RECETAS!$A$2:$A$1700,0) &lt;&gt; "", TRUE,""),FALSE)</f>
        <v>1</v>
      </c>
      <c r="B177" t="str">
        <f>TRANSPOSE(T6_[Etiquetas de fila])</f>
        <v>Mineral con gas</v>
      </c>
      <c r="C177">
        <f>TRANSPOSE(T6_[Recuento de T6 CODIGO])</f>
        <v>10</v>
      </c>
    </row>
    <row r="178" spans="1:3" x14ac:dyDescent="0.25">
      <c r="A178" t="b">
        <f>IFERROR(IF(MATCH(B178,RECETAS!$A$2:$A$1700,0) &lt;&gt; "", TRUE,""),FALSE)</f>
        <v>1</v>
      </c>
      <c r="B178" t="str">
        <f>TRANSPOSE(T6_[Etiquetas de fila])</f>
        <v>Mineral sin gas</v>
      </c>
      <c r="C178">
        <f>TRANSPOSE(T6_[Recuento de T6 CODIGO])</f>
        <v>16</v>
      </c>
    </row>
    <row r="179" spans="1:3" x14ac:dyDescent="0.25">
      <c r="A179" t="b">
        <f>IFERROR(IF(MATCH(B179,RECETAS!$A$2:$A$1700,0) &lt;&gt; "", TRUE,""),FALSE)</f>
        <v>1</v>
      </c>
      <c r="B179" t="str">
        <f>TRANSPOSE(T6_[Etiquetas de fila])</f>
        <v>Mistral 35°</v>
      </c>
      <c r="C179">
        <f>TRANSPOSE(T6_[Recuento de T6 CODIGO])</f>
        <v>8</v>
      </c>
    </row>
    <row r="180" spans="1:3" x14ac:dyDescent="0.25">
      <c r="A180" t="b">
        <f>IFERROR(IF(MATCH(B180,RECETAS!$A$2:$A$1700,0) &lt;&gt; "", TRUE,""),FALSE)</f>
        <v>1</v>
      </c>
      <c r="B180" t="str">
        <f>TRANSPOSE(T6_[Etiquetas de fila])</f>
        <v>Mistral Nobel 40°</v>
      </c>
      <c r="C180">
        <f>TRANSPOSE(T6_[Recuento de T6 CODIGO])</f>
        <v>5</v>
      </c>
    </row>
    <row r="181" spans="1:3" x14ac:dyDescent="0.25">
      <c r="A181" t="b">
        <f>IFERROR(IF(MATCH(B181,RECETAS!$A$2:$A$1700,0) &lt;&gt; "", TRUE,""),FALSE)</f>
        <v>1</v>
      </c>
      <c r="B181" t="str">
        <f>TRANSPOSE(T6_[Etiquetas de fila])</f>
        <v>Mojito Absolut Razz</v>
      </c>
      <c r="C181">
        <f>TRANSPOSE(T6_[Recuento de T6 CODIGO])</f>
        <v>1</v>
      </c>
    </row>
    <row r="182" spans="1:3" x14ac:dyDescent="0.25">
      <c r="A182" t="b">
        <f>IFERROR(IF(MATCH(B182,RECETAS!$A$2:$A$1700,0) &lt;&gt; "", TRUE,""),FALSE)</f>
        <v>1</v>
      </c>
      <c r="B182" t="str">
        <f>TRANSPOSE(T6_[Etiquetas de fila])</f>
        <v>MOJITO BERRIES</v>
      </c>
      <c r="C182">
        <f>TRANSPOSE(T6_[Recuento de T6 CODIGO])</f>
        <v>15</v>
      </c>
    </row>
    <row r="183" spans="1:3" x14ac:dyDescent="0.25">
      <c r="A183" t="b">
        <f>IFERROR(IF(MATCH(B183,RECETAS!$A$2:$A$1700,0) &lt;&gt; "", TRUE,""),FALSE)</f>
        <v>1</v>
      </c>
      <c r="B183" t="str">
        <f>TRANSPOSE(T6_[Etiquetas de fila])</f>
        <v>Mojito Clásico</v>
      </c>
      <c r="C183">
        <f>TRANSPOSE(T6_[Recuento de T6 CODIGO])</f>
        <v>33</v>
      </c>
    </row>
    <row r="184" spans="1:3" x14ac:dyDescent="0.25">
      <c r="A184" t="b">
        <f>IFERROR(IF(MATCH(B184,RECETAS!$A$2:$A$1700,0) &lt;&gt; "", TRUE,""),FALSE)</f>
        <v>1</v>
      </c>
      <c r="B184" t="str">
        <f>TRANSPOSE(T6_[Etiquetas de fila])</f>
        <v>Mojito Corona</v>
      </c>
      <c r="C184">
        <f>TRANSPOSE(T6_[Recuento de T6 CODIGO])</f>
        <v>40</v>
      </c>
    </row>
    <row r="185" spans="1:3" x14ac:dyDescent="0.25">
      <c r="A185" t="b">
        <f>IFERROR(IF(MATCH(B185,RECETAS!$A$2:$A$1700,0) &lt;&gt; "", TRUE,""),FALSE)</f>
        <v>0</v>
      </c>
      <c r="B185" t="str">
        <f>TRANSPOSE(T6_[Etiquetas de fila])</f>
        <v>MOJITO CORONA 0.0</v>
      </c>
      <c r="C185">
        <f>TRANSPOSE(T6_[Recuento de T6 CODIGO])</f>
        <v>6</v>
      </c>
    </row>
    <row r="186" spans="1:3" x14ac:dyDescent="0.25">
      <c r="A186" t="b">
        <f>IFERROR(IF(MATCH(B186,RECETAS!$A$2:$A$1700,0) &lt;&gt; "", TRUE,""),FALSE)</f>
        <v>1</v>
      </c>
      <c r="B186" t="str">
        <f>TRANSPOSE(T6_[Etiquetas de fila])</f>
        <v>MOJITO FRUTILLA</v>
      </c>
      <c r="C186">
        <f>TRANSPOSE(T6_[Recuento de T6 CODIGO])</f>
        <v>142</v>
      </c>
    </row>
    <row r="187" spans="1:3" x14ac:dyDescent="0.25">
      <c r="A187" t="b">
        <f>IFERROR(IF(MATCH(B187,RECETAS!$A$2:$A$1700,0) &lt;&gt; "", TRUE,""),FALSE)</f>
        <v>1</v>
      </c>
      <c r="B187" t="str">
        <f>TRANSPOSE(T6_[Etiquetas de fila])</f>
        <v>Mojito Jack Daniels</v>
      </c>
      <c r="C187">
        <f>TRANSPOSE(T6_[Recuento de T6 CODIGO])</f>
        <v>3</v>
      </c>
    </row>
    <row r="188" spans="1:3" x14ac:dyDescent="0.25">
      <c r="A188" t="b">
        <f>IFERROR(IF(MATCH(B188,RECETAS!$A$2:$A$1700,0) &lt;&gt; "", TRUE,""),FALSE)</f>
        <v>1</v>
      </c>
      <c r="B188" t="str">
        <f>TRANSPOSE(T6_[Etiquetas de fila])</f>
        <v>MOJITO MANGO</v>
      </c>
      <c r="C188">
        <f>TRANSPOSE(T6_[Recuento de T6 CODIGO])</f>
        <v>15</v>
      </c>
    </row>
    <row r="189" spans="1:3" x14ac:dyDescent="0.25">
      <c r="A189" t="b">
        <f>IFERROR(IF(MATCH(B189,RECETAS!$A$2:$A$1700,0) &lt;&gt; "", TRUE,""),FALSE)</f>
        <v>1</v>
      </c>
      <c r="B189" t="str">
        <f>TRANSPOSE(T6_[Etiquetas de fila])</f>
        <v>Mojito Maracuyá</v>
      </c>
      <c r="C189">
        <f>TRANSPOSE(T6_[Recuento de T6 CODIGO])</f>
        <v>34</v>
      </c>
    </row>
    <row r="190" spans="1:3" x14ac:dyDescent="0.25">
      <c r="A190" t="b">
        <f>IFERROR(IF(MATCH(B190,RECETAS!$A$2:$A$1700,0) &lt;&gt; "", TRUE,""),FALSE)</f>
        <v>1</v>
      </c>
      <c r="B190" t="str">
        <f>TRANSPOSE(T6_[Etiquetas de fila])</f>
        <v>Mojito Sin Alcohol</v>
      </c>
      <c r="C190">
        <f>TRANSPOSE(T6_[Recuento de T6 CODIGO])</f>
        <v>20</v>
      </c>
    </row>
    <row r="191" spans="1:3" x14ac:dyDescent="0.25">
      <c r="A191" t="b">
        <f>IFERROR(IF(MATCH(B191,RECETAS!$A$2:$A$1700,0) &lt;&gt; "", TRUE,""),FALSE)</f>
        <v>0</v>
      </c>
      <c r="B191" t="str">
        <f>TRANSPOSE(T6_[Etiquetas de fila])</f>
        <v>Mojito Tanqueray Sevilla</v>
      </c>
      <c r="C191">
        <f>TRANSPOSE(T6_[Recuento de T6 CODIGO])</f>
        <v>7</v>
      </c>
    </row>
    <row r="192" spans="1:3" x14ac:dyDescent="0.25">
      <c r="A192" t="b">
        <f>IFERROR(IF(MATCH(B192,RECETAS!$A$2:$A$1700,0) &lt;&gt; "", TRUE,""),FALSE)</f>
        <v>1</v>
      </c>
      <c r="B192" t="str">
        <f>TRANSPOSE(T6_[Etiquetas de fila])</f>
        <v>Mojito Xl</v>
      </c>
      <c r="C192">
        <f>TRANSPOSE(T6_[Recuento de T6 CODIGO])</f>
        <v>9</v>
      </c>
    </row>
    <row r="193" spans="1:3" x14ac:dyDescent="0.25">
      <c r="A193" t="b">
        <f>IFERROR(IF(MATCH(B193,RECETAS!$A$2:$A$1700,0) &lt;&gt; "", TRUE,""),FALSE)</f>
        <v>1</v>
      </c>
      <c r="B193" t="str">
        <f>TRANSPOSE(T6_[Etiquetas de fila])</f>
        <v>Monster Zero</v>
      </c>
      <c r="C193">
        <f>TRANSPOSE(T6_[Recuento de T6 CODIGO])</f>
        <v>1</v>
      </c>
    </row>
    <row r="194" spans="1:3" x14ac:dyDescent="0.25">
      <c r="A194" t="b">
        <f>IFERROR(IF(MATCH(B194,RECETAS!$A$2:$A$1700,0) &lt;&gt; "", TRUE,""),FALSE)</f>
        <v>1</v>
      </c>
      <c r="B194" t="str">
        <f>TRANSPOSE(T6_[Etiquetas de fila])</f>
        <v>Moscow Mule</v>
      </c>
      <c r="C194">
        <f>TRANSPOSE(T6_[Recuento de T6 CODIGO])</f>
        <v>13</v>
      </c>
    </row>
    <row r="195" spans="1:3" x14ac:dyDescent="0.25">
      <c r="A195" t="b">
        <f>IFERROR(IF(MATCH(B195,RECETAS!$A$2:$A$1700,0) &lt;&gt; "", TRUE,""),FALSE)</f>
        <v>1</v>
      </c>
      <c r="B195" t="str">
        <f>TRANSPOSE(T6_[Etiquetas de fila])</f>
        <v>Nashville Honey</v>
      </c>
      <c r="C195">
        <f>TRANSPOSE(T6_[Recuento de T6 CODIGO])</f>
        <v>1</v>
      </c>
    </row>
    <row r="196" spans="1:3" x14ac:dyDescent="0.25">
      <c r="A196" t="b">
        <f>IFERROR(IF(MATCH(B196,RECETAS!$A$2:$A$1700,0) &lt;&gt; "", TRUE,""),FALSE)</f>
        <v>1</v>
      </c>
      <c r="B196" t="str">
        <f>TRANSPOSE(T6_[Etiquetas de fila])</f>
        <v>Negroni</v>
      </c>
      <c r="C196">
        <f>TRANSPOSE(T6_[Recuento de T6 CODIGO])</f>
        <v>9</v>
      </c>
    </row>
    <row r="197" spans="1:3" x14ac:dyDescent="0.25">
      <c r="A197" t="b">
        <f>IFERROR(IF(MATCH(B197,RECETAS!$A$2:$A$1700,0) &lt;&gt; "", TRUE,""),FALSE)</f>
        <v>1</v>
      </c>
      <c r="B197" t="str">
        <f>TRANSPOSE(T6_[Etiquetas de fila])</f>
        <v>NOT Burger</v>
      </c>
      <c r="C197">
        <f>TRANSPOSE(T6_[Recuento de T6 CODIGO])</f>
        <v>62</v>
      </c>
    </row>
    <row r="198" spans="1:3" x14ac:dyDescent="0.25">
      <c r="A198" t="b">
        <f>IFERROR(IF(MATCH(B198,RECETAS!$A$2:$A$1700,0) &lt;&gt; "", TRUE,""),FALSE)</f>
        <v>1</v>
      </c>
      <c r="B198" t="str">
        <f>TRANSPOSE(T6_[Etiquetas de fila])</f>
        <v>P.CHEESE TECLADOS</v>
      </c>
      <c r="C198">
        <f>TRANSPOSE(T6_[Recuento de T6 CODIGO])</f>
        <v>2</v>
      </c>
    </row>
    <row r="199" spans="1:3" x14ac:dyDescent="0.25">
      <c r="A199" t="b">
        <f>IFERROR(IF(MATCH(B199,RECETAS!$A$2:$A$1700,0) &lt;&gt; "", TRUE,""),FALSE)</f>
        <v>1</v>
      </c>
      <c r="B199" t="str">
        <f>TRANSPOSE(T6_[Etiquetas de fila])</f>
        <v>P.QUESADILLAS</v>
      </c>
      <c r="C199">
        <f>TRANSPOSE(T6_[Recuento de T6 CODIGO])</f>
        <v>3</v>
      </c>
    </row>
    <row r="200" spans="1:3" x14ac:dyDescent="0.25">
      <c r="A200" t="b">
        <f>IFERROR(IF(MATCH(B200,RECETAS!$A$2:$A$1700,0) &lt;&gt; "", TRUE,""),FALSE)</f>
        <v>1</v>
      </c>
      <c r="B200" t="str">
        <f>TRANSPOSE(T6_[Etiquetas de fila])</f>
        <v>Palos de Queso</v>
      </c>
      <c r="C200">
        <f>TRANSPOSE(T6_[Recuento de T6 CODIGO])</f>
        <v>15</v>
      </c>
    </row>
    <row r="201" spans="1:3" x14ac:dyDescent="0.25">
      <c r="A201" t="b">
        <f>IFERROR(IF(MATCH(B201,RECETAS!$A$2:$A$1700,0) &lt;&gt; "", TRUE,""),FALSE)</f>
        <v>1</v>
      </c>
      <c r="B201" t="str">
        <f>TRANSPOSE(T6_[Etiquetas de fila])</f>
        <v>Pampero Especial</v>
      </c>
      <c r="C201">
        <f>TRANSPOSE(T6_[Recuento de T6 CODIGO])</f>
        <v>3</v>
      </c>
    </row>
    <row r="202" spans="1:3" x14ac:dyDescent="0.25">
      <c r="A202" t="b">
        <f>IFERROR(IF(MATCH(B202,RECETAS!$A$2:$A$1700,0) &lt;&gt; "", TRUE,""),FALSE)</f>
        <v>1</v>
      </c>
      <c r="B202" t="str">
        <f>TRANSPOSE(T6_[Etiquetas de fila])</f>
        <v>Papas Fritas Grandes</v>
      </c>
      <c r="C202">
        <f>TRANSPOSE(T6_[Recuento de T6 CODIGO])</f>
        <v>20</v>
      </c>
    </row>
    <row r="203" spans="1:3" x14ac:dyDescent="0.25">
      <c r="A203" t="b">
        <f>IFERROR(IF(MATCH(B203,RECETAS!$A$2:$A$1700,0) &lt;&gt; "", TRUE,""),FALSE)</f>
        <v>1</v>
      </c>
      <c r="B203" t="str">
        <f>TRANSPOSE(T6_[Etiquetas de fila])</f>
        <v>Picnic Teclados</v>
      </c>
      <c r="C203">
        <f>TRANSPOSE(T6_[Recuento de T6 CODIGO])</f>
        <v>39</v>
      </c>
    </row>
    <row r="204" spans="1:3" x14ac:dyDescent="0.25">
      <c r="A204" t="b">
        <f>IFERROR(IF(MATCH(B204,RECETAS!$A$2:$A$1700,0) &lt;&gt; "", TRUE,""),FALSE)</f>
        <v>1</v>
      </c>
      <c r="B204" t="str">
        <f>TRANSPOSE(T6_[Etiquetas de fila])</f>
        <v>Piña Colada</v>
      </c>
      <c r="C204">
        <f>TRANSPOSE(T6_[Recuento de T6 CODIGO])</f>
        <v>29</v>
      </c>
    </row>
    <row r="205" spans="1:3" x14ac:dyDescent="0.25">
      <c r="A205" t="b">
        <f>IFERROR(IF(MATCH(B205,RECETAS!$A$2:$A$1700,0) &lt;&gt; "", TRUE,""),FALSE)</f>
        <v>1</v>
      </c>
      <c r="B205" t="str">
        <f>TRANSPOSE(T6_[Etiquetas de fila])</f>
        <v>Piña Colada Sin Alcohol</v>
      </c>
      <c r="C205">
        <f>TRANSPOSE(T6_[Recuento de T6 CODIGO])</f>
        <v>11</v>
      </c>
    </row>
    <row r="206" spans="1:3" x14ac:dyDescent="0.25">
      <c r="A206" t="b">
        <f>IFERROR(IF(MATCH(B206,RECETAS!$A$2:$A$1700,0) &lt;&gt; "", TRUE,""),FALSE)</f>
        <v>1</v>
      </c>
      <c r="B206" t="str">
        <f>TRANSPOSE(T6_[Etiquetas de fila])</f>
        <v>Pisco Sour</v>
      </c>
      <c r="C206">
        <f>TRANSPOSE(T6_[Recuento de T6 CODIGO])</f>
        <v>8</v>
      </c>
    </row>
    <row r="207" spans="1:3" x14ac:dyDescent="0.25">
      <c r="A207" t="b">
        <f>IFERROR(IF(MATCH(B207,RECETAS!$A$2:$A$1700,0) &lt;&gt; "", TRUE,""),FALSE)</f>
        <v>1</v>
      </c>
      <c r="B207" t="str">
        <f>TRANSPOSE(T6_[Etiquetas de fila])</f>
        <v>Promo Alto 35°</v>
      </c>
      <c r="C207">
        <f>TRANSPOSE(T6_[Recuento de T6 CODIGO])</f>
        <v>7</v>
      </c>
    </row>
    <row r="208" spans="1:3" x14ac:dyDescent="0.25">
      <c r="A208" t="b">
        <f>IFERROR(IF(MATCH(B208,RECETAS!$A$2:$A$1700,0) &lt;&gt; "", TRUE,""),FALSE)</f>
        <v>1</v>
      </c>
      <c r="B208" t="str">
        <f>TRANSPOSE(T6_[Etiquetas de fila])</f>
        <v>Promo Alto 35° + Redbull</v>
      </c>
      <c r="C208">
        <f>TRANSPOSE(T6_[Recuento de T6 CODIGO])</f>
        <v>2</v>
      </c>
    </row>
    <row r="209" spans="1:3" x14ac:dyDescent="0.25">
      <c r="A209" t="b">
        <f>IFERROR(IF(MATCH(B209,RECETAS!$A$2:$A$1700,0) &lt;&gt; "", TRUE,""),FALSE)</f>
        <v>1</v>
      </c>
      <c r="B209" t="str">
        <f>TRANSPOSE(T6_[Etiquetas de fila])</f>
        <v>Promo Brujas de Salamanca 35</v>
      </c>
      <c r="C209">
        <f>TRANSPOSE(T6_[Recuento de T6 CODIGO])</f>
        <v>1</v>
      </c>
    </row>
    <row r="210" spans="1:3" x14ac:dyDescent="0.25">
      <c r="A210" t="b">
        <f>IFERROR(IF(MATCH(B210,RECETAS!$A$2:$A$1700,0) &lt;&gt; "", TRUE,""),FALSE)</f>
        <v>1</v>
      </c>
      <c r="B210" t="str">
        <f>TRANSPOSE(T6_[Etiquetas de fila])</f>
        <v>Promo coca cola 237cc</v>
      </c>
      <c r="C210">
        <f>TRANSPOSE(T6_[Recuento de T6 CODIGO])</f>
        <v>20</v>
      </c>
    </row>
    <row r="211" spans="1:3" x14ac:dyDescent="0.25">
      <c r="A211" t="b">
        <f>IFERROR(IF(MATCH(B211,RECETAS!$A$2:$A$1700,0) &lt;&gt; "", TRUE,""),FALSE)</f>
        <v>1</v>
      </c>
      <c r="B211" t="str">
        <f>TRANSPOSE(T6_[Etiquetas de fila])</f>
        <v>Promo Coca cola 350cc</v>
      </c>
      <c r="C211">
        <f>TRANSPOSE(T6_[Recuento de T6 CODIGO])</f>
        <v>5</v>
      </c>
    </row>
    <row r="212" spans="1:3" x14ac:dyDescent="0.25">
      <c r="A212" t="b">
        <f>IFERROR(IF(MATCH(B212,RECETAS!$A$2:$A$1700,0) &lt;&gt; "", TRUE,""),FALSE)</f>
        <v>1</v>
      </c>
      <c r="B212" t="str">
        <f>TRANSPOSE(T6_[Etiquetas de fila])</f>
        <v>Promo coca cola zero 237cc</v>
      </c>
      <c r="C212">
        <f>TRANSPOSE(T6_[Recuento de T6 CODIGO])</f>
        <v>16</v>
      </c>
    </row>
    <row r="213" spans="1:3" x14ac:dyDescent="0.25">
      <c r="A213" t="b">
        <f>IFERROR(IF(MATCH(B213,RECETAS!$A$2:$A$1700,0) &lt;&gt; "", TRUE,""),FALSE)</f>
        <v>1</v>
      </c>
      <c r="B213" t="str">
        <f>TRANSPOSE(T6_[Etiquetas de fila])</f>
        <v>Promo coca cola zero 350cc</v>
      </c>
      <c r="C213">
        <f>TRANSPOSE(T6_[Recuento de T6 CODIGO])</f>
        <v>7</v>
      </c>
    </row>
    <row r="214" spans="1:3" x14ac:dyDescent="0.25">
      <c r="A214" t="b">
        <f>IFERROR(IF(MATCH(B214,RECETAS!$A$2:$A$1700,0) &lt;&gt; "", TRUE,""),FALSE)</f>
        <v>1</v>
      </c>
      <c r="B214" t="str">
        <f>TRANSPOSE(T6_[Etiquetas de fila])</f>
        <v>Promo Mistral 35° + Redbull</v>
      </c>
      <c r="C214">
        <f>TRANSPOSE(T6_[Recuento de T6 CODIGO])</f>
        <v>1</v>
      </c>
    </row>
    <row r="215" spans="1:3" x14ac:dyDescent="0.25">
      <c r="A215" t="b">
        <f>IFERROR(IF(MATCH(B215,RECETAS!$A$2:$A$1700,0) &lt;&gt; "", TRUE,""),FALSE)</f>
        <v>1</v>
      </c>
      <c r="B215" t="str">
        <f>TRANSPOSE(T6_[Etiquetas de fila])</f>
        <v>Promo Red Bull Light</v>
      </c>
      <c r="C215">
        <f>TRANSPOSE(T6_[Recuento de T6 CODIGO])</f>
        <v>2</v>
      </c>
    </row>
    <row r="216" spans="1:3" x14ac:dyDescent="0.25">
      <c r="A216" t="b">
        <f>IFERROR(IF(MATCH(B216,RECETAS!$A$2:$A$1700,0) &lt;&gt; "", TRUE,""),FALSE)</f>
        <v>1</v>
      </c>
      <c r="B216" t="str">
        <f>TRANSPOSE(T6_[Etiquetas de fila])</f>
        <v>Promo Redbull</v>
      </c>
      <c r="C216">
        <f>TRANSPOSE(T6_[Recuento de T6 CODIGO])</f>
        <v>1</v>
      </c>
    </row>
    <row r="217" spans="1:3" x14ac:dyDescent="0.25">
      <c r="A217" t="b">
        <f>IFERROR(IF(MATCH(B217,RECETAS!$A$2:$A$1700,0) &lt;&gt; "", TRUE,""),FALSE)</f>
        <v>1</v>
      </c>
      <c r="B217" t="str">
        <f>TRANSPOSE(T6_[Etiquetas de fila])</f>
        <v>Promo Schweppes Ginger zero 350cc</v>
      </c>
      <c r="C217">
        <f>TRANSPOSE(T6_[Recuento de T6 CODIGO])</f>
        <v>10</v>
      </c>
    </row>
    <row r="218" spans="1:3" x14ac:dyDescent="0.25">
      <c r="A218" t="b">
        <f>IFERROR(IF(MATCH(B218,RECETAS!$A$2:$A$1700,0) &lt;&gt; "", TRUE,""),FALSE)</f>
        <v>1</v>
      </c>
      <c r="B218" t="str">
        <f>TRANSPOSE(T6_[Etiquetas de fila])</f>
        <v>Promo Schweppes Tonica 350cc</v>
      </c>
      <c r="C218">
        <f>TRANSPOSE(T6_[Recuento de T6 CODIGO])</f>
        <v>20</v>
      </c>
    </row>
    <row r="219" spans="1:3" x14ac:dyDescent="0.25">
      <c r="A219" t="b">
        <f>IFERROR(IF(MATCH(B219,RECETAS!$A$2:$A$1700,0) &lt;&gt; "", TRUE,""),FALSE)</f>
        <v>1</v>
      </c>
      <c r="B219" t="str">
        <f>TRANSPOSE(T6_[Etiquetas de fila])</f>
        <v>Promo Sprite 237cc</v>
      </c>
      <c r="C219">
        <f>TRANSPOSE(T6_[Recuento de T6 CODIGO])</f>
        <v>1</v>
      </c>
    </row>
    <row r="220" spans="1:3" x14ac:dyDescent="0.25">
      <c r="A220" t="b">
        <f>IFERROR(IF(MATCH(B220,RECETAS!$A$2:$A$1700,0) &lt;&gt; "", TRUE,""),FALSE)</f>
        <v>1</v>
      </c>
      <c r="B220" t="str">
        <f>TRANSPOSE(T6_[Etiquetas de fila])</f>
        <v>Promo Sprite Zero 350cc</v>
      </c>
      <c r="C220">
        <f>TRANSPOSE(T6_[Recuento de T6 CODIGO])</f>
        <v>5</v>
      </c>
    </row>
    <row r="221" spans="1:3" x14ac:dyDescent="0.25">
      <c r="A221" t="b">
        <f>IFERROR(IF(MATCH(B221,RECETAS!$A$2:$A$1700,0) &lt;&gt; "", TRUE,""),FALSE)</f>
        <v>1</v>
      </c>
      <c r="B221" t="str">
        <f>TRANSPOSE(T6_[Etiquetas de fila])</f>
        <v>Quesadilla Camaron</v>
      </c>
      <c r="C221">
        <f>TRANSPOSE(T6_[Recuento de T6 CODIGO])</f>
        <v>20</v>
      </c>
    </row>
    <row r="222" spans="1:3" x14ac:dyDescent="0.25">
      <c r="A222" t="b">
        <f>IFERROR(IF(MATCH(B222,RECETAS!$A$2:$A$1700,0) &lt;&gt; "", TRUE,""),FALSE)</f>
        <v>1</v>
      </c>
      <c r="B222" t="str">
        <f>TRANSPOSE(T6_[Etiquetas de fila])</f>
        <v>Quesadilla Carne</v>
      </c>
      <c r="C222">
        <f>TRANSPOSE(T6_[Recuento de T6 CODIGO])</f>
        <v>21</v>
      </c>
    </row>
    <row r="223" spans="1:3" x14ac:dyDescent="0.25">
      <c r="A223" t="b">
        <f>IFERROR(IF(MATCH(B223,RECETAS!$A$2:$A$1700,0) &lt;&gt; "", TRUE,""),FALSE)</f>
        <v>1</v>
      </c>
      <c r="B223" t="str">
        <f>TRANSPOSE(T6_[Etiquetas de fila])</f>
        <v>Quesadilla Pollo - Champignon</v>
      </c>
      <c r="C223">
        <f>TRANSPOSE(T6_[Recuento de T6 CODIGO])</f>
        <v>20</v>
      </c>
    </row>
    <row r="224" spans="1:3" x14ac:dyDescent="0.25">
      <c r="A224" t="b">
        <f>IFERROR(IF(MATCH(B224,RECETAS!$A$2:$A$1700,0) &lt;&gt; "", TRUE,""),FALSE)</f>
        <v>1</v>
      </c>
      <c r="B224" t="str">
        <f>TRANSPOSE(T6_[Etiquetas de fila])</f>
        <v>Ramazzotti</v>
      </c>
      <c r="C224">
        <f>TRANSPOSE(T6_[Recuento de T6 CODIGO])</f>
        <v>22</v>
      </c>
    </row>
    <row r="225" spans="1:3" x14ac:dyDescent="0.25">
      <c r="A225" t="b">
        <f>IFERROR(IF(MATCH(B225,RECETAS!$A$2:$A$1700,0) &lt;&gt; "", TRUE,""),FALSE)</f>
        <v>1</v>
      </c>
      <c r="B225" t="str">
        <f>TRANSPOSE(T6_[Etiquetas de fila])</f>
        <v>Red Bull normal</v>
      </c>
      <c r="C225">
        <f>TRANSPOSE(T6_[Recuento de T6 CODIGO])</f>
        <v>3</v>
      </c>
    </row>
    <row r="226" spans="1:3" x14ac:dyDescent="0.25">
      <c r="A226" t="b">
        <f>IFERROR(IF(MATCH(B226,RECETAS!$A$2:$A$1700,0) &lt;&gt; "", TRUE,""),FALSE)</f>
        <v>1</v>
      </c>
      <c r="B226" t="str">
        <f>TRANSPOSE(T6_[Etiquetas de fila])</f>
        <v>Red Bull sugar free</v>
      </c>
      <c r="C226">
        <f>TRANSPOSE(T6_[Recuento de T6 CODIGO])</f>
        <v>1</v>
      </c>
    </row>
    <row r="227" spans="1:3" x14ac:dyDescent="0.25">
      <c r="A227" t="b">
        <f>IFERROR(IF(MATCH(B227,RECETAS!$A$2:$A$1700,0) &lt;&gt; "", TRUE,""),FALSE)</f>
        <v>1</v>
      </c>
      <c r="B227" t="str">
        <f>TRANSPOSE(T6_[Etiquetas de fila])</f>
        <v>Schop Becker</v>
      </c>
      <c r="C227">
        <f>TRANSPOSE(T6_[Recuento de T6 CODIGO])</f>
        <v>38</v>
      </c>
    </row>
    <row r="228" spans="1:3" x14ac:dyDescent="0.25">
      <c r="A228" t="b">
        <f>IFERROR(IF(MATCH(B228,RECETAS!$A$2:$A$1700,0) &lt;&gt; "", TRUE,""),FALSE)</f>
        <v>1</v>
      </c>
      <c r="B228" t="str">
        <f>TRANSPOSE(T6_[Etiquetas de fila])</f>
        <v>Schop Stella Artois</v>
      </c>
      <c r="C228">
        <f>TRANSPOSE(T6_[Recuento de T6 CODIGO])</f>
        <v>147</v>
      </c>
    </row>
    <row r="229" spans="1:3" x14ac:dyDescent="0.25">
      <c r="A229" t="b">
        <f>IFERROR(IF(MATCH(B229,RECETAS!$A$2:$A$1700,0) &lt;&gt; "", TRUE,""),FALSE)</f>
        <v>1</v>
      </c>
      <c r="B229" t="str">
        <f>TRANSPOSE(T6_[Etiquetas de fila])</f>
        <v>Schweppes Ginger Zero 350cc</v>
      </c>
      <c r="C229">
        <f>TRANSPOSE(T6_[Recuento de T6 CODIGO])</f>
        <v>2</v>
      </c>
    </row>
    <row r="230" spans="1:3" x14ac:dyDescent="0.25">
      <c r="A230" t="b">
        <f>IFERROR(IF(MATCH(B230,RECETAS!$A$2:$A$1700,0) &lt;&gt; "", TRUE,""),FALSE)</f>
        <v>1</v>
      </c>
      <c r="B230" t="str">
        <f>TRANSPOSE(T6_[Etiquetas de fila])</f>
        <v>Schweppes Tonica 350cc</v>
      </c>
      <c r="C230">
        <f>TRANSPOSE(T6_[Recuento de T6 CODIGO])</f>
        <v>1</v>
      </c>
    </row>
    <row r="231" spans="1:3" x14ac:dyDescent="0.25">
      <c r="A231" t="b">
        <f>IFERROR(IF(MATCH(B231,RECETAS!$A$2:$A$1700,0) &lt;&gt; "", TRUE,""),FALSE)</f>
        <v>1</v>
      </c>
      <c r="B231" t="str">
        <f>TRANSPOSE(T6_[Etiquetas de fila])</f>
        <v>Sex on The beach</v>
      </c>
      <c r="C231">
        <f>TRANSPOSE(T6_[Recuento de T6 CODIGO])</f>
        <v>11</v>
      </c>
    </row>
    <row r="232" spans="1:3" x14ac:dyDescent="0.25">
      <c r="A232" t="b">
        <f>IFERROR(IF(MATCH(B232,RECETAS!$A$2:$A$1700,0) &lt;&gt; "", TRUE,""),FALSE)</f>
        <v>1</v>
      </c>
      <c r="B232" t="str">
        <f>TRANSPOSE(T6_[Etiquetas de fila])</f>
        <v>Shot Jack Daniels Fire</v>
      </c>
      <c r="C232">
        <f>TRANSPOSE(T6_[Recuento de T6 CODIGO])</f>
        <v>1</v>
      </c>
    </row>
    <row r="233" spans="1:3" x14ac:dyDescent="0.25">
      <c r="A233" t="b">
        <f>IFERROR(IF(MATCH(B233,RECETAS!$A$2:$A$1700,0) &lt;&gt; "", TRUE,""),FALSE)</f>
        <v>1</v>
      </c>
      <c r="B233" t="str">
        <f>TRANSPOSE(T6_[Etiquetas de fila])</f>
        <v>Shot Tequila Jimador</v>
      </c>
      <c r="C233">
        <f>TRANSPOSE(T6_[Recuento de T6 CODIGO])</f>
        <v>3</v>
      </c>
    </row>
    <row r="234" spans="1:3" x14ac:dyDescent="0.25">
      <c r="A234" t="b">
        <f>IFERROR(IF(MATCH(B234,RECETAS!$A$2:$A$1700,0) &lt;&gt; "", TRUE,""),FALSE)</f>
        <v>1</v>
      </c>
      <c r="B234" t="str">
        <f>TRANSPOSE(T6_[Etiquetas de fila])</f>
        <v>Sonata Teclados</v>
      </c>
      <c r="C234">
        <f>TRANSPOSE(T6_[Recuento de T6 CODIGO])</f>
        <v>11</v>
      </c>
    </row>
    <row r="235" spans="1:3" x14ac:dyDescent="0.25">
      <c r="A235" t="b">
        <f>IFERROR(IF(MATCH(B235,RECETAS!$A$2:$A$1700,0) &lt;&gt; "", TRUE,""),FALSE)</f>
        <v>1</v>
      </c>
      <c r="B235" t="str">
        <f>TRANSPOSE(T6_[Etiquetas de fila])</f>
        <v>Sprite 350cc</v>
      </c>
      <c r="C235">
        <f>TRANSPOSE(T6_[Recuento de T6 CODIGO])</f>
        <v>8</v>
      </c>
    </row>
    <row r="236" spans="1:3" x14ac:dyDescent="0.25">
      <c r="A236" t="b">
        <f>IFERROR(IF(MATCH(B236,RECETAS!$A$2:$A$1700,0) &lt;&gt; "", TRUE,""),FALSE)</f>
        <v>1</v>
      </c>
      <c r="B236" t="str">
        <f>TRANSPOSE(T6_[Etiquetas de fila])</f>
        <v>Sprite Zero 350cc</v>
      </c>
      <c r="C236">
        <f>TRANSPOSE(T6_[Recuento de T6 CODIGO])</f>
        <v>4</v>
      </c>
    </row>
    <row r="237" spans="1:3" x14ac:dyDescent="0.25">
      <c r="A237" t="b">
        <f>IFERROR(IF(MATCH(B237,RECETAS!$A$2:$A$1700,0) &lt;&gt; "", TRUE,""),FALSE)</f>
        <v>1</v>
      </c>
      <c r="B237" t="str">
        <f>TRANSPOSE(T6_[Etiquetas de fila])</f>
        <v>Stella Artois</v>
      </c>
      <c r="C237">
        <f>TRANSPOSE(T6_[Recuento de T6 CODIGO])</f>
        <v>4</v>
      </c>
    </row>
    <row r="238" spans="1:3" x14ac:dyDescent="0.25">
      <c r="A238" t="b">
        <f>IFERROR(IF(MATCH(B238,RECETAS!$A$2:$A$1700,0) &lt;&gt; "", TRUE,""),FALSE)</f>
        <v>1</v>
      </c>
      <c r="B238" t="str">
        <f>TRANSPOSE(T6_[Etiquetas de fila])</f>
        <v>Stella Artois Sin Alcohol</v>
      </c>
      <c r="C238">
        <f>TRANSPOSE(T6_[Recuento de T6 CODIGO])</f>
        <v>15</v>
      </c>
    </row>
    <row r="239" spans="1:3" x14ac:dyDescent="0.25">
      <c r="A239" t="b">
        <f>IFERROR(IF(MATCH(B239,RECETAS!$A$2:$A$1700,0) &lt;&gt; "", TRUE,""),FALSE)</f>
        <v>1</v>
      </c>
      <c r="B239" t="str">
        <f>TRANSPOSE(T6_[Etiquetas de fila])</f>
        <v>Stolichnaya Premium</v>
      </c>
      <c r="C239">
        <f>TRANSPOSE(T6_[Recuento de T6 CODIGO])</f>
        <v>2</v>
      </c>
    </row>
    <row r="240" spans="1:3" x14ac:dyDescent="0.25">
      <c r="A240" t="b">
        <f>IFERROR(IF(MATCH(B240,RECETAS!$A$2:$A$1700,0) &lt;&gt; "", TRUE,""),FALSE)</f>
        <v>1</v>
      </c>
      <c r="B240" t="str">
        <f>TRANSPOSE(T6_[Etiquetas de fila])</f>
        <v>Tanqueray London</v>
      </c>
      <c r="C240">
        <f>TRANSPOSE(T6_[Recuento de T6 CODIGO])</f>
        <v>7</v>
      </c>
    </row>
    <row r="241" spans="1:3" x14ac:dyDescent="0.25">
      <c r="A241" t="b">
        <f>IFERROR(IF(MATCH(B241,RECETAS!$A$2:$A$1700,0) &lt;&gt; "", TRUE,""),FALSE)</f>
        <v>1</v>
      </c>
      <c r="B241" t="str">
        <f>TRANSPOSE(T6_[Etiquetas de fila])</f>
        <v>Tanqueray Sevilla</v>
      </c>
      <c r="C241">
        <f>TRANSPOSE(T6_[Recuento de T6 CODIGO])</f>
        <v>3</v>
      </c>
    </row>
    <row r="242" spans="1:3" x14ac:dyDescent="0.25">
      <c r="A242" t="b">
        <f>IFERROR(IF(MATCH(B242,RECETAS!$A$2:$A$1700,0) &lt;&gt; "", TRUE,""),FALSE)</f>
        <v>1</v>
      </c>
      <c r="B242" t="str">
        <f>TRANSPOSE(T6_[Etiquetas de fila])</f>
        <v>Teclados Burger</v>
      </c>
      <c r="C242">
        <f>TRANSPOSE(T6_[Recuento de T6 CODIGO])</f>
        <v>18</v>
      </c>
    </row>
    <row r="243" spans="1:3" x14ac:dyDescent="0.25">
      <c r="A243" t="b">
        <f>IFERROR(IF(MATCH(B243,RECETAS!$A$2:$A$1700,0) &lt;&gt; "", TRUE,""),FALSE)</f>
        <v>0</v>
      </c>
      <c r="B243" t="str">
        <f>TRANSPOSE(T6_[Etiquetas de fila])</f>
        <v>TECLADOS SMOKED</v>
      </c>
      <c r="C243">
        <f>TRANSPOSE(T6_[Recuento de T6 CODIGO])</f>
        <v>3</v>
      </c>
    </row>
    <row r="244" spans="1:3" x14ac:dyDescent="0.25">
      <c r="A244" t="b">
        <f>IFERROR(IF(MATCH(B244,RECETAS!$A$2:$A$1700,0) &lt;&gt; "", TRUE,""),FALSE)</f>
        <v>1</v>
      </c>
      <c r="B244" t="str">
        <f>TRANSPOSE(T6_[Etiquetas de fila])</f>
        <v>Totopos</v>
      </c>
      <c r="C244">
        <f>TRANSPOSE(T6_[Recuento de T6 CODIGO])</f>
        <v>12</v>
      </c>
    </row>
    <row r="245" spans="1:3" x14ac:dyDescent="0.25">
      <c r="A245" t="b">
        <f>IFERROR(IF(MATCH(B245,RECETAS!$A$2:$A$1700,0) &lt;&gt; "", TRUE,""),FALSE)</f>
        <v>1</v>
      </c>
      <c r="B245" t="str">
        <f>TRANSPOSE(T6_[Etiquetas de fila])</f>
        <v>Tropical Gin</v>
      </c>
      <c r="C245">
        <f>TRANSPOSE(T6_[Recuento de T6 CODIGO])</f>
        <v>29</v>
      </c>
    </row>
    <row r="246" spans="1:3" x14ac:dyDescent="0.25">
      <c r="A246" t="b">
        <f>IFERROR(IF(MATCH(B246,RECETAS!$A$2:$A$1700,0) &lt;&gt; "", TRUE,""),FALSE)</f>
        <v>1</v>
      </c>
      <c r="B246" t="str">
        <f>TRANSPOSE(T6_[Etiquetas de fila])</f>
        <v>Vaso Sangria</v>
      </c>
      <c r="C246">
        <f>TRANSPOSE(T6_[Recuento de T6 CODIGO])</f>
        <v>10</v>
      </c>
    </row>
    <row r="247" spans="1:3" x14ac:dyDescent="0.25">
      <c r="A247" t="b">
        <f>IFERROR(IF(MATCH(B247,RECETAS!$A$2:$A$1700,0) &lt;&gt; "", TRUE,""),FALSE)</f>
        <v>1</v>
      </c>
      <c r="B247" t="str">
        <f>TRANSPOSE(T6_[Etiquetas de fila])</f>
        <v>Vat 69</v>
      </c>
      <c r="C247">
        <f>TRANSPOSE(T6_[Recuento de T6 CODIGO])</f>
        <v>1</v>
      </c>
    </row>
    <row r="248" spans="1:3" x14ac:dyDescent="0.25">
      <c r="A248" t="b">
        <f>IFERROR(IF(MATCH(B248,RECETAS!$A$2:$A$1700,0) &lt;&gt; "", TRUE,""),FALSE)</f>
        <v>1</v>
      </c>
      <c r="B248" t="str">
        <f>TRANSPOSE(T6_[Etiquetas de fila])</f>
        <v>White Russian</v>
      </c>
      <c r="C248">
        <f>TRANSPOSE(T6_[Recuento de T6 CODIGO])</f>
        <v>7</v>
      </c>
    </row>
    <row r="249" spans="1:3" x14ac:dyDescent="0.25">
      <c r="A249" t="b">
        <f>IFERROR(IF(MATCH(B249,RECETAS!$A$2:$A$1700,0) &lt;&gt; "", TRUE,""),FALSE)</f>
        <v>0</v>
      </c>
      <c r="B249" t="str">
        <f>TRANSPOSE(T6_[Etiquetas de fila])</f>
        <v>WRAP ACEVICHADO</v>
      </c>
      <c r="C249">
        <f>TRANSPOSE(T6_[Recuento de T6 CODIGO])</f>
        <v>18</v>
      </c>
    </row>
    <row r="250" spans="1:3" x14ac:dyDescent="0.25">
      <c r="A250" t="b">
        <f>IFERROR(IF(MATCH(B250,RECETAS!$A$2:$A$1700,0) &lt;&gt; "", TRUE,""),FALSE)</f>
        <v>0</v>
      </c>
      <c r="B250" t="str">
        <f>TRANSPOSE(T6_[Etiquetas de fila])</f>
        <v>WRAP DE POLLO</v>
      </c>
      <c r="C250">
        <f>TRANSPOSE(T6_[Recuento de T6 CODIGO])</f>
        <v>1</v>
      </c>
    </row>
    <row r="251" spans="1:3" x14ac:dyDescent="0.25">
      <c r="A251" t="b">
        <f>IFERROR(IF(MATCH(B251,RECETAS!$A$2:$A$1700,0) &lt;&gt; "", TRUE,""),FALSE)</f>
        <v>0</v>
      </c>
      <c r="B251" t="str">
        <f>TRANSPOSE(T6_[Etiquetas de fila])</f>
        <v>WRAP VEGGIE</v>
      </c>
      <c r="C251">
        <f>TRANSPOSE(T6_[Recuento de T6 CODIGO])</f>
        <v>9</v>
      </c>
    </row>
    <row r="252" spans="1:3" x14ac:dyDescent="0.25">
      <c r="A252" t="b">
        <f>IFERROR(IF(MATCH(B252,RECETAS!$A$2:$A$1700,0) &lt;&gt; "", TRUE,""),FALSE)</f>
        <v>0</v>
      </c>
      <c r="B252" t="str">
        <f>TRANSPOSE(T6_[Etiquetas de fila])</f>
        <v>Total general</v>
      </c>
      <c r="C252">
        <f>TRANSPOSE(T6_[Recuento de T6 CODIGO])</f>
        <v>3783</v>
      </c>
    </row>
    <row r="253" spans="1:3" x14ac:dyDescent="0.25">
      <c r="A253" t="b">
        <f>IFERROR(IF(MATCH(B253,RECETAS!$A$2:$A$1700,0) &lt;&gt; "", TRUE,""),FALSE)</f>
        <v>0</v>
      </c>
      <c r="B253" t="e">
        <f>TRANSPOSE(T6_[Etiquetas de fila])</f>
        <v>#VALUE!</v>
      </c>
      <c r="C253" t="e">
        <f>TRANSPOSE(T6_[Recuento de T6 CODIGO])</f>
        <v>#VALUE!</v>
      </c>
    </row>
    <row r="254" spans="1:3" x14ac:dyDescent="0.25">
      <c r="A254" t="b">
        <f>IFERROR(IF(MATCH(B254,RECETAS!$A$2:$A$1700,0) &lt;&gt; "", TRUE,""),FALSE)</f>
        <v>0</v>
      </c>
      <c r="B254" t="e">
        <f>TRANSPOSE(T6_[Etiquetas de fila])</f>
        <v>#VALUE!</v>
      </c>
      <c r="C254" t="e">
        <f>TRANSPOSE(T6_[Recuento de T6 CODIGO])</f>
        <v>#VALUE!</v>
      </c>
    </row>
    <row r="255" spans="1:3" x14ac:dyDescent="0.25">
      <c r="A255" t="b">
        <f>IFERROR(IF(MATCH(B255,RECETAS!$A$2:$A$1700,0) &lt;&gt; "", TRUE,""),FALSE)</f>
        <v>0</v>
      </c>
      <c r="B255" t="e">
        <f>TRANSPOSE(T6_[Etiquetas de fila])</f>
        <v>#VALUE!</v>
      </c>
      <c r="C255" t="e">
        <f>TRANSPOSE(T6_[Recuento de T6 CODIGO])</f>
        <v>#VALUE!</v>
      </c>
    </row>
    <row r="256" spans="1:3" x14ac:dyDescent="0.25">
      <c r="A256" t="b">
        <f>IFERROR(IF(MATCH(B256,RECETAS!$A$2:$A$1700,0) &lt;&gt; "", TRUE,""),FALSE)</f>
        <v>0</v>
      </c>
      <c r="B256" t="e">
        <f>TRANSPOSE(T6_[Etiquetas de fila])</f>
        <v>#VALUE!</v>
      </c>
      <c r="C256" t="e">
        <f>TRANSPOSE(T6_[Recuento de T6 CODIGO])</f>
        <v>#VALUE!</v>
      </c>
    </row>
    <row r="257" spans="1:3" x14ac:dyDescent="0.25">
      <c r="A257" t="b">
        <f>IFERROR(IF(MATCH(B257,RECETAS!$A$2:$A$1700,0) &lt;&gt; "", TRUE,""),FALSE)</f>
        <v>0</v>
      </c>
      <c r="B257" t="e">
        <f>TRANSPOSE(T6_[Etiquetas de fila])</f>
        <v>#VALUE!</v>
      </c>
      <c r="C257" t="e">
        <f>TRANSPOSE(T6_[Recuento de T6 CODIGO])</f>
        <v>#VALUE!</v>
      </c>
    </row>
    <row r="258" spans="1:3" x14ac:dyDescent="0.25">
      <c r="A258" t="b">
        <f>IFERROR(IF(MATCH(B258,RECETAS!$A$2:$A$1700,0) &lt;&gt; "", TRUE,""),FALSE)</f>
        <v>0</v>
      </c>
      <c r="B258" t="e">
        <f>TRANSPOSE(T6_[Etiquetas de fila])</f>
        <v>#VALUE!</v>
      </c>
      <c r="C258" t="e">
        <f>TRANSPOSE(T6_[Recuento de T6 CODIGO])</f>
        <v>#VALUE!</v>
      </c>
    </row>
    <row r="259" spans="1:3" x14ac:dyDescent="0.25">
      <c r="A259" t="b">
        <f>IFERROR(IF(MATCH(B259,RECETAS!$A$2:$A$1700,0) &lt;&gt; "", TRUE,""),FALSE)</f>
        <v>0</v>
      </c>
      <c r="B259" t="e">
        <f>TRANSPOSE(T6_[Etiquetas de fila])</f>
        <v>#VALUE!</v>
      </c>
      <c r="C259" t="e">
        <f>TRANSPOSE(T6_[Recuento de T6 CODIGO])</f>
        <v>#VALUE!</v>
      </c>
    </row>
    <row r="260" spans="1:3" x14ac:dyDescent="0.25">
      <c r="A260" t="b">
        <f>IFERROR(IF(MATCH(B260,RECETAS!$A$2:$A$1700,0) &lt;&gt; "", TRUE,""),FALSE)</f>
        <v>0</v>
      </c>
      <c r="B260" t="e">
        <f>TRANSPOSE(T6_[Etiquetas de fila])</f>
        <v>#VALUE!</v>
      </c>
      <c r="C260" t="e">
        <f>TRANSPOSE(T6_[Recuento de T6 CODIGO])</f>
        <v>#VALUE!</v>
      </c>
    </row>
    <row r="261" spans="1:3" x14ac:dyDescent="0.25">
      <c r="A261" t="b">
        <f>IFERROR(IF(MATCH(B261,RECETAS!$A$2:$A$1700,0) &lt;&gt; "", TRUE,""),FALSE)</f>
        <v>0</v>
      </c>
      <c r="B261" t="e">
        <f>TRANSPOSE(T6_[Etiquetas de fila])</f>
        <v>#VALUE!</v>
      </c>
      <c r="C261" t="e">
        <f>TRANSPOSE(T6_[Recuento de T6 CODIGO])</f>
        <v>#VALUE!</v>
      </c>
    </row>
    <row r="262" spans="1:3" x14ac:dyDescent="0.25">
      <c r="A262" t="b">
        <f>IFERROR(IF(MATCH(B262,RECETAS!$A$2:$A$1700,0) &lt;&gt; "", TRUE,""),FALSE)</f>
        <v>0</v>
      </c>
      <c r="B262" t="e">
        <f>TRANSPOSE(T6_[Etiquetas de fila])</f>
        <v>#VALUE!</v>
      </c>
      <c r="C262" t="e">
        <f>TRANSPOSE(T6_[Recuento de T6 CODIGO])</f>
        <v>#VALUE!</v>
      </c>
    </row>
    <row r="263" spans="1:3" x14ac:dyDescent="0.25">
      <c r="A263" t="b">
        <f>IFERROR(IF(MATCH(B263,RECETAS!$A$2:$A$1700,0) &lt;&gt; "", TRUE,""),FALSE)</f>
        <v>0</v>
      </c>
      <c r="B263" t="e">
        <f>TRANSPOSE(T6_[Etiquetas de fila])</f>
        <v>#VALUE!</v>
      </c>
      <c r="C263" t="e">
        <f>TRANSPOSE(T6_[Recuento de T6 CODIGO])</f>
        <v>#VALUE!</v>
      </c>
    </row>
    <row r="264" spans="1:3" x14ac:dyDescent="0.25">
      <c r="A264" t="b">
        <f>IFERROR(IF(MATCH(B264,RECETAS!$A$2:$A$1700,0) &lt;&gt; "", TRUE,""),FALSE)</f>
        <v>0</v>
      </c>
      <c r="B264" t="e">
        <f>TRANSPOSE(T6_[Etiquetas de fila])</f>
        <v>#VALUE!</v>
      </c>
      <c r="C264" t="e">
        <f>TRANSPOSE(T6_[Recuento de T6 CODIGO])</f>
        <v>#VALUE!</v>
      </c>
    </row>
    <row r="265" spans="1:3" x14ac:dyDescent="0.25">
      <c r="A265" t="b">
        <f>IFERROR(IF(MATCH(B265,RECETAS!$A$2:$A$1700,0) &lt;&gt; "", TRUE,""),FALSE)</f>
        <v>0</v>
      </c>
      <c r="B265" t="e">
        <f>TRANSPOSE(T6_[Etiquetas de fila])</f>
        <v>#VALUE!</v>
      </c>
      <c r="C265" t="e">
        <f>TRANSPOSE(T6_[Recuento de T6 CODIGO])</f>
        <v>#VALUE!</v>
      </c>
    </row>
    <row r="266" spans="1:3" x14ac:dyDescent="0.25">
      <c r="A266" t="b">
        <f>IFERROR(IF(MATCH(B266,RECETAS!$A$2:$A$1700,0) &lt;&gt; "", TRUE,""),FALSE)</f>
        <v>0</v>
      </c>
      <c r="B266" t="e">
        <f>TRANSPOSE(T6_[Etiquetas de fila])</f>
        <v>#VALUE!</v>
      </c>
      <c r="C266" t="e">
        <f>TRANSPOSE(T6_[Recuento de T6 CODIGO])</f>
        <v>#VALUE!</v>
      </c>
    </row>
    <row r="267" spans="1:3" x14ac:dyDescent="0.25">
      <c r="A267" t="b">
        <f>IFERROR(IF(MATCH(B267,RECETAS!$A$2:$A$1700,0) &lt;&gt; "", TRUE,""),FALSE)</f>
        <v>0</v>
      </c>
      <c r="B267" t="e">
        <f>TRANSPOSE(T6_[Etiquetas de fila])</f>
        <v>#VALUE!</v>
      </c>
      <c r="C267" t="e">
        <f>TRANSPOSE(T6_[Recuento de T6 CODIGO])</f>
        <v>#VALUE!</v>
      </c>
    </row>
    <row r="268" spans="1:3" x14ac:dyDescent="0.25">
      <c r="A268" t="b">
        <f>IFERROR(IF(MATCH(B268,RECETAS!$A$2:$A$1700,0) &lt;&gt; "", TRUE,""),FALSE)</f>
        <v>0</v>
      </c>
      <c r="B268" t="e">
        <f>TRANSPOSE(T6_[Etiquetas de fila])</f>
        <v>#VALUE!</v>
      </c>
      <c r="C268" t="e">
        <f>TRANSPOSE(T6_[Recuento de T6 CODIGO])</f>
        <v>#VALUE!</v>
      </c>
    </row>
    <row r="269" spans="1:3" x14ac:dyDescent="0.25">
      <c r="A269" t="b">
        <f>IFERROR(IF(MATCH(B269,RECETAS!$A$2:$A$1700,0) &lt;&gt; "", TRUE,""),FALSE)</f>
        <v>0</v>
      </c>
      <c r="B269" t="e">
        <f>TRANSPOSE(T6_[Etiquetas de fila])</f>
        <v>#VALUE!</v>
      </c>
      <c r="C269" t="e">
        <f>TRANSPOSE(T6_[Recuento de T6 CODIGO])</f>
        <v>#VALUE!</v>
      </c>
    </row>
    <row r="270" spans="1:3" x14ac:dyDescent="0.25">
      <c r="A270" t="b">
        <f>IFERROR(IF(MATCH(B270,RECETAS!$A$2:$A$1700,0) &lt;&gt; "", TRUE,""),FALSE)</f>
        <v>0</v>
      </c>
      <c r="B270" t="e">
        <f>TRANSPOSE(T6_[Etiquetas de fila])</f>
        <v>#VALUE!</v>
      </c>
      <c r="C270" t="e">
        <f>TRANSPOSE(T6_[Recuento de T6 CODIGO])</f>
        <v>#VALUE!</v>
      </c>
    </row>
    <row r="271" spans="1:3" x14ac:dyDescent="0.25">
      <c r="A271" t="b">
        <f>IFERROR(IF(MATCH(B271,RECETAS!$A$2:$A$1700,0) &lt;&gt; "", TRUE,""),FALSE)</f>
        <v>0</v>
      </c>
      <c r="B271" t="e">
        <f>TRANSPOSE(T6_[Etiquetas de fila])</f>
        <v>#VALUE!</v>
      </c>
      <c r="C271" t="e">
        <f>TRANSPOSE(T6_[Recuento de T6 CODIGO])</f>
        <v>#VALUE!</v>
      </c>
    </row>
    <row r="272" spans="1:3" x14ac:dyDescent="0.25">
      <c r="A272" t="b">
        <f>IFERROR(IF(MATCH(B272,RECETAS!$A$2:$A$1700,0) &lt;&gt; "", TRUE,""),FALSE)</f>
        <v>0</v>
      </c>
      <c r="B272" t="e">
        <f>TRANSPOSE(T6_[Etiquetas de fila])</f>
        <v>#VALUE!</v>
      </c>
      <c r="C272" t="e">
        <f>TRANSPOSE(T6_[Recuento de T6 CODIGO])</f>
        <v>#VALUE!</v>
      </c>
    </row>
    <row r="273" spans="1:3" x14ac:dyDescent="0.25">
      <c r="A273" t="b">
        <f>IFERROR(IF(MATCH(B273,RECETAS!$A$2:$A$1700,0) &lt;&gt; "", TRUE,""),FALSE)</f>
        <v>0</v>
      </c>
      <c r="B273" t="e">
        <f>TRANSPOSE(T6_[Etiquetas de fila])</f>
        <v>#VALUE!</v>
      </c>
      <c r="C273" t="e">
        <f>TRANSPOSE(T6_[Recuento de T6 CODIGO])</f>
        <v>#VALUE!</v>
      </c>
    </row>
    <row r="274" spans="1:3" x14ac:dyDescent="0.25">
      <c r="A274" t="b">
        <f>IFERROR(IF(MATCH(B274,RECETAS!$A$2:$A$1700,0) &lt;&gt; "", TRUE,""),FALSE)</f>
        <v>0</v>
      </c>
      <c r="B274" t="e">
        <f>TRANSPOSE(T6_[Etiquetas de fila])</f>
        <v>#VALUE!</v>
      </c>
      <c r="C274" t="e">
        <f>TRANSPOSE(T6_[Recuento de T6 CODIGO])</f>
        <v>#VALUE!</v>
      </c>
    </row>
    <row r="275" spans="1:3" x14ac:dyDescent="0.25">
      <c r="A275" t="b">
        <f>IFERROR(IF(MATCH(B275,RECETAS!$A$2:$A$1700,0) &lt;&gt; "", TRUE,""),FALSE)</f>
        <v>0</v>
      </c>
      <c r="B275" t="e">
        <f>TRANSPOSE(T6_[Etiquetas de fila])</f>
        <v>#VALUE!</v>
      </c>
      <c r="C275" t="e">
        <f>TRANSPOSE(T6_[Recuento de T6 CODIGO])</f>
        <v>#VALUE!</v>
      </c>
    </row>
    <row r="276" spans="1:3" x14ac:dyDescent="0.25">
      <c r="A276" t="b">
        <f>IFERROR(IF(MATCH(B276,RECETAS!$A$2:$A$1700,0) &lt;&gt; "", TRUE,""),FALSE)</f>
        <v>0</v>
      </c>
      <c r="B276" t="e">
        <f>TRANSPOSE(T6_[Etiquetas de fila])</f>
        <v>#VALUE!</v>
      </c>
      <c r="C276" t="e">
        <f>TRANSPOSE(T6_[Recuento de T6 CODIGO])</f>
        <v>#VALUE!</v>
      </c>
    </row>
    <row r="277" spans="1:3" x14ac:dyDescent="0.25">
      <c r="A277" t="b">
        <f>IFERROR(IF(MATCH(B277,RECETAS!$A$2:$A$1700,0) &lt;&gt; "", TRUE,""),FALSE)</f>
        <v>0</v>
      </c>
      <c r="B277" t="e">
        <f>TRANSPOSE(T6_[Etiquetas de fila])</f>
        <v>#VALUE!</v>
      </c>
      <c r="C277" t="e">
        <f>TRANSPOSE(T6_[Recuento de T6 CODIGO])</f>
        <v>#VALUE!</v>
      </c>
    </row>
    <row r="278" spans="1:3" x14ac:dyDescent="0.25">
      <c r="A278" t="b">
        <f>IFERROR(IF(MATCH(B278,RECETAS!$A$2:$A$1700,0) &lt;&gt; "", TRUE,""),FALSE)</f>
        <v>0</v>
      </c>
      <c r="B278" t="e">
        <f>TRANSPOSE(T6_[Etiquetas de fila])</f>
        <v>#VALUE!</v>
      </c>
      <c r="C278" t="e">
        <f>TRANSPOSE(T6_[Recuento de T6 CODIGO])</f>
        <v>#VALUE!</v>
      </c>
    </row>
    <row r="279" spans="1:3" x14ac:dyDescent="0.25">
      <c r="A279" t="b">
        <f>IFERROR(IF(MATCH(B279,RECETAS!$A$2:$A$1700,0) &lt;&gt; "", TRUE,""),FALSE)</f>
        <v>0</v>
      </c>
      <c r="B279" t="e">
        <f>TRANSPOSE(T6_[Etiquetas de fila])</f>
        <v>#VALUE!</v>
      </c>
      <c r="C279" t="e">
        <f>TRANSPOSE(T6_[Recuento de T6 CODIGO])</f>
        <v>#VALUE!</v>
      </c>
    </row>
    <row r="280" spans="1:3" x14ac:dyDescent="0.25">
      <c r="A280" t="b">
        <f>IFERROR(IF(MATCH(B280,RECETAS!$A$2:$A$1700,0) &lt;&gt; "", TRUE,""),FALSE)</f>
        <v>0</v>
      </c>
      <c r="B280" t="e">
        <f>TRANSPOSE(T6_[Etiquetas de fila])</f>
        <v>#VALUE!</v>
      </c>
      <c r="C280" t="e">
        <f>TRANSPOSE(T6_[Recuento de T6 CODIGO])</f>
        <v>#VALUE!</v>
      </c>
    </row>
    <row r="281" spans="1:3" x14ac:dyDescent="0.25">
      <c r="A281" t="b">
        <f>IFERROR(IF(MATCH(B281,RECETAS!$A$2:$A$1700,0) &lt;&gt; "", TRUE,""),FALSE)</f>
        <v>0</v>
      </c>
      <c r="B281" t="e">
        <f>TRANSPOSE(T6_[Etiquetas de fila])</f>
        <v>#VALUE!</v>
      </c>
      <c r="C281" t="e">
        <f>TRANSPOSE(T6_[Recuento de T6 CODIGO])</f>
        <v>#VALUE!</v>
      </c>
    </row>
    <row r="282" spans="1:3" x14ac:dyDescent="0.25">
      <c r="A282" t="b">
        <f>IFERROR(IF(MATCH(B282,RECETAS!$A$2:$A$1700,0) &lt;&gt; "", TRUE,""),FALSE)</f>
        <v>0</v>
      </c>
      <c r="B282" t="e">
        <f>TRANSPOSE(T6_[Etiquetas de fila])</f>
        <v>#VALUE!</v>
      </c>
      <c r="C282" t="e">
        <f>TRANSPOSE(T6_[Recuento de T6 CODIGO])</f>
        <v>#VALUE!</v>
      </c>
    </row>
    <row r="283" spans="1:3" x14ac:dyDescent="0.25">
      <c r="A283" t="b">
        <f>IFERROR(IF(MATCH(B283,RECETAS!$A$2:$A$1700,0) &lt;&gt; "", TRUE,""),FALSE)</f>
        <v>0</v>
      </c>
      <c r="B283" t="e">
        <f>TRANSPOSE(T6_[Etiquetas de fila])</f>
        <v>#VALUE!</v>
      </c>
      <c r="C283" t="e">
        <f>TRANSPOSE(T6_[Recuento de T6 CODIGO])</f>
        <v>#VALUE!</v>
      </c>
    </row>
    <row r="284" spans="1:3" x14ac:dyDescent="0.25">
      <c r="A284" t="b">
        <f>IFERROR(IF(MATCH(B284,RECETAS!$A$2:$A$1700,0) &lt;&gt; "", TRUE,""),FALSE)</f>
        <v>0</v>
      </c>
      <c r="B284" t="e">
        <f>TRANSPOSE(T6_[Etiquetas de fila])</f>
        <v>#VALUE!</v>
      </c>
      <c r="C284" t="e">
        <f>TRANSPOSE(T6_[Recuento de T6 CODIGO])</f>
        <v>#VALUE!</v>
      </c>
    </row>
    <row r="285" spans="1:3" x14ac:dyDescent="0.25">
      <c r="A285" t="b">
        <f>IFERROR(IF(MATCH(B285,RECETAS!$A$2:$A$1700,0) &lt;&gt; "", TRUE,""),FALSE)</f>
        <v>0</v>
      </c>
      <c r="B285" t="e">
        <f>TRANSPOSE(T6_[Etiquetas de fila])</f>
        <v>#VALUE!</v>
      </c>
      <c r="C285" t="e">
        <f>TRANSPOSE(T6_[Recuento de T6 CODIGO])</f>
        <v>#VALUE!</v>
      </c>
    </row>
    <row r="286" spans="1:3" x14ac:dyDescent="0.25">
      <c r="A286" t="b">
        <f>IFERROR(IF(MATCH(B286,RECETAS!$A$2:$A$1700,0) &lt;&gt; "", TRUE,""),FALSE)</f>
        <v>0</v>
      </c>
      <c r="B286" t="e">
        <f>TRANSPOSE(T6_[Etiquetas de fila])</f>
        <v>#VALUE!</v>
      </c>
      <c r="C286" t="e">
        <f>TRANSPOSE(T6_[Recuento de T6 CODIGO])</f>
        <v>#VALUE!</v>
      </c>
    </row>
    <row r="287" spans="1:3" x14ac:dyDescent="0.25">
      <c r="A287" t="b">
        <f>IFERROR(IF(MATCH(B287,RECETAS!$A$2:$A$1700,0) &lt;&gt; "", TRUE,""),FALSE)</f>
        <v>0</v>
      </c>
      <c r="B287" t="e">
        <f>TRANSPOSE(T6_[Etiquetas de fila])</f>
        <v>#VALUE!</v>
      </c>
      <c r="C287" t="e">
        <f>TRANSPOSE(T6_[Recuento de T6 CODIGO])</f>
        <v>#VALUE!</v>
      </c>
    </row>
    <row r="288" spans="1:3" x14ac:dyDescent="0.25">
      <c r="A288" t="b">
        <f>IFERROR(IF(MATCH(B288,RECETAS!$A$2:$A$1700,0) &lt;&gt; "", TRUE,""),FALSE)</f>
        <v>0</v>
      </c>
      <c r="B288" t="e">
        <f>TRANSPOSE(T6_[Etiquetas de fila])</f>
        <v>#VALUE!</v>
      </c>
      <c r="C288" t="e">
        <f>TRANSPOSE(T6_[Recuento de T6 CODIGO])</f>
        <v>#VALUE!</v>
      </c>
    </row>
    <row r="289" spans="1:3" x14ac:dyDescent="0.25">
      <c r="A289" t="b">
        <f>IFERROR(IF(MATCH(B289,RECETAS!$A$2:$A$1700,0) &lt;&gt; "", TRUE,""),FALSE)</f>
        <v>0</v>
      </c>
      <c r="B289" t="e">
        <f>TRANSPOSE(T6_[Etiquetas de fila])</f>
        <v>#VALUE!</v>
      </c>
      <c r="C289" t="e">
        <f>TRANSPOSE(T6_[Recuento de T6 CODIGO])</f>
        <v>#VALUE!</v>
      </c>
    </row>
    <row r="290" spans="1:3" x14ac:dyDescent="0.25">
      <c r="A290" t="b">
        <f>IFERROR(IF(MATCH(B290,RECETAS!$A$2:$A$1700,0) &lt;&gt; "", TRUE,""),FALSE)</f>
        <v>0</v>
      </c>
      <c r="B290" t="e">
        <f>TRANSPOSE(T6_[Etiquetas de fila])</f>
        <v>#VALUE!</v>
      </c>
      <c r="C290" t="e">
        <f>TRANSPOSE(T6_[Recuento de T6 CODIGO])</f>
        <v>#VALUE!</v>
      </c>
    </row>
    <row r="291" spans="1:3" x14ac:dyDescent="0.25">
      <c r="A291" t="b">
        <f>IFERROR(IF(MATCH(B291,RECETAS!$A$2:$A$1700,0) &lt;&gt; "", TRUE,""),FALSE)</f>
        <v>0</v>
      </c>
      <c r="B291" t="e">
        <f>TRANSPOSE(T6_[Etiquetas de fila])</f>
        <v>#VALUE!</v>
      </c>
      <c r="C291" t="e">
        <f>TRANSPOSE(T6_[Recuento de T6 CODIGO])</f>
        <v>#VALUE!</v>
      </c>
    </row>
    <row r="292" spans="1:3" x14ac:dyDescent="0.25">
      <c r="A292" t="b">
        <f>IFERROR(IF(MATCH(B292,RECETAS!$A$2:$A$1700,0) &lt;&gt; "", TRUE,""),FALSE)</f>
        <v>0</v>
      </c>
      <c r="B292" t="e">
        <f>TRANSPOSE(T6_[Etiquetas de fila])</f>
        <v>#VALUE!</v>
      </c>
      <c r="C292" t="e">
        <f>TRANSPOSE(T6_[Recuento de T6 CODIGO])</f>
        <v>#VALUE!</v>
      </c>
    </row>
    <row r="293" spans="1:3" x14ac:dyDescent="0.25">
      <c r="A293" t="b">
        <f>IFERROR(IF(MATCH(B293,RECETAS!$A$2:$A$1700,0) &lt;&gt; "", TRUE,""),FALSE)</f>
        <v>0</v>
      </c>
      <c r="B293" t="e">
        <f>TRANSPOSE(T6_[Etiquetas de fila])</f>
        <v>#VALUE!</v>
      </c>
      <c r="C293" t="e">
        <f>TRANSPOSE(T6_[Recuento de T6 CODIGO])</f>
        <v>#VALUE!</v>
      </c>
    </row>
    <row r="294" spans="1:3" x14ac:dyDescent="0.25">
      <c r="A294" t="b">
        <f>IFERROR(IF(MATCH(B294,RECETAS!$A$2:$A$1700,0) &lt;&gt; "", TRUE,""),FALSE)</f>
        <v>0</v>
      </c>
      <c r="B294" t="e">
        <f>TRANSPOSE(T6_[Etiquetas de fila])</f>
        <v>#VALUE!</v>
      </c>
      <c r="C294" t="e">
        <f>TRANSPOSE(T6_[Recuento de T6 CODIGO])</f>
        <v>#VALUE!</v>
      </c>
    </row>
    <row r="295" spans="1:3" x14ac:dyDescent="0.25">
      <c r="A295" t="b">
        <f>IFERROR(IF(MATCH(B295,RECETAS!$A$2:$A$1700,0) &lt;&gt; "", TRUE,""),FALSE)</f>
        <v>0</v>
      </c>
      <c r="B295" t="e">
        <f>TRANSPOSE(T6_[Etiquetas de fila])</f>
        <v>#VALUE!</v>
      </c>
      <c r="C295" t="e">
        <f>TRANSPOSE(T6_[Recuento de T6 CODIGO])</f>
        <v>#VALUE!</v>
      </c>
    </row>
    <row r="296" spans="1:3" x14ac:dyDescent="0.25">
      <c r="A296" t="b">
        <f>IFERROR(IF(MATCH(B296,RECETAS!$A$2:$A$1700,0) &lt;&gt; "", TRUE,""),FALSE)</f>
        <v>0</v>
      </c>
      <c r="B296" t="e">
        <f>TRANSPOSE(T6_[Etiquetas de fila])</f>
        <v>#VALUE!</v>
      </c>
      <c r="C296" t="e">
        <f>TRANSPOSE(T6_[Recuento de T6 CODIGO])</f>
        <v>#VALUE!</v>
      </c>
    </row>
    <row r="297" spans="1:3" x14ac:dyDescent="0.25">
      <c r="A297" t="b">
        <f>IFERROR(IF(MATCH(B297,RECETAS!$A$2:$A$1700,0) &lt;&gt; "", TRUE,""),FALSE)</f>
        <v>0</v>
      </c>
      <c r="B297" t="e">
        <f>TRANSPOSE(T6_[Etiquetas de fila])</f>
        <v>#VALUE!</v>
      </c>
      <c r="C297" t="e">
        <f>TRANSPOSE(T6_[Recuento de T6 CODIGO])</f>
        <v>#VALUE!</v>
      </c>
    </row>
    <row r="298" spans="1:3" x14ac:dyDescent="0.25">
      <c r="A298" t="b">
        <f>IFERROR(IF(MATCH(B298,RECETAS!$A$2:$A$1700,0) &lt;&gt; "", TRUE,""),FALSE)</f>
        <v>0</v>
      </c>
      <c r="B298" t="e">
        <f>TRANSPOSE(T6_[Etiquetas de fila])</f>
        <v>#VALUE!</v>
      </c>
      <c r="C298" t="e">
        <f>TRANSPOSE(T6_[Recuento de T6 CODIGO])</f>
        <v>#VALUE!</v>
      </c>
    </row>
    <row r="299" spans="1:3" x14ac:dyDescent="0.25">
      <c r="A299" t="b">
        <f>IFERROR(IF(MATCH(B299,RECETAS!$A$2:$A$1700,0) &lt;&gt; "", TRUE,""),FALSE)</f>
        <v>0</v>
      </c>
      <c r="B299" t="e">
        <f>TRANSPOSE(T6_[Etiquetas de fila])</f>
        <v>#VALUE!</v>
      </c>
      <c r="C299" t="e">
        <f>TRANSPOSE(T6_[Recuento de T6 CODIGO])</f>
        <v>#VALUE!</v>
      </c>
    </row>
    <row r="300" spans="1:3" x14ac:dyDescent="0.25">
      <c r="A300" t="b">
        <f>IFERROR(IF(MATCH(B300,RECETAS!$A$2:$A$1700,0) &lt;&gt; "", TRUE,""),FALSE)</f>
        <v>0</v>
      </c>
      <c r="B300" t="e">
        <f>TRANSPOSE(T6_[Etiquetas de fila])</f>
        <v>#VALUE!</v>
      </c>
      <c r="C300" t="e">
        <f>TRANSPOSE(T6_[Recuento de T6 CODIGO])</f>
        <v>#VALUE!</v>
      </c>
    </row>
    <row r="301" spans="1:3" x14ac:dyDescent="0.25">
      <c r="A301" t="b">
        <f>IFERROR(IF(MATCH(B301,RECETAS!$A$2:$A$1700,0) &lt;&gt; "", TRUE,""),FALSE)</f>
        <v>0</v>
      </c>
      <c r="B301" t="e">
        <f>TRANSPOSE(T6_[Etiquetas de fila])</f>
        <v>#VALUE!</v>
      </c>
      <c r="C301" t="e">
        <f>TRANSPOSE(T6_[Recuento de T6 CODIGO])</f>
        <v>#VALUE!</v>
      </c>
    </row>
    <row r="302" spans="1:3" x14ac:dyDescent="0.25">
      <c r="A302" t="b">
        <f>IFERROR(IF(MATCH(B302,RECETAS!$A$2:$A$1700,0) &lt;&gt; "", TRUE,""),FALSE)</f>
        <v>0</v>
      </c>
      <c r="B302" t="e">
        <f>TRANSPOSE(T6_[Etiquetas de fila])</f>
        <v>#VALUE!</v>
      </c>
      <c r="C302" t="e">
        <f>TRANSPOSE(T6_[Recuento de T6 CODIGO])</f>
        <v>#VALUE!</v>
      </c>
    </row>
    <row r="303" spans="1:3" x14ac:dyDescent="0.25">
      <c r="A303" t="b">
        <f>IFERROR(IF(MATCH(B303,RECETAS!$A$2:$A$1700,0) &lt;&gt; "", TRUE,""),FALSE)</f>
        <v>0</v>
      </c>
      <c r="B303" t="e">
        <f>TRANSPOSE(T6_[Etiquetas de fila])</f>
        <v>#VALUE!</v>
      </c>
      <c r="C303" t="e">
        <f>TRANSPOSE(T6_[Recuento de T6 CODIGO])</f>
        <v>#VALUE!</v>
      </c>
    </row>
    <row r="304" spans="1:3" x14ac:dyDescent="0.25">
      <c r="A304" t="b">
        <f>IFERROR(IF(MATCH(B304,RECETAS!$A$2:$A$1700,0) &lt;&gt; "", TRUE,""),FALSE)</f>
        <v>0</v>
      </c>
      <c r="B304" t="e">
        <f>TRANSPOSE(T6_[Etiquetas de fila])</f>
        <v>#VALUE!</v>
      </c>
      <c r="C304" t="e">
        <f>TRANSPOSE(T6_[Recuento de T6 CODIGO])</f>
        <v>#VALUE!</v>
      </c>
    </row>
    <row r="305" spans="1:3" x14ac:dyDescent="0.25">
      <c r="A305" t="b">
        <f>IFERROR(IF(MATCH(B305,RECETAS!$A$2:$A$1700,0) &lt;&gt; "", TRUE,""),FALSE)</f>
        <v>0</v>
      </c>
      <c r="B305" t="e">
        <f>TRANSPOSE(T6_[Etiquetas de fila])</f>
        <v>#VALUE!</v>
      </c>
      <c r="C305" t="e">
        <f>TRANSPOSE(T6_[Recuento de T6 CODIGO])</f>
        <v>#VALUE!</v>
      </c>
    </row>
    <row r="306" spans="1:3" x14ac:dyDescent="0.25">
      <c r="A306" t="b">
        <f>IFERROR(IF(MATCH(B306,RECETAS!$A$2:$A$1700,0) &lt;&gt; "", TRUE,""),FALSE)</f>
        <v>0</v>
      </c>
      <c r="B306" t="e">
        <f>TRANSPOSE(T6_[Etiquetas de fila])</f>
        <v>#VALUE!</v>
      </c>
      <c r="C306" t="e">
        <f>TRANSPOSE(T6_[Recuento de T6 CODIGO])</f>
        <v>#VALUE!</v>
      </c>
    </row>
    <row r="307" spans="1:3" x14ac:dyDescent="0.25">
      <c r="A307" t="b">
        <f>IFERROR(IF(MATCH(B307,RECETAS!$A$2:$A$1700,0) &lt;&gt; "", TRUE,""),FALSE)</f>
        <v>0</v>
      </c>
      <c r="B307" t="e">
        <f>TRANSPOSE(T6_[Etiquetas de fila])</f>
        <v>#VALUE!</v>
      </c>
      <c r="C307" t="e">
        <f>TRANSPOSE(T6_[Recuento de T6 CODIGO])</f>
        <v>#VALUE!</v>
      </c>
    </row>
    <row r="308" spans="1:3" x14ac:dyDescent="0.25">
      <c r="A308" t="b">
        <f>IFERROR(IF(MATCH(B308,RECETAS!$A$2:$A$1700,0) &lt;&gt; "", TRUE,""),FALSE)</f>
        <v>0</v>
      </c>
      <c r="B308" t="e">
        <f>TRANSPOSE(T6_[Etiquetas de fila])</f>
        <v>#VALUE!</v>
      </c>
      <c r="C308" t="e">
        <f>TRANSPOSE(T6_[Recuento de T6 CODIGO])</f>
        <v>#VALUE!</v>
      </c>
    </row>
    <row r="309" spans="1:3" x14ac:dyDescent="0.25">
      <c r="A309" t="b">
        <f>IFERROR(IF(MATCH(B309,RECETAS!$A$2:$A$1700,0) &lt;&gt; "", TRUE,""),FALSE)</f>
        <v>0</v>
      </c>
      <c r="B309" t="e">
        <f>TRANSPOSE(T6_[Etiquetas de fila])</f>
        <v>#VALUE!</v>
      </c>
      <c r="C309" t="e">
        <f>TRANSPOSE(T6_[Recuento de T6 CODIGO])</f>
        <v>#VALUE!</v>
      </c>
    </row>
    <row r="310" spans="1:3" x14ac:dyDescent="0.25">
      <c r="A310" t="b">
        <f>IFERROR(IF(MATCH(B310,RECETAS!$A$2:$A$1700,0) &lt;&gt; "", TRUE,""),FALSE)</f>
        <v>0</v>
      </c>
      <c r="B310" t="e">
        <f>TRANSPOSE(T6_[Etiquetas de fila])</f>
        <v>#VALUE!</v>
      </c>
      <c r="C310" t="e">
        <f>TRANSPOSE(T6_[Recuento de T6 CODIGO])</f>
        <v>#VALUE!</v>
      </c>
    </row>
    <row r="311" spans="1:3" x14ac:dyDescent="0.25">
      <c r="A311" t="b">
        <f>IFERROR(IF(MATCH(B311,RECETAS!$A$2:$A$1700,0) &lt;&gt; "", TRUE,""),FALSE)</f>
        <v>0</v>
      </c>
      <c r="B311" t="e">
        <f>TRANSPOSE(T6_[Etiquetas de fila])</f>
        <v>#VALUE!</v>
      </c>
      <c r="C311" t="e">
        <f>TRANSPOSE(T6_[Recuento de T6 CODIGO])</f>
        <v>#VALUE!</v>
      </c>
    </row>
    <row r="312" spans="1:3" x14ac:dyDescent="0.25">
      <c r="A312" t="b">
        <f>IFERROR(IF(MATCH(B312,RECETAS!$A$2:$A$1700,0) &lt;&gt; "", TRUE,""),FALSE)</f>
        <v>0</v>
      </c>
      <c r="B312" t="e">
        <f>TRANSPOSE(T6_[Etiquetas de fila])</f>
        <v>#VALUE!</v>
      </c>
      <c r="C312" t="e">
        <f>TRANSPOSE(T6_[Recuento de T6 CODIGO])</f>
        <v>#VALUE!</v>
      </c>
    </row>
    <row r="313" spans="1:3" x14ac:dyDescent="0.25">
      <c r="A313" t="b">
        <f>IFERROR(IF(MATCH(B313,RECETAS!$A$2:$A$1700,0) &lt;&gt; "", TRUE,""),FALSE)</f>
        <v>0</v>
      </c>
      <c r="B313" t="e">
        <f>TRANSPOSE(T6_[Etiquetas de fila])</f>
        <v>#VALUE!</v>
      </c>
      <c r="C313" t="e">
        <f>TRANSPOSE(T6_[Recuento de T6 CODIGO])</f>
        <v>#VALUE!</v>
      </c>
    </row>
    <row r="314" spans="1:3" x14ac:dyDescent="0.25">
      <c r="A314" t="b">
        <f>IFERROR(IF(MATCH(B314,RECETAS!$A$2:$A$1700,0) &lt;&gt; "", TRUE,""),FALSE)</f>
        <v>0</v>
      </c>
      <c r="B314" t="e">
        <f>TRANSPOSE(T6_[Etiquetas de fila])</f>
        <v>#VALUE!</v>
      </c>
      <c r="C314" t="e">
        <f>TRANSPOSE(T6_[Recuento de T6 CODIGO])</f>
        <v>#VALUE!</v>
      </c>
    </row>
    <row r="315" spans="1:3" x14ac:dyDescent="0.25">
      <c r="A315" t="b">
        <f>IFERROR(IF(MATCH(B315,RECETAS!$A$2:$A$1700,0) &lt;&gt; "", TRUE,""),FALSE)</f>
        <v>0</v>
      </c>
      <c r="B315" t="e">
        <f>TRANSPOSE(T6_[Etiquetas de fila])</f>
        <v>#VALUE!</v>
      </c>
      <c r="C315" t="e">
        <f>TRANSPOSE(T6_[Recuento de T6 CODIGO])</f>
        <v>#VALUE!</v>
      </c>
    </row>
    <row r="316" spans="1:3" x14ac:dyDescent="0.25">
      <c r="A316" t="b">
        <f>IFERROR(IF(MATCH(B316,RECETAS!$A$2:$A$1700,0) &lt;&gt; "", TRUE,""),FALSE)</f>
        <v>0</v>
      </c>
      <c r="B316" t="e">
        <f>TRANSPOSE(T6_[Etiquetas de fila])</f>
        <v>#VALUE!</v>
      </c>
      <c r="C316" t="e">
        <f>TRANSPOSE(T6_[Recuento de T6 CODIGO])</f>
        <v>#VALUE!</v>
      </c>
    </row>
    <row r="317" spans="1:3" x14ac:dyDescent="0.25">
      <c r="A317" t="b">
        <f>IFERROR(IF(MATCH(B317,RECETAS!$A$2:$A$1700,0) &lt;&gt; "", TRUE,""),FALSE)</f>
        <v>0</v>
      </c>
      <c r="B317" t="e">
        <f>TRANSPOSE(T6_[Etiquetas de fila])</f>
        <v>#VALUE!</v>
      </c>
      <c r="C317" t="e">
        <f>TRANSPOSE(T6_[Recuento de T6 CODIGO])</f>
        <v>#VALUE!</v>
      </c>
    </row>
    <row r="318" spans="1:3" x14ac:dyDescent="0.25">
      <c r="A318" t="b">
        <f>IFERROR(IF(MATCH(B318,RECETAS!$A$2:$A$1700,0) &lt;&gt; "", TRUE,""),FALSE)</f>
        <v>0</v>
      </c>
      <c r="B318" t="e">
        <f>TRANSPOSE(T6_[Etiquetas de fila])</f>
        <v>#VALUE!</v>
      </c>
      <c r="C318" t="e">
        <f>TRANSPOSE(T6_[Recuento de T6 CODIGO])</f>
        <v>#VALUE!</v>
      </c>
    </row>
    <row r="319" spans="1:3" x14ac:dyDescent="0.25">
      <c r="A319" t="b">
        <f>IFERROR(IF(MATCH(B319,RECETAS!$A$2:$A$1700,0) &lt;&gt; "", TRUE,""),FALSE)</f>
        <v>0</v>
      </c>
      <c r="B319" t="e">
        <f>TRANSPOSE(T6_[Etiquetas de fila])</f>
        <v>#VALUE!</v>
      </c>
      <c r="C319" t="e">
        <f>TRANSPOSE(T6_[Recuento de T6 CODIGO])</f>
        <v>#VALUE!</v>
      </c>
    </row>
    <row r="320" spans="1:3" x14ac:dyDescent="0.25">
      <c r="A320" t="b">
        <f>IFERROR(IF(MATCH(B320,RECETAS!$A$2:$A$1700,0) &lt;&gt; "", TRUE,""),FALSE)</f>
        <v>0</v>
      </c>
      <c r="B320" t="e">
        <f>TRANSPOSE(T6_[Etiquetas de fila])</f>
        <v>#VALUE!</v>
      </c>
      <c r="C320" t="e">
        <f>TRANSPOSE(T6_[Recuento de T6 CODIGO])</f>
        <v>#VALUE!</v>
      </c>
    </row>
    <row r="321" spans="1:3" x14ac:dyDescent="0.25">
      <c r="A321" t="b">
        <f>IFERROR(IF(MATCH(B321,RECETAS!$A$2:$A$1700,0) &lt;&gt; "", TRUE,""),FALSE)</f>
        <v>0</v>
      </c>
      <c r="B321" t="e">
        <f>TRANSPOSE(T6_[Etiquetas de fila])</f>
        <v>#VALUE!</v>
      </c>
      <c r="C321" t="e">
        <f>TRANSPOSE(T6_[Recuento de T6 CODIGO])</f>
        <v>#VALUE!</v>
      </c>
    </row>
    <row r="322" spans="1:3" x14ac:dyDescent="0.25">
      <c r="A322" t="b">
        <f>IFERROR(IF(MATCH(B322,RECETAS!$A$2:$A$1700,0) &lt;&gt; "", TRUE,""),FALSE)</f>
        <v>0</v>
      </c>
      <c r="B322" t="e">
        <f>TRANSPOSE(T6_[Etiquetas de fila])</f>
        <v>#VALUE!</v>
      </c>
      <c r="C322" t="e">
        <f>TRANSPOSE(T6_[Recuento de T6 CODIGO])</f>
        <v>#VALUE!</v>
      </c>
    </row>
    <row r="323" spans="1:3" x14ac:dyDescent="0.25">
      <c r="A323" t="b">
        <f>IFERROR(IF(MATCH(B323,RECETAS!$A$2:$A$1700,0) &lt;&gt; "", TRUE,""),FALSE)</f>
        <v>0</v>
      </c>
      <c r="B323" t="e">
        <f>TRANSPOSE(T6_[Etiquetas de fila])</f>
        <v>#VALUE!</v>
      </c>
      <c r="C323" t="e">
        <f>TRANSPOSE(T6_[Recuento de T6 CODIGO])</f>
        <v>#VALUE!</v>
      </c>
    </row>
    <row r="324" spans="1:3" x14ac:dyDescent="0.25">
      <c r="A324" t="b">
        <f>IFERROR(IF(MATCH(B324,RECETAS!$A$2:$A$1700,0) &lt;&gt; "", TRUE,""),FALSE)</f>
        <v>0</v>
      </c>
      <c r="B324" t="e">
        <f>TRANSPOSE(T6_[Etiquetas de fila])</f>
        <v>#VALUE!</v>
      </c>
      <c r="C324" t="e">
        <f>TRANSPOSE(T6_[Recuento de T6 CODIGO])</f>
        <v>#VALUE!</v>
      </c>
    </row>
    <row r="325" spans="1:3" x14ac:dyDescent="0.25">
      <c r="A325" t="b">
        <f>IFERROR(IF(MATCH(B325,RECETAS!$A$2:$A$1700,0) &lt;&gt; "", TRUE,""),FALSE)</f>
        <v>0</v>
      </c>
      <c r="B325" t="e">
        <f>TRANSPOSE(T6_[Etiquetas de fila])</f>
        <v>#VALUE!</v>
      </c>
      <c r="C325" t="e">
        <f>TRANSPOSE(T6_[Recuento de T6 CODIGO])</f>
        <v>#VALUE!</v>
      </c>
    </row>
    <row r="326" spans="1:3" x14ac:dyDescent="0.25">
      <c r="A326" t="b">
        <f>IFERROR(IF(MATCH(B326,RECETAS!$A$2:$A$1700,0) &lt;&gt; "", TRUE,""),FALSE)</f>
        <v>0</v>
      </c>
      <c r="B326" t="e">
        <f>TRANSPOSE(T6_[Etiquetas de fila])</f>
        <v>#VALUE!</v>
      </c>
      <c r="C326" t="e">
        <f>TRANSPOSE(T6_[Recuento de T6 CODIGO])</f>
        <v>#VALUE!</v>
      </c>
    </row>
    <row r="327" spans="1:3" x14ac:dyDescent="0.25">
      <c r="A327" t="b">
        <f>IFERROR(IF(MATCH(B327,RECETAS!$A$2:$A$1700,0) &lt;&gt; "", TRUE,""),FALSE)</f>
        <v>0</v>
      </c>
      <c r="B327" t="e">
        <f>TRANSPOSE(T6_[Etiquetas de fila])</f>
        <v>#VALUE!</v>
      </c>
      <c r="C327" t="e">
        <f>TRANSPOSE(T6_[Recuento de T6 CODIGO])</f>
        <v>#VALUE!</v>
      </c>
    </row>
    <row r="328" spans="1:3" x14ac:dyDescent="0.25">
      <c r="A328" t="b">
        <f>IFERROR(IF(MATCH(B328,RECETAS!$A$2:$A$1700,0) &lt;&gt; "", TRUE,""),FALSE)</f>
        <v>0</v>
      </c>
      <c r="B328" t="e">
        <f>TRANSPOSE(T6_[Etiquetas de fila])</f>
        <v>#VALUE!</v>
      </c>
      <c r="C328" t="e">
        <f>TRANSPOSE(T6_[Recuento de T6 CODIGO])</f>
        <v>#VALUE!</v>
      </c>
    </row>
    <row r="329" spans="1:3" x14ac:dyDescent="0.25">
      <c r="A329" t="b">
        <f>IFERROR(IF(MATCH(B329,RECETAS!$A$2:$A$1700,0) &lt;&gt; "", TRUE,""),FALSE)</f>
        <v>0</v>
      </c>
      <c r="B329" t="e">
        <f>TRANSPOSE(T6_[Etiquetas de fila])</f>
        <v>#VALUE!</v>
      </c>
      <c r="C329" t="e">
        <f>TRANSPOSE(T6_[Recuento de T6 CODIGO])</f>
        <v>#VALUE!</v>
      </c>
    </row>
    <row r="330" spans="1:3" x14ac:dyDescent="0.25">
      <c r="A330" t="b">
        <f>IFERROR(IF(MATCH(B330,RECETAS!$A$2:$A$1700,0) &lt;&gt; "", TRUE,""),FALSE)</f>
        <v>0</v>
      </c>
      <c r="B330" t="e">
        <f>TRANSPOSE(T6_[Etiquetas de fila])</f>
        <v>#VALUE!</v>
      </c>
      <c r="C330" t="e">
        <f>TRANSPOSE(T6_[Recuento de T6 CODIGO])</f>
        <v>#VALUE!</v>
      </c>
    </row>
    <row r="331" spans="1:3" x14ac:dyDescent="0.25">
      <c r="A331" t="b">
        <f>IFERROR(IF(MATCH(B331,RECETAS!$A$2:$A$1700,0) &lt;&gt; "", TRUE,""),FALSE)</f>
        <v>0</v>
      </c>
      <c r="B331" t="e">
        <f>TRANSPOSE(T6_[Etiquetas de fila])</f>
        <v>#VALUE!</v>
      </c>
      <c r="C331" t="e">
        <f>TRANSPOSE(T6_[Recuento de T6 CODIGO])</f>
        <v>#VALUE!</v>
      </c>
    </row>
    <row r="332" spans="1:3" x14ac:dyDescent="0.25">
      <c r="A332" t="b">
        <f>IFERROR(IF(MATCH(B332,RECETAS!$A$2:$A$1700,0) &lt;&gt; "", TRUE,""),FALSE)</f>
        <v>0</v>
      </c>
      <c r="B332" t="e">
        <f>TRANSPOSE(T6_[Etiquetas de fila])</f>
        <v>#VALUE!</v>
      </c>
      <c r="C332" t="e">
        <f>TRANSPOSE(T6_[Recuento de T6 CODIGO])</f>
        <v>#VALUE!</v>
      </c>
    </row>
    <row r="333" spans="1:3" x14ac:dyDescent="0.25">
      <c r="A333" t="b">
        <f>IFERROR(IF(MATCH(B333,RECETAS!$A$2:$A$1700,0) &lt;&gt; "", TRUE,""),FALSE)</f>
        <v>0</v>
      </c>
      <c r="B333" t="e">
        <f>TRANSPOSE(T6_[Etiquetas de fila])</f>
        <v>#VALUE!</v>
      </c>
      <c r="C333" t="e">
        <f>TRANSPOSE(T6_[Recuento de T6 CODIGO])</f>
        <v>#VALUE!</v>
      </c>
    </row>
    <row r="334" spans="1:3" x14ac:dyDescent="0.25">
      <c r="A334" t="b">
        <f>IFERROR(IF(MATCH(B334,RECETAS!$A$2:$A$1700,0) &lt;&gt; "", TRUE,""),FALSE)</f>
        <v>0</v>
      </c>
      <c r="B334" t="e">
        <f>TRANSPOSE(T6_[Etiquetas de fila])</f>
        <v>#VALUE!</v>
      </c>
      <c r="C334" t="e">
        <f>TRANSPOSE(T6_[Recuento de T6 CODIGO])</f>
        <v>#VALUE!</v>
      </c>
    </row>
    <row r="335" spans="1:3" x14ac:dyDescent="0.25">
      <c r="A335" t="b">
        <f>IFERROR(IF(MATCH(B335,RECETAS!$A$2:$A$1700,0) &lt;&gt; "", TRUE,""),FALSE)</f>
        <v>0</v>
      </c>
      <c r="B335" t="e">
        <f>TRANSPOSE(T6_[Etiquetas de fila])</f>
        <v>#VALUE!</v>
      </c>
      <c r="C335" t="e">
        <f>TRANSPOSE(T6_[Recuento de T6 CODIGO])</f>
        <v>#VALUE!</v>
      </c>
    </row>
    <row r="336" spans="1:3" x14ac:dyDescent="0.25">
      <c r="A336" t="b">
        <f>IFERROR(IF(MATCH(B336,RECETAS!$A$2:$A$1700,0) &lt;&gt; "", TRUE,""),FALSE)</f>
        <v>0</v>
      </c>
      <c r="B336" t="e">
        <f>TRANSPOSE(T6_[Etiquetas de fila])</f>
        <v>#VALUE!</v>
      </c>
      <c r="C336" t="e">
        <f>TRANSPOSE(T6_[Recuento de T6 CODIGO])</f>
        <v>#VALUE!</v>
      </c>
    </row>
    <row r="337" spans="1:3" x14ac:dyDescent="0.25">
      <c r="A337" t="b">
        <f>IFERROR(IF(MATCH(B337,RECETAS!$A$2:$A$1700,0) &lt;&gt; "", TRUE,""),FALSE)</f>
        <v>0</v>
      </c>
      <c r="B337" t="e">
        <f>TRANSPOSE(T6_[Etiquetas de fila])</f>
        <v>#VALUE!</v>
      </c>
      <c r="C337" t="e">
        <f>TRANSPOSE(T6_[Recuento de T6 CODIGO])</f>
        <v>#VALUE!</v>
      </c>
    </row>
    <row r="338" spans="1:3" x14ac:dyDescent="0.25">
      <c r="A338" t="b">
        <f>IFERROR(IF(MATCH(B338,RECETAS!$A$2:$A$1700,0) &lt;&gt; "", TRUE,""),FALSE)</f>
        <v>0</v>
      </c>
      <c r="B338" t="e">
        <f>TRANSPOSE(T6_[Etiquetas de fila])</f>
        <v>#VALUE!</v>
      </c>
      <c r="C338" t="e">
        <f>TRANSPOSE(T6_[Recuento de T6 CODIGO])</f>
        <v>#VALUE!</v>
      </c>
    </row>
    <row r="339" spans="1:3" x14ac:dyDescent="0.25">
      <c r="A339" t="b">
        <f>IFERROR(IF(MATCH(B339,RECETAS!$A$2:$A$1700,0) &lt;&gt; "", TRUE,""),FALSE)</f>
        <v>0</v>
      </c>
      <c r="B339" t="e">
        <f>TRANSPOSE(T6_[Etiquetas de fila])</f>
        <v>#VALUE!</v>
      </c>
      <c r="C339" t="e">
        <f>TRANSPOSE(T6_[Recuento de T6 CODIGO])</f>
        <v>#VALUE!</v>
      </c>
    </row>
    <row r="340" spans="1:3" x14ac:dyDescent="0.25">
      <c r="A340" t="b">
        <f>IFERROR(IF(MATCH(B340,RECETAS!$A$2:$A$1700,0) &lt;&gt; "", TRUE,""),FALSE)</f>
        <v>0</v>
      </c>
      <c r="B340" t="e">
        <f>TRANSPOSE(T6_[Etiquetas de fila])</f>
        <v>#VALUE!</v>
      </c>
      <c r="C340" t="e">
        <f>TRANSPOSE(T6_[Recuento de T6 CODIGO])</f>
        <v>#VALUE!</v>
      </c>
    </row>
    <row r="341" spans="1:3" x14ac:dyDescent="0.25">
      <c r="A341" t="b">
        <f>IFERROR(IF(MATCH(B341,RECETAS!$A$2:$A$1700,0) &lt;&gt; "", TRUE,""),FALSE)</f>
        <v>0</v>
      </c>
      <c r="B341" t="e">
        <f>TRANSPOSE(T6_[Etiquetas de fila])</f>
        <v>#VALUE!</v>
      </c>
      <c r="C341" t="e">
        <f>TRANSPOSE(T6_[Recuento de T6 CODIGO])</f>
        <v>#VALUE!</v>
      </c>
    </row>
    <row r="342" spans="1:3" x14ac:dyDescent="0.25">
      <c r="A342" t="b">
        <f>IFERROR(IF(MATCH(B342,RECETAS!$A$2:$A$1700,0) &lt;&gt; "", TRUE,""),FALSE)</f>
        <v>0</v>
      </c>
      <c r="B342" t="e">
        <f>TRANSPOSE(T6_[Etiquetas de fila])</f>
        <v>#VALUE!</v>
      </c>
      <c r="C342" t="e">
        <f>TRANSPOSE(T6_[Recuento de T6 CODIGO])</f>
        <v>#VALUE!</v>
      </c>
    </row>
    <row r="343" spans="1:3" x14ac:dyDescent="0.25">
      <c r="A343" t="b">
        <f>IFERROR(IF(MATCH(B343,RECETAS!$A$2:$A$1700,0) &lt;&gt; "", TRUE,""),FALSE)</f>
        <v>0</v>
      </c>
      <c r="B343" t="e">
        <f>TRANSPOSE(T6_[Etiquetas de fila])</f>
        <v>#VALUE!</v>
      </c>
      <c r="C343" t="e">
        <f>TRANSPOSE(T6_[Recuento de T6 CODIGO])</f>
        <v>#VALUE!</v>
      </c>
    </row>
    <row r="344" spans="1:3" x14ac:dyDescent="0.25">
      <c r="A344" t="b">
        <f>IFERROR(IF(MATCH(B344,RECETAS!$A$2:$A$1700,0) &lt;&gt; "", TRUE,""),FALSE)</f>
        <v>0</v>
      </c>
      <c r="B344" t="e">
        <f>TRANSPOSE(T6_[Etiquetas de fila])</f>
        <v>#VALUE!</v>
      </c>
      <c r="C344" t="e">
        <f>TRANSPOSE(T6_[Recuento de T6 CODIGO])</f>
        <v>#VALUE!</v>
      </c>
    </row>
    <row r="345" spans="1:3" x14ac:dyDescent="0.25">
      <c r="A345" t="b">
        <f>IFERROR(IF(MATCH(B345,RECETAS!$A$2:$A$1700,0) &lt;&gt; "", TRUE,""),FALSE)</f>
        <v>0</v>
      </c>
      <c r="B345" t="e">
        <f>TRANSPOSE(T6_[Etiquetas de fila])</f>
        <v>#VALUE!</v>
      </c>
      <c r="C345" t="e">
        <f>TRANSPOSE(T6_[Recuento de T6 CODIGO])</f>
        <v>#VALUE!</v>
      </c>
    </row>
    <row r="346" spans="1:3" x14ac:dyDescent="0.25">
      <c r="A346" t="b">
        <f>IFERROR(IF(MATCH(B346,RECETAS!$A$2:$A$1700,0) &lt;&gt; "", TRUE,""),FALSE)</f>
        <v>0</v>
      </c>
      <c r="B346" t="e">
        <f>TRANSPOSE(T6_[Etiquetas de fila])</f>
        <v>#VALUE!</v>
      </c>
      <c r="C346" t="e">
        <f>TRANSPOSE(T6_[Recuento de T6 CODIGO])</f>
        <v>#VALUE!</v>
      </c>
    </row>
    <row r="347" spans="1:3" x14ac:dyDescent="0.25">
      <c r="A347" t="b">
        <f>IFERROR(IF(MATCH(B347,RECETAS!$A$2:$A$1700,0) &lt;&gt; "", TRUE,""),FALSE)</f>
        <v>0</v>
      </c>
      <c r="B347" t="e">
        <f>TRANSPOSE(T6_[Etiquetas de fila])</f>
        <v>#VALUE!</v>
      </c>
      <c r="C347" t="e">
        <f>TRANSPOSE(T6_[Recuento de T6 CODIGO])</f>
        <v>#VALUE!</v>
      </c>
    </row>
    <row r="348" spans="1:3" x14ac:dyDescent="0.25">
      <c r="A348" t="b">
        <f>IFERROR(IF(MATCH(B348,RECETAS!$A$2:$A$1700,0) &lt;&gt; "", TRUE,""),FALSE)</f>
        <v>0</v>
      </c>
      <c r="B348" t="e">
        <f>TRANSPOSE(T6_[Etiquetas de fila])</f>
        <v>#VALUE!</v>
      </c>
      <c r="C348" t="e">
        <f>TRANSPOSE(T6_[Recuento de T6 CODIGO])</f>
        <v>#VALUE!</v>
      </c>
    </row>
    <row r="349" spans="1:3" x14ac:dyDescent="0.25">
      <c r="A349" t="b">
        <f>IFERROR(IF(MATCH(B349,RECETAS!$A$2:$A$1700,0) &lt;&gt; "", TRUE,""),FALSE)</f>
        <v>0</v>
      </c>
      <c r="B349" t="e">
        <f>TRANSPOSE(T6_[Etiquetas de fila])</f>
        <v>#VALUE!</v>
      </c>
      <c r="C349" t="e">
        <f>TRANSPOSE(T6_[Recuento de T6 CODIGO])</f>
        <v>#VALUE!</v>
      </c>
    </row>
    <row r="350" spans="1:3" x14ac:dyDescent="0.25">
      <c r="A350" t="b">
        <f>IFERROR(IF(MATCH(B350,RECETAS!$A$2:$A$1700,0) &lt;&gt; "", TRUE,""),FALSE)</f>
        <v>0</v>
      </c>
      <c r="B350" t="e">
        <f>TRANSPOSE(T6_[Etiquetas de fila])</f>
        <v>#VALUE!</v>
      </c>
      <c r="C350" t="e">
        <f>TRANSPOSE(T6_[Recuento de T6 CODIGO])</f>
        <v>#VALUE!</v>
      </c>
    </row>
    <row r="351" spans="1:3" x14ac:dyDescent="0.25">
      <c r="A351" t="b">
        <f>IFERROR(IF(MATCH(B351,RECETAS!$A$2:$A$1700,0) &lt;&gt; "", TRUE,""),FALSE)</f>
        <v>0</v>
      </c>
      <c r="B351" t="e">
        <f>TRANSPOSE(T6_[Etiquetas de fila])</f>
        <v>#VALUE!</v>
      </c>
      <c r="C351" t="e">
        <f>TRANSPOSE(T6_[Recuento de T6 CODIGO])</f>
        <v>#VALUE!</v>
      </c>
    </row>
    <row r="352" spans="1:3" x14ac:dyDescent="0.25">
      <c r="A352" t="b">
        <f>IFERROR(IF(MATCH(B352,RECETAS!$A$2:$A$1700,0) &lt;&gt; "", TRUE,""),FALSE)</f>
        <v>0</v>
      </c>
      <c r="B352" t="e">
        <f>TRANSPOSE(T6_[Etiquetas de fila])</f>
        <v>#VALUE!</v>
      </c>
      <c r="C352" t="e">
        <f>TRANSPOSE(T6_[Recuento de T6 CODIGO])</f>
        <v>#VALUE!</v>
      </c>
    </row>
    <row r="353" spans="1:3" x14ac:dyDescent="0.25">
      <c r="A353" t="b">
        <f>IFERROR(IF(MATCH(B353,RECETAS!$A$2:$A$1700,0) &lt;&gt; "", TRUE,""),FALSE)</f>
        <v>0</v>
      </c>
      <c r="B353" t="e">
        <f>TRANSPOSE(T6_[Etiquetas de fila])</f>
        <v>#VALUE!</v>
      </c>
      <c r="C353" t="e">
        <f>TRANSPOSE(T6_[Recuento de T6 CODIGO])</f>
        <v>#VALUE!</v>
      </c>
    </row>
    <row r="354" spans="1:3" x14ac:dyDescent="0.25">
      <c r="A354" t="b">
        <f>IFERROR(IF(MATCH(B354,RECETAS!$A$2:$A$1700,0) &lt;&gt; "", TRUE,""),FALSE)</f>
        <v>0</v>
      </c>
      <c r="B354" t="e">
        <f>TRANSPOSE(T6_[Etiquetas de fila])</f>
        <v>#VALUE!</v>
      </c>
      <c r="C354" t="e">
        <f>TRANSPOSE(T6_[Recuento de T6 CODIGO])</f>
        <v>#VALUE!</v>
      </c>
    </row>
    <row r="355" spans="1:3" x14ac:dyDescent="0.25">
      <c r="A355" t="b">
        <f>IFERROR(IF(MATCH(B355,RECETAS!$A$2:$A$1700,0) &lt;&gt; "", TRUE,""),FALSE)</f>
        <v>0</v>
      </c>
      <c r="B355" t="e">
        <f>TRANSPOSE(T6_[Etiquetas de fila])</f>
        <v>#VALUE!</v>
      </c>
      <c r="C355" t="e">
        <f>TRANSPOSE(T6_[Recuento de T6 CODIGO])</f>
        <v>#VALUE!</v>
      </c>
    </row>
    <row r="356" spans="1:3" x14ac:dyDescent="0.25">
      <c r="A356" t="b">
        <f>IFERROR(IF(MATCH(B356,RECETAS!$A$2:$A$1700,0) &lt;&gt; "", TRUE,""),FALSE)</f>
        <v>0</v>
      </c>
      <c r="B356" t="e">
        <f>TRANSPOSE(T6_[Etiquetas de fila])</f>
        <v>#VALUE!</v>
      </c>
      <c r="C356" t="e">
        <f>TRANSPOSE(T6_[Recuento de T6 CODIGO])</f>
        <v>#VALUE!</v>
      </c>
    </row>
    <row r="357" spans="1:3" x14ac:dyDescent="0.25">
      <c r="A357" t="b">
        <f>IFERROR(IF(MATCH(B357,RECETAS!$A$2:$A$1700,0) &lt;&gt; "", TRUE,""),FALSE)</f>
        <v>0</v>
      </c>
      <c r="B357" t="e">
        <f>TRANSPOSE(T6_[Etiquetas de fila])</f>
        <v>#VALUE!</v>
      </c>
      <c r="C357" t="e">
        <f>TRANSPOSE(T6_[Recuento de T6 CODIGO])</f>
        <v>#VALUE!</v>
      </c>
    </row>
    <row r="358" spans="1:3" x14ac:dyDescent="0.25">
      <c r="A358" t="b">
        <f>IFERROR(IF(MATCH(B358,RECETAS!$A$2:$A$1700,0) &lt;&gt; "", TRUE,""),FALSE)</f>
        <v>0</v>
      </c>
      <c r="B358" t="e">
        <f>TRANSPOSE(T6_[Etiquetas de fila])</f>
        <v>#VALUE!</v>
      </c>
      <c r="C358" t="e">
        <f>TRANSPOSE(T6_[Recuento de T6 CODIGO])</f>
        <v>#VALUE!</v>
      </c>
    </row>
    <row r="359" spans="1:3" x14ac:dyDescent="0.25">
      <c r="A359" t="b">
        <f>IFERROR(IF(MATCH(B359,RECETAS!$A$2:$A$1700,0) &lt;&gt; "", TRUE,""),FALSE)</f>
        <v>0</v>
      </c>
      <c r="B359" t="e">
        <f>TRANSPOSE(T6_[Etiquetas de fila])</f>
        <v>#VALUE!</v>
      </c>
      <c r="C359" t="e">
        <f>TRANSPOSE(T6_[Recuento de T6 CODIGO])</f>
        <v>#VALUE!</v>
      </c>
    </row>
    <row r="360" spans="1:3" x14ac:dyDescent="0.25">
      <c r="A360" t="b">
        <f>IFERROR(IF(MATCH(B360,RECETAS!$A$2:$A$1700,0) &lt;&gt; "", TRUE,""),FALSE)</f>
        <v>0</v>
      </c>
      <c r="B360" t="e">
        <f>TRANSPOSE(T6_[Etiquetas de fila])</f>
        <v>#VALUE!</v>
      </c>
      <c r="C360" t="e">
        <f>TRANSPOSE(T6_[Recuento de T6 CODIGO])</f>
        <v>#VALUE!</v>
      </c>
    </row>
    <row r="361" spans="1:3" x14ac:dyDescent="0.25">
      <c r="A361" t="b">
        <f>IFERROR(IF(MATCH(B361,RECETAS!$A$2:$A$1700,0) &lt;&gt; "", TRUE,""),FALSE)</f>
        <v>0</v>
      </c>
      <c r="B361" t="e">
        <f>TRANSPOSE(T6_[Etiquetas de fila])</f>
        <v>#VALUE!</v>
      </c>
      <c r="C361" t="e">
        <f>TRANSPOSE(T6_[Recuento de T6 CODIGO])</f>
        <v>#VALUE!</v>
      </c>
    </row>
    <row r="362" spans="1:3" x14ac:dyDescent="0.25">
      <c r="A362" t="b">
        <f>IFERROR(IF(MATCH(B362,RECETAS!$A$2:$A$1700,0) &lt;&gt; "", TRUE,""),FALSE)</f>
        <v>0</v>
      </c>
      <c r="B362" t="e">
        <f>TRANSPOSE(T6_[Etiquetas de fila])</f>
        <v>#VALUE!</v>
      </c>
      <c r="C362" t="e">
        <f>TRANSPOSE(T6_[Recuento de T6 CODIGO])</f>
        <v>#VALUE!</v>
      </c>
    </row>
    <row r="363" spans="1:3" x14ac:dyDescent="0.25">
      <c r="A363" t="b">
        <f>IFERROR(IF(MATCH(B363,RECETAS!$A$2:$A$1700,0) &lt;&gt; "", TRUE,""),FALSE)</f>
        <v>0</v>
      </c>
      <c r="B363" t="e">
        <f>TRANSPOSE(T6_[Etiquetas de fila])</f>
        <v>#VALUE!</v>
      </c>
      <c r="C363" t="e">
        <f>TRANSPOSE(T6_[Recuento de T6 CODIGO])</f>
        <v>#VALUE!</v>
      </c>
    </row>
    <row r="364" spans="1:3" x14ac:dyDescent="0.25">
      <c r="A364" t="b">
        <f>IFERROR(IF(MATCH(B364,RECETAS!$A$2:$A$1700,0) &lt;&gt; "", TRUE,""),FALSE)</f>
        <v>0</v>
      </c>
      <c r="B364" t="e">
        <f>TRANSPOSE(T6_[Etiquetas de fila])</f>
        <v>#VALUE!</v>
      </c>
      <c r="C364" t="e">
        <f>TRANSPOSE(T6_[Recuento de T6 CODIGO])</f>
        <v>#VALUE!</v>
      </c>
    </row>
    <row r="365" spans="1:3" x14ac:dyDescent="0.25">
      <c r="A365" t="b">
        <f>IFERROR(IF(MATCH(B365,RECETAS!$A$2:$A$1700,0) &lt;&gt; "", TRUE,""),FALSE)</f>
        <v>0</v>
      </c>
      <c r="B365" t="e">
        <f>TRANSPOSE(T6_[Etiquetas de fila])</f>
        <v>#VALUE!</v>
      </c>
      <c r="C365" t="e">
        <f>TRANSPOSE(T6_[Recuento de T6 CODIGO])</f>
        <v>#VALUE!</v>
      </c>
    </row>
    <row r="366" spans="1:3" x14ac:dyDescent="0.25">
      <c r="A366" t="b">
        <f>IFERROR(IF(MATCH(B366,RECETAS!$A$2:$A$1700,0) &lt;&gt; "", TRUE,""),FALSE)</f>
        <v>0</v>
      </c>
      <c r="B366" t="e">
        <f>TRANSPOSE(T6_[Etiquetas de fila])</f>
        <v>#VALUE!</v>
      </c>
      <c r="C366" t="e">
        <f>TRANSPOSE(T6_[Recuento de T6 CODIGO])</f>
        <v>#VALUE!</v>
      </c>
    </row>
    <row r="367" spans="1:3" x14ac:dyDescent="0.25">
      <c r="A367" t="b">
        <f>IFERROR(IF(MATCH(B367,RECETAS!$A$2:$A$1700,0) &lt;&gt; "", TRUE,""),FALSE)</f>
        <v>0</v>
      </c>
      <c r="B367" t="e">
        <f>TRANSPOSE(T6_[Etiquetas de fila])</f>
        <v>#VALUE!</v>
      </c>
      <c r="C367" t="e">
        <f>TRANSPOSE(T6_[Recuento de T6 CODIGO])</f>
        <v>#VALUE!</v>
      </c>
    </row>
    <row r="368" spans="1:3" x14ac:dyDescent="0.25">
      <c r="A368" t="b">
        <f>IFERROR(IF(MATCH(B368,RECETAS!$A$2:$A$1700,0) &lt;&gt; "", TRUE,""),FALSE)</f>
        <v>0</v>
      </c>
      <c r="B368" t="e">
        <f>TRANSPOSE(T6_[Etiquetas de fila])</f>
        <v>#VALUE!</v>
      </c>
      <c r="C368" t="e">
        <f>TRANSPOSE(T6_[Recuento de T6 CODIGO])</f>
        <v>#VALUE!</v>
      </c>
    </row>
    <row r="369" spans="1:3" x14ac:dyDescent="0.25">
      <c r="A369" t="b">
        <f>IFERROR(IF(MATCH(B369,RECETAS!$A$2:$A$1700,0) &lt;&gt; "", TRUE,""),FALSE)</f>
        <v>0</v>
      </c>
      <c r="B369" t="e">
        <f>TRANSPOSE(T6_[Etiquetas de fila])</f>
        <v>#VALUE!</v>
      </c>
      <c r="C369" t="e">
        <f>TRANSPOSE(T6_[Recuento de T6 CODIGO])</f>
        <v>#VALUE!</v>
      </c>
    </row>
    <row r="370" spans="1:3" x14ac:dyDescent="0.25">
      <c r="A370" t="b">
        <f>IFERROR(IF(MATCH(B370,RECETAS!$A$2:$A$1700,0) &lt;&gt; "", TRUE,""),FALSE)</f>
        <v>0</v>
      </c>
      <c r="B370" t="e">
        <f>TRANSPOSE(T6_[Etiquetas de fila])</f>
        <v>#VALUE!</v>
      </c>
      <c r="C370" t="e">
        <f>TRANSPOSE(T6_[Recuento de T6 CODIGO])</f>
        <v>#VALUE!</v>
      </c>
    </row>
    <row r="371" spans="1:3" x14ac:dyDescent="0.25">
      <c r="A371" t="b">
        <f>IFERROR(IF(MATCH(B371,RECETAS!$A$2:$A$1700,0) &lt;&gt; "", TRUE,""),FALSE)</f>
        <v>0</v>
      </c>
      <c r="B371" t="e">
        <f>TRANSPOSE(T6_[Etiquetas de fila])</f>
        <v>#VALUE!</v>
      </c>
      <c r="C371" t="e">
        <f>TRANSPOSE(T6_[Recuento de T6 CODIGO])</f>
        <v>#VALUE!</v>
      </c>
    </row>
    <row r="372" spans="1:3" x14ac:dyDescent="0.25">
      <c r="A372" t="b">
        <f>IFERROR(IF(MATCH(B372,RECETAS!$A$2:$A$1700,0) &lt;&gt; "", TRUE,""),FALSE)</f>
        <v>0</v>
      </c>
      <c r="B372" t="e">
        <f>TRANSPOSE(T6_[Etiquetas de fila])</f>
        <v>#VALUE!</v>
      </c>
      <c r="C372" t="e">
        <f>TRANSPOSE(T6_[Recuento de T6 CODIGO])</f>
        <v>#VALUE!</v>
      </c>
    </row>
    <row r="373" spans="1:3" x14ac:dyDescent="0.25">
      <c r="A373" t="b">
        <f>IFERROR(IF(MATCH(B373,RECETAS!$A$2:$A$1700,0) &lt;&gt; "", TRUE,""),FALSE)</f>
        <v>0</v>
      </c>
      <c r="B373" t="e">
        <f>TRANSPOSE(T6_[Etiquetas de fila])</f>
        <v>#VALUE!</v>
      </c>
      <c r="C373" t="e">
        <f>TRANSPOSE(T6_[Recuento de T6 CODIGO])</f>
        <v>#VALUE!</v>
      </c>
    </row>
    <row r="374" spans="1:3" x14ac:dyDescent="0.25">
      <c r="A374" t="b">
        <f>IFERROR(IF(MATCH(B374,RECETAS!$A$2:$A$1700,0) &lt;&gt; "", TRUE,""),FALSE)</f>
        <v>0</v>
      </c>
      <c r="B374" t="e">
        <f>TRANSPOSE(T6_[Etiquetas de fila])</f>
        <v>#VALUE!</v>
      </c>
      <c r="C374" t="e">
        <f>TRANSPOSE(T6_[Recuento de T6 CODIGO])</f>
        <v>#VALUE!</v>
      </c>
    </row>
    <row r="375" spans="1:3" x14ac:dyDescent="0.25">
      <c r="A375" t="b">
        <f>IFERROR(IF(MATCH(B375,RECETAS!$A$2:$A$1700,0) &lt;&gt; "", TRUE,""),FALSE)</f>
        <v>0</v>
      </c>
      <c r="B375" t="e">
        <f>TRANSPOSE(T6_[Etiquetas de fila])</f>
        <v>#VALUE!</v>
      </c>
      <c r="C375" t="e">
        <f>TRANSPOSE(T6_[Recuento de T6 CODIGO])</f>
        <v>#VALUE!</v>
      </c>
    </row>
    <row r="376" spans="1:3" x14ac:dyDescent="0.25">
      <c r="A376" t="b">
        <f>IFERROR(IF(MATCH(B376,RECETAS!$A$2:$A$1700,0) &lt;&gt; "", TRUE,""),FALSE)</f>
        <v>0</v>
      </c>
      <c r="B376" t="e">
        <f>TRANSPOSE(T6_[Etiquetas de fila])</f>
        <v>#VALUE!</v>
      </c>
      <c r="C376" t="e">
        <f>TRANSPOSE(T6_[Recuento de T6 CODIGO])</f>
        <v>#VALUE!</v>
      </c>
    </row>
    <row r="377" spans="1:3" x14ac:dyDescent="0.25">
      <c r="A377" t="b">
        <f>IFERROR(IF(MATCH(B377,RECETAS!$A$2:$A$1700,0) &lt;&gt; "", TRUE,""),FALSE)</f>
        <v>0</v>
      </c>
      <c r="B377" t="e">
        <f>TRANSPOSE(T6_[Etiquetas de fila])</f>
        <v>#VALUE!</v>
      </c>
      <c r="C377" t="e">
        <f>TRANSPOSE(T6_[Recuento de T6 CODIGO])</f>
        <v>#VALUE!</v>
      </c>
    </row>
    <row r="378" spans="1:3" x14ac:dyDescent="0.25">
      <c r="A378" t="b">
        <f>IFERROR(IF(MATCH(B378,RECETAS!$A$2:$A$1700,0) &lt;&gt; "", TRUE,""),FALSE)</f>
        <v>0</v>
      </c>
      <c r="B378" t="e">
        <f>TRANSPOSE(T6_[Etiquetas de fila])</f>
        <v>#VALUE!</v>
      </c>
      <c r="C378" t="e">
        <f>TRANSPOSE(T6_[Recuento de T6 CODIGO])</f>
        <v>#VALUE!</v>
      </c>
    </row>
    <row r="379" spans="1:3" x14ac:dyDescent="0.25">
      <c r="A379" t="b">
        <f>IFERROR(IF(MATCH(B379,RECETAS!$A$2:$A$1700,0) &lt;&gt; "", TRUE,""),FALSE)</f>
        <v>0</v>
      </c>
      <c r="B379" t="e">
        <f>TRANSPOSE(T6_[Etiquetas de fila])</f>
        <v>#VALUE!</v>
      </c>
      <c r="C379" t="e">
        <f>TRANSPOSE(T6_[Recuento de T6 CODIGO])</f>
        <v>#VALUE!</v>
      </c>
    </row>
    <row r="380" spans="1:3" x14ac:dyDescent="0.25">
      <c r="A380" t="b">
        <f>IFERROR(IF(MATCH(B380,RECETAS!$A$2:$A$1700,0) &lt;&gt; "", TRUE,""),FALSE)</f>
        <v>0</v>
      </c>
      <c r="B380" t="e">
        <f>TRANSPOSE(T6_[Etiquetas de fila])</f>
        <v>#VALUE!</v>
      </c>
      <c r="C380" t="e">
        <f>TRANSPOSE(T6_[Recuento de T6 CODIGO])</f>
        <v>#VALUE!</v>
      </c>
    </row>
    <row r="381" spans="1:3" x14ac:dyDescent="0.25">
      <c r="A381" t="b">
        <f>IFERROR(IF(MATCH(B381,RECETAS!$A$2:$A$1700,0) &lt;&gt; "", TRUE,""),FALSE)</f>
        <v>0</v>
      </c>
      <c r="B381" t="e">
        <f>TRANSPOSE(T6_[Etiquetas de fila])</f>
        <v>#VALUE!</v>
      </c>
      <c r="C381" t="e">
        <f>TRANSPOSE(T6_[Recuento de T6 CODIGO])</f>
        <v>#VALUE!</v>
      </c>
    </row>
    <row r="382" spans="1:3" x14ac:dyDescent="0.25">
      <c r="A382" t="b">
        <f>IFERROR(IF(MATCH(B382,RECETAS!$A$2:$A$1700,0) &lt;&gt; "", TRUE,""),FALSE)</f>
        <v>0</v>
      </c>
      <c r="B382" t="e">
        <f>TRANSPOSE(T6_[Etiquetas de fila])</f>
        <v>#VALUE!</v>
      </c>
      <c r="C382" t="e">
        <f>TRANSPOSE(T6_[Recuento de T6 CODIGO])</f>
        <v>#VALUE!</v>
      </c>
    </row>
    <row r="383" spans="1:3" x14ac:dyDescent="0.25">
      <c r="A383" t="b">
        <f>IFERROR(IF(MATCH(B383,RECETAS!$A$2:$A$1700,0) &lt;&gt; "", TRUE,""),FALSE)</f>
        <v>0</v>
      </c>
      <c r="B383" t="e">
        <f>TRANSPOSE(T6_[Etiquetas de fila])</f>
        <v>#VALUE!</v>
      </c>
      <c r="C383" t="e">
        <f>TRANSPOSE(T6_[Recuento de T6 CODIGO])</f>
        <v>#VALUE!</v>
      </c>
    </row>
    <row r="384" spans="1:3" x14ac:dyDescent="0.25">
      <c r="A384" t="b">
        <f>IFERROR(IF(MATCH(B384,RECETAS!$A$2:$A$1700,0) &lt;&gt; "", TRUE,""),FALSE)</f>
        <v>0</v>
      </c>
      <c r="B384" t="e">
        <f>TRANSPOSE(T6_[Etiquetas de fila])</f>
        <v>#VALUE!</v>
      </c>
      <c r="C384" t="e">
        <f>TRANSPOSE(T6_[Recuento de T6 CODIGO])</f>
        <v>#VALUE!</v>
      </c>
    </row>
    <row r="385" spans="1:3" x14ac:dyDescent="0.25">
      <c r="A385" t="b">
        <f>IFERROR(IF(MATCH(B385,RECETAS!$A$2:$A$1700,0) &lt;&gt; "", TRUE,""),FALSE)</f>
        <v>0</v>
      </c>
      <c r="B385" t="e">
        <f>TRANSPOSE(T6_[Etiquetas de fila])</f>
        <v>#VALUE!</v>
      </c>
      <c r="C385" t="e">
        <f>TRANSPOSE(T6_[Recuento de T6 CODIGO])</f>
        <v>#VALUE!</v>
      </c>
    </row>
    <row r="386" spans="1:3" x14ac:dyDescent="0.25">
      <c r="A386" t="b">
        <f>IFERROR(IF(MATCH(B386,RECETAS!$A$2:$A$1700,0) &lt;&gt; "", TRUE,""),FALSE)</f>
        <v>0</v>
      </c>
      <c r="B386" t="e">
        <f>TRANSPOSE(T6_[Etiquetas de fila])</f>
        <v>#VALUE!</v>
      </c>
      <c r="C386" t="e">
        <f>TRANSPOSE(T6_[Recuento de T6 CODIGO])</f>
        <v>#VALUE!</v>
      </c>
    </row>
    <row r="387" spans="1:3" x14ac:dyDescent="0.25">
      <c r="A387" t="b">
        <f>IFERROR(IF(MATCH(B387,RECETAS!$A$2:$A$1700,0) &lt;&gt; "", TRUE,""),FALSE)</f>
        <v>0</v>
      </c>
      <c r="B387" t="e">
        <f>TRANSPOSE(T6_[Etiquetas de fila])</f>
        <v>#VALUE!</v>
      </c>
      <c r="C387" t="e">
        <f>TRANSPOSE(T6_[Recuento de T6 CODIGO])</f>
        <v>#VALUE!</v>
      </c>
    </row>
    <row r="388" spans="1:3" x14ac:dyDescent="0.25">
      <c r="A388" t="b">
        <f>IFERROR(IF(MATCH(B388,RECETAS!$A$2:$A$1700,0) &lt;&gt; "", TRUE,""),FALSE)</f>
        <v>0</v>
      </c>
      <c r="B388" t="e">
        <f>TRANSPOSE(T6_[Etiquetas de fila])</f>
        <v>#VALUE!</v>
      </c>
      <c r="C388" t="e">
        <f>TRANSPOSE(T6_[Recuento de T6 CODIGO])</f>
        <v>#VALUE!</v>
      </c>
    </row>
    <row r="389" spans="1:3" x14ac:dyDescent="0.25">
      <c r="A389" t="b">
        <f>IFERROR(IF(MATCH(B389,RECETAS!$A$2:$A$1700,0) &lt;&gt; "", TRUE,""),FALSE)</f>
        <v>0</v>
      </c>
      <c r="B389" t="e">
        <f>TRANSPOSE(T6_[Etiquetas de fila])</f>
        <v>#VALUE!</v>
      </c>
      <c r="C389" t="e">
        <f>TRANSPOSE(T6_[Recuento de T6 CODIGO])</f>
        <v>#VALUE!</v>
      </c>
    </row>
    <row r="390" spans="1:3" x14ac:dyDescent="0.25">
      <c r="A390" t="b">
        <f>IFERROR(IF(MATCH(B390,RECETAS!$A$2:$A$1700,0) &lt;&gt; "", TRUE,""),FALSE)</f>
        <v>0</v>
      </c>
      <c r="B390" t="e">
        <f>TRANSPOSE(T6_[Etiquetas de fila])</f>
        <v>#VALUE!</v>
      </c>
      <c r="C390" t="e">
        <f>TRANSPOSE(T6_[Recuento de T6 CODIGO])</f>
        <v>#VALUE!</v>
      </c>
    </row>
    <row r="391" spans="1:3" x14ac:dyDescent="0.25">
      <c r="A391" t="b">
        <f>IFERROR(IF(MATCH(B391,RECETAS!$A$2:$A$1700,0) &lt;&gt; "", TRUE,""),FALSE)</f>
        <v>0</v>
      </c>
      <c r="B391" t="e">
        <f>TRANSPOSE(T6_[Etiquetas de fila])</f>
        <v>#VALUE!</v>
      </c>
      <c r="C391" t="e">
        <f>TRANSPOSE(T6_[Recuento de T6 CODIGO])</f>
        <v>#VALUE!</v>
      </c>
    </row>
    <row r="392" spans="1:3" x14ac:dyDescent="0.25">
      <c r="A392" t="b">
        <f>IFERROR(IF(MATCH(B392,RECETAS!$A$2:$A$1700,0) &lt;&gt; "", TRUE,""),FALSE)</f>
        <v>0</v>
      </c>
      <c r="B392" t="e">
        <f>TRANSPOSE(T6_[Etiquetas de fila])</f>
        <v>#VALUE!</v>
      </c>
      <c r="C392" t="e">
        <f>TRANSPOSE(T6_[Recuento de T6 CODIGO])</f>
        <v>#VALUE!</v>
      </c>
    </row>
    <row r="393" spans="1:3" x14ac:dyDescent="0.25">
      <c r="A393" t="b">
        <f>IFERROR(IF(MATCH(B393,RECETAS!$A$2:$A$1700,0) &lt;&gt; "", TRUE,""),FALSE)</f>
        <v>0</v>
      </c>
      <c r="B393" t="e">
        <f>TRANSPOSE(T6_[Etiquetas de fila])</f>
        <v>#VALUE!</v>
      </c>
      <c r="C393" t="e">
        <f>TRANSPOSE(T6_[Recuento de T6 CODIGO])</f>
        <v>#VALUE!</v>
      </c>
    </row>
    <row r="394" spans="1:3" x14ac:dyDescent="0.25">
      <c r="A394" t="b">
        <f>IFERROR(IF(MATCH(B394,RECETAS!$A$2:$A$1700,0) &lt;&gt; "", TRUE,""),FALSE)</f>
        <v>0</v>
      </c>
      <c r="B394" t="e">
        <f>TRANSPOSE(T6_[Etiquetas de fila])</f>
        <v>#VALUE!</v>
      </c>
      <c r="C394" t="e">
        <f>TRANSPOSE(T6_[Recuento de T6 CODIGO])</f>
        <v>#VALUE!</v>
      </c>
    </row>
    <row r="395" spans="1:3" x14ac:dyDescent="0.25">
      <c r="A395" t="b">
        <f>IFERROR(IF(MATCH(B395,RECETAS!$A$2:$A$1700,0) &lt;&gt; "", TRUE,""),FALSE)</f>
        <v>0</v>
      </c>
      <c r="B395" t="e">
        <f>TRANSPOSE(T6_[Etiquetas de fila])</f>
        <v>#VALUE!</v>
      </c>
      <c r="C395" t="e">
        <f>TRANSPOSE(T6_[Recuento de T6 CODIGO])</f>
        <v>#VALUE!</v>
      </c>
    </row>
    <row r="396" spans="1:3" x14ac:dyDescent="0.25">
      <c r="A396" t="b">
        <f>IFERROR(IF(MATCH(B396,RECETAS!$A$2:$A$1700,0) &lt;&gt; "", TRUE,""),FALSE)</f>
        <v>0</v>
      </c>
      <c r="B396" t="e">
        <f>TRANSPOSE(T6_[Etiquetas de fila])</f>
        <v>#VALUE!</v>
      </c>
      <c r="C396" t="e">
        <f>TRANSPOSE(T6_[Recuento de T6 CODIGO])</f>
        <v>#VALUE!</v>
      </c>
    </row>
    <row r="397" spans="1:3" x14ac:dyDescent="0.25">
      <c r="A397" t="b">
        <f>IFERROR(IF(MATCH(B397,RECETAS!$A$2:$A$1700,0) &lt;&gt; "", TRUE,""),FALSE)</f>
        <v>0</v>
      </c>
      <c r="B397" t="e">
        <f>TRANSPOSE(T6_[Etiquetas de fila])</f>
        <v>#VALUE!</v>
      </c>
      <c r="C397" t="e">
        <f>TRANSPOSE(T6_[Recuento de T6 CODIGO])</f>
        <v>#VALUE!</v>
      </c>
    </row>
    <row r="398" spans="1:3" x14ac:dyDescent="0.25">
      <c r="A398" t="b">
        <f>IFERROR(IF(MATCH(B398,RECETAS!$A$2:$A$1700,0) &lt;&gt; "", TRUE,""),FALSE)</f>
        <v>0</v>
      </c>
      <c r="B398" t="e">
        <f>TRANSPOSE(T6_[Etiquetas de fila])</f>
        <v>#VALUE!</v>
      </c>
      <c r="C398" t="e">
        <f>TRANSPOSE(T6_[Recuento de T6 CODIGO])</f>
        <v>#VALUE!</v>
      </c>
    </row>
    <row r="399" spans="1:3" x14ac:dyDescent="0.25">
      <c r="A399" t="b">
        <f>IFERROR(IF(MATCH(B399,RECETAS!$A$2:$A$1700,0) &lt;&gt; "", TRUE,""),FALSE)</f>
        <v>0</v>
      </c>
      <c r="B399" t="e">
        <f>TRANSPOSE(T6_[Etiquetas de fila])</f>
        <v>#VALUE!</v>
      </c>
      <c r="C399" t="e">
        <f>TRANSPOSE(T6_[Recuento de T6 CODIGO])</f>
        <v>#VALUE!</v>
      </c>
    </row>
    <row r="400" spans="1:3" x14ac:dyDescent="0.25">
      <c r="A400" t="b">
        <f>IFERROR(IF(MATCH(B400,RECETAS!$A$2:$A$1700,0) &lt;&gt; "", TRUE,""),FALSE)</f>
        <v>0</v>
      </c>
      <c r="B400" t="e">
        <f>TRANSPOSE(T6_[Etiquetas de fila])</f>
        <v>#VALUE!</v>
      </c>
      <c r="C400" t="e">
        <f>TRANSPOSE(T6_[Recuento de T6 CODIGO])</f>
        <v>#VALUE!</v>
      </c>
    </row>
  </sheetData>
  <conditionalFormatting sqref="A3:A400">
    <cfRule type="cellIs" dxfId="41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4BA7B-0091-4CEF-8D47-5B77C647DD09}">
  <dimension ref="A1:D252"/>
  <sheetViews>
    <sheetView workbookViewId="0">
      <selection activeCell="C2" sqref="C2"/>
    </sheetView>
  </sheetViews>
  <sheetFormatPr baseColWidth="10" defaultRowHeight="15" x14ac:dyDescent="0.25"/>
  <cols>
    <col min="1" max="1" width="35" bestFit="1" customWidth="1"/>
    <col min="2" max="2" width="24.85546875" bestFit="1" customWidth="1"/>
    <col min="3" max="3" width="11.42578125" style="251"/>
  </cols>
  <sheetData>
    <row r="1" spans="1:4" x14ac:dyDescent="0.25">
      <c r="A1" t="s">
        <v>897</v>
      </c>
      <c r="B1" t="s">
        <v>1064</v>
      </c>
      <c r="C1" s="251" t="s">
        <v>1083</v>
      </c>
      <c r="D1" t="s">
        <v>1086</v>
      </c>
    </row>
    <row r="2" spans="1:4" x14ac:dyDescent="0.25">
      <c r="A2" s="250" t="s">
        <v>1065</v>
      </c>
      <c r="B2">
        <v>2</v>
      </c>
      <c r="C2" s="251">
        <f>LOOKUP(T6_[[#This Row],[Etiquetas de fila]],'VALORIZACION CARTA'!B:B,'VALORIZACION CARTA'!C:C)</f>
        <v>4179.0839999999998</v>
      </c>
      <c r="D2">
        <f>SUM(T6_[[#This Row],[Recuento de T6 CODIGO]]*T6_[[#This Row],[Columna1]])</f>
        <v>8358.1679999999997</v>
      </c>
    </row>
    <row r="3" spans="1:4" x14ac:dyDescent="0.25">
      <c r="A3" s="250" t="s">
        <v>899</v>
      </c>
      <c r="B3">
        <v>9</v>
      </c>
      <c r="C3" s="251">
        <f>LOOKUP(T6_[[#This Row],[Etiquetas de fila]],'VALORIZACION CARTA'!B:B,'VALORIZACION CARTA'!C:C)</f>
        <v>2963.8265999999999</v>
      </c>
      <c r="D3">
        <f>SUM(T6_[[#This Row],[Recuento de T6 CODIGO]]*T6_[[#This Row],[Columna1]])</f>
        <v>26674.439399999999</v>
      </c>
    </row>
    <row r="4" spans="1:4" x14ac:dyDescent="0.25">
      <c r="A4" s="250" t="s">
        <v>222</v>
      </c>
      <c r="B4">
        <v>2</v>
      </c>
      <c r="C4" s="251">
        <f>LOOKUP(T6_[[#This Row],[Etiquetas de fila]],'VALORIZACION CARTA'!B:B,'VALORIZACION CARTA'!C:C)</f>
        <v>4416.8310000000001</v>
      </c>
      <c r="D4">
        <f>SUM(T6_[[#This Row],[Recuento de T6 CODIGO]]*T6_[[#This Row],[Columna1]])</f>
        <v>8833.6620000000003</v>
      </c>
    </row>
    <row r="5" spans="1:4" x14ac:dyDescent="0.25">
      <c r="A5" s="250" t="s">
        <v>900</v>
      </c>
      <c r="B5">
        <v>1</v>
      </c>
      <c r="C5" s="251">
        <f>LOOKUP(T6_[[#This Row],[Etiquetas de fila]],'VALORIZACION CARTA'!B:B,'VALORIZACION CARTA'!C:C)</f>
        <v>1330.5275000000001</v>
      </c>
      <c r="D5">
        <f>SUM(T6_[[#This Row],[Recuento de T6 CODIGO]]*T6_[[#This Row],[Columna1]])</f>
        <v>1330.5275000000001</v>
      </c>
    </row>
    <row r="6" spans="1:4" x14ac:dyDescent="0.25">
      <c r="A6" s="250" t="s">
        <v>605</v>
      </c>
      <c r="B6">
        <v>1</v>
      </c>
      <c r="C6" s="251">
        <f>LOOKUP(T6_[[#This Row],[Etiquetas de fila]],'VALORIZACION CARTA'!B:B,'VALORIZACION CARTA'!C:C)</f>
        <v>908.22450000000003</v>
      </c>
      <c r="D6">
        <f>SUM(T6_[[#This Row],[Recuento de T6 CODIGO]]*T6_[[#This Row],[Columna1]])</f>
        <v>908.22450000000003</v>
      </c>
    </row>
    <row r="7" spans="1:4" x14ac:dyDescent="0.25">
      <c r="A7" s="250" t="s">
        <v>314</v>
      </c>
      <c r="B7">
        <v>2</v>
      </c>
      <c r="C7" s="251">
        <f>LOOKUP(T6_[[#This Row],[Etiquetas de fila]],'VALORIZACION CARTA'!B:B,'VALORIZACION CARTA'!C:C)</f>
        <v>1023.3517325</v>
      </c>
      <c r="D7">
        <f>SUM(T6_[[#This Row],[Recuento de T6 CODIGO]]*T6_[[#This Row],[Columna1]])</f>
        <v>2046.7034650000001</v>
      </c>
    </row>
    <row r="8" spans="1:4" x14ac:dyDescent="0.25">
      <c r="A8" s="250" t="s">
        <v>315</v>
      </c>
      <c r="B8">
        <v>12</v>
      </c>
      <c r="C8" s="251">
        <f>LOOKUP(T6_[[#This Row],[Etiquetas de fila]],'VALORIZACION CARTA'!B:B,'VALORIZACION CARTA'!C:C)</f>
        <v>735.52575000000002</v>
      </c>
      <c r="D8">
        <f>SUM(T6_[[#This Row],[Recuento de T6 CODIGO]]*T6_[[#This Row],[Columna1]])</f>
        <v>8826.3090000000011</v>
      </c>
    </row>
    <row r="9" spans="1:4" x14ac:dyDescent="0.25">
      <c r="A9" s="250" t="s">
        <v>534</v>
      </c>
      <c r="B9">
        <v>5</v>
      </c>
      <c r="C9" s="251">
        <f>LOOKUP(T6_[[#This Row],[Etiquetas de fila]],'VALORIZACION CARTA'!B:B,'VALORIZACION CARTA'!C:C)</f>
        <v>908.22450000000003</v>
      </c>
      <c r="D9">
        <f>SUM(T6_[[#This Row],[Recuento de T6 CODIGO]]*T6_[[#This Row],[Columna1]])</f>
        <v>4541.1225000000004</v>
      </c>
    </row>
    <row r="10" spans="1:4" x14ac:dyDescent="0.25">
      <c r="A10" s="250" t="s">
        <v>844</v>
      </c>
      <c r="B10">
        <v>14</v>
      </c>
      <c r="C10" s="251">
        <f>LOOKUP(T6_[[#This Row],[Etiquetas de fila]],'VALORIZACION CARTA'!B:B,'VALORIZACION CARTA'!C:C)</f>
        <v>1640.1064499999998</v>
      </c>
      <c r="D10">
        <f>SUM(T6_[[#This Row],[Recuento de T6 CODIGO]]*T6_[[#This Row],[Columna1]])</f>
        <v>22961.490299999998</v>
      </c>
    </row>
    <row r="11" spans="1:4" x14ac:dyDescent="0.25">
      <c r="A11" s="250" t="s">
        <v>901</v>
      </c>
      <c r="B11">
        <v>4</v>
      </c>
      <c r="C11" s="251">
        <f>LOOKUP(T6_[[#This Row],[Etiquetas de fila]],'VALORIZACION CARTA'!B:B,'VALORIZACION CARTA'!C:C)</f>
        <v>1640.1064499999998</v>
      </c>
      <c r="D11">
        <f>SUM(T6_[[#This Row],[Recuento de T6 CODIGO]]*T6_[[#This Row],[Columna1]])</f>
        <v>6560.4257999999991</v>
      </c>
    </row>
    <row r="12" spans="1:4" x14ac:dyDescent="0.25">
      <c r="A12" s="250" t="s">
        <v>902</v>
      </c>
      <c r="B12">
        <v>1</v>
      </c>
      <c r="C12" s="251">
        <f>LOOKUP(T6_[[#This Row],[Etiquetas de fila]],'VALORIZACION CARTA'!B:B,'VALORIZACION CARTA'!C:C)</f>
        <v>783.2898275</v>
      </c>
      <c r="D12">
        <f>SUM(T6_[[#This Row],[Recuento de T6 CODIGO]]*T6_[[#This Row],[Columna1]])</f>
        <v>783.2898275</v>
      </c>
    </row>
    <row r="13" spans="1:4" x14ac:dyDescent="0.25">
      <c r="A13" s="250" t="s">
        <v>1060</v>
      </c>
      <c r="B13">
        <v>2</v>
      </c>
      <c r="C13" s="251">
        <f>LOOKUP(T6_[[#This Row],[Etiquetas de fila]],'VALORIZACION CARTA'!B:B,'VALORIZACION CARTA'!C:C)</f>
        <v>783.2898275</v>
      </c>
      <c r="D13">
        <f>SUM(T6_[[#This Row],[Recuento de T6 CODIGO]]*T6_[[#This Row],[Columna1]])</f>
        <v>1566.579655</v>
      </c>
    </row>
    <row r="14" spans="1:4" x14ac:dyDescent="0.25">
      <c r="A14" s="250" t="s">
        <v>1061</v>
      </c>
      <c r="B14">
        <v>2</v>
      </c>
      <c r="C14" s="251">
        <f>LOOKUP(T6_[[#This Row],[Etiquetas de fila]],'VALORIZACION CARTA'!B:B,'VALORIZACION CARTA'!C:C)</f>
        <v>995.18124999999998</v>
      </c>
      <c r="D14">
        <f>SUM(T6_[[#This Row],[Recuento de T6 CODIGO]]*T6_[[#This Row],[Columna1]])</f>
        <v>1990.3625</v>
      </c>
    </row>
    <row r="15" spans="1:4" x14ac:dyDescent="0.25">
      <c r="A15" s="250" t="s">
        <v>904</v>
      </c>
      <c r="B15">
        <v>2</v>
      </c>
      <c r="C15" s="251">
        <f>LOOKUP(T6_[[#This Row],[Etiquetas de fila]],'VALORIZACION CARTA'!B:B,'VALORIZACION CARTA'!C:C)</f>
        <v>1143.8172</v>
      </c>
      <c r="D15">
        <f>SUM(T6_[[#This Row],[Recuento de T6 CODIGO]]*T6_[[#This Row],[Columna1]])</f>
        <v>2287.6343999999999</v>
      </c>
    </row>
    <row r="16" spans="1:4" x14ac:dyDescent="0.25">
      <c r="A16" s="250" t="s">
        <v>905</v>
      </c>
      <c r="B16">
        <v>2</v>
      </c>
      <c r="C16" s="251">
        <f>LOOKUP(T6_[[#This Row],[Etiquetas de fila]],'VALORIZACION CARTA'!B:B,'VALORIZACION CARTA'!C:C)</f>
        <v>2403.2813750000005</v>
      </c>
      <c r="D16">
        <f>SUM(T6_[[#This Row],[Recuento de T6 CODIGO]]*T6_[[#This Row],[Columna1]])</f>
        <v>4806.562750000001</v>
      </c>
    </row>
    <row r="17" spans="1:4" x14ac:dyDescent="0.25">
      <c r="A17" s="250" t="s">
        <v>863</v>
      </c>
      <c r="B17">
        <v>18</v>
      </c>
      <c r="C17" s="251">
        <f>LOOKUP(T6_[[#This Row],[Etiquetas de fila]],'VALORIZACION CARTA'!B:B,'VALORIZACION CARTA'!C:C)</f>
        <v>1472.6250000000002</v>
      </c>
      <c r="D17">
        <f>SUM(T6_[[#This Row],[Recuento de T6 CODIGO]]*T6_[[#This Row],[Columna1]])</f>
        <v>26507.250000000004</v>
      </c>
    </row>
    <row r="18" spans="1:4" x14ac:dyDescent="0.25">
      <c r="A18" s="250" t="s">
        <v>906</v>
      </c>
      <c r="B18">
        <v>1</v>
      </c>
      <c r="C18" s="251">
        <f>LOOKUP(T6_[[#This Row],[Etiquetas de fila]],'VALORIZACION CARTA'!B:B,'VALORIZACION CARTA'!C:C)</f>
        <v>469.48409666666663</v>
      </c>
      <c r="D18">
        <f>SUM(T6_[[#This Row],[Recuento de T6 CODIGO]]*T6_[[#This Row],[Columna1]])</f>
        <v>469.48409666666663</v>
      </c>
    </row>
    <row r="19" spans="1:4" x14ac:dyDescent="0.25">
      <c r="A19" s="250" t="s">
        <v>536</v>
      </c>
      <c r="B19">
        <v>2</v>
      </c>
      <c r="C19" s="251">
        <f>LOOKUP(T6_[[#This Row],[Etiquetas de fila]],'VALORIZACION CARTA'!B:B,'VALORIZACION CARTA'!C:C)</f>
        <v>930.67007000000012</v>
      </c>
      <c r="D19">
        <f>SUM(T6_[[#This Row],[Recuento de T6 CODIGO]]*T6_[[#This Row],[Columna1]])</f>
        <v>1861.3401400000002</v>
      </c>
    </row>
    <row r="20" spans="1:4" x14ac:dyDescent="0.25">
      <c r="A20" s="250" t="s">
        <v>878</v>
      </c>
      <c r="B20">
        <v>2</v>
      </c>
      <c r="C20" s="251">
        <f>LOOKUP(T6_[[#This Row],[Etiquetas de fila]],'VALORIZACION CARTA'!B:B,'VALORIZACION CARTA'!C:C)</f>
        <v>824.44499999999994</v>
      </c>
      <c r="D20">
        <f>SUM(T6_[[#This Row],[Recuento de T6 CODIGO]]*T6_[[#This Row],[Columna1]])</f>
        <v>1648.8899999999999</v>
      </c>
    </row>
    <row r="21" spans="1:4" x14ac:dyDescent="0.25">
      <c r="A21" s="250" t="s">
        <v>910</v>
      </c>
      <c r="B21">
        <v>2</v>
      </c>
      <c r="C21" s="251">
        <f>LOOKUP(T6_[[#This Row],[Etiquetas de fila]],'VALORIZACION CARTA'!B:B,'VALORIZACION CARTA'!C:C)</f>
        <v>557.9765625</v>
      </c>
      <c r="D21">
        <f>SUM(T6_[[#This Row],[Recuento de T6 CODIGO]]*T6_[[#This Row],[Columna1]])</f>
        <v>1115.953125</v>
      </c>
    </row>
    <row r="22" spans="1:4" x14ac:dyDescent="0.25">
      <c r="A22" s="250" t="s">
        <v>1038</v>
      </c>
      <c r="B22">
        <v>3</v>
      </c>
      <c r="C22" s="251">
        <f>LOOKUP(T6_[[#This Row],[Etiquetas de fila]],'VALORIZACION CARTA'!B:B,'VALORIZACION CARTA'!C:C)</f>
        <v>560.41606249999995</v>
      </c>
      <c r="D22">
        <f>SUM(T6_[[#This Row],[Recuento de T6 CODIGO]]*T6_[[#This Row],[Columna1]])</f>
        <v>1681.2481874999999</v>
      </c>
    </row>
    <row r="23" spans="1:4" x14ac:dyDescent="0.25">
      <c r="A23" s="250" t="s">
        <v>888</v>
      </c>
      <c r="B23">
        <v>9</v>
      </c>
      <c r="C23" s="251">
        <f>LOOKUP(T6_[[#This Row],[Etiquetas de fila]],'VALORIZACION CARTA'!B:B,'VALORIZACION CARTA'!C:C)</f>
        <v>536.40037499999994</v>
      </c>
      <c r="D23">
        <f>SUM(T6_[[#This Row],[Recuento de T6 CODIGO]]*T6_[[#This Row],[Columna1]])</f>
        <v>4827.6033749999997</v>
      </c>
    </row>
    <row r="24" spans="1:4" x14ac:dyDescent="0.25">
      <c r="A24" s="250" t="s">
        <v>1066</v>
      </c>
      <c r="B24">
        <v>1</v>
      </c>
      <c r="C24" s="251">
        <f>LOOKUP(T6_[[#This Row],[Etiquetas de fila]],'VALORIZACION CARTA'!B:B,'VALORIZACION CARTA'!C:C)</f>
        <v>388.39456250000001</v>
      </c>
      <c r="D24">
        <f>SUM(T6_[[#This Row],[Recuento de T6 CODIGO]]*T6_[[#This Row],[Columna1]])</f>
        <v>388.39456250000001</v>
      </c>
    </row>
    <row r="25" spans="1:4" x14ac:dyDescent="0.25">
      <c r="A25" s="250" t="s">
        <v>1039</v>
      </c>
      <c r="B25">
        <v>1</v>
      </c>
      <c r="C25" s="251">
        <f>LOOKUP(T6_[[#This Row],[Etiquetas de fila]],'VALORIZACION CARTA'!B:B,'VALORIZACION CARTA'!C:C)</f>
        <v>364.37887499999999</v>
      </c>
      <c r="D25">
        <f>SUM(T6_[[#This Row],[Recuento de T6 CODIGO]]*T6_[[#This Row],[Columna1]])</f>
        <v>364.37887499999999</v>
      </c>
    </row>
    <row r="26" spans="1:4" x14ac:dyDescent="0.25">
      <c r="A26" s="250" t="s">
        <v>1067</v>
      </c>
      <c r="B26">
        <v>2</v>
      </c>
      <c r="C26" s="251">
        <f>LOOKUP(T6_[[#This Row],[Etiquetas de fila]],'VALORIZACION CARTA'!B:B,'VALORIZACION CARTA'!C:C)</f>
        <v>1291.4972599999999</v>
      </c>
      <c r="D26">
        <f>SUM(T6_[[#This Row],[Recuento de T6 CODIGO]]*T6_[[#This Row],[Columna1]])</f>
        <v>2582.9945199999997</v>
      </c>
    </row>
    <row r="27" spans="1:4" x14ac:dyDescent="0.25">
      <c r="A27" s="250" t="s">
        <v>913</v>
      </c>
      <c r="B27">
        <v>1</v>
      </c>
      <c r="C27" s="251">
        <f>LOOKUP(T6_[[#This Row],[Etiquetas de fila]],'VALORIZACION CARTA'!B:B,'VALORIZACION CARTA'!C:C)</f>
        <v>1291.4972599999999</v>
      </c>
      <c r="D27">
        <f>SUM(T6_[[#This Row],[Recuento de T6 CODIGO]]*T6_[[#This Row],[Columna1]])</f>
        <v>1291.4972599999999</v>
      </c>
    </row>
    <row r="28" spans="1:4" x14ac:dyDescent="0.25">
      <c r="A28" s="250" t="s">
        <v>609</v>
      </c>
      <c r="B28">
        <v>10</v>
      </c>
      <c r="C28" s="251">
        <f>LOOKUP(T6_[[#This Row],[Etiquetas de fila]],'VALORIZACION CARTA'!B:B,'VALORIZACION CARTA'!C:C)</f>
        <v>5020.5566775956286</v>
      </c>
      <c r="D28">
        <f>SUM(T6_[[#This Row],[Recuento de T6 CODIGO]]*T6_[[#This Row],[Columna1]])</f>
        <v>50205.566775956286</v>
      </c>
    </row>
    <row r="29" spans="1:4" x14ac:dyDescent="0.25">
      <c r="A29" s="250" t="s">
        <v>914</v>
      </c>
      <c r="B29">
        <v>21</v>
      </c>
      <c r="C29" s="251">
        <f>LOOKUP(T6_[[#This Row],[Etiquetas de fila]],'VALORIZACION CARTA'!B:B,'VALORIZACION CARTA'!C:C)</f>
        <v>5020.5566775956286</v>
      </c>
      <c r="D29">
        <f>SUM(T6_[[#This Row],[Recuento de T6 CODIGO]]*T6_[[#This Row],[Columna1]])</f>
        <v>105431.6902295082</v>
      </c>
    </row>
    <row r="30" spans="1:4" x14ac:dyDescent="0.25">
      <c r="A30" s="250" t="s">
        <v>876</v>
      </c>
      <c r="B30">
        <v>27</v>
      </c>
      <c r="C30" s="251">
        <f>LOOKUP(T6_[[#This Row],[Etiquetas de fila]],'VALORIZACION CARTA'!B:B,'VALORIZACION CARTA'!C:C)</f>
        <v>5736.3950000000004</v>
      </c>
      <c r="D30">
        <f>SUM(T6_[[#This Row],[Recuento de T6 CODIGO]]*T6_[[#This Row],[Columna1]])</f>
        <v>154882.66500000001</v>
      </c>
    </row>
    <row r="31" spans="1:4" x14ac:dyDescent="0.25">
      <c r="A31" s="250" t="s">
        <v>916</v>
      </c>
      <c r="B31">
        <v>87</v>
      </c>
      <c r="C31" s="251">
        <f>LOOKUP(T6_[[#This Row],[Etiquetas de fila]],'VALORIZACION CARTA'!B:B,'VALORIZACION CARTA'!C:C)</f>
        <v>3519.4250000000002</v>
      </c>
      <c r="D31">
        <f>SUM(T6_[[#This Row],[Recuento de T6 CODIGO]]*T6_[[#This Row],[Columna1]])</f>
        <v>306189.97500000003</v>
      </c>
    </row>
    <row r="32" spans="1:4" x14ac:dyDescent="0.25">
      <c r="A32" s="250" t="s">
        <v>917</v>
      </c>
      <c r="B32">
        <v>43</v>
      </c>
      <c r="C32" s="251">
        <f>LOOKUP(T6_[[#This Row],[Etiquetas de fila]],'VALORIZACION CARTA'!B:B,'VALORIZACION CARTA'!C:C)</f>
        <v>2751.875</v>
      </c>
      <c r="D32">
        <f>SUM(T6_[[#This Row],[Recuento de T6 CODIGO]]*T6_[[#This Row],[Columna1]])</f>
        <v>118330.625</v>
      </c>
    </row>
    <row r="33" spans="1:4" x14ac:dyDescent="0.25">
      <c r="A33" s="250" t="s">
        <v>853</v>
      </c>
      <c r="B33">
        <v>50</v>
      </c>
      <c r="C33" s="251">
        <f>LOOKUP(T6_[[#This Row],[Etiquetas de fila]],'VALORIZACION CARTA'!B:B,'VALORIZACION CARTA'!C:C)</f>
        <v>3628.0124999999998</v>
      </c>
      <c r="D33">
        <f>SUM(T6_[[#This Row],[Recuento de T6 CODIGO]]*T6_[[#This Row],[Columna1]])</f>
        <v>181400.625</v>
      </c>
    </row>
    <row r="34" spans="1:4" x14ac:dyDescent="0.25">
      <c r="A34" s="250" t="s">
        <v>610</v>
      </c>
      <c r="B34">
        <v>115</v>
      </c>
      <c r="C34" s="251">
        <f>LOOKUP(T6_[[#This Row],[Etiquetas de fila]],'VALORIZACION CARTA'!B:B,'VALORIZACION CARTA'!C:C)</f>
        <v>3943.0650000000001</v>
      </c>
      <c r="D34">
        <f>SUM(T6_[[#This Row],[Recuento de T6 CODIGO]]*T6_[[#This Row],[Columna1]])</f>
        <v>453452.47500000003</v>
      </c>
    </row>
    <row r="35" spans="1:4" x14ac:dyDescent="0.25">
      <c r="A35" s="250" t="s">
        <v>724</v>
      </c>
      <c r="B35">
        <v>20</v>
      </c>
      <c r="C35" s="251">
        <f>LOOKUP(T6_[[#This Row],[Etiquetas de fila]],'VALORIZACION CARTA'!B:B,'VALORIZACION CARTA'!C:C)</f>
        <v>1087.0650000000001</v>
      </c>
      <c r="D35">
        <f>SUM(T6_[[#This Row],[Recuento de T6 CODIGO]]*T6_[[#This Row],[Columna1]])</f>
        <v>21741.300000000003</v>
      </c>
    </row>
    <row r="36" spans="1:4" x14ac:dyDescent="0.25">
      <c r="A36" s="250" t="s">
        <v>892</v>
      </c>
      <c r="B36">
        <v>7</v>
      </c>
      <c r="C36" s="251">
        <f>LOOKUP(T6_[[#This Row],[Etiquetas de fila]],'VALORIZACION CARTA'!B:B,'VALORIZACION CARTA'!C:C)</f>
        <v>1087.0650000000001</v>
      </c>
      <c r="D36">
        <f>SUM(T6_[[#This Row],[Recuento de T6 CODIGO]]*T6_[[#This Row],[Columna1]])</f>
        <v>7609.4549999999999</v>
      </c>
    </row>
    <row r="37" spans="1:4" x14ac:dyDescent="0.25">
      <c r="A37" s="250" t="s">
        <v>870</v>
      </c>
      <c r="B37">
        <v>8</v>
      </c>
      <c r="C37" s="251">
        <f>LOOKUP(T6_[[#This Row],[Etiquetas de fila]],'VALORIZACION CARTA'!B:B,'VALORIZACION CARTA'!C:C)</f>
        <v>1151.1932600000002</v>
      </c>
      <c r="D37">
        <f>SUM(T6_[[#This Row],[Recuento de T6 CODIGO]]*T6_[[#This Row],[Columna1]])</f>
        <v>9209.5460800000019</v>
      </c>
    </row>
    <row r="38" spans="1:4" x14ac:dyDescent="0.25">
      <c r="A38" s="250" t="s">
        <v>841</v>
      </c>
      <c r="B38">
        <v>39</v>
      </c>
      <c r="C38" s="251">
        <f>LOOKUP(T6_[[#This Row],[Etiquetas de fila]],'VALORIZACION CARTA'!B:B,'VALORIZACION CARTA'!C:C)</f>
        <v>664.35</v>
      </c>
      <c r="D38">
        <f>SUM(T6_[[#This Row],[Recuento de T6 CODIGO]]*T6_[[#This Row],[Columna1]])</f>
        <v>25909.65</v>
      </c>
    </row>
    <row r="39" spans="1:4" x14ac:dyDescent="0.25">
      <c r="A39" s="250" t="s">
        <v>869</v>
      </c>
      <c r="B39">
        <v>4</v>
      </c>
      <c r="C39" s="251">
        <f>LOOKUP(T6_[[#This Row],[Etiquetas de fila]],'VALORIZACION CARTA'!B:B,'VALORIZACION CARTA'!C:C)</f>
        <v>664.24679999999989</v>
      </c>
      <c r="D39">
        <f>SUM(T6_[[#This Row],[Recuento de T6 CODIGO]]*T6_[[#This Row],[Columna1]])</f>
        <v>2656.9871999999996</v>
      </c>
    </row>
    <row r="40" spans="1:4" x14ac:dyDescent="0.25">
      <c r="A40" s="250" t="s">
        <v>316</v>
      </c>
      <c r="B40">
        <v>38</v>
      </c>
      <c r="C40" s="251">
        <f>LOOKUP(T6_[[#This Row],[Etiquetas de fila]],'VALORIZACION CARTA'!B:B,'VALORIZACION CARTA'!C:C)</f>
        <v>664.24679999999989</v>
      </c>
      <c r="D40">
        <f>SUM(T6_[[#This Row],[Recuento de T6 CODIGO]]*T6_[[#This Row],[Columna1]])</f>
        <v>25241.378399999994</v>
      </c>
    </row>
    <row r="41" spans="1:4" x14ac:dyDescent="0.25">
      <c r="A41" s="250" t="s">
        <v>859</v>
      </c>
      <c r="B41">
        <v>12</v>
      </c>
      <c r="C41" s="251">
        <f>LOOKUP(T6_[[#This Row],[Etiquetas de fila]],'VALORIZACION CARTA'!B:B,'VALORIZACION CARTA'!C:C)</f>
        <v>855.13499999999999</v>
      </c>
      <c r="D41">
        <f>SUM(T6_[[#This Row],[Recuento de T6 CODIGO]]*T6_[[#This Row],[Columna1]])</f>
        <v>10261.619999999999</v>
      </c>
    </row>
    <row r="42" spans="1:4" x14ac:dyDescent="0.25">
      <c r="A42" s="250" t="s">
        <v>919</v>
      </c>
      <c r="B42">
        <v>1</v>
      </c>
      <c r="C42" s="251">
        <f>LOOKUP(T6_[[#This Row],[Etiquetas de fila]],'VALORIZACION CARTA'!B:B,'VALORIZACION CARTA'!C:C)</f>
        <v>855.13499999999999</v>
      </c>
      <c r="D42">
        <f>SUM(T6_[[#This Row],[Recuento de T6 CODIGO]]*T6_[[#This Row],[Columna1]])</f>
        <v>855.13499999999999</v>
      </c>
    </row>
    <row r="43" spans="1:4" x14ac:dyDescent="0.25">
      <c r="A43" s="250" t="s">
        <v>886</v>
      </c>
      <c r="B43">
        <v>7</v>
      </c>
      <c r="C43" s="251">
        <f>LOOKUP(T6_[[#This Row],[Etiquetas de fila]],'VALORIZACION CARTA'!B:B,'VALORIZACION CARTA'!C:C)</f>
        <v>855.13499999999999</v>
      </c>
      <c r="D43">
        <f>SUM(T6_[[#This Row],[Recuento de T6 CODIGO]]*T6_[[#This Row],[Columna1]])</f>
        <v>5985.9449999999997</v>
      </c>
    </row>
    <row r="44" spans="1:4" x14ac:dyDescent="0.25">
      <c r="A44" s="250" t="s">
        <v>921</v>
      </c>
      <c r="B44">
        <v>9</v>
      </c>
      <c r="C44" s="251">
        <f>LOOKUP(T6_[[#This Row],[Etiquetas de fila]],'VALORIZACION CARTA'!B:B,'VALORIZACION CARTA'!C:C)</f>
        <v>427.84008749999998</v>
      </c>
      <c r="D44">
        <f>SUM(T6_[[#This Row],[Recuento de T6 CODIGO]]*T6_[[#This Row],[Columna1]])</f>
        <v>3850.5607874999996</v>
      </c>
    </row>
    <row r="45" spans="1:4" x14ac:dyDescent="0.25">
      <c r="A45" s="250" t="s">
        <v>843</v>
      </c>
      <c r="B45">
        <v>12</v>
      </c>
      <c r="C45" s="251">
        <f>LOOKUP(T6_[[#This Row],[Etiquetas de fila]],'VALORIZACION CARTA'!B:B,'VALORIZACION CARTA'!C:C)</f>
        <v>2207.8986885245899</v>
      </c>
      <c r="D45">
        <f>SUM(T6_[[#This Row],[Recuento de T6 CODIGO]]*T6_[[#This Row],[Columna1]])</f>
        <v>26494.784262295077</v>
      </c>
    </row>
    <row r="46" spans="1:4" x14ac:dyDescent="0.25">
      <c r="A46" s="250" t="s">
        <v>540</v>
      </c>
      <c r="B46">
        <v>2</v>
      </c>
      <c r="C46" s="251">
        <f>LOOKUP(T6_[[#This Row],[Etiquetas de fila]],'VALORIZACION CARTA'!B:B,'VALORIZACION CARTA'!C:C)</f>
        <v>5736.3950000000004</v>
      </c>
      <c r="D46">
        <f>SUM(T6_[[#This Row],[Recuento de T6 CODIGO]]*T6_[[#This Row],[Columna1]])</f>
        <v>11472.79</v>
      </c>
    </row>
    <row r="47" spans="1:4" x14ac:dyDescent="0.25">
      <c r="A47" s="250" t="s">
        <v>531</v>
      </c>
      <c r="B47">
        <v>5</v>
      </c>
      <c r="C47" s="251">
        <f>LOOKUP(T6_[[#This Row],[Etiquetas de fila]],'VALORIZACION CARTA'!B:B,'VALORIZACION CARTA'!C:C)</f>
        <v>3519.4250000000002</v>
      </c>
      <c r="D47">
        <f>SUM(T6_[[#This Row],[Recuento de T6 CODIGO]]*T6_[[#This Row],[Columna1]])</f>
        <v>17597.125</v>
      </c>
    </row>
    <row r="48" spans="1:4" x14ac:dyDescent="0.25">
      <c r="A48" s="250" t="s">
        <v>532</v>
      </c>
      <c r="B48">
        <v>5</v>
      </c>
      <c r="C48" s="251">
        <f>LOOKUP(T6_[[#This Row],[Etiquetas de fila]],'VALORIZACION CARTA'!B:B,'VALORIZACION CARTA'!C:C)</f>
        <v>2751.875</v>
      </c>
      <c r="D48">
        <f>SUM(T6_[[#This Row],[Recuento de T6 CODIGO]]*T6_[[#This Row],[Columna1]])</f>
        <v>13759.375</v>
      </c>
    </row>
    <row r="49" spans="1:4" x14ac:dyDescent="0.25">
      <c r="A49" s="250" t="s">
        <v>612</v>
      </c>
      <c r="B49">
        <v>3</v>
      </c>
      <c r="C49" s="251">
        <f>LOOKUP(T6_[[#This Row],[Etiquetas de fila]],'VALORIZACION CARTA'!B:B,'VALORIZACION CARTA'!C:C)</f>
        <v>2751.875</v>
      </c>
      <c r="D49">
        <f>SUM(T6_[[#This Row],[Recuento de T6 CODIGO]]*T6_[[#This Row],[Columna1]])</f>
        <v>8255.625</v>
      </c>
    </row>
    <row r="50" spans="1:4" x14ac:dyDescent="0.25">
      <c r="A50" s="250" t="s">
        <v>524</v>
      </c>
      <c r="B50">
        <v>10</v>
      </c>
      <c r="C50" s="251">
        <f>LOOKUP(T6_[[#This Row],[Etiquetas de fila]],'VALORIZACION CARTA'!B:B,'VALORIZACION CARTA'!C:C)</f>
        <v>3717.6790000000005</v>
      </c>
      <c r="D50">
        <f>SUM(T6_[[#This Row],[Recuento de T6 CODIGO]]*T6_[[#This Row],[Columna1]])</f>
        <v>37176.790000000008</v>
      </c>
    </row>
    <row r="51" spans="1:4" x14ac:dyDescent="0.25">
      <c r="A51" s="250" t="s">
        <v>1040</v>
      </c>
      <c r="B51">
        <v>1</v>
      </c>
      <c r="C51" s="251">
        <f>LOOKUP(T6_[[#This Row],[Etiquetas de fila]],'VALORIZACION CARTA'!B:B,'VALORIZACION CARTA'!C:C)</f>
        <v>1087.0650000000001</v>
      </c>
      <c r="D51">
        <f>SUM(T6_[[#This Row],[Recuento de T6 CODIGO]]*T6_[[#This Row],[Columna1]])</f>
        <v>1087.0650000000001</v>
      </c>
    </row>
    <row r="52" spans="1:4" x14ac:dyDescent="0.25">
      <c r="A52" s="250" t="s">
        <v>512</v>
      </c>
      <c r="B52">
        <v>1</v>
      </c>
      <c r="C52" s="251">
        <f>LOOKUP(T6_[[#This Row],[Etiquetas de fila]],'VALORIZACION CARTA'!B:B,'VALORIZACION CARTA'!C:C)</f>
        <v>3227.58</v>
      </c>
      <c r="D52">
        <f>SUM(T6_[[#This Row],[Recuento de T6 CODIGO]]*T6_[[#This Row],[Columna1]])</f>
        <v>3227.58</v>
      </c>
    </row>
    <row r="53" spans="1:4" x14ac:dyDescent="0.25">
      <c r="A53" s="250" t="s">
        <v>542</v>
      </c>
      <c r="B53">
        <v>2</v>
      </c>
      <c r="C53" s="251">
        <f>LOOKUP(T6_[[#This Row],[Etiquetas de fila]],'VALORIZACION CARTA'!B:B,'VALORIZACION CARTA'!C:C)</f>
        <v>7062.8060655737709</v>
      </c>
      <c r="D53">
        <f>SUM(T6_[[#This Row],[Recuento de T6 CODIGO]]*T6_[[#This Row],[Columna1]])</f>
        <v>14125.612131147542</v>
      </c>
    </row>
    <row r="54" spans="1:4" x14ac:dyDescent="0.25">
      <c r="A54" s="250" t="s">
        <v>545</v>
      </c>
      <c r="B54">
        <v>2</v>
      </c>
      <c r="C54" s="251">
        <f>LOOKUP(T6_[[#This Row],[Etiquetas de fila]],'VALORIZACION CARTA'!B:B,'VALORIZACION CARTA'!C:C)</f>
        <v>7892.8534999999993</v>
      </c>
      <c r="D54">
        <f>SUM(T6_[[#This Row],[Recuento de T6 CODIGO]]*T6_[[#This Row],[Columna1]])</f>
        <v>15785.706999999999</v>
      </c>
    </row>
    <row r="55" spans="1:4" x14ac:dyDescent="0.25">
      <c r="A55" s="250" t="s">
        <v>485</v>
      </c>
      <c r="B55">
        <v>1</v>
      </c>
      <c r="C55" s="251">
        <f>LOOKUP(T6_[[#This Row],[Etiquetas de fila]],'VALORIZACION CARTA'!B:B,'VALORIZACION CARTA'!C:C)</f>
        <v>5471.9520624999996</v>
      </c>
      <c r="D55">
        <f>SUM(T6_[[#This Row],[Recuento de T6 CODIGO]]*T6_[[#This Row],[Columna1]])</f>
        <v>5471.9520624999996</v>
      </c>
    </row>
    <row r="56" spans="1:4" x14ac:dyDescent="0.25">
      <c r="A56" s="250" t="s">
        <v>507</v>
      </c>
      <c r="B56">
        <v>1</v>
      </c>
      <c r="C56" s="251">
        <f>LOOKUP(T6_[[#This Row],[Etiquetas de fila]],'VALORIZACION CARTA'!B:B,'VALORIZACION CARTA'!C:C)</f>
        <v>6453.2193687500003</v>
      </c>
      <c r="D56">
        <f>SUM(T6_[[#This Row],[Recuento de T6 CODIGO]]*T6_[[#This Row],[Columna1]])</f>
        <v>6453.2193687500003</v>
      </c>
    </row>
    <row r="57" spans="1:4" x14ac:dyDescent="0.25">
      <c r="A57" s="250" t="s">
        <v>667</v>
      </c>
      <c r="B57">
        <v>1</v>
      </c>
      <c r="C57" s="251">
        <f>LOOKUP(T6_[[#This Row],[Etiquetas de fila]],'VALORIZACION CARTA'!B:B,'VALORIZACION CARTA'!C:C)</f>
        <v>2347.2574999999997</v>
      </c>
      <c r="D57">
        <f>SUM(T6_[[#This Row],[Recuento de T6 CODIGO]]*T6_[[#This Row],[Columna1]])</f>
        <v>2347.2574999999997</v>
      </c>
    </row>
    <row r="58" spans="1:4" x14ac:dyDescent="0.25">
      <c r="A58" s="250" t="s">
        <v>503</v>
      </c>
      <c r="B58">
        <v>1</v>
      </c>
      <c r="C58" s="251">
        <f>LOOKUP(T6_[[#This Row],[Etiquetas de fila]],'VALORIZACION CARTA'!B:B,'VALORIZACION CARTA'!C:C)</f>
        <v>1854.8355000000001</v>
      </c>
      <c r="D58">
        <f>SUM(T6_[[#This Row],[Recuento de T6 CODIGO]]*T6_[[#This Row],[Columna1]])</f>
        <v>1854.8355000000001</v>
      </c>
    </row>
    <row r="59" spans="1:4" x14ac:dyDescent="0.25">
      <c r="A59" s="250" t="s">
        <v>826</v>
      </c>
      <c r="B59">
        <v>2</v>
      </c>
      <c r="C59" s="251">
        <f>LOOKUP(T6_[[#This Row],[Etiquetas de fila]],'VALORIZACION CARTA'!B:B,'VALORIZACION CARTA'!C:C)</f>
        <v>1854.8355000000001</v>
      </c>
      <c r="D59">
        <f>SUM(T6_[[#This Row],[Recuento de T6 CODIGO]]*T6_[[#This Row],[Columna1]])</f>
        <v>3709.6710000000003</v>
      </c>
    </row>
    <row r="60" spans="1:4" x14ac:dyDescent="0.25">
      <c r="A60" s="250" t="s">
        <v>670</v>
      </c>
      <c r="B60">
        <v>1</v>
      </c>
      <c r="C60" s="251">
        <f>LOOKUP(T6_[[#This Row],[Etiquetas de fila]],'VALORIZACION CARTA'!B:B,'VALORIZACION CARTA'!C:C)</f>
        <v>5106.5339039999999</v>
      </c>
      <c r="D60">
        <f>SUM(T6_[[#This Row],[Recuento de T6 CODIGO]]*T6_[[#This Row],[Columna1]])</f>
        <v>5106.5339039999999</v>
      </c>
    </row>
    <row r="61" spans="1:4" x14ac:dyDescent="0.25">
      <c r="A61" s="250" t="s">
        <v>529</v>
      </c>
      <c r="B61">
        <v>3</v>
      </c>
      <c r="C61" s="251">
        <f>LOOKUP(T6_[[#This Row],[Etiquetas de fila]],'VALORIZACION CARTA'!B:B,'VALORIZACION CARTA'!C:C)</f>
        <v>2202.8982500000002</v>
      </c>
      <c r="D61">
        <f>SUM(T6_[[#This Row],[Recuento de T6 CODIGO]]*T6_[[#This Row],[Columna1]])</f>
        <v>6608.6947500000006</v>
      </c>
    </row>
    <row r="62" spans="1:4" x14ac:dyDescent="0.25">
      <c r="A62" s="250" t="s">
        <v>530</v>
      </c>
      <c r="B62">
        <v>2</v>
      </c>
      <c r="C62" s="251">
        <f>LOOKUP(T6_[[#This Row],[Etiquetas de fila]],'VALORIZACION CARTA'!B:B,'VALORIZACION CARTA'!C:C)</f>
        <v>1804.2482499999999</v>
      </c>
      <c r="D62">
        <f>SUM(T6_[[#This Row],[Recuento de T6 CODIGO]]*T6_[[#This Row],[Columna1]])</f>
        <v>3608.4964999999997</v>
      </c>
    </row>
    <row r="63" spans="1:4" x14ac:dyDescent="0.25">
      <c r="A63" s="250" t="s">
        <v>616</v>
      </c>
      <c r="B63">
        <v>3</v>
      </c>
      <c r="C63" s="251">
        <f>LOOKUP(T6_[[#This Row],[Etiquetas de fila]],'VALORIZACION CARTA'!B:B,'VALORIZACION CARTA'!C:C)</f>
        <v>1744.7482500000001</v>
      </c>
      <c r="D63">
        <f>SUM(T6_[[#This Row],[Recuento de T6 CODIGO]]*T6_[[#This Row],[Columna1]])</f>
        <v>5234.2447499999998</v>
      </c>
    </row>
    <row r="64" spans="1:4" x14ac:dyDescent="0.25">
      <c r="A64" s="250" t="s">
        <v>533</v>
      </c>
      <c r="B64">
        <v>1</v>
      </c>
      <c r="C64" s="251">
        <f>LOOKUP(T6_[[#This Row],[Etiquetas de fila]],'VALORIZACION CARTA'!B:B,'VALORIZACION CARTA'!C:C)</f>
        <v>9038.2820499999998</v>
      </c>
      <c r="D64">
        <f>SUM(T6_[[#This Row],[Recuento de T6 CODIGO]]*T6_[[#This Row],[Columna1]])</f>
        <v>9038.2820499999998</v>
      </c>
    </row>
    <row r="65" spans="1:4" x14ac:dyDescent="0.25">
      <c r="A65" s="250" t="s">
        <v>588</v>
      </c>
      <c r="B65">
        <v>1</v>
      </c>
      <c r="C65" s="251">
        <f>LOOKUP(T6_[[#This Row],[Etiquetas de fila]],'VALORIZACION CARTA'!B:B,'VALORIZACION CARTA'!C:C)</f>
        <v>4393.9286885245901</v>
      </c>
      <c r="D65">
        <f>SUM(T6_[[#This Row],[Recuento de T6 CODIGO]]*T6_[[#This Row],[Columna1]])</f>
        <v>4393.9286885245901</v>
      </c>
    </row>
    <row r="66" spans="1:4" x14ac:dyDescent="0.25">
      <c r="A66" s="250" t="s">
        <v>526</v>
      </c>
      <c r="B66">
        <v>1</v>
      </c>
      <c r="C66" s="251">
        <f>LOOKUP(T6_[[#This Row],[Etiquetas de fila]],'VALORIZACION CARTA'!B:B,'VALORIZACION CARTA'!C:C)</f>
        <v>4263.1154999999999</v>
      </c>
      <c r="D66">
        <f>SUM(T6_[[#This Row],[Recuento de T6 CODIGO]]*T6_[[#This Row],[Columna1]])</f>
        <v>4263.1154999999999</v>
      </c>
    </row>
    <row r="67" spans="1:4" x14ac:dyDescent="0.25">
      <c r="A67" s="250" t="s">
        <v>927</v>
      </c>
      <c r="B67">
        <v>18</v>
      </c>
      <c r="C67" s="251">
        <f>LOOKUP(T6_[[#This Row],[Etiquetas de fila]],'VALORIZACION CARTA'!B:B,'VALORIZACION CARTA'!C:C)</f>
        <v>573.38798125000005</v>
      </c>
      <c r="D67">
        <f>SUM(T6_[[#This Row],[Recuento de T6 CODIGO]]*T6_[[#This Row],[Columna1]])</f>
        <v>10320.983662500001</v>
      </c>
    </row>
    <row r="68" spans="1:4" x14ac:dyDescent="0.25">
      <c r="A68" s="250" t="s">
        <v>617</v>
      </c>
      <c r="B68">
        <v>15</v>
      </c>
      <c r="C68" s="251">
        <f>LOOKUP(T6_[[#This Row],[Etiquetas de fila]],'VALORIZACION CARTA'!B:B,'VALORIZACION CARTA'!C:C)</f>
        <v>529.87860624999996</v>
      </c>
      <c r="D68">
        <f>SUM(T6_[[#This Row],[Recuento de T6 CODIGO]]*T6_[[#This Row],[Columna1]])</f>
        <v>7948.1790937499991</v>
      </c>
    </row>
    <row r="69" spans="1:4" x14ac:dyDescent="0.25">
      <c r="A69" s="250" t="s">
        <v>928</v>
      </c>
      <c r="B69">
        <v>9</v>
      </c>
      <c r="C69" s="251">
        <f>LOOKUP(T6_[[#This Row],[Etiquetas de fila]],'VALORIZACION CARTA'!B:B,'VALORIZACION CARTA'!C:C)</f>
        <v>591.68423125000004</v>
      </c>
      <c r="D69">
        <f>SUM(T6_[[#This Row],[Recuento de T6 CODIGO]]*T6_[[#This Row],[Columna1]])</f>
        <v>5325.1580812500006</v>
      </c>
    </row>
    <row r="70" spans="1:4" x14ac:dyDescent="0.25">
      <c r="A70" s="250" t="s">
        <v>548</v>
      </c>
      <c r="B70">
        <v>1</v>
      </c>
      <c r="C70" s="251">
        <f>LOOKUP(T6_[[#This Row],[Etiquetas de fila]],'VALORIZACION CARTA'!B:B,'VALORIZACION CARTA'!C:C)</f>
        <v>1995.91520625</v>
      </c>
      <c r="D70">
        <f>SUM(T6_[[#This Row],[Recuento de T6 CODIGO]]*T6_[[#This Row],[Columna1]])</f>
        <v>1995.91520625</v>
      </c>
    </row>
    <row r="71" spans="1:4" x14ac:dyDescent="0.25">
      <c r="A71" s="250" t="s">
        <v>873</v>
      </c>
      <c r="B71">
        <v>16</v>
      </c>
      <c r="C71" s="251">
        <f>LOOKUP(T6_[[#This Row],[Etiquetas de fila]],'VALORIZACION CARTA'!B:B,'VALORIZACION CARTA'!C:C)</f>
        <v>3667.1136333333334</v>
      </c>
      <c r="D71">
        <f>SUM(T6_[[#This Row],[Recuento de T6 CODIGO]]*T6_[[#This Row],[Columna1]])</f>
        <v>58673.818133333334</v>
      </c>
    </row>
    <row r="72" spans="1:4" x14ac:dyDescent="0.25">
      <c r="A72" s="250" t="s">
        <v>865</v>
      </c>
      <c r="B72">
        <v>4</v>
      </c>
      <c r="C72" s="251">
        <f>LOOKUP(T6_[[#This Row],[Etiquetas de fila]],'VALORIZACION CARTA'!B:B,'VALORIZACION CARTA'!C:C)</f>
        <v>3698.7449666666666</v>
      </c>
      <c r="D72">
        <f>SUM(T6_[[#This Row],[Recuento de T6 CODIGO]]*T6_[[#This Row],[Columna1]])</f>
        <v>14794.979866666667</v>
      </c>
    </row>
    <row r="73" spans="1:4" x14ac:dyDescent="0.25">
      <c r="A73" s="250" t="s">
        <v>872</v>
      </c>
      <c r="B73">
        <v>15</v>
      </c>
      <c r="C73" s="251">
        <f>LOOKUP(T6_[[#This Row],[Etiquetas de fila]],'VALORIZACION CARTA'!B:B,'VALORIZACION CARTA'!C:C)</f>
        <v>4426.8</v>
      </c>
      <c r="D73">
        <f>SUM(T6_[[#This Row],[Recuento de T6 CODIGO]]*T6_[[#This Row],[Columna1]])</f>
        <v>66402</v>
      </c>
    </row>
    <row r="74" spans="1:4" x14ac:dyDescent="0.25">
      <c r="A74" s="250" t="s">
        <v>896</v>
      </c>
      <c r="B74">
        <v>3</v>
      </c>
      <c r="C74" s="251">
        <f>LOOKUP(T6_[[#This Row],[Etiquetas de fila]],'VALORIZACION CARTA'!B:B,'VALORIZACION CARTA'!C:C)</f>
        <v>3675.8249999999998</v>
      </c>
      <c r="D74">
        <f>SUM(T6_[[#This Row],[Recuento de T6 CODIGO]]*T6_[[#This Row],[Columna1]])</f>
        <v>11027.474999999999</v>
      </c>
    </row>
    <row r="75" spans="1:4" x14ac:dyDescent="0.25">
      <c r="A75" s="250" t="s">
        <v>929</v>
      </c>
      <c r="B75">
        <v>19</v>
      </c>
      <c r="C75" s="251">
        <f>LOOKUP(T6_[[#This Row],[Etiquetas de fila]],'VALORIZACION CARTA'!B:B,'VALORIZACION CARTA'!C:C)</f>
        <v>3675.8249999999998</v>
      </c>
      <c r="D75">
        <f>SUM(T6_[[#This Row],[Recuento de T6 CODIGO]]*T6_[[#This Row],[Columna1]])</f>
        <v>69840.675000000003</v>
      </c>
    </row>
    <row r="76" spans="1:4" x14ac:dyDescent="0.25">
      <c r="A76" s="250" t="s">
        <v>930</v>
      </c>
      <c r="B76">
        <v>3</v>
      </c>
      <c r="C76" s="251">
        <f>LOOKUP(T6_[[#This Row],[Etiquetas de fila]],'VALORIZACION CARTA'!B:B,'VALORIZACION CARTA'!C:C)</f>
        <v>745.45679833333338</v>
      </c>
      <c r="D76">
        <f>SUM(T6_[[#This Row],[Recuento de T6 CODIGO]]*T6_[[#This Row],[Columna1]])</f>
        <v>2236.3703949999999</v>
      </c>
    </row>
    <row r="77" spans="1:4" x14ac:dyDescent="0.25">
      <c r="A77" s="250" t="s">
        <v>1068</v>
      </c>
      <c r="B77">
        <v>2</v>
      </c>
      <c r="C77" s="251">
        <f>LOOKUP(T6_[[#This Row],[Etiquetas de fila]],'VALORIZACION CARTA'!B:B,'VALORIZACION CARTA'!C:C)</f>
        <v>745.45679833333338</v>
      </c>
      <c r="D77">
        <f>SUM(T6_[[#This Row],[Recuento de T6 CODIGO]]*T6_[[#This Row],[Columna1]])</f>
        <v>1490.9135966666668</v>
      </c>
    </row>
    <row r="78" spans="1:4" x14ac:dyDescent="0.25">
      <c r="A78" s="250" t="s">
        <v>708</v>
      </c>
      <c r="B78">
        <v>6</v>
      </c>
      <c r="C78" s="251">
        <f>LOOKUP(T6_[[#This Row],[Etiquetas de fila]],'VALORIZACION CARTA'!B:B,'VALORIZACION CARTA'!C:C)</f>
        <v>745.45679833333338</v>
      </c>
      <c r="D78">
        <f>SUM(T6_[[#This Row],[Recuento de T6 CODIGO]]*T6_[[#This Row],[Columna1]])</f>
        <v>4472.7407899999998</v>
      </c>
    </row>
    <row r="79" spans="1:4" x14ac:dyDescent="0.25">
      <c r="A79" s="250" t="s">
        <v>621</v>
      </c>
      <c r="B79">
        <v>2</v>
      </c>
      <c r="C79" s="251">
        <f>LOOKUP(T6_[[#This Row],[Etiquetas de fila]],'VALORIZACION CARTA'!B:B,'VALORIZACION CARTA'!C:C)</f>
        <v>745.45679833333338</v>
      </c>
      <c r="D79">
        <f>SUM(T6_[[#This Row],[Recuento de T6 CODIGO]]*T6_[[#This Row],[Columna1]])</f>
        <v>1490.9135966666668</v>
      </c>
    </row>
    <row r="80" spans="1:4" x14ac:dyDescent="0.25">
      <c r="A80" s="250" t="s">
        <v>931</v>
      </c>
      <c r="B80">
        <v>2</v>
      </c>
      <c r="C80" s="251">
        <f>LOOKUP(T6_[[#This Row],[Etiquetas de fila]],'VALORIZACION CARTA'!B:B,'VALORIZACION CARTA'!C:C)</f>
        <v>745.45679833333338</v>
      </c>
      <c r="D80">
        <f>SUM(T6_[[#This Row],[Recuento de T6 CODIGO]]*T6_[[#This Row],[Columna1]])</f>
        <v>1490.9135966666668</v>
      </c>
    </row>
    <row r="81" spans="1:4" x14ac:dyDescent="0.25">
      <c r="A81" s="250" t="s">
        <v>932</v>
      </c>
      <c r="B81">
        <v>1</v>
      </c>
      <c r="C81" s="251">
        <f>LOOKUP(T6_[[#This Row],[Etiquetas de fila]],'VALORIZACION CARTA'!B:B,'VALORIZACION CARTA'!C:C)</f>
        <v>745.45679833333338</v>
      </c>
      <c r="D81">
        <f>SUM(T6_[[#This Row],[Recuento de T6 CODIGO]]*T6_[[#This Row],[Columna1]])</f>
        <v>745.45679833333338</v>
      </c>
    </row>
    <row r="82" spans="1:4" x14ac:dyDescent="0.25">
      <c r="A82" s="250" t="s">
        <v>620</v>
      </c>
      <c r="B82">
        <v>1</v>
      </c>
      <c r="C82" s="251">
        <f>LOOKUP(T6_[[#This Row],[Etiquetas de fila]],'VALORIZACION CARTA'!B:B,'VALORIZACION CARTA'!C:C)</f>
        <v>745.45679833333338</v>
      </c>
      <c r="D82">
        <f>SUM(T6_[[#This Row],[Recuento de T6 CODIGO]]*T6_[[#This Row],[Columna1]])</f>
        <v>745.45679833333338</v>
      </c>
    </row>
    <row r="83" spans="1:4" x14ac:dyDescent="0.25">
      <c r="A83" s="250" t="s">
        <v>718</v>
      </c>
      <c r="B83">
        <v>2</v>
      </c>
      <c r="C83" s="251">
        <f>LOOKUP(T6_[[#This Row],[Etiquetas de fila]],'VALORIZACION CARTA'!B:B,'VALORIZACION CARTA'!C:C)</f>
        <v>745.45679833333338</v>
      </c>
      <c r="D83">
        <f>SUM(T6_[[#This Row],[Recuento de T6 CODIGO]]*T6_[[#This Row],[Columna1]])</f>
        <v>1490.9135966666668</v>
      </c>
    </row>
    <row r="84" spans="1:4" x14ac:dyDescent="0.25">
      <c r="A84" s="250" t="s">
        <v>934</v>
      </c>
      <c r="B84">
        <v>1</v>
      </c>
      <c r="C84" s="251">
        <f>LOOKUP(T6_[[#This Row],[Etiquetas de fila]],'VALORIZACION CARTA'!B:B,'VALORIZACION CARTA'!C:C)</f>
        <v>745.45679833333338</v>
      </c>
      <c r="D84">
        <f>SUM(T6_[[#This Row],[Recuento de T6 CODIGO]]*T6_[[#This Row],[Columna1]])</f>
        <v>745.45679833333338</v>
      </c>
    </row>
    <row r="85" spans="1:4" x14ac:dyDescent="0.25">
      <c r="A85" s="250" t="s">
        <v>935</v>
      </c>
      <c r="B85">
        <v>3</v>
      </c>
      <c r="C85" s="251">
        <f>LOOKUP(T6_[[#This Row],[Etiquetas de fila]],'VALORIZACION CARTA'!B:B,'VALORIZACION CARTA'!C:C)</f>
        <v>745.45679833333338</v>
      </c>
      <c r="D85">
        <f>SUM(T6_[[#This Row],[Recuento de T6 CODIGO]]*T6_[[#This Row],[Columna1]])</f>
        <v>2236.3703949999999</v>
      </c>
    </row>
    <row r="86" spans="1:4" x14ac:dyDescent="0.25">
      <c r="A86" s="250" t="s">
        <v>1069</v>
      </c>
      <c r="B86">
        <v>3</v>
      </c>
      <c r="C86" s="251">
        <f>LOOKUP(T6_[[#This Row],[Etiquetas de fila]],'VALORIZACION CARTA'!B:B,'VALORIZACION CARTA'!C:C)</f>
        <v>745.45679833333338</v>
      </c>
      <c r="D86">
        <f>SUM(T6_[[#This Row],[Recuento de T6 CODIGO]]*T6_[[#This Row],[Columna1]])</f>
        <v>2236.3703949999999</v>
      </c>
    </row>
    <row r="87" spans="1:4" x14ac:dyDescent="0.25">
      <c r="A87" s="250" t="s">
        <v>936</v>
      </c>
      <c r="B87">
        <v>6</v>
      </c>
      <c r="C87" s="251">
        <f>LOOKUP(T6_[[#This Row],[Etiquetas de fila]],'VALORIZACION CARTA'!B:B,'VALORIZACION CARTA'!C:C)</f>
        <v>704.62379999999996</v>
      </c>
      <c r="D87">
        <f>SUM(T6_[[#This Row],[Recuento de T6 CODIGO]]*T6_[[#This Row],[Columna1]])</f>
        <v>4227.7428</v>
      </c>
    </row>
    <row r="88" spans="1:4" x14ac:dyDescent="0.25">
      <c r="A88" s="250" t="s">
        <v>937</v>
      </c>
      <c r="B88">
        <v>1</v>
      </c>
      <c r="C88" s="251">
        <f>LOOKUP(T6_[[#This Row],[Etiquetas de fila]],'VALORIZACION CARTA'!B:B,'VALORIZACION CARTA'!C:C)</f>
        <v>1292.5800000000002</v>
      </c>
      <c r="D88">
        <f>SUM(T6_[[#This Row],[Recuento de T6 CODIGO]]*T6_[[#This Row],[Columna1]])</f>
        <v>1292.5800000000002</v>
      </c>
    </row>
    <row r="89" spans="1:4" x14ac:dyDescent="0.25">
      <c r="A89" s="250" t="s">
        <v>938</v>
      </c>
      <c r="B89">
        <v>1</v>
      </c>
      <c r="C89" s="251">
        <f>LOOKUP(T6_[[#This Row],[Etiquetas de fila]],'VALORIZACION CARTA'!B:B,'VALORIZACION CARTA'!C:C)</f>
        <v>661.29699999999991</v>
      </c>
      <c r="D89">
        <f>SUM(T6_[[#This Row],[Recuento de T6 CODIGO]]*T6_[[#This Row],[Columna1]])</f>
        <v>661.29699999999991</v>
      </c>
    </row>
    <row r="90" spans="1:4" x14ac:dyDescent="0.25">
      <c r="A90" s="250" t="s">
        <v>834</v>
      </c>
      <c r="B90">
        <v>9</v>
      </c>
      <c r="C90" s="251">
        <f>LOOKUP(T6_[[#This Row],[Etiquetas de fila]],'VALORIZACION CARTA'!B:B,'VALORIZACION CARTA'!C:C)</f>
        <v>7062.8060655737709</v>
      </c>
      <c r="D90">
        <f>SUM(T6_[[#This Row],[Recuento de T6 CODIGO]]*T6_[[#This Row],[Columna1]])</f>
        <v>63565.254590163939</v>
      </c>
    </row>
    <row r="91" spans="1:4" x14ac:dyDescent="0.25">
      <c r="A91" s="250" t="s">
        <v>893</v>
      </c>
      <c r="B91">
        <v>3</v>
      </c>
      <c r="C91" s="251">
        <f>LOOKUP(T6_[[#This Row],[Etiquetas de fila]],'VALORIZACION CARTA'!B:B,'VALORIZACION CARTA'!C:C)</f>
        <v>2050.8890333333334</v>
      </c>
      <c r="D91">
        <f>SUM(T6_[[#This Row],[Recuento de T6 CODIGO]]*T6_[[#This Row],[Columna1]])</f>
        <v>6152.6671000000006</v>
      </c>
    </row>
    <row r="92" spans="1:4" x14ac:dyDescent="0.25">
      <c r="A92" s="250" t="s">
        <v>941</v>
      </c>
      <c r="B92">
        <v>673</v>
      </c>
      <c r="C92" s="251">
        <f>LOOKUP(T6_[[#This Row],[Etiquetas de fila]],'VALORIZACION CARTA'!B:B,'VALORIZACION CARTA'!C:C)</f>
        <v>638.72610374999999</v>
      </c>
      <c r="D92">
        <f>SUM(T6_[[#This Row],[Recuento de T6 CODIGO]]*T6_[[#This Row],[Columna1]])</f>
        <v>429862.66782375</v>
      </c>
    </row>
    <row r="93" spans="1:4" x14ac:dyDescent="0.25">
      <c r="A93" s="250" t="s">
        <v>877</v>
      </c>
      <c r="B93">
        <v>2</v>
      </c>
      <c r="C93" s="251">
        <f>LOOKUP(T6_[[#This Row],[Etiquetas de fila]],'VALORIZACION CARTA'!B:B,'VALORIZACION CARTA'!C:C)</f>
        <v>1321.691</v>
      </c>
      <c r="D93">
        <f>SUM(T6_[[#This Row],[Recuento de T6 CODIGO]]*T6_[[#This Row],[Columna1]])</f>
        <v>2643.3820000000001</v>
      </c>
    </row>
    <row r="94" spans="1:4" x14ac:dyDescent="0.25">
      <c r="A94" s="250" t="s">
        <v>1043</v>
      </c>
      <c r="B94">
        <v>3</v>
      </c>
      <c r="C94" s="251">
        <f>LOOKUP(T6_[[#This Row],[Etiquetas de fila]],'VALORIZACION CARTA'!B:B,'VALORIZACION CARTA'!C:C)</f>
        <v>1241.55</v>
      </c>
      <c r="D94">
        <f>SUM(T6_[[#This Row],[Recuento de T6 CODIGO]]*T6_[[#This Row],[Columna1]])</f>
        <v>3724.6499999999996</v>
      </c>
    </row>
    <row r="95" spans="1:4" x14ac:dyDescent="0.25">
      <c r="A95" s="250" t="s">
        <v>879</v>
      </c>
      <c r="B95">
        <v>1</v>
      </c>
      <c r="C95" s="251">
        <f>LOOKUP(T6_[[#This Row],[Etiquetas de fila]],'VALORIZACION CARTA'!B:B,'VALORIZACION CARTA'!C:C)</f>
        <v>2383.69425</v>
      </c>
      <c r="D95">
        <f>SUM(T6_[[#This Row],[Recuento de T6 CODIGO]]*T6_[[#This Row],[Columna1]])</f>
        <v>2383.69425</v>
      </c>
    </row>
    <row r="96" spans="1:4" x14ac:dyDescent="0.25">
      <c r="A96" s="250" t="s">
        <v>591</v>
      </c>
      <c r="B96">
        <v>3</v>
      </c>
      <c r="C96" s="251">
        <f>LOOKUP(T6_[[#This Row],[Etiquetas de fila]],'VALORIZACION CARTA'!B:B,'VALORIZACION CARTA'!C:C)</f>
        <v>536.40037499999994</v>
      </c>
      <c r="D96">
        <f>SUM(T6_[[#This Row],[Recuento de T6 CODIGO]]*T6_[[#This Row],[Columna1]])</f>
        <v>1609.2011249999998</v>
      </c>
    </row>
    <row r="97" spans="1:4" x14ac:dyDescent="0.25">
      <c r="A97" s="250" t="s">
        <v>592</v>
      </c>
      <c r="B97">
        <v>2</v>
      </c>
      <c r="C97" s="251">
        <f>LOOKUP(T6_[[#This Row],[Etiquetas de fila]],'VALORIZACION CARTA'!B:B,'VALORIZACION CARTA'!C:C)</f>
        <v>557.9765625</v>
      </c>
      <c r="D97">
        <f>SUM(T6_[[#This Row],[Recuento de T6 CODIGO]]*T6_[[#This Row],[Columna1]])</f>
        <v>1115.953125</v>
      </c>
    </row>
    <row r="98" spans="1:4" x14ac:dyDescent="0.25">
      <c r="A98" s="250" t="s">
        <v>593</v>
      </c>
      <c r="B98">
        <v>1</v>
      </c>
      <c r="C98" s="251">
        <f>LOOKUP(T6_[[#This Row],[Etiquetas de fila]],'VALORIZACION CARTA'!B:B,'VALORIZACION CARTA'!C:C)</f>
        <v>552.1753124999999</v>
      </c>
      <c r="D98">
        <f>SUM(T6_[[#This Row],[Recuento de T6 CODIGO]]*T6_[[#This Row],[Columna1]])</f>
        <v>552.1753124999999</v>
      </c>
    </row>
    <row r="99" spans="1:4" x14ac:dyDescent="0.25">
      <c r="A99" s="250" t="s">
        <v>594</v>
      </c>
      <c r="B99">
        <v>2</v>
      </c>
      <c r="C99" s="251">
        <f>LOOKUP(T6_[[#This Row],[Etiquetas de fila]],'VALORIZACION CARTA'!B:B,'VALORIZACION CARTA'!C:C)</f>
        <v>560.41606249999995</v>
      </c>
      <c r="D99">
        <f>SUM(T6_[[#This Row],[Recuento de T6 CODIGO]]*T6_[[#This Row],[Columna1]])</f>
        <v>1120.8321249999999</v>
      </c>
    </row>
    <row r="100" spans="1:4" x14ac:dyDescent="0.25">
      <c r="A100" s="250" t="s">
        <v>942</v>
      </c>
      <c r="B100">
        <v>11</v>
      </c>
      <c r="C100" s="251">
        <f>LOOKUP(T6_[[#This Row],[Etiquetas de fila]],'VALORIZACION CARTA'!B:B,'VALORIZACION CARTA'!C:C)</f>
        <v>560.41606249999995</v>
      </c>
      <c r="D100">
        <f>SUM(T6_[[#This Row],[Recuento de T6 CODIGO]]*T6_[[#This Row],[Columna1]])</f>
        <v>6164.576687499999</v>
      </c>
    </row>
    <row r="101" spans="1:4" x14ac:dyDescent="0.25">
      <c r="A101" s="250" t="s">
        <v>595</v>
      </c>
      <c r="B101">
        <v>15</v>
      </c>
      <c r="C101" s="251">
        <f>LOOKUP(T6_[[#This Row],[Etiquetas de fila]],'VALORIZACION CARTA'!B:B,'VALORIZACION CARTA'!C:C)</f>
        <v>427.84008749999998</v>
      </c>
      <c r="D101">
        <f>SUM(T6_[[#This Row],[Recuento de T6 CODIGO]]*T6_[[#This Row],[Columna1]])</f>
        <v>6417.6013124999999</v>
      </c>
    </row>
    <row r="102" spans="1:4" x14ac:dyDescent="0.25">
      <c r="A102" s="250" t="s">
        <v>943</v>
      </c>
      <c r="B102">
        <v>10</v>
      </c>
      <c r="C102" s="251">
        <f>LOOKUP(T6_[[#This Row],[Etiquetas de fila]],'VALORIZACION CARTA'!B:B,'VALORIZACION CARTA'!C:C)</f>
        <v>427.84008749999998</v>
      </c>
      <c r="D102">
        <f>SUM(T6_[[#This Row],[Recuento de T6 CODIGO]]*T6_[[#This Row],[Columna1]])</f>
        <v>4278.4008749999994</v>
      </c>
    </row>
    <row r="103" spans="1:4" x14ac:dyDescent="0.25">
      <c r="A103" s="250" t="s">
        <v>596</v>
      </c>
      <c r="B103">
        <v>36</v>
      </c>
      <c r="C103" s="251">
        <f>LOOKUP(T6_[[#This Row],[Etiquetas de fila]],'VALORIZACION CARTA'!B:B,'VALORIZACION CARTA'!C:C)</f>
        <v>573.38798125000005</v>
      </c>
      <c r="D103">
        <f>SUM(T6_[[#This Row],[Recuento de T6 CODIGO]]*T6_[[#This Row],[Columna1]])</f>
        <v>20641.967325000001</v>
      </c>
    </row>
    <row r="104" spans="1:4" x14ac:dyDescent="0.25">
      <c r="A104" s="250" t="s">
        <v>597</v>
      </c>
      <c r="B104">
        <v>29</v>
      </c>
      <c r="C104" s="251">
        <f>LOOKUP(T6_[[#This Row],[Etiquetas de fila]],'VALORIZACION CARTA'!B:B,'VALORIZACION CARTA'!C:C)</f>
        <v>529.87860624999996</v>
      </c>
      <c r="D104">
        <f>SUM(T6_[[#This Row],[Recuento de T6 CODIGO]]*T6_[[#This Row],[Columna1]])</f>
        <v>15366.47958125</v>
      </c>
    </row>
    <row r="105" spans="1:4" x14ac:dyDescent="0.25">
      <c r="A105" s="250" t="s">
        <v>598</v>
      </c>
      <c r="B105">
        <v>19</v>
      </c>
      <c r="C105" s="251">
        <f>LOOKUP(T6_[[#This Row],[Etiquetas de fila]],'VALORIZACION CARTA'!B:B,'VALORIZACION CARTA'!C:C)</f>
        <v>591.68423125000004</v>
      </c>
      <c r="D105">
        <f>SUM(T6_[[#This Row],[Recuento de T6 CODIGO]]*T6_[[#This Row],[Columna1]])</f>
        <v>11242.000393750001</v>
      </c>
    </row>
    <row r="106" spans="1:4" x14ac:dyDescent="0.25">
      <c r="A106" s="250" t="s">
        <v>944</v>
      </c>
      <c r="B106">
        <v>5</v>
      </c>
      <c r="C106" s="251">
        <f>LOOKUP(T6_[[#This Row],[Etiquetas de fila]],'VALORIZACION CARTA'!B:B,'VALORIZACION CARTA'!C:C)</f>
        <v>591.68423125000004</v>
      </c>
      <c r="D106">
        <f>SUM(T6_[[#This Row],[Recuento de T6 CODIGO]]*T6_[[#This Row],[Columna1]])</f>
        <v>2958.4211562500004</v>
      </c>
    </row>
    <row r="107" spans="1:4" x14ac:dyDescent="0.25">
      <c r="A107" s="250" t="s">
        <v>945</v>
      </c>
      <c r="B107">
        <v>1</v>
      </c>
      <c r="C107" s="251">
        <f>LOOKUP(T6_[[#This Row],[Etiquetas de fila]],'VALORIZACION CARTA'!B:B,'VALORIZACION CARTA'!C:C)</f>
        <v>591.68423125000004</v>
      </c>
      <c r="D107">
        <f>SUM(T6_[[#This Row],[Recuento de T6 CODIGO]]*T6_[[#This Row],[Columna1]])</f>
        <v>591.68423125000004</v>
      </c>
    </row>
    <row r="108" spans="1:4" x14ac:dyDescent="0.25">
      <c r="A108" s="250" t="s">
        <v>599</v>
      </c>
      <c r="B108">
        <v>20</v>
      </c>
      <c r="C108" s="251">
        <f>LOOKUP(T6_[[#This Row],[Etiquetas de fila]],'VALORIZACION CARTA'!B:B,'VALORIZACION CARTA'!C:C)</f>
        <v>915.41563749999989</v>
      </c>
      <c r="D108">
        <f>SUM(T6_[[#This Row],[Recuento de T6 CODIGO]]*T6_[[#This Row],[Columna1]])</f>
        <v>18308.312749999997</v>
      </c>
    </row>
    <row r="109" spans="1:4" x14ac:dyDescent="0.25">
      <c r="A109" s="250" t="s">
        <v>600</v>
      </c>
      <c r="B109">
        <v>5</v>
      </c>
      <c r="C109" s="251">
        <f>LOOKUP(T6_[[#This Row],[Etiquetas de fila]],'VALORIZACION CARTA'!B:B,'VALORIZACION CARTA'!C:C)</f>
        <v>1049.9626625000001</v>
      </c>
      <c r="D109">
        <f>SUM(T6_[[#This Row],[Recuento de T6 CODIGO]]*T6_[[#This Row],[Columna1]])</f>
        <v>5249.8133125000004</v>
      </c>
    </row>
    <row r="110" spans="1:4" x14ac:dyDescent="0.25">
      <c r="A110" s="250" t="s">
        <v>601</v>
      </c>
      <c r="B110">
        <v>4</v>
      </c>
      <c r="C110" s="251">
        <f>LOOKUP(T6_[[#This Row],[Etiquetas de fila]],'VALORIZACION CARTA'!B:B,'VALORIZACION CARTA'!C:C)</f>
        <v>919.50254374999997</v>
      </c>
      <c r="D110">
        <f>SUM(T6_[[#This Row],[Recuento de T6 CODIGO]]*T6_[[#This Row],[Columna1]])</f>
        <v>3678.0101749999999</v>
      </c>
    </row>
    <row r="111" spans="1:4" x14ac:dyDescent="0.25">
      <c r="A111" s="250" t="s">
        <v>602</v>
      </c>
      <c r="B111">
        <v>8</v>
      </c>
      <c r="C111" s="251">
        <f>LOOKUP(T6_[[#This Row],[Etiquetas de fila]],'VALORIZACION CARTA'!B:B,'VALORIZACION CARTA'!C:C)</f>
        <v>868.31766874999994</v>
      </c>
      <c r="D111">
        <f>SUM(T6_[[#This Row],[Recuento de T6 CODIGO]]*T6_[[#This Row],[Columna1]])</f>
        <v>6946.5413499999995</v>
      </c>
    </row>
    <row r="112" spans="1:4" x14ac:dyDescent="0.25">
      <c r="A112" s="250" t="s">
        <v>946</v>
      </c>
      <c r="B112">
        <v>62</v>
      </c>
      <c r="C112" s="251">
        <f>LOOKUP(T6_[[#This Row],[Etiquetas de fila]],'VALORIZACION CARTA'!B:B,'VALORIZACION CARTA'!C:C)</f>
        <v>868.31766874999994</v>
      </c>
      <c r="D112">
        <f>SUM(T6_[[#This Row],[Recuento de T6 CODIGO]]*T6_[[#This Row],[Columna1]])</f>
        <v>53835.695462499993</v>
      </c>
    </row>
    <row r="113" spans="1:4" x14ac:dyDescent="0.25">
      <c r="A113" s="250" t="s">
        <v>317</v>
      </c>
      <c r="B113">
        <v>77</v>
      </c>
      <c r="C113" s="251">
        <f>LOOKUP(T6_[[#This Row],[Etiquetas de fila]],'VALORIZACION CARTA'!B:B,'VALORIZACION CARTA'!C:C)</f>
        <v>496.56381249999998</v>
      </c>
      <c r="D113">
        <f>SUM(T6_[[#This Row],[Recuento de T6 CODIGO]]*T6_[[#This Row],[Columna1]])</f>
        <v>38235.413562499998</v>
      </c>
    </row>
    <row r="114" spans="1:4" x14ac:dyDescent="0.25">
      <c r="A114" s="250" t="s">
        <v>552</v>
      </c>
      <c r="B114">
        <v>62</v>
      </c>
      <c r="C114" s="251">
        <f>LOOKUP(T6_[[#This Row],[Etiquetas de fila]],'VALORIZACION CARTA'!B:B,'VALORIZACION CARTA'!C:C)</f>
        <v>1351.6988125</v>
      </c>
      <c r="D114">
        <f>SUM(T6_[[#This Row],[Recuento de T6 CODIGO]]*T6_[[#This Row],[Columna1]])</f>
        <v>83805.326375000004</v>
      </c>
    </row>
    <row r="115" spans="1:4" x14ac:dyDescent="0.25">
      <c r="A115" s="250" t="s">
        <v>947</v>
      </c>
      <c r="B115">
        <v>26</v>
      </c>
      <c r="C115" s="251">
        <f>LOOKUP(T6_[[#This Row],[Etiquetas de fila]],'VALORIZACION CARTA'!B:B,'VALORIZACION CARTA'!C:C)</f>
        <v>1351.6988125</v>
      </c>
      <c r="D115">
        <f>SUM(T6_[[#This Row],[Recuento de T6 CODIGO]]*T6_[[#This Row],[Columna1]])</f>
        <v>35144.169125</v>
      </c>
    </row>
    <row r="116" spans="1:4" x14ac:dyDescent="0.25">
      <c r="A116" s="250" t="s">
        <v>948</v>
      </c>
      <c r="B116">
        <v>49</v>
      </c>
      <c r="C116" s="251">
        <f>LOOKUP(T6_[[#This Row],[Etiquetas de fila]],'VALORIZACION CARTA'!B:B,'VALORIZACION CARTA'!C:C)</f>
        <v>1351.6988125</v>
      </c>
      <c r="D116">
        <f>SUM(T6_[[#This Row],[Recuento de T6 CODIGO]]*T6_[[#This Row],[Columna1]])</f>
        <v>66233.241812499997</v>
      </c>
    </row>
    <row r="117" spans="1:4" x14ac:dyDescent="0.25">
      <c r="A117" s="250" t="s">
        <v>318</v>
      </c>
      <c r="B117">
        <v>72</v>
      </c>
      <c r="C117" s="251">
        <f>LOOKUP(T6_[[#This Row],[Etiquetas de fila]],'VALORIZACION CARTA'!B:B,'VALORIZACION CARTA'!C:C)</f>
        <v>618.27850000000001</v>
      </c>
      <c r="D117">
        <f>SUM(T6_[[#This Row],[Recuento de T6 CODIGO]]*T6_[[#This Row],[Columna1]])</f>
        <v>44516.052000000003</v>
      </c>
    </row>
    <row r="118" spans="1:4" x14ac:dyDescent="0.25">
      <c r="A118" s="250" t="s">
        <v>603</v>
      </c>
      <c r="B118">
        <v>14</v>
      </c>
      <c r="C118" s="251">
        <f>LOOKUP(T6_[[#This Row],[Etiquetas de fila]],'VALORIZACION CARTA'!B:B,'VALORIZACION CARTA'!C:C)</f>
        <v>627.93800999999996</v>
      </c>
      <c r="D118">
        <f>SUM(T6_[[#This Row],[Recuento de T6 CODIGO]]*T6_[[#This Row],[Columna1]])</f>
        <v>8791.1321399999997</v>
      </c>
    </row>
    <row r="119" spans="1:4" x14ac:dyDescent="0.25">
      <c r="A119" s="250" t="s">
        <v>693</v>
      </c>
      <c r="B119">
        <v>13</v>
      </c>
      <c r="C119" s="251">
        <f>LOOKUP(T6_[[#This Row],[Etiquetas de fila]],'VALORIZACION CARTA'!B:B,'VALORIZACION CARTA'!C:C)</f>
        <v>1674.93</v>
      </c>
      <c r="D119">
        <f>SUM(T6_[[#This Row],[Recuento de T6 CODIGO]]*T6_[[#This Row],[Columna1]])</f>
        <v>21774.09</v>
      </c>
    </row>
    <row r="120" spans="1:4" x14ac:dyDescent="0.25">
      <c r="A120" s="250" t="s">
        <v>1070</v>
      </c>
      <c r="B120">
        <v>5</v>
      </c>
      <c r="C120" s="251">
        <f>LOOKUP(T6_[[#This Row],[Etiquetas de fila]],'VALORIZACION CARTA'!B:B,'VALORIZACION CARTA'!C:C)</f>
        <v>1674.93</v>
      </c>
      <c r="D120">
        <f>SUM(T6_[[#This Row],[Recuento de T6 CODIGO]]*T6_[[#This Row],[Columna1]])</f>
        <v>8374.65</v>
      </c>
    </row>
    <row r="121" spans="1:4" x14ac:dyDescent="0.25">
      <c r="A121" s="250" t="s">
        <v>854</v>
      </c>
      <c r="B121">
        <v>8</v>
      </c>
      <c r="C121" s="251">
        <f>LOOKUP(T6_[[#This Row],[Etiquetas de fila]],'VALORIZACION CARTA'!B:B,'VALORIZACION CARTA'!C:C)</f>
        <v>2204.0295000000001</v>
      </c>
      <c r="D121">
        <f>SUM(T6_[[#This Row],[Recuento de T6 CODIGO]]*T6_[[#This Row],[Columna1]])</f>
        <v>17632.236000000001</v>
      </c>
    </row>
    <row r="122" spans="1:4" x14ac:dyDescent="0.25">
      <c r="A122" s="250" t="s">
        <v>622</v>
      </c>
      <c r="B122">
        <v>3</v>
      </c>
      <c r="C122" s="251">
        <f>LOOKUP(T6_[[#This Row],[Etiquetas de fila]],'VALORIZACION CARTA'!B:B,'VALORIZACION CARTA'!C:C)</f>
        <v>2392.3049999999998</v>
      </c>
      <c r="D122">
        <f>SUM(T6_[[#This Row],[Recuento de T6 CODIGO]]*T6_[[#This Row],[Columna1]])</f>
        <v>7176.9149999999991</v>
      </c>
    </row>
    <row r="123" spans="1:4" x14ac:dyDescent="0.25">
      <c r="A123" s="250" t="s">
        <v>950</v>
      </c>
      <c r="B123">
        <v>2</v>
      </c>
      <c r="C123" s="251">
        <f>LOOKUP(T6_[[#This Row],[Etiquetas de fila]],'VALORIZACION CARTA'!B:B,'VALORIZACION CARTA'!C:C)</f>
        <v>2392.3802500000002</v>
      </c>
      <c r="D123">
        <f>SUM(T6_[[#This Row],[Recuento de T6 CODIGO]]*T6_[[#This Row],[Columna1]])</f>
        <v>4784.7605000000003</v>
      </c>
    </row>
    <row r="124" spans="1:4" x14ac:dyDescent="0.25">
      <c r="A124" s="250" t="s">
        <v>623</v>
      </c>
      <c r="B124">
        <v>1</v>
      </c>
      <c r="C124" s="251">
        <f>LOOKUP(T6_[[#This Row],[Etiquetas de fila]],'VALORIZACION CARTA'!B:B,'VALORIZACION CARTA'!C:C)</f>
        <v>1331.2800000000002</v>
      </c>
      <c r="D124">
        <f>SUM(T6_[[#This Row],[Recuento de T6 CODIGO]]*T6_[[#This Row],[Columna1]])</f>
        <v>1331.2800000000002</v>
      </c>
    </row>
    <row r="125" spans="1:4" x14ac:dyDescent="0.25">
      <c r="A125" s="250" t="s">
        <v>1045</v>
      </c>
      <c r="B125">
        <v>1</v>
      </c>
      <c r="C125" s="251">
        <f>LOOKUP(T6_[[#This Row],[Etiquetas de fila]],'VALORIZACION CARTA'!B:B,'VALORIZACION CARTA'!C:C)</f>
        <v>1358.70712</v>
      </c>
      <c r="D125">
        <f>SUM(T6_[[#This Row],[Recuento de T6 CODIGO]]*T6_[[#This Row],[Columna1]])</f>
        <v>1358.70712</v>
      </c>
    </row>
    <row r="126" spans="1:4" x14ac:dyDescent="0.25">
      <c r="A126" s="250" t="s">
        <v>742</v>
      </c>
      <c r="B126">
        <v>7</v>
      </c>
      <c r="C126" s="251">
        <f>LOOKUP(T6_[[#This Row],[Etiquetas de fila]],'VALORIZACION CARTA'!B:B,'VALORIZACION CARTA'!C:C)</f>
        <v>1358.70712</v>
      </c>
      <c r="D126">
        <f>SUM(T6_[[#This Row],[Recuento de T6 CODIGO]]*T6_[[#This Row],[Columna1]])</f>
        <v>9510.9498400000011</v>
      </c>
    </row>
    <row r="127" spans="1:4" x14ac:dyDescent="0.25">
      <c r="A127" s="250" t="s">
        <v>951</v>
      </c>
      <c r="B127">
        <v>22</v>
      </c>
      <c r="C127" s="251">
        <f>LOOKUP(T6_[[#This Row],[Etiquetas de fila]],'VALORIZACION CARTA'!B:B,'VALORIZACION CARTA'!C:C)</f>
        <v>1163.4689039999998</v>
      </c>
      <c r="D127">
        <f>SUM(T6_[[#This Row],[Recuento de T6 CODIGO]]*T6_[[#This Row],[Columna1]])</f>
        <v>25596.315887999997</v>
      </c>
    </row>
    <row r="128" spans="1:4" x14ac:dyDescent="0.25">
      <c r="A128" s="250" t="s">
        <v>952</v>
      </c>
      <c r="B128">
        <v>7</v>
      </c>
      <c r="C128" s="251">
        <f>LOOKUP(T6_[[#This Row],[Etiquetas de fila]],'VALORIZACION CARTA'!B:B,'VALORIZACION CARTA'!C:C)</f>
        <v>1163.4689039999998</v>
      </c>
      <c r="D128">
        <f>SUM(T6_[[#This Row],[Recuento de T6 CODIGO]]*T6_[[#This Row],[Columna1]])</f>
        <v>8144.2823279999993</v>
      </c>
    </row>
    <row r="129" spans="1:4" x14ac:dyDescent="0.25">
      <c r="A129" s="250" t="s">
        <v>953</v>
      </c>
      <c r="B129">
        <v>10</v>
      </c>
      <c r="C129" s="251">
        <f>LOOKUP(T6_[[#This Row],[Etiquetas de fila]],'VALORIZACION CARTA'!B:B,'VALORIZACION CARTA'!C:C)</f>
        <v>1163.4689039999998</v>
      </c>
      <c r="D129">
        <f>SUM(T6_[[#This Row],[Recuento de T6 CODIGO]]*T6_[[#This Row],[Columna1]])</f>
        <v>11634.689039999997</v>
      </c>
    </row>
    <row r="130" spans="1:4" x14ac:dyDescent="0.25">
      <c r="A130" s="250" t="s">
        <v>624</v>
      </c>
      <c r="B130">
        <v>4</v>
      </c>
      <c r="C130" s="251">
        <f>LOOKUP(T6_[[#This Row],[Etiquetas de fila]],'VALORIZACION CARTA'!B:B,'VALORIZACION CARTA'!C:C)</f>
        <v>2952.4660000000003</v>
      </c>
      <c r="D130">
        <f>SUM(T6_[[#This Row],[Recuento de T6 CODIGO]]*T6_[[#This Row],[Columna1]])</f>
        <v>11809.864000000001</v>
      </c>
    </row>
    <row r="131" spans="1:4" x14ac:dyDescent="0.25">
      <c r="A131" s="250" t="s">
        <v>625</v>
      </c>
      <c r="B131">
        <v>1</v>
      </c>
      <c r="C131" s="251">
        <f>LOOKUP(T6_[[#This Row],[Etiquetas de fila]],'VALORIZACION CARTA'!B:B,'VALORIZACION CARTA'!C:C)</f>
        <v>1280.8248749999998</v>
      </c>
      <c r="D131">
        <f>SUM(T6_[[#This Row],[Recuento de T6 CODIGO]]*T6_[[#This Row],[Columna1]])</f>
        <v>1280.8248749999998</v>
      </c>
    </row>
    <row r="132" spans="1:4" x14ac:dyDescent="0.25">
      <c r="A132" s="250" t="s">
        <v>954</v>
      </c>
      <c r="B132">
        <v>35</v>
      </c>
      <c r="C132" s="251">
        <f>LOOKUP(T6_[[#This Row],[Etiquetas de fila]],'VALORIZACION CARTA'!B:B,'VALORIZACION CARTA'!C:C)</f>
        <v>356.00709375000002</v>
      </c>
      <c r="D132">
        <f>SUM(T6_[[#This Row],[Recuento de T6 CODIGO]]*T6_[[#This Row],[Columna1]])</f>
        <v>12460.24828125</v>
      </c>
    </row>
    <row r="133" spans="1:4" x14ac:dyDescent="0.25">
      <c r="A133" s="250" t="s">
        <v>880</v>
      </c>
      <c r="B133">
        <v>43</v>
      </c>
      <c r="C133" s="251">
        <f>LOOKUP(T6_[[#This Row],[Etiquetas de fila]],'VALORIZACION CARTA'!B:B,'VALORIZACION CARTA'!C:C)</f>
        <v>260.28646875000004</v>
      </c>
      <c r="D133">
        <f>SUM(T6_[[#This Row],[Recuento de T6 CODIGO]]*T6_[[#This Row],[Columna1]])</f>
        <v>11192.318156250001</v>
      </c>
    </row>
    <row r="134" spans="1:4" x14ac:dyDescent="0.25">
      <c r="A134" s="250" t="s">
        <v>857</v>
      </c>
      <c r="B134">
        <v>47</v>
      </c>
      <c r="C134" s="251">
        <f>LOOKUP(T6_[[#This Row],[Etiquetas de fila]],'VALORIZACION CARTA'!B:B,'VALORIZACION CARTA'!C:C)</f>
        <v>396.25884374999998</v>
      </c>
      <c r="D134">
        <f>SUM(T6_[[#This Row],[Recuento de T6 CODIGO]]*T6_[[#This Row],[Columna1]])</f>
        <v>18624.165656249999</v>
      </c>
    </row>
    <row r="135" spans="1:4" x14ac:dyDescent="0.25">
      <c r="A135" s="250" t="s">
        <v>956</v>
      </c>
      <c r="B135">
        <v>3</v>
      </c>
      <c r="C135" s="251">
        <f>LOOKUP(T6_[[#This Row],[Etiquetas de fila]],'VALORIZACION CARTA'!B:B,'VALORIZACION CARTA'!C:C)</f>
        <v>445.37771249999997</v>
      </c>
      <c r="D135">
        <f>SUM(T6_[[#This Row],[Recuento de T6 CODIGO]]*T6_[[#This Row],[Columna1]])</f>
        <v>1336.1331375</v>
      </c>
    </row>
    <row r="136" spans="1:4" x14ac:dyDescent="0.25">
      <c r="A136" s="250" t="s">
        <v>957</v>
      </c>
      <c r="B136">
        <v>14</v>
      </c>
      <c r="C136" s="251">
        <f>LOOKUP(T6_[[#This Row],[Etiquetas de fila]],'VALORIZACION CARTA'!B:B,'VALORIZACION CARTA'!C:C)</f>
        <v>553.29974000000004</v>
      </c>
      <c r="D136">
        <f>SUM(T6_[[#This Row],[Recuento de T6 CODIGO]]*T6_[[#This Row],[Columna1]])</f>
        <v>7746.1963600000008</v>
      </c>
    </row>
    <row r="137" spans="1:4" x14ac:dyDescent="0.25">
      <c r="A137" s="250" t="s">
        <v>862</v>
      </c>
      <c r="B137">
        <v>49</v>
      </c>
      <c r="C137" s="251">
        <f>LOOKUP(T6_[[#This Row],[Etiquetas de fila]],'VALORIZACION CARTA'!B:B,'VALORIZACION CARTA'!C:C)</f>
        <v>466.57668750000005</v>
      </c>
      <c r="D137">
        <f>SUM(T6_[[#This Row],[Recuento de T6 CODIGO]]*T6_[[#This Row],[Columna1]])</f>
        <v>22862.257687500001</v>
      </c>
    </row>
    <row r="138" spans="1:4" x14ac:dyDescent="0.25">
      <c r="A138" s="250" t="s">
        <v>959</v>
      </c>
      <c r="B138">
        <v>4</v>
      </c>
      <c r="C138" s="251">
        <f>LOOKUP(T6_[[#This Row],[Etiquetas de fila]],'VALORIZACION CARTA'!B:B,'VALORIZACION CARTA'!C:C)</f>
        <v>3360.56</v>
      </c>
      <c r="D138">
        <f>SUM(T6_[[#This Row],[Recuento de T6 CODIGO]]*T6_[[#This Row],[Columna1]])</f>
        <v>13442.24</v>
      </c>
    </row>
    <row r="139" spans="1:4" x14ac:dyDescent="0.25">
      <c r="A139" s="250" t="s">
        <v>875</v>
      </c>
      <c r="B139">
        <v>8</v>
      </c>
      <c r="C139" s="251">
        <f>LOOKUP(T6_[[#This Row],[Etiquetas de fila]],'VALORIZACION CARTA'!B:B,'VALORIZACION CARTA'!C:C)</f>
        <v>2215.8185750000002</v>
      </c>
      <c r="D139">
        <f>SUM(T6_[[#This Row],[Recuento de T6 CODIGO]]*T6_[[#This Row],[Columna1]])</f>
        <v>17726.548600000002</v>
      </c>
    </row>
    <row r="140" spans="1:4" x14ac:dyDescent="0.25">
      <c r="A140" s="250" t="s">
        <v>961</v>
      </c>
      <c r="B140">
        <v>1</v>
      </c>
      <c r="C140" s="251">
        <f>LOOKUP(T6_[[#This Row],[Etiquetas de fila]],'VALORIZACION CARTA'!B:B,'VALORIZACION CARTA'!C:C)</f>
        <v>475.18470374999993</v>
      </c>
      <c r="D140">
        <f>SUM(T6_[[#This Row],[Recuento de T6 CODIGO]]*T6_[[#This Row],[Columna1]])</f>
        <v>475.18470374999993</v>
      </c>
    </row>
    <row r="141" spans="1:4" x14ac:dyDescent="0.25">
      <c r="A141" s="250" t="s">
        <v>1046</v>
      </c>
      <c r="B141">
        <v>10</v>
      </c>
      <c r="C141" s="251">
        <f>LOOKUP(T6_[[#This Row],[Etiquetas de fila]],'VALORIZACION CARTA'!B:B,'VALORIZACION CARTA'!C:C)</f>
        <v>475.18470374999993</v>
      </c>
      <c r="D141">
        <f>SUM(T6_[[#This Row],[Recuento de T6 CODIGO]]*T6_[[#This Row],[Columna1]])</f>
        <v>4751.8470374999997</v>
      </c>
    </row>
    <row r="142" spans="1:4" x14ac:dyDescent="0.25">
      <c r="A142" s="250" t="s">
        <v>881</v>
      </c>
      <c r="B142">
        <v>5</v>
      </c>
      <c r="C142" s="251">
        <f>LOOKUP(T6_[[#This Row],[Etiquetas de fila]],'VALORIZACION CARTA'!B:B,'VALORIZACION CARTA'!C:C)</f>
        <v>991.76869749999992</v>
      </c>
      <c r="D142">
        <f>SUM(T6_[[#This Row],[Recuento de T6 CODIGO]]*T6_[[#This Row],[Columna1]])</f>
        <v>4958.8434874999994</v>
      </c>
    </row>
    <row r="143" spans="1:4" x14ac:dyDescent="0.25">
      <c r="A143" s="250" t="s">
        <v>963</v>
      </c>
      <c r="B143">
        <v>19</v>
      </c>
      <c r="C143" s="251">
        <f>LOOKUP(T6_[[#This Row],[Etiquetas de fila]],'VALORIZACION CARTA'!B:B,'VALORIZACION CARTA'!C:C)</f>
        <v>991.76869749999992</v>
      </c>
      <c r="D143">
        <f>SUM(T6_[[#This Row],[Recuento de T6 CODIGO]]*T6_[[#This Row],[Columna1]])</f>
        <v>18843.605252499998</v>
      </c>
    </row>
    <row r="144" spans="1:4" x14ac:dyDescent="0.25">
      <c r="A144" s="250" t="s">
        <v>845</v>
      </c>
      <c r="B144">
        <v>5</v>
      </c>
      <c r="C144" s="251">
        <f>LOOKUP(T6_[[#This Row],[Etiquetas de fila]],'VALORIZACION CARTA'!B:B,'VALORIZACION CARTA'!C:C)</f>
        <v>806.65921874999992</v>
      </c>
      <c r="D144">
        <f>SUM(T6_[[#This Row],[Recuento de T6 CODIGO]]*T6_[[#This Row],[Columna1]])</f>
        <v>4033.2960937499997</v>
      </c>
    </row>
    <row r="145" spans="1:4" x14ac:dyDescent="0.25">
      <c r="A145" s="250" t="s">
        <v>874</v>
      </c>
      <c r="B145">
        <v>6</v>
      </c>
      <c r="C145" s="251">
        <f>LOOKUP(T6_[[#This Row],[Etiquetas de fila]],'VALORIZACION CARTA'!B:B,'VALORIZACION CARTA'!C:C)</f>
        <v>915.41563749999989</v>
      </c>
      <c r="D145">
        <f>SUM(T6_[[#This Row],[Recuento de T6 CODIGO]]*T6_[[#This Row],[Columna1]])</f>
        <v>5492.4938249999996</v>
      </c>
    </row>
    <row r="146" spans="1:4" x14ac:dyDescent="0.25">
      <c r="A146" s="250" t="s">
        <v>655</v>
      </c>
      <c r="B146">
        <v>8</v>
      </c>
      <c r="C146" s="251">
        <f>LOOKUP(T6_[[#This Row],[Etiquetas de fila]],'VALORIZACION CARTA'!B:B,'VALORIZACION CARTA'!C:C)</f>
        <v>1049.9626625000001</v>
      </c>
      <c r="D146">
        <f>SUM(T6_[[#This Row],[Recuento de T6 CODIGO]]*T6_[[#This Row],[Columna1]])</f>
        <v>8399.7013000000006</v>
      </c>
    </row>
    <row r="147" spans="1:4" x14ac:dyDescent="0.25">
      <c r="A147" s="250" t="s">
        <v>965</v>
      </c>
      <c r="B147">
        <v>17</v>
      </c>
      <c r="C147" s="251">
        <f>LOOKUP(T6_[[#This Row],[Etiquetas de fila]],'VALORIZACION CARTA'!B:B,'VALORIZACION CARTA'!C:C)</f>
        <v>1049.9626625000001</v>
      </c>
      <c r="D147">
        <f>SUM(T6_[[#This Row],[Recuento de T6 CODIGO]]*T6_[[#This Row],[Columna1]])</f>
        <v>17849.365262500003</v>
      </c>
    </row>
    <row r="148" spans="1:4" x14ac:dyDescent="0.25">
      <c r="A148" s="250" t="s">
        <v>891</v>
      </c>
      <c r="B148">
        <v>2</v>
      </c>
      <c r="C148" s="251">
        <f>LOOKUP(T6_[[#This Row],[Etiquetas de fila]],'VALORIZACION CARTA'!B:B,'VALORIZACION CARTA'!C:C)</f>
        <v>919.50254374999997</v>
      </c>
      <c r="D148">
        <f>SUM(T6_[[#This Row],[Recuento de T6 CODIGO]]*T6_[[#This Row],[Columna1]])</f>
        <v>1839.0050874999999</v>
      </c>
    </row>
    <row r="149" spans="1:4" x14ac:dyDescent="0.25">
      <c r="A149" s="250" t="s">
        <v>966</v>
      </c>
      <c r="B149">
        <v>2</v>
      </c>
      <c r="C149" s="251">
        <f>LOOKUP(T6_[[#This Row],[Etiquetas de fila]],'VALORIZACION CARTA'!B:B,'VALORIZACION CARTA'!C:C)</f>
        <v>868.31766874999994</v>
      </c>
      <c r="D149">
        <f>SUM(T6_[[#This Row],[Recuento de T6 CODIGO]]*T6_[[#This Row],[Columna1]])</f>
        <v>1736.6353374999999</v>
      </c>
    </row>
    <row r="150" spans="1:4" x14ac:dyDescent="0.25">
      <c r="A150" s="250" t="s">
        <v>1047</v>
      </c>
      <c r="B150">
        <v>19</v>
      </c>
      <c r="C150" s="251">
        <f>LOOKUP(T6_[[#This Row],[Etiquetas de fila]],'VALORIZACION CARTA'!B:B,'VALORIZACION CARTA'!C:C)</f>
        <v>868.31766874999994</v>
      </c>
      <c r="D150">
        <f>SUM(T6_[[#This Row],[Recuento de T6 CODIGO]]*T6_[[#This Row],[Columna1]])</f>
        <v>16498.035706249997</v>
      </c>
    </row>
    <row r="151" spans="1:4" x14ac:dyDescent="0.25">
      <c r="A151" s="250" t="s">
        <v>1048</v>
      </c>
      <c r="B151">
        <v>11</v>
      </c>
      <c r="C151" s="251">
        <f>LOOKUP(T6_[[#This Row],[Etiquetas de fila]],'VALORIZACION CARTA'!B:B,'VALORIZACION CARTA'!C:C)</f>
        <v>868.31766874999994</v>
      </c>
      <c r="D151">
        <f>SUM(T6_[[#This Row],[Recuento de T6 CODIGO]]*T6_[[#This Row],[Columna1]])</f>
        <v>9551.4943562499993</v>
      </c>
    </row>
    <row r="152" spans="1:4" x14ac:dyDescent="0.25">
      <c r="A152" s="250" t="s">
        <v>1071</v>
      </c>
      <c r="B152">
        <v>1</v>
      </c>
      <c r="C152" s="251">
        <f>LOOKUP(T6_[[#This Row],[Etiquetas de fila]],'VALORIZACION CARTA'!B:B,'VALORIZACION CARTA'!C:C)</f>
        <v>2732.4020062499999</v>
      </c>
      <c r="D152">
        <f>SUM(T6_[[#This Row],[Recuento de T6 CODIGO]]*T6_[[#This Row],[Columna1]])</f>
        <v>2732.4020062499999</v>
      </c>
    </row>
    <row r="153" spans="1:4" x14ac:dyDescent="0.25">
      <c r="A153" s="250" t="s">
        <v>895</v>
      </c>
      <c r="B153">
        <v>1</v>
      </c>
      <c r="C153" s="251">
        <f>LOOKUP(T6_[[#This Row],[Etiquetas de fila]],'VALORIZACION CARTA'!B:B,'VALORIZACION CARTA'!C:C)</f>
        <v>704.66899999999998</v>
      </c>
      <c r="D153">
        <f>SUM(T6_[[#This Row],[Recuento de T6 CODIGO]]*T6_[[#This Row],[Columna1]])</f>
        <v>704.66899999999998</v>
      </c>
    </row>
    <row r="154" spans="1:4" x14ac:dyDescent="0.25">
      <c r="A154" s="250" t="s">
        <v>968</v>
      </c>
      <c r="B154">
        <v>19</v>
      </c>
      <c r="C154" s="251">
        <f>LOOKUP(T6_[[#This Row],[Etiquetas de fila]],'VALORIZACION CARTA'!B:B,'VALORIZACION CARTA'!C:C)</f>
        <v>664.35</v>
      </c>
      <c r="D154">
        <f>SUM(T6_[[#This Row],[Recuento de T6 CODIGO]]*T6_[[#This Row],[Columna1]])</f>
        <v>12622.65</v>
      </c>
    </row>
    <row r="155" spans="1:4" x14ac:dyDescent="0.25">
      <c r="A155" s="250" t="s">
        <v>969</v>
      </c>
      <c r="B155">
        <v>2</v>
      </c>
      <c r="C155" s="251">
        <f>LOOKUP(T6_[[#This Row],[Etiquetas de fila]],'VALORIZACION CARTA'!B:B,'VALORIZACION CARTA'!C:C)</f>
        <v>664.24679999999989</v>
      </c>
      <c r="D155">
        <f>SUM(T6_[[#This Row],[Recuento de T6 CODIGO]]*T6_[[#This Row],[Columna1]])</f>
        <v>1328.4935999999998</v>
      </c>
    </row>
    <row r="156" spans="1:4" x14ac:dyDescent="0.25">
      <c r="A156" s="250" t="s">
        <v>970</v>
      </c>
      <c r="B156">
        <v>4</v>
      </c>
      <c r="C156" s="251">
        <f>LOOKUP(T6_[[#This Row],[Etiquetas de fila]],'VALORIZACION CARTA'!B:B,'VALORIZACION CARTA'!C:C)</f>
        <v>664.24679999999989</v>
      </c>
      <c r="D156">
        <f>SUM(T6_[[#This Row],[Recuento de T6 CODIGO]]*T6_[[#This Row],[Columna1]])</f>
        <v>2656.9871999999996</v>
      </c>
    </row>
    <row r="157" spans="1:4" x14ac:dyDescent="0.25">
      <c r="A157" s="250" t="s">
        <v>556</v>
      </c>
      <c r="B157">
        <v>1</v>
      </c>
      <c r="C157" s="251">
        <f>LOOKUP(T6_[[#This Row],[Etiquetas de fila]],'VALORIZACION CARTA'!B:B,'VALORIZACION CARTA'!C:C)</f>
        <v>0</v>
      </c>
      <c r="D157">
        <f>SUM(T6_[[#This Row],[Recuento de T6 CODIGO]]*T6_[[#This Row],[Columna1]])</f>
        <v>0</v>
      </c>
    </row>
    <row r="158" spans="1:4" x14ac:dyDescent="0.25">
      <c r="A158" s="250" t="s">
        <v>557</v>
      </c>
      <c r="B158">
        <v>4</v>
      </c>
      <c r="C158" s="251">
        <f>LOOKUP(T6_[[#This Row],[Etiquetas de fila]],'VALORIZACION CARTA'!B:B,'VALORIZACION CARTA'!C:C)</f>
        <v>0</v>
      </c>
      <c r="D158">
        <f>SUM(T6_[[#This Row],[Recuento de T6 CODIGO]]*T6_[[#This Row],[Columna1]])</f>
        <v>0</v>
      </c>
    </row>
    <row r="159" spans="1:4" x14ac:dyDescent="0.25">
      <c r="A159" s="250" t="s">
        <v>716</v>
      </c>
      <c r="B159">
        <v>2</v>
      </c>
      <c r="C159" s="251">
        <f>LOOKUP(T6_[[#This Row],[Etiquetas de fila]],'VALORIZACION CARTA'!B:B,'VALORIZACION CARTA'!C:C)</f>
        <v>0</v>
      </c>
      <c r="D159">
        <f>SUM(T6_[[#This Row],[Recuento de T6 CODIGO]]*T6_[[#This Row],[Columna1]])</f>
        <v>0</v>
      </c>
    </row>
    <row r="160" spans="1:4" x14ac:dyDescent="0.25">
      <c r="A160" s="250" t="s">
        <v>971</v>
      </c>
      <c r="B160">
        <v>3</v>
      </c>
      <c r="C160" s="251">
        <f>LOOKUP(T6_[[#This Row],[Etiquetas de fila]],'VALORIZACION CARTA'!B:B,'VALORIZACION CARTA'!C:C)</f>
        <v>704.62379999999996</v>
      </c>
      <c r="D160">
        <f>SUM(T6_[[#This Row],[Recuento de T6 CODIGO]]*T6_[[#This Row],[Columna1]])</f>
        <v>2113.8714</v>
      </c>
    </row>
    <row r="161" spans="1:4" x14ac:dyDescent="0.25">
      <c r="A161" s="250" t="s">
        <v>972</v>
      </c>
      <c r="B161">
        <v>26</v>
      </c>
      <c r="C161" s="251">
        <f>LOOKUP(T6_[[#This Row],[Etiquetas de fila]],'VALORIZACION CARTA'!B:B,'VALORIZACION CARTA'!C:C)</f>
        <v>3994.56</v>
      </c>
      <c r="D161">
        <f>SUM(T6_[[#This Row],[Recuento de T6 CODIGO]]*T6_[[#This Row],[Columna1]])</f>
        <v>103858.56</v>
      </c>
    </row>
    <row r="162" spans="1:4" x14ac:dyDescent="0.25">
      <c r="A162" s="250" t="s">
        <v>973</v>
      </c>
      <c r="B162">
        <v>14</v>
      </c>
      <c r="C162" s="251">
        <f>LOOKUP(T6_[[#This Row],[Etiquetas de fila]],'VALORIZACION CARTA'!B:B,'VALORIZACION CARTA'!C:C)</f>
        <v>3662.6923076923072</v>
      </c>
      <c r="D162">
        <f>SUM(T6_[[#This Row],[Recuento de T6 CODIGO]]*T6_[[#This Row],[Columna1]])</f>
        <v>51277.692307692298</v>
      </c>
    </row>
    <row r="163" spans="1:4" x14ac:dyDescent="0.25">
      <c r="A163" s="250" t="s">
        <v>975</v>
      </c>
      <c r="B163">
        <v>9</v>
      </c>
      <c r="C163" s="251">
        <f>LOOKUP(T6_[[#This Row],[Etiquetas de fila]],'VALORIZACION CARTA'!B:B,'VALORIZACION CARTA'!C:C)</f>
        <v>467.67</v>
      </c>
      <c r="D163">
        <f>SUM(T6_[[#This Row],[Recuento de T6 CODIGO]]*T6_[[#This Row],[Columna1]])</f>
        <v>4209.03</v>
      </c>
    </row>
    <row r="164" spans="1:4" x14ac:dyDescent="0.25">
      <c r="A164" s="250" t="s">
        <v>976</v>
      </c>
      <c r="B164">
        <v>2</v>
      </c>
      <c r="C164" s="251">
        <f>LOOKUP(T6_[[#This Row],[Etiquetas de fila]],'VALORIZACION CARTA'!B:B,'VALORIZACION CARTA'!C:C)</f>
        <v>4533.476333333334</v>
      </c>
      <c r="D164">
        <f>SUM(T6_[[#This Row],[Recuento de T6 CODIGO]]*T6_[[#This Row],[Columna1]])</f>
        <v>9066.9526666666679</v>
      </c>
    </row>
    <row r="165" spans="1:4" x14ac:dyDescent="0.25">
      <c r="A165" s="250" t="s">
        <v>977</v>
      </c>
      <c r="B165">
        <v>1</v>
      </c>
      <c r="C165" s="251">
        <f>LOOKUP(T6_[[#This Row],[Etiquetas de fila]],'VALORIZACION CARTA'!B:B,'VALORIZACION CARTA'!C:C)</f>
        <v>2001.9100000000003</v>
      </c>
      <c r="D165">
        <f>SUM(T6_[[#This Row],[Recuento de T6 CODIGO]]*T6_[[#This Row],[Columna1]])</f>
        <v>2001.9100000000003</v>
      </c>
    </row>
    <row r="166" spans="1:4" x14ac:dyDescent="0.25">
      <c r="A166" s="250" t="s">
        <v>979</v>
      </c>
      <c r="B166">
        <v>6</v>
      </c>
      <c r="C166" s="251">
        <f>LOOKUP(T6_[[#This Row],[Etiquetas de fila]],'VALORIZACION CARTA'!B:B,'VALORIZACION CARTA'!C:C)</f>
        <v>2157.8183076923078</v>
      </c>
      <c r="D166">
        <f>SUM(T6_[[#This Row],[Recuento de T6 CODIGO]]*T6_[[#This Row],[Columna1]])</f>
        <v>12946.909846153847</v>
      </c>
    </row>
    <row r="167" spans="1:4" x14ac:dyDescent="0.25">
      <c r="A167" s="250" t="s">
        <v>980</v>
      </c>
      <c r="B167">
        <v>1</v>
      </c>
      <c r="C167" s="251">
        <f>LOOKUP(T6_[[#This Row],[Etiquetas de fila]],'VALORIZACION CARTA'!B:B,'VALORIZACION CARTA'!C:C)</f>
        <v>5087.5800000000008</v>
      </c>
      <c r="D167">
        <f>SUM(T6_[[#This Row],[Recuento de T6 CODIGO]]*T6_[[#This Row],[Columna1]])</f>
        <v>5087.5800000000008</v>
      </c>
    </row>
    <row r="168" spans="1:4" x14ac:dyDescent="0.25">
      <c r="A168" s="250" t="s">
        <v>981</v>
      </c>
      <c r="B168">
        <v>3</v>
      </c>
      <c r="C168" s="251">
        <f>LOOKUP(T6_[[#This Row],[Etiquetas de fila]],'VALORIZACION CARTA'!B:B,'VALORIZACION CARTA'!C:C)</f>
        <v>5214.9100000000008</v>
      </c>
      <c r="D168">
        <f>SUM(T6_[[#This Row],[Recuento de T6 CODIGO]]*T6_[[#This Row],[Columna1]])</f>
        <v>15644.730000000003</v>
      </c>
    </row>
    <row r="169" spans="1:4" x14ac:dyDescent="0.25">
      <c r="A169" s="250" t="s">
        <v>555</v>
      </c>
      <c r="B169">
        <v>4</v>
      </c>
      <c r="C169" s="251">
        <f>LOOKUP(T6_[[#This Row],[Etiquetas de fila]],'VALORIZACION CARTA'!B:B,'VALORIZACION CARTA'!C:C)</f>
        <v>4473.9366666666674</v>
      </c>
      <c r="D169">
        <f>SUM(T6_[[#This Row],[Recuento de T6 CODIGO]]*T6_[[#This Row],[Columna1]])</f>
        <v>17895.74666666667</v>
      </c>
    </row>
    <row r="170" spans="1:4" x14ac:dyDescent="0.25">
      <c r="A170" s="250" t="s">
        <v>982</v>
      </c>
      <c r="B170">
        <v>13</v>
      </c>
      <c r="C170" s="251">
        <f>LOOKUP(T6_[[#This Row],[Etiquetas de fila]],'VALORIZACION CARTA'!B:B,'VALORIZACION CARTA'!C:C)</f>
        <v>879.64050000000009</v>
      </c>
      <c r="D170">
        <f>SUM(T6_[[#This Row],[Recuento de T6 CODIGO]]*T6_[[#This Row],[Columna1]])</f>
        <v>11435.326500000001</v>
      </c>
    </row>
    <row r="171" spans="1:4" x14ac:dyDescent="0.25">
      <c r="A171" s="250" t="s">
        <v>983</v>
      </c>
      <c r="B171">
        <v>4</v>
      </c>
      <c r="C171" s="251">
        <f>LOOKUP(T6_[[#This Row],[Etiquetas de fila]],'VALORIZACION CARTA'!B:B,'VALORIZACION CARTA'!C:C)</f>
        <v>704.62379999999996</v>
      </c>
      <c r="D171">
        <f>SUM(T6_[[#This Row],[Recuento de T6 CODIGO]]*T6_[[#This Row],[Columna1]])</f>
        <v>2818.4951999999998</v>
      </c>
    </row>
    <row r="172" spans="1:4" x14ac:dyDescent="0.25">
      <c r="A172" s="250" t="s">
        <v>984</v>
      </c>
      <c r="B172">
        <v>7</v>
      </c>
      <c r="C172" s="251">
        <f>LOOKUP(T6_[[#This Row],[Etiquetas de fila]],'VALORIZACION CARTA'!B:B,'VALORIZACION CARTA'!C:C)</f>
        <v>704.64960000000008</v>
      </c>
      <c r="D172">
        <f>SUM(T6_[[#This Row],[Recuento de T6 CODIGO]]*T6_[[#This Row],[Columna1]])</f>
        <v>4932.5472000000009</v>
      </c>
    </row>
    <row r="173" spans="1:4" x14ac:dyDescent="0.25">
      <c r="A173" s="250" t="s">
        <v>985</v>
      </c>
      <c r="B173">
        <v>2</v>
      </c>
      <c r="C173" s="251">
        <f>LOOKUP(T6_[[#This Row],[Etiquetas de fila]],'VALORIZACION CARTA'!B:B,'VALORIZACION CARTA'!C:C)</f>
        <v>704.62379999999996</v>
      </c>
      <c r="D173">
        <f>SUM(T6_[[#This Row],[Recuento de T6 CODIGO]]*T6_[[#This Row],[Columna1]])</f>
        <v>1409.2475999999999</v>
      </c>
    </row>
    <row r="174" spans="1:4" x14ac:dyDescent="0.25">
      <c r="A174" s="250" t="s">
        <v>986</v>
      </c>
      <c r="B174">
        <v>6</v>
      </c>
      <c r="C174" s="251">
        <f>LOOKUP(T6_[[#This Row],[Etiquetas de fila]],'VALORIZACION CARTA'!B:B,'VALORIZACION CARTA'!C:C)</f>
        <v>704.62379999999996</v>
      </c>
      <c r="D174">
        <f>SUM(T6_[[#This Row],[Recuento de T6 CODIGO]]*T6_[[#This Row],[Columna1]])</f>
        <v>4227.7428</v>
      </c>
    </row>
    <row r="175" spans="1:4" x14ac:dyDescent="0.25">
      <c r="A175" s="250" t="s">
        <v>626</v>
      </c>
      <c r="B175">
        <v>68</v>
      </c>
      <c r="C175" s="251">
        <f>LOOKUP(T6_[[#This Row],[Etiquetas de fila]],'VALORIZACION CARTA'!B:B,'VALORIZACION CARTA'!C:C)</f>
        <v>106.04015625000002</v>
      </c>
      <c r="D175">
        <f>SUM(T6_[[#This Row],[Recuento de T6 CODIGO]]*T6_[[#This Row],[Columna1]])</f>
        <v>7210.730625000002</v>
      </c>
    </row>
    <row r="176" spans="1:4" x14ac:dyDescent="0.25">
      <c r="A176" s="250" t="s">
        <v>205</v>
      </c>
      <c r="B176">
        <v>38</v>
      </c>
      <c r="C176" s="251">
        <f>LOOKUP(T6_[[#This Row],[Etiquetas de fila]],'VALORIZACION CARTA'!B:B,'VALORIZACION CARTA'!C:C)</f>
        <v>106.04015625000002</v>
      </c>
      <c r="D176">
        <f>SUM(T6_[[#This Row],[Recuento de T6 CODIGO]]*T6_[[#This Row],[Columna1]])</f>
        <v>4029.525937500001</v>
      </c>
    </row>
    <row r="177" spans="1:4" x14ac:dyDescent="0.25">
      <c r="A177" s="250" t="s">
        <v>885</v>
      </c>
      <c r="B177">
        <v>10</v>
      </c>
      <c r="C177" s="251">
        <f>LOOKUP(T6_[[#This Row],[Etiquetas de fila]],'VALORIZACION CARTA'!B:B,'VALORIZACION CARTA'!C:C)</f>
        <v>349.86</v>
      </c>
      <c r="D177">
        <f>SUM(T6_[[#This Row],[Recuento de T6 CODIGO]]*T6_[[#This Row],[Columna1]])</f>
        <v>3498.6000000000004</v>
      </c>
    </row>
    <row r="178" spans="1:4" x14ac:dyDescent="0.25">
      <c r="A178" s="250" t="s">
        <v>858</v>
      </c>
      <c r="B178">
        <v>16</v>
      </c>
      <c r="C178" s="251">
        <f>LOOKUP(T6_[[#This Row],[Etiquetas de fila]],'VALORIZACION CARTA'!B:B,'VALORIZACION CARTA'!C:C)</f>
        <v>467.67</v>
      </c>
      <c r="D178">
        <f>SUM(T6_[[#This Row],[Recuento de T6 CODIGO]]*T6_[[#This Row],[Columna1]])</f>
        <v>7482.72</v>
      </c>
    </row>
    <row r="179" spans="1:4" x14ac:dyDescent="0.25">
      <c r="A179" s="250" t="s">
        <v>558</v>
      </c>
      <c r="B179">
        <v>8</v>
      </c>
      <c r="C179" s="251">
        <f>LOOKUP(T6_[[#This Row],[Etiquetas de fila]],'VALORIZACION CARTA'!B:B,'VALORIZACION CARTA'!C:C)</f>
        <v>852.38900000000001</v>
      </c>
      <c r="D179">
        <f>SUM(T6_[[#This Row],[Recuento de T6 CODIGO]]*T6_[[#This Row],[Columna1]])</f>
        <v>6819.1120000000001</v>
      </c>
    </row>
    <row r="180" spans="1:4" x14ac:dyDescent="0.25">
      <c r="A180" s="250" t="s">
        <v>559</v>
      </c>
      <c r="B180">
        <v>5</v>
      </c>
      <c r="C180" s="251">
        <f>LOOKUP(T6_[[#This Row],[Etiquetas de fila]],'VALORIZACION CARTA'!B:B,'VALORIZACION CARTA'!C:C)</f>
        <v>1392.5335</v>
      </c>
      <c r="D180">
        <f>SUM(T6_[[#This Row],[Recuento de T6 CODIGO]]*T6_[[#This Row],[Columna1]])</f>
        <v>6962.6674999999996</v>
      </c>
    </row>
    <row r="181" spans="1:4" x14ac:dyDescent="0.25">
      <c r="A181" s="250" t="s">
        <v>988</v>
      </c>
      <c r="B181">
        <v>1</v>
      </c>
      <c r="C181" s="251">
        <f>LOOKUP(T6_[[#This Row],[Etiquetas de fila]],'VALORIZACION CARTA'!B:B,'VALORIZACION CARTA'!C:C)</f>
        <v>1375.6343125000001</v>
      </c>
      <c r="D181">
        <f>SUM(T6_[[#This Row],[Recuento de T6 CODIGO]]*T6_[[#This Row],[Columna1]])</f>
        <v>1375.6343125000001</v>
      </c>
    </row>
    <row r="182" spans="1:4" x14ac:dyDescent="0.25">
      <c r="A182" s="250" t="s">
        <v>990</v>
      </c>
      <c r="B182">
        <v>15</v>
      </c>
      <c r="C182" s="251">
        <f>LOOKUP(T6_[[#This Row],[Etiquetas de fila]],'VALORIZACION CARTA'!B:B,'VALORIZACION CARTA'!C:C)</f>
        <v>1137.0918125000001</v>
      </c>
      <c r="D182">
        <f>SUM(T6_[[#This Row],[Recuento de T6 CODIGO]]*T6_[[#This Row],[Columna1]])</f>
        <v>17056.377187500002</v>
      </c>
    </row>
    <row r="183" spans="1:4" x14ac:dyDescent="0.25">
      <c r="A183" s="250" t="s">
        <v>320</v>
      </c>
      <c r="B183">
        <v>33</v>
      </c>
      <c r="C183" s="251">
        <f>LOOKUP(T6_[[#This Row],[Etiquetas de fila]],'VALORIZACION CARTA'!B:B,'VALORIZACION CARTA'!C:C)</f>
        <v>496.56381249999998</v>
      </c>
      <c r="D183">
        <f>SUM(T6_[[#This Row],[Recuento de T6 CODIGO]]*T6_[[#This Row],[Columna1]])</f>
        <v>16386.605812499998</v>
      </c>
    </row>
    <row r="184" spans="1:4" x14ac:dyDescent="0.25">
      <c r="A184" s="250" t="s">
        <v>838</v>
      </c>
      <c r="B184">
        <v>40</v>
      </c>
      <c r="C184" s="251">
        <f>LOOKUP(T6_[[#This Row],[Etiquetas de fila]],'VALORIZACION CARTA'!B:B,'VALORIZACION CARTA'!C:C)</f>
        <v>1560.506625</v>
      </c>
      <c r="D184">
        <f>SUM(T6_[[#This Row],[Recuento de T6 CODIGO]]*T6_[[#This Row],[Columna1]])</f>
        <v>62420.264999999999</v>
      </c>
    </row>
    <row r="185" spans="1:4" x14ac:dyDescent="0.25">
      <c r="A185" s="250" t="s">
        <v>991</v>
      </c>
      <c r="B185">
        <v>6</v>
      </c>
      <c r="C185" s="251">
        <f>LOOKUP(T6_[[#This Row],[Etiquetas de fila]],'VALORIZACION CARTA'!B:B,'VALORIZACION CARTA'!C:C)</f>
        <v>1560.506625</v>
      </c>
      <c r="D185">
        <f>SUM(T6_[[#This Row],[Recuento de T6 CODIGO]]*T6_[[#This Row],[Columna1]])</f>
        <v>9363.0397499999999</v>
      </c>
    </row>
    <row r="186" spans="1:4" x14ac:dyDescent="0.25">
      <c r="A186" s="250" t="s">
        <v>993</v>
      </c>
      <c r="B186">
        <v>142</v>
      </c>
      <c r="C186" s="251">
        <f>LOOKUP(T6_[[#This Row],[Etiquetas de fila]],'VALORIZACION CARTA'!B:B,'VALORIZACION CARTA'!C:C)</f>
        <v>1560.506625</v>
      </c>
      <c r="D186">
        <f>SUM(T6_[[#This Row],[Recuento de T6 CODIGO]]*T6_[[#This Row],[Columna1]])</f>
        <v>221591.94075000001</v>
      </c>
    </row>
    <row r="187" spans="1:4" x14ac:dyDescent="0.25">
      <c r="A187" s="250" t="s">
        <v>994</v>
      </c>
      <c r="B187">
        <v>3</v>
      </c>
      <c r="C187" s="251">
        <f>LOOKUP(T6_[[#This Row],[Etiquetas de fila]],'VALORIZACION CARTA'!B:B,'VALORIZACION CARTA'!C:C)</f>
        <v>2110.0743124999999</v>
      </c>
      <c r="D187">
        <f>SUM(T6_[[#This Row],[Recuento de T6 CODIGO]]*T6_[[#This Row],[Columna1]])</f>
        <v>6330.2229374999997</v>
      </c>
    </row>
    <row r="188" spans="1:4" x14ac:dyDescent="0.25">
      <c r="A188" s="250" t="s">
        <v>995</v>
      </c>
      <c r="B188">
        <v>15</v>
      </c>
      <c r="C188" s="251">
        <f>LOOKUP(T6_[[#This Row],[Etiquetas de fila]],'VALORIZACION CARTA'!B:B,'VALORIZACION CARTA'!C:C)</f>
        <v>1237.3248125</v>
      </c>
      <c r="D188">
        <f>SUM(T6_[[#This Row],[Recuento de T6 CODIGO]]*T6_[[#This Row],[Columna1]])</f>
        <v>18559.872187500001</v>
      </c>
    </row>
    <row r="189" spans="1:4" x14ac:dyDescent="0.25">
      <c r="A189" s="250" t="s">
        <v>321</v>
      </c>
      <c r="B189">
        <v>34</v>
      </c>
      <c r="C189" s="251">
        <f>LOOKUP(T6_[[#This Row],[Etiquetas de fila]],'VALORIZACION CARTA'!B:B,'VALORIZACION CARTA'!C:C)</f>
        <v>618.27850000000001</v>
      </c>
      <c r="D189">
        <f>SUM(T6_[[#This Row],[Recuento de T6 CODIGO]]*T6_[[#This Row],[Columna1]])</f>
        <v>21021.469000000001</v>
      </c>
    </row>
    <row r="190" spans="1:4" x14ac:dyDescent="0.25">
      <c r="A190" s="250" t="s">
        <v>997</v>
      </c>
      <c r="B190">
        <v>20</v>
      </c>
      <c r="C190" s="251">
        <f>LOOKUP(T6_[[#This Row],[Etiquetas de fila]],'VALORIZACION CARTA'!B:B,'VALORIZACION CARTA'!C:C)</f>
        <v>485.19437499999998</v>
      </c>
      <c r="D190">
        <f>SUM(T6_[[#This Row],[Recuento de T6 CODIGO]]*T6_[[#This Row],[Columna1]])</f>
        <v>9703.8874999999989</v>
      </c>
    </row>
    <row r="191" spans="1:4" x14ac:dyDescent="0.25">
      <c r="A191" s="250" t="s">
        <v>998</v>
      </c>
      <c r="B191">
        <v>7</v>
      </c>
      <c r="C191" s="251">
        <f>LOOKUP(T6_[[#This Row],[Etiquetas de fila]],'VALORIZACION CARTA'!B:B,'VALORIZACION CARTA'!C:C)</f>
        <v>485.19437499999998</v>
      </c>
      <c r="D191">
        <f>SUM(T6_[[#This Row],[Recuento de T6 CODIGO]]*T6_[[#This Row],[Columna1]])</f>
        <v>3396.3606249999998</v>
      </c>
    </row>
    <row r="192" spans="1:4" x14ac:dyDescent="0.25">
      <c r="A192" s="250" t="s">
        <v>999</v>
      </c>
      <c r="B192">
        <v>9</v>
      </c>
      <c r="C192" s="251">
        <f>LOOKUP(T6_[[#This Row],[Etiquetas de fila]],'VALORIZACION CARTA'!B:B,'VALORIZACION CARTA'!C:C)</f>
        <v>1532.1075000000001</v>
      </c>
      <c r="D192">
        <f>SUM(T6_[[#This Row],[Recuento de T6 CODIGO]]*T6_[[#This Row],[Columna1]])</f>
        <v>13788.967500000001</v>
      </c>
    </row>
    <row r="193" spans="1:4" x14ac:dyDescent="0.25">
      <c r="A193" s="250" t="s">
        <v>627</v>
      </c>
      <c r="B193">
        <v>1</v>
      </c>
      <c r="C193" s="251">
        <f>LOOKUP(T6_[[#This Row],[Etiquetas de fila]],'VALORIZACION CARTA'!B:B,'VALORIZACION CARTA'!C:C)</f>
        <v>1532.1075000000001</v>
      </c>
      <c r="D193">
        <f>SUM(T6_[[#This Row],[Recuento de T6 CODIGO]]*T6_[[#This Row],[Columna1]])</f>
        <v>1532.1075000000001</v>
      </c>
    </row>
    <row r="194" spans="1:4" x14ac:dyDescent="0.25">
      <c r="A194" s="250" t="s">
        <v>864</v>
      </c>
      <c r="B194">
        <v>13</v>
      </c>
      <c r="C194" s="251">
        <f>LOOKUP(T6_[[#This Row],[Etiquetas de fila]],'VALORIZACION CARTA'!B:B,'VALORIZACION CARTA'!C:C)</f>
        <v>2252.9318750000002</v>
      </c>
      <c r="D194">
        <f>SUM(T6_[[#This Row],[Recuento de T6 CODIGO]]*T6_[[#This Row],[Columna1]])</f>
        <v>29288.114375000005</v>
      </c>
    </row>
    <row r="195" spans="1:4" x14ac:dyDescent="0.25">
      <c r="A195" s="250" t="s">
        <v>1052</v>
      </c>
      <c r="B195">
        <v>1</v>
      </c>
      <c r="C195" s="251">
        <f>LOOKUP(T6_[[#This Row],[Etiquetas de fila]],'VALORIZACION CARTA'!B:B,'VALORIZACION CARTA'!C:C)</f>
        <v>1978.2297499999997</v>
      </c>
      <c r="D195">
        <f>SUM(T6_[[#This Row],[Recuento de T6 CODIGO]]*T6_[[#This Row],[Columna1]])</f>
        <v>1978.2297499999997</v>
      </c>
    </row>
    <row r="196" spans="1:4" x14ac:dyDescent="0.25">
      <c r="A196" s="250" t="s">
        <v>846</v>
      </c>
      <c r="B196">
        <v>9</v>
      </c>
      <c r="C196" s="251">
        <f>LOOKUP(T6_[[#This Row],[Etiquetas de fila]],'VALORIZACION CARTA'!B:B,'VALORIZACION CARTA'!C:C)</f>
        <v>2458.1767</v>
      </c>
      <c r="D196">
        <f>SUM(T6_[[#This Row],[Recuento de T6 CODIGO]]*T6_[[#This Row],[Columna1]])</f>
        <v>22123.5903</v>
      </c>
    </row>
    <row r="197" spans="1:4" x14ac:dyDescent="0.25">
      <c r="A197" s="250" t="s">
        <v>1062</v>
      </c>
      <c r="B197">
        <v>62</v>
      </c>
      <c r="C197" s="251">
        <f>LOOKUP(T6_[[#This Row],[Etiquetas de fila]],'VALORIZACION CARTA'!B:B,'VALORIZACION CARTA'!C:C)</f>
        <v>2458.1767</v>
      </c>
      <c r="D197">
        <f>SUM(T6_[[#This Row],[Recuento de T6 CODIGO]]*T6_[[#This Row],[Columna1]])</f>
        <v>152406.95540000001</v>
      </c>
    </row>
    <row r="198" spans="1:4" x14ac:dyDescent="0.25">
      <c r="A198" s="250" t="s">
        <v>805</v>
      </c>
      <c r="B198">
        <v>2</v>
      </c>
      <c r="C198" s="251">
        <f>LOOKUP(T6_[[#This Row],[Etiquetas de fila]],'VALORIZACION CARTA'!B:B,'VALORIZACION CARTA'!C:C)</f>
        <v>2458.1767</v>
      </c>
      <c r="D198">
        <f>SUM(T6_[[#This Row],[Recuento de T6 CODIGO]]*T6_[[#This Row],[Columna1]])</f>
        <v>4916.3534</v>
      </c>
    </row>
    <row r="199" spans="1:4" x14ac:dyDescent="0.25">
      <c r="A199" s="250" t="s">
        <v>827</v>
      </c>
      <c r="B199">
        <v>3</v>
      </c>
      <c r="C199" s="251">
        <f>LOOKUP(T6_[[#This Row],[Etiquetas de fila]],'VALORIZACION CARTA'!B:B,'VALORIZACION CARTA'!C:C)</f>
        <v>2458.1767</v>
      </c>
      <c r="D199">
        <f>SUM(T6_[[#This Row],[Recuento de T6 CODIGO]]*T6_[[#This Row],[Columna1]])</f>
        <v>7374.5300999999999</v>
      </c>
    </row>
    <row r="200" spans="1:4" x14ac:dyDescent="0.25">
      <c r="A200" s="250" t="s">
        <v>1000</v>
      </c>
      <c r="B200">
        <v>15</v>
      </c>
      <c r="C200" s="251">
        <f>LOOKUP(T6_[[#This Row],[Etiquetas de fila]],'VALORIZACION CARTA'!B:B,'VALORIZACION CARTA'!C:C)</f>
        <v>3146.3599999999997</v>
      </c>
      <c r="D200">
        <f>SUM(T6_[[#This Row],[Recuento de T6 CODIGO]]*T6_[[#This Row],[Columna1]])</f>
        <v>47195.399999999994</v>
      </c>
    </row>
    <row r="201" spans="1:4" x14ac:dyDescent="0.25">
      <c r="A201" s="250" t="s">
        <v>1002</v>
      </c>
      <c r="B201">
        <v>3</v>
      </c>
      <c r="C201" s="251">
        <f>LOOKUP(T6_[[#This Row],[Etiquetas de fila]],'VALORIZACION CARTA'!B:B,'VALORIZACION CARTA'!C:C)</f>
        <v>1369.8509999999999</v>
      </c>
      <c r="D201">
        <f>SUM(T6_[[#This Row],[Recuento de T6 CODIGO]]*T6_[[#This Row],[Columna1]])</f>
        <v>4109.5529999999999</v>
      </c>
    </row>
    <row r="202" spans="1:4" x14ac:dyDescent="0.25">
      <c r="A202" s="250" t="s">
        <v>871</v>
      </c>
      <c r="B202">
        <v>20</v>
      </c>
      <c r="C202" s="251">
        <f>LOOKUP(T6_[[#This Row],[Etiquetas de fila]],'VALORIZACION CARTA'!B:B,'VALORIZACION CARTA'!C:C)</f>
        <v>1037.68</v>
      </c>
      <c r="D202">
        <f>SUM(T6_[[#This Row],[Recuento de T6 CODIGO]]*T6_[[#This Row],[Columna1]])</f>
        <v>20753.600000000002</v>
      </c>
    </row>
    <row r="203" spans="1:4" x14ac:dyDescent="0.25">
      <c r="A203" s="250" t="s">
        <v>839</v>
      </c>
      <c r="B203">
        <v>39</v>
      </c>
      <c r="C203" s="251">
        <f>LOOKUP(T6_[[#This Row],[Etiquetas de fila]],'VALORIZACION CARTA'!B:B,'VALORIZACION CARTA'!C:C)</f>
        <v>7892.8534999999993</v>
      </c>
      <c r="D203">
        <f>SUM(T6_[[#This Row],[Recuento de T6 CODIGO]]*T6_[[#This Row],[Columna1]])</f>
        <v>307821.28649999999</v>
      </c>
    </row>
    <row r="204" spans="1:4" x14ac:dyDescent="0.25">
      <c r="A204" s="250" t="s">
        <v>322</v>
      </c>
      <c r="B204">
        <v>29</v>
      </c>
      <c r="C204" s="251">
        <f>LOOKUP(T6_[[#This Row],[Etiquetas de fila]],'VALORIZACION CARTA'!B:B,'VALORIZACION CARTA'!C:C)</f>
        <v>820.92109749999997</v>
      </c>
      <c r="D204">
        <f>SUM(T6_[[#This Row],[Recuento de T6 CODIGO]]*T6_[[#This Row],[Columna1]])</f>
        <v>23806.711827499999</v>
      </c>
    </row>
    <row r="205" spans="1:4" x14ac:dyDescent="0.25">
      <c r="A205" s="250" t="s">
        <v>1003</v>
      </c>
      <c r="B205">
        <v>11</v>
      </c>
      <c r="C205" s="251">
        <f>LOOKUP(T6_[[#This Row],[Etiquetas de fila]],'VALORIZACION CARTA'!B:B,'VALORIZACION CARTA'!C:C)</f>
        <v>664.11019499999998</v>
      </c>
      <c r="D205">
        <f>SUM(T6_[[#This Row],[Recuento de T6 CODIGO]]*T6_[[#This Row],[Columna1]])</f>
        <v>7305.2121449999995</v>
      </c>
    </row>
    <row r="206" spans="1:4" x14ac:dyDescent="0.25">
      <c r="A206" s="250" t="s">
        <v>856</v>
      </c>
      <c r="B206">
        <v>8</v>
      </c>
      <c r="C206" s="251">
        <f>LOOKUP(T6_[[#This Row],[Etiquetas de fila]],'VALORIZACION CARTA'!B:B,'VALORIZACION CARTA'!C:C)</f>
        <v>627.93800999999996</v>
      </c>
      <c r="D206">
        <f>SUM(T6_[[#This Row],[Recuento de T6 CODIGO]]*T6_[[#This Row],[Columna1]])</f>
        <v>5023.5040799999997</v>
      </c>
    </row>
    <row r="207" spans="1:4" x14ac:dyDescent="0.25">
      <c r="A207" s="250" t="s">
        <v>323</v>
      </c>
      <c r="B207">
        <v>7</v>
      </c>
      <c r="C207" s="251">
        <f>LOOKUP(T6_[[#This Row],[Etiquetas de fila]],'VALORIZACION CARTA'!B:B,'VALORIZACION CARTA'!C:C)</f>
        <v>865.52550000000008</v>
      </c>
      <c r="D207">
        <f>SUM(T6_[[#This Row],[Recuento de T6 CODIGO]]*T6_[[#This Row],[Columna1]])</f>
        <v>6058.6785000000009</v>
      </c>
    </row>
    <row r="208" spans="1:4" x14ac:dyDescent="0.25">
      <c r="A208" s="250" t="s">
        <v>564</v>
      </c>
      <c r="B208">
        <v>2</v>
      </c>
      <c r="C208" s="251">
        <f>LOOKUP(T6_[[#This Row],[Etiquetas de fila]],'VALORIZACION CARTA'!B:B,'VALORIZACION CARTA'!C:C)</f>
        <v>2572.4454999999998</v>
      </c>
      <c r="D208">
        <f>SUM(T6_[[#This Row],[Recuento de T6 CODIGO]]*T6_[[#This Row],[Columna1]])</f>
        <v>5144.8909999999996</v>
      </c>
    </row>
    <row r="209" spans="1:4" x14ac:dyDescent="0.25">
      <c r="A209" s="250" t="s">
        <v>663</v>
      </c>
      <c r="B209">
        <v>1</v>
      </c>
      <c r="C209" s="251">
        <f>LOOKUP(T6_[[#This Row],[Etiquetas de fila]],'VALORIZACION CARTA'!B:B,'VALORIZACION CARTA'!C:C)</f>
        <v>1729.2488699999999</v>
      </c>
      <c r="D209">
        <f>SUM(T6_[[#This Row],[Recuento de T6 CODIGO]]*T6_[[#This Row],[Columna1]])</f>
        <v>1729.2488699999999</v>
      </c>
    </row>
    <row r="210" spans="1:4" x14ac:dyDescent="0.25">
      <c r="A210" s="250" t="s">
        <v>1005</v>
      </c>
      <c r="B210">
        <v>20</v>
      </c>
      <c r="C210" s="251">
        <f>LOOKUP(T6_[[#This Row],[Etiquetas de fila]],'VALORIZACION CARTA'!B:B,'VALORIZACION CARTA'!C:C)</f>
        <v>302.76300000000003</v>
      </c>
      <c r="D210">
        <f>SUM(T6_[[#This Row],[Recuento de T6 CODIGO]]*T6_[[#This Row],[Columna1]])</f>
        <v>6055.26</v>
      </c>
    </row>
    <row r="211" spans="1:4" x14ac:dyDescent="0.25">
      <c r="A211" s="250" t="s">
        <v>1006</v>
      </c>
      <c r="B211">
        <v>5</v>
      </c>
      <c r="C211" s="251">
        <f>LOOKUP(T6_[[#This Row],[Etiquetas de fila]],'VALORIZACION CARTA'!B:B,'VALORIZACION CARTA'!C:C)</f>
        <v>664.35</v>
      </c>
      <c r="D211">
        <f>SUM(T6_[[#This Row],[Recuento de T6 CODIGO]]*T6_[[#This Row],[Columna1]])</f>
        <v>3321.75</v>
      </c>
    </row>
    <row r="212" spans="1:4" x14ac:dyDescent="0.25">
      <c r="A212" s="250" t="s">
        <v>850</v>
      </c>
      <c r="B212">
        <v>16</v>
      </c>
      <c r="C212" s="251">
        <f>LOOKUP(T6_[[#This Row],[Etiquetas de fila]],'VALORIZACION CARTA'!B:B,'VALORIZACION CARTA'!C:C)</f>
        <v>317.40450000000004</v>
      </c>
      <c r="D212">
        <f>SUM(T6_[[#This Row],[Recuento de T6 CODIGO]]*T6_[[#This Row],[Columna1]])</f>
        <v>5078.4720000000007</v>
      </c>
    </row>
    <row r="213" spans="1:4" x14ac:dyDescent="0.25">
      <c r="A213" s="250" t="s">
        <v>849</v>
      </c>
      <c r="B213">
        <v>7</v>
      </c>
      <c r="C213" s="251">
        <f>LOOKUP(T6_[[#This Row],[Etiquetas de fila]],'VALORIZACION CARTA'!B:B,'VALORIZACION CARTA'!C:C)</f>
        <v>664.24679999999989</v>
      </c>
      <c r="D213">
        <f>SUM(T6_[[#This Row],[Recuento de T6 CODIGO]]*T6_[[#This Row],[Columna1]])</f>
        <v>4649.7275999999993</v>
      </c>
    </row>
    <row r="214" spans="1:4" x14ac:dyDescent="0.25">
      <c r="A214" s="250" t="s">
        <v>566</v>
      </c>
      <c r="B214">
        <v>1</v>
      </c>
      <c r="C214" s="251">
        <f>LOOKUP(T6_[[#This Row],[Etiquetas de fila]],'VALORIZACION CARTA'!B:B,'VALORIZACION CARTA'!C:C)</f>
        <v>2806.172</v>
      </c>
      <c r="D214">
        <f>SUM(T6_[[#This Row],[Recuento de T6 CODIGO]]*T6_[[#This Row],[Columna1]])</f>
        <v>2806.172</v>
      </c>
    </row>
    <row r="215" spans="1:4" x14ac:dyDescent="0.25">
      <c r="A215" s="250" t="s">
        <v>808</v>
      </c>
      <c r="B215">
        <v>2</v>
      </c>
      <c r="C215" s="251">
        <f>LOOKUP(T6_[[#This Row],[Etiquetas de fila]],'VALORIZACION CARTA'!B:B,'VALORIZACION CARTA'!C:C)</f>
        <v>1255.8760199999999</v>
      </c>
      <c r="D215">
        <f>SUM(T6_[[#This Row],[Recuento de T6 CODIGO]]*T6_[[#This Row],[Columna1]])</f>
        <v>2511.7520399999999</v>
      </c>
    </row>
    <row r="216" spans="1:4" x14ac:dyDescent="0.25">
      <c r="A216" s="250" t="s">
        <v>604</v>
      </c>
      <c r="B216">
        <v>1</v>
      </c>
      <c r="C216" s="251">
        <f>LOOKUP(T6_[[#This Row],[Etiquetas de fila]],'VALORIZACION CARTA'!B:B,'VALORIZACION CARTA'!C:C)</f>
        <v>1255.8760199999999</v>
      </c>
      <c r="D216">
        <f>SUM(T6_[[#This Row],[Recuento de T6 CODIGO]]*T6_[[#This Row],[Columna1]])</f>
        <v>1255.8760199999999</v>
      </c>
    </row>
    <row r="217" spans="1:4" x14ac:dyDescent="0.25">
      <c r="A217" s="250" t="s">
        <v>867</v>
      </c>
      <c r="B217">
        <v>10</v>
      </c>
      <c r="C217" s="251">
        <f>LOOKUP(T6_[[#This Row],[Etiquetas de fila]],'VALORIZACION CARTA'!B:B,'VALORIZACION CARTA'!C:C)</f>
        <v>704.62379999999996</v>
      </c>
      <c r="D217">
        <f>SUM(T6_[[#This Row],[Recuento de T6 CODIGO]]*T6_[[#This Row],[Columna1]])</f>
        <v>7046.2379999999994</v>
      </c>
    </row>
    <row r="218" spans="1:4" x14ac:dyDescent="0.25">
      <c r="A218" s="250" t="s">
        <v>847</v>
      </c>
      <c r="B218">
        <v>20</v>
      </c>
      <c r="C218" s="251">
        <f>LOOKUP(T6_[[#This Row],[Etiquetas de fila]],'VALORIZACION CARTA'!B:B,'VALORIZACION CARTA'!C:C)</f>
        <v>665.51099999999997</v>
      </c>
      <c r="D218">
        <f>SUM(T6_[[#This Row],[Recuento de T6 CODIGO]]*T6_[[#This Row],[Columna1]])</f>
        <v>13310.22</v>
      </c>
    </row>
    <row r="219" spans="1:4" x14ac:dyDescent="0.25">
      <c r="A219" s="250" t="s">
        <v>1009</v>
      </c>
      <c r="B219">
        <v>1</v>
      </c>
      <c r="C219" s="251">
        <f>LOOKUP(T6_[[#This Row],[Etiquetas de fila]],'VALORIZACION CARTA'!B:B,'VALORIZACION CARTA'!C:C)</f>
        <v>301.85999999999996</v>
      </c>
      <c r="D219">
        <f>SUM(T6_[[#This Row],[Recuento de T6 CODIGO]]*T6_[[#This Row],[Columna1]])</f>
        <v>301.85999999999996</v>
      </c>
    </row>
    <row r="220" spans="1:4" x14ac:dyDescent="0.25">
      <c r="A220" s="250" t="s">
        <v>1055</v>
      </c>
      <c r="B220">
        <v>5</v>
      </c>
      <c r="C220" s="251">
        <f>LOOKUP(T6_[[#This Row],[Etiquetas de fila]],'VALORIZACION CARTA'!B:B,'VALORIZACION CARTA'!C:C)</f>
        <v>704.62379999999996</v>
      </c>
      <c r="D220">
        <f>SUM(T6_[[#This Row],[Recuento de T6 CODIGO]]*T6_[[#This Row],[Columna1]])</f>
        <v>3523.1189999999997</v>
      </c>
    </row>
    <row r="221" spans="1:4" x14ac:dyDescent="0.25">
      <c r="A221" s="250" t="s">
        <v>855</v>
      </c>
      <c r="B221">
        <v>20</v>
      </c>
      <c r="C221" s="251">
        <f>LOOKUP(T6_[[#This Row],[Etiquetas de fila]],'VALORIZACION CARTA'!B:B,'VALORIZACION CARTA'!C:C)</f>
        <v>2202.8982500000002</v>
      </c>
      <c r="D221">
        <f>SUM(T6_[[#This Row],[Recuento de T6 CODIGO]]*T6_[[#This Row],[Columna1]])</f>
        <v>44057.965000000004</v>
      </c>
    </row>
    <row r="222" spans="1:4" x14ac:dyDescent="0.25">
      <c r="A222" s="250" t="s">
        <v>860</v>
      </c>
      <c r="B222">
        <v>21</v>
      </c>
      <c r="C222" s="251">
        <f>LOOKUP(T6_[[#This Row],[Etiquetas de fila]],'VALORIZACION CARTA'!B:B,'VALORIZACION CARTA'!C:C)</f>
        <v>1804.2482499999999</v>
      </c>
      <c r="D222">
        <f>SUM(T6_[[#This Row],[Recuento de T6 CODIGO]]*T6_[[#This Row],[Columna1]])</f>
        <v>37889.213250000001</v>
      </c>
    </row>
    <row r="223" spans="1:4" x14ac:dyDescent="0.25">
      <c r="A223" s="250" t="s">
        <v>324</v>
      </c>
      <c r="B223">
        <v>20</v>
      </c>
      <c r="C223" s="251">
        <f>LOOKUP(T6_[[#This Row],[Etiquetas de fila]],'VALORIZACION CARTA'!B:B,'VALORIZACION CARTA'!C:C)</f>
        <v>1744.7482500000001</v>
      </c>
      <c r="D223">
        <f>SUM(T6_[[#This Row],[Recuento de T6 CODIGO]]*T6_[[#This Row],[Columna1]])</f>
        <v>34894.965000000004</v>
      </c>
    </row>
    <row r="224" spans="1:4" x14ac:dyDescent="0.25">
      <c r="A224" s="250" t="s">
        <v>835</v>
      </c>
      <c r="B224">
        <v>22</v>
      </c>
      <c r="C224" s="251">
        <f>LOOKUP(T6_[[#This Row],[Etiquetas de fila]],'VALORIZACION CARTA'!B:B,'VALORIZACION CARTA'!C:C)</f>
        <v>1674.93</v>
      </c>
      <c r="D224">
        <f>SUM(T6_[[#This Row],[Recuento de T6 CODIGO]]*T6_[[#This Row],[Columna1]])</f>
        <v>36848.46</v>
      </c>
    </row>
    <row r="225" spans="1:4" x14ac:dyDescent="0.25">
      <c r="A225" s="250" t="s">
        <v>1012</v>
      </c>
      <c r="B225">
        <v>3</v>
      </c>
      <c r="C225" s="251">
        <f>LOOKUP(T6_[[#This Row],[Etiquetas de fila]],'VALORIZACION CARTA'!B:B,'VALORIZACION CARTA'!C:C)</f>
        <v>1042.57</v>
      </c>
      <c r="D225">
        <f>SUM(T6_[[#This Row],[Recuento de T6 CODIGO]]*T6_[[#This Row],[Columna1]])</f>
        <v>3127.71</v>
      </c>
    </row>
    <row r="226" spans="1:4" x14ac:dyDescent="0.25">
      <c r="A226" s="250" t="s">
        <v>1013</v>
      </c>
      <c r="B226">
        <v>1</v>
      </c>
      <c r="C226" s="251">
        <f>LOOKUP(T6_[[#This Row],[Etiquetas de fila]],'VALORIZACION CARTA'!B:B,'VALORIZACION CARTA'!C:C)</f>
        <v>1106.96</v>
      </c>
      <c r="D226">
        <f>SUM(T6_[[#This Row],[Recuento de T6 CODIGO]]*T6_[[#This Row],[Columna1]])</f>
        <v>1106.96</v>
      </c>
    </row>
    <row r="227" spans="1:4" x14ac:dyDescent="0.25">
      <c r="A227" s="250" t="s">
        <v>1015</v>
      </c>
      <c r="B227">
        <v>38</v>
      </c>
      <c r="C227" s="251">
        <f>LOOKUP(T6_[[#This Row],[Etiquetas de fila]],'VALORIZACION CARTA'!B:B,'VALORIZACION CARTA'!C:C)</f>
        <v>311.02222499999999</v>
      </c>
      <c r="D227">
        <f>SUM(T6_[[#This Row],[Recuento de T6 CODIGO]]*T6_[[#This Row],[Columna1]])</f>
        <v>11818.84455</v>
      </c>
    </row>
    <row r="228" spans="1:4" x14ac:dyDescent="0.25">
      <c r="A228" s="250" t="s">
        <v>836</v>
      </c>
      <c r="B228">
        <v>147</v>
      </c>
      <c r="C228" s="251">
        <f>LOOKUP(T6_[[#This Row],[Etiquetas de fila]],'VALORIZACION CARTA'!B:B,'VALORIZACION CARTA'!C:C)</f>
        <v>879.64050000000009</v>
      </c>
      <c r="D228">
        <f>SUM(T6_[[#This Row],[Recuento de T6 CODIGO]]*T6_[[#This Row],[Columna1]])</f>
        <v>129307.15350000001</v>
      </c>
    </row>
    <row r="229" spans="1:4" x14ac:dyDescent="0.25">
      <c r="A229" s="250" t="s">
        <v>633</v>
      </c>
      <c r="B229">
        <v>2</v>
      </c>
      <c r="C229" s="251">
        <f>LOOKUP(T6_[[#This Row],[Etiquetas de fila]],'VALORIZACION CARTA'!B:B,'VALORIZACION CARTA'!C:C)</f>
        <v>879.64050000000009</v>
      </c>
      <c r="D229">
        <f>SUM(T6_[[#This Row],[Recuento de T6 CODIGO]]*T6_[[#This Row],[Columna1]])</f>
        <v>1759.2810000000002</v>
      </c>
    </row>
    <row r="230" spans="1:4" x14ac:dyDescent="0.25">
      <c r="A230" s="250" t="s">
        <v>691</v>
      </c>
      <c r="B230">
        <v>1</v>
      </c>
      <c r="C230" s="251">
        <f>LOOKUP(T6_[[#This Row],[Etiquetas de fila]],'VALORIZACION CARTA'!B:B,'VALORIZACION CARTA'!C:C)</f>
        <v>879.64050000000009</v>
      </c>
      <c r="D230">
        <f>SUM(T6_[[#This Row],[Recuento de T6 CODIGO]]*T6_[[#This Row],[Columna1]])</f>
        <v>879.64050000000009</v>
      </c>
    </row>
    <row r="231" spans="1:4" x14ac:dyDescent="0.25">
      <c r="A231" s="250" t="s">
        <v>1018</v>
      </c>
      <c r="B231">
        <v>11</v>
      </c>
      <c r="C231" s="251">
        <f>LOOKUP(T6_[[#This Row],[Etiquetas de fila]],'VALORIZACION CARTA'!B:B,'VALORIZACION CARTA'!C:C)</f>
        <v>576.65332750000005</v>
      </c>
      <c r="D231">
        <f>SUM(T6_[[#This Row],[Recuento de T6 CODIGO]]*T6_[[#This Row],[Columna1]])</f>
        <v>6343.1866025000008</v>
      </c>
    </row>
    <row r="232" spans="1:4" x14ac:dyDescent="0.25">
      <c r="A232" s="250" t="s">
        <v>1019</v>
      </c>
      <c r="B232">
        <v>1</v>
      </c>
      <c r="C232" s="251">
        <f>LOOKUP(T6_[[#This Row],[Etiquetas de fila]],'VALORIZACION CARTA'!B:B,'VALORIZACION CARTA'!C:C)</f>
        <v>2089.5419999999999</v>
      </c>
      <c r="D232">
        <f>SUM(T6_[[#This Row],[Recuento de T6 CODIGO]]*T6_[[#This Row],[Columna1]])</f>
        <v>2089.5419999999999</v>
      </c>
    </row>
    <row r="233" spans="1:4" x14ac:dyDescent="0.25">
      <c r="A233" s="250" t="s">
        <v>1020</v>
      </c>
      <c r="B233">
        <v>3</v>
      </c>
      <c r="C233" s="251">
        <f>LOOKUP(T6_[[#This Row],[Etiquetas de fila]],'VALORIZACION CARTA'!B:B,'VALORIZACION CARTA'!C:C)</f>
        <v>1481.9132999999999</v>
      </c>
      <c r="D233">
        <f>SUM(T6_[[#This Row],[Recuento de T6 CODIGO]]*T6_[[#This Row],[Columna1]])</f>
        <v>4445.7398999999996</v>
      </c>
    </row>
    <row r="234" spans="1:4" x14ac:dyDescent="0.25">
      <c r="A234" s="250" t="s">
        <v>837</v>
      </c>
      <c r="B234">
        <v>11</v>
      </c>
      <c r="C234" s="251">
        <f>LOOKUP(T6_[[#This Row],[Etiquetas de fila]],'VALORIZACION CARTA'!B:B,'VALORIZACION CARTA'!C:C)</f>
        <v>9038.2820499999998</v>
      </c>
      <c r="D234">
        <f>SUM(T6_[[#This Row],[Recuento de T6 CODIGO]]*T6_[[#This Row],[Columna1]])</f>
        <v>99421.102549999996</v>
      </c>
    </row>
    <row r="235" spans="1:4" x14ac:dyDescent="0.25">
      <c r="A235" s="250" t="s">
        <v>840</v>
      </c>
      <c r="B235">
        <v>8</v>
      </c>
      <c r="C235" s="251">
        <f>LOOKUP(T6_[[#This Row],[Etiquetas de fila]],'VALORIZACION CARTA'!B:B,'VALORIZACION CARTA'!C:C)</f>
        <v>704.64960000000008</v>
      </c>
      <c r="D235">
        <f>SUM(T6_[[#This Row],[Recuento de T6 CODIGO]]*T6_[[#This Row],[Columna1]])</f>
        <v>5637.1968000000006</v>
      </c>
    </row>
    <row r="236" spans="1:4" x14ac:dyDescent="0.25">
      <c r="A236" s="250" t="s">
        <v>1021</v>
      </c>
      <c r="B236">
        <v>4</v>
      </c>
      <c r="C236" s="251">
        <f>LOOKUP(T6_[[#This Row],[Etiquetas de fila]],'VALORIZACION CARTA'!B:B,'VALORIZACION CARTA'!C:C)</f>
        <v>704.62379999999996</v>
      </c>
      <c r="D236">
        <f>SUM(T6_[[#This Row],[Recuento de T6 CODIGO]]*T6_[[#This Row],[Columna1]])</f>
        <v>2818.4951999999998</v>
      </c>
    </row>
    <row r="237" spans="1:4" x14ac:dyDescent="0.25">
      <c r="A237" s="250" t="s">
        <v>1022</v>
      </c>
      <c r="B237">
        <v>4</v>
      </c>
      <c r="C237" s="251">
        <f>LOOKUP(T6_[[#This Row],[Etiquetas de fila]],'VALORIZACION CARTA'!B:B,'VALORIZACION CARTA'!C:C)</f>
        <v>816.07499999999993</v>
      </c>
      <c r="D237">
        <f>SUM(T6_[[#This Row],[Recuento de T6 CODIGO]]*T6_[[#This Row],[Columna1]])</f>
        <v>3264.2999999999997</v>
      </c>
    </row>
    <row r="238" spans="1:4" x14ac:dyDescent="0.25">
      <c r="A238" s="250" t="s">
        <v>848</v>
      </c>
      <c r="B238">
        <v>15</v>
      </c>
      <c r="C238" s="251">
        <f>LOOKUP(T6_[[#This Row],[Etiquetas de fila]],'VALORIZACION CARTA'!B:B,'VALORIZACION CARTA'!C:C)</f>
        <v>802.1090999999999</v>
      </c>
      <c r="D238">
        <f>SUM(T6_[[#This Row],[Recuento de T6 CODIGO]]*T6_[[#This Row],[Columna1]])</f>
        <v>12031.636499999999</v>
      </c>
    </row>
    <row r="239" spans="1:4" x14ac:dyDescent="0.25">
      <c r="A239" s="250" t="s">
        <v>567</v>
      </c>
      <c r="B239">
        <v>2</v>
      </c>
      <c r="C239" s="251">
        <f>LOOKUP(T6_[[#This Row],[Etiquetas de fila]],'VALORIZACION CARTA'!B:B,'VALORIZACION CARTA'!C:C)</f>
        <v>1180.9304999999999</v>
      </c>
      <c r="D239">
        <f>SUM(T6_[[#This Row],[Recuento de T6 CODIGO]]*T6_[[#This Row],[Columna1]])</f>
        <v>2361.8609999999999</v>
      </c>
    </row>
    <row r="240" spans="1:4" x14ac:dyDescent="0.25">
      <c r="A240" s="250" t="s">
        <v>851</v>
      </c>
      <c r="B240">
        <v>7</v>
      </c>
      <c r="C240" s="251">
        <f>LOOKUP(T6_[[#This Row],[Etiquetas de fila]],'VALORIZACION CARTA'!B:B,'VALORIZACION CARTA'!C:C)</f>
        <v>1629.7215000000001</v>
      </c>
      <c r="D240">
        <f>SUM(T6_[[#This Row],[Recuento de T6 CODIGO]]*T6_[[#This Row],[Columna1]])</f>
        <v>11408.050500000001</v>
      </c>
    </row>
    <row r="241" spans="1:4" x14ac:dyDescent="0.25">
      <c r="A241" s="250" t="s">
        <v>1023</v>
      </c>
      <c r="B241">
        <v>3</v>
      </c>
      <c r="C241" s="251">
        <f>LOOKUP(T6_[[#This Row],[Etiquetas de fila]],'VALORIZACION CARTA'!B:B,'VALORIZACION CARTA'!C:C)</f>
        <v>1861.9429999999998</v>
      </c>
      <c r="D241">
        <f>SUM(T6_[[#This Row],[Recuento de T6 CODIGO]]*T6_[[#This Row],[Columna1]])</f>
        <v>5585.8289999999997</v>
      </c>
    </row>
    <row r="242" spans="1:4" x14ac:dyDescent="0.25">
      <c r="A242" s="250" t="s">
        <v>852</v>
      </c>
      <c r="B242">
        <v>18</v>
      </c>
      <c r="C242" s="251">
        <f>LOOKUP(T6_[[#This Row],[Etiquetas de fila]],'VALORIZACION CARTA'!B:B,'VALORIZACION CARTA'!C:C)</f>
        <v>4127.4879841666661</v>
      </c>
      <c r="D242">
        <f>SUM(T6_[[#This Row],[Recuento de T6 CODIGO]]*T6_[[#This Row],[Columna1]])</f>
        <v>74294.783714999998</v>
      </c>
    </row>
    <row r="243" spans="1:4" x14ac:dyDescent="0.25">
      <c r="A243" s="250" t="s">
        <v>887</v>
      </c>
      <c r="B243">
        <v>3</v>
      </c>
      <c r="C243" s="251">
        <f>LOOKUP(T6_[[#This Row],[Etiquetas de fila]],'VALORIZACION CARTA'!B:B,'VALORIZACION CARTA'!C:C)</f>
        <v>2331.10721375</v>
      </c>
      <c r="D243">
        <f>SUM(T6_[[#This Row],[Recuento de T6 CODIGO]]*T6_[[#This Row],[Columna1]])</f>
        <v>6993.3216412500005</v>
      </c>
    </row>
    <row r="244" spans="1:4" x14ac:dyDescent="0.25">
      <c r="A244" s="250" t="s">
        <v>861</v>
      </c>
      <c r="B244">
        <v>12</v>
      </c>
      <c r="C244" s="251">
        <f>LOOKUP(T6_[[#This Row],[Etiquetas de fila]],'VALORIZACION CARTA'!B:B,'VALORIZACION CARTA'!C:C)</f>
        <v>4263.1154999999999</v>
      </c>
      <c r="D244">
        <f>SUM(T6_[[#This Row],[Recuento de T6 CODIGO]]*T6_[[#This Row],[Columna1]])</f>
        <v>51157.385999999999</v>
      </c>
    </row>
    <row r="245" spans="1:4" x14ac:dyDescent="0.25">
      <c r="A245" s="250" t="s">
        <v>842</v>
      </c>
      <c r="B245">
        <v>29</v>
      </c>
      <c r="C245" s="251">
        <f>LOOKUP(T6_[[#This Row],[Etiquetas de fila]],'VALORIZACION CARTA'!B:B,'VALORIZACION CARTA'!C:C)</f>
        <v>841.05419999999992</v>
      </c>
      <c r="D245">
        <f>SUM(T6_[[#This Row],[Recuento de T6 CODIGO]]*T6_[[#This Row],[Columna1]])</f>
        <v>24390.571799999998</v>
      </c>
    </row>
    <row r="246" spans="1:4" x14ac:dyDescent="0.25">
      <c r="A246" s="250" t="s">
        <v>883</v>
      </c>
      <c r="B246">
        <v>10</v>
      </c>
      <c r="C246" s="251">
        <f>LOOKUP(T6_[[#This Row],[Etiquetas de fila]],'VALORIZACION CARTA'!B:B,'VALORIZACION CARTA'!C:C)</f>
        <v>623.55092999999999</v>
      </c>
      <c r="D246">
        <f>SUM(T6_[[#This Row],[Recuento de T6 CODIGO]]*T6_[[#This Row],[Columna1]])</f>
        <v>6235.5092999999997</v>
      </c>
    </row>
    <row r="247" spans="1:4" x14ac:dyDescent="0.25">
      <c r="A247" s="250" t="s">
        <v>1072</v>
      </c>
      <c r="B247">
        <v>1</v>
      </c>
      <c r="C247" s="251">
        <f>LOOKUP(T6_[[#This Row],[Etiquetas de fila]],'VALORIZACION CARTA'!B:B,'VALORIZACION CARTA'!C:C)</f>
        <v>888.20799999999997</v>
      </c>
      <c r="D247">
        <f>SUM(T6_[[#This Row],[Recuento de T6 CODIGO]]*T6_[[#This Row],[Columna1]])</f>
        <v>888.20799999999997</v>
      </c>
    </row>
    <row r="248" spans="1:4" x14ac:dyDescent="0.25">
      <c r="A248" s="250" t="s">
        <v>1028</v>
      </c>
      <c r="B248">
        <v>7</v>
      </c>
      <c r="C248" s="251">
        <f>LOOKUP(T6_[[#This Row],[Etiquetas de fila]],'VALORIZACION CARTA'!B:B,'VALORIZACION CARTA'!C:C)</f>
        <v>1011.9253666666666</v>
      </c>
      <c r="D248">
        <f>SUM(T6_[[#This Row],[Recuento de T6 CODIGO]]*T6_[[#This Row],[Columna1]])</f>
        <v>7083.4775666666665</v>
      </c>
    </row>
    <row r="249" spans="1:4" x14ac:dyDescent="0.25">
      <c r="A249" s="250" t="s">
        <v>1029</v>
      </c>
      <c r="B249">
        <v>18</v>
      </c>
      <c r="C249" s="251">
        <f>LOOKUP(T6_[[#This Row],[Etiquetas de fila]],'VALORIZACION CARTA'!B:B,'VALORIZACION CARTA'!C:C)</f>
        <v>1011.9253666666666</v>
      </c>
      <c r="D249">
        <f>SUM(T6_[[#This Row],[Recuento de T6 CODIGO]]*T6_[[#This Row],[Columna1]])</f>
        <v>18214.656599999998</v>
      </c>
    </row>
    <row r="250" spans="1:4" x14ac:dyDescent="0.25">
      <c r="A250" s="250" t="s">
        <v>866</v>
      </c>
      <c r="B250">
        <v>1</v>
      </c>
      <c r="C250" s="251">
        <f>LOOKUP(T6_[[#This Row],[Etiquetas de fila]],'VALORIZACION CARTA'!B:B,'VALORIZACION CARTA'!C:C)</f>
        <v>1011.9253666666666</v>
      </c>
      <c r="D250">
        <f>SUM(T6_[[#This Row],[Recuento de T6 CODIGO]]*T6_[[#This Row],[Columna1]])</f>
        <v>1011.9253666666666</v>
      </c>
    </row>
    <row r="251" spans="1:4" x14ac:dyDescent="0.25">
      <c r="A251" s="250" t="s">
        <v>868</v>
      </c>
      <c r="B251">
        <v>9</v>
      </c>
      <c r="C251" s="251">
        <f>LOOKUP(T6_[[#This Row],[Etiquetas de fila]],'VALORIZACION CARTA'!B:B,'VALORIZACION CARTA'!C:C)</f>
        <v>1011.9253666666666</v>
      </c>
      <c r="D251">
        <f>SUM(T6_[[#This Row],[Recuento de T6 CODIGO]]*T6_[[#This Row],[Columna1]])</f>
        <v>9107.3282999999992</v>
      </c>
    </row>
    <row r="252" spans="1:4" x14ac:dyDescent="0.25">
      <c r="A252" s="250" t="s">
        <v>1031</v>
      </c>
      <c r="B252">
        <v>3783</v>
      </c>
      <c r="C252" s="251">
        <f>LOOKUP(T6_[[#This Row],[Etiquetas de fila]],'VALORIZACION CARTA'!B:B,'VALORIZACION CARTA'!C:C)</f>
        <v>675.04281250000008</v>
      </c>
      <c r="D252">
        <f>SUM(T6_[[#This Row],[Recuento de T6 CODIGO]]*T6_[[#This Row],[Columna1]])</f>
        <v>2553686.9596875003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0CE6-35D0-425C-900A-F1AF645BA124}">
  <sheetPr codeName="Hoja8"/>
  <dimension ref="A2:C400"/>
  <sheetViews>
    <sheetView topLeftCell="BR1" zoomScale="90" zoomScaleNormal="90" workbookViewId="0">
      <selection activeCell="BT4" sqref="BT4"/>
    </sheetView>
  </sheetViews>
  <sheetFormatPr baseColWidth="10" defaultRowHeight="15" x14ac:dyDescent="0.25"/>
  <cols>
    <col min="1" max="1" width="11.85546875" bestFit="1" customWidth="1"/>
    <col min="2" max="2" width="38.42578125" bestFit="1" customWidth="1"/>
  </cols>
  <sheetData>
    <row r="2" spans="1:3" x14ac:dyDescent="0.25">
      <c r="B2" t="s">
        <v>203</v>
      </c>
      <c r="C2" t="s">
        <v>204</v>
      </c>
    </row>
    <row r="3" spans="1:3" x14ac:dyDescent="0.25">
      <c r="A3" t="b">
        <f>IFERROR(IF(MATCH(B3,RECETAS!$A$2:$A$1700,0) &lt;&gt; "", TRUE,""),FALSE)</f>
        <v>1</v>
      </c>
      <c r="B3" t="str">
        <f>TRANSPOSE(_T7[Etiquetas de fila])</f>
        <v>2 Shot Tequila Jimador</v>
      </c>
      <c r="C3">
        <f>TRANSPOSE(_T7[Recuento de T7 CODIGO])</f>
        <v>8</v>
      </c>
    </row>
    <row r="4" spans="1:3" x14ac:dyDescent="0.25">
      <c r="A4" t="b">
        <f>IFERROR(IF(MATCH(B4,RECETAS!$A$2:$A$1700,0) &lt;&gt; "", TRUE,""),FALSE)</f>
        <v>1</v>
      </c>
      <c r="B4" t="str">
        <f>TRANSPOSE(_T7[Etiquetas de fila])</f>
        <v>4 Shot Jagermeister</v>
      </c>
      <c r="C4">
        <f>TRANSPOSE(_T7[Recuento de T7 CODIGO])</f>
        <v>2</v>
      </c>
    </row>
    <row r="5" spans="1:3" x14ac:dyDescent="0.25">
      <c r="A5" t="b">
        <f>IFERROR(IF(MATCH(B5,RECETAS!$A$2:$A$1700,0) &lt;&gt; "", TRUE,""),FALSE)</f>
        <v>1</v>
      </c>
      <c r="B5" t="str">
        <f>TRANSPOSE(_T7[Etiquetas de fila])</f>
        <v>Absolut Blue</v>
      </c>
      <c r="C5">
        <f>TRANSPOSE(_T7[Recuento de T7 CODIGO])</f>
        <v>1</v>
      </c>
    </row>
    <row r="6" spans="1:3" x14ac:dyDescent="0.25">
      <c r="A6" t="b">
        <f>IFERROR(IF(MATCH(B6,RECETAS!$A$2:$A$1700,0) &lt;&gt; "", TRUE,""),FALSE)</f>
        <v>0</v>
      </c>
      <c r="B6" t="str">
        <f>TRANSPOSE(_T7[Etiquetas de fila])</f>
        <v>AJI VERDE SOUR</v>
      </c>
      <c r="C6">
        <f>TRANSPOSE(_T7[Recuento de T7 CODIGO])</f>
        <v>2</v>
      </c>
    </row>
    <row r="7" spans="1:3" x14ac:dyDescent="0.25">
      <c r="A7" t="b">
        <f>IFERROR(IF(MATCH(B7,RECETAS!$A$2:$A$1700,0) &lt;&gt; "", TRUE,""),FALSE)</f>
        <v>1</v>
      </c>
      <c r="B7" t="str">
        <f>TRANSPOSE(_T7[Etiquetas de fila])</f>
        <v>Alto 40° Reservado</v>
      </c>
      <c r="C7">
        <f>TRANSPOSE(_T7[Recuento de T7 CODIGO])</f>
        <v>2</v>
      </c>
    </row>
    <row r="8" spans="1:3" x14ac:dyDescent="0.25">
      <c r="A8" t="b">
        <f>IFERROR(IF(MATCH(B8,RECETAS!$A$2:$A$1700,0) &lt;&gt; "", TRUE,""),FALSE)</f>
        <v>1</v>
      </c>
      <c r="B8" t="str">
        <f>TRANSPOSE(_T7[Etiquetas de fila])</f>
        <v>Alto 40° Transparente</v>
      </c>
      <c r="C8">
        <f>TRANSPOSE(_T7[Recuento de T7 CODIGO])</f>
        <v>18</v>
      </c>
    </row>
    <row r="9" spans="1:3" x14ac:dyDescent="0.25">
      <c r="A9" t="b">
        <f>IFERROR(IF(MATCH(B9,RECETAS!$A$2:$A$1700,0) &lt;&gt; "", TRUE,""),FALSE)</f>
        <v>1</v>
      </c>
      <c r="B9" t="str">
        <f>TRANSPOSE(_T7[Etiquetas de fila])</f>
        <v>Alto del Carmen 35°</v>
      </c>
      <c r="C9">
        <f>TRANSPOSE(_T7[Recuento de T7 CODIGO])</f>
        <v>55</v>
      </c>
    </row>
    <row r="10" spans="1:3" x14ac:dyDescent="0.25">
      <c r="A10" t="b">
        <f>IFERROR(IF(MATCH(B10,RECETAS!$A$2:$A$1700,0) &lt;&gt; "", TRUE,""),FALSE)</f>
        <v>1</v>
      </c>
      <c r="B10" t="str">
        <f>TRANSPOSE(_T7[Etiquetas de fila])</f>
        <v>Aperol Spritz</v>
      </c>
      <c r="C10">
        <f>TRANSPOSE(_T7[Recuento de T7 CODIGO])</f>
        <v>26</v>
      </c>
    </row>
    <row r="11" spans="1:3" x14ac:dyDescent="0.25">
      <c r="A11" t="b">
        <f>IFERROR(IF(MATCH(B11,RECETAS!$A$2:$A$1700,0) &lt;&gt; "", TRUE,""),FALSE)</f>
        <v>0</v>
      </c>
      <c r="B11" t="str">
        <f>TRANSPOSE(_T7[Etiquetas de fila])</f>
        <v>AROS DE CEBOLLA APANADO</v>
      </c>
      <c r="C11">
        <f>TRANSPOSE(_T7[Recuento de T7 CODIGO])</f>
        <v>1</v>
      </c>
    </row>
    <row r="12" spans="1:3" x14ac:dyDescent="0.25">
      <c r="A12" t="b">
        <f>IFERROR(IF(MATCH(B12,RECETAS!$A$2:$A$1700,0) &lt;&gt; "", TRUE,""),FALSE)</f>
        <v>1</v>
      </c>
      <c r="B12" t="str">
        <f>TRANSPOSE(_T7[Etiquetas de fila])</f>
        <v>Atardecer de Plata</v>
      </c>
      <c r="C12">
        <f>TRANSPOSE(_T7[Recuento de T7 CODIGO])</f>
        <v>2</v>
      </c>
    </row>
    <row r="13" spans="1:3" x14ac:dyDescent="0.25">
      <c r="A13" t="b">
        <f>IFERROR(IF(MATCH(B13,RECETAS!$A$2:$A$1700,0) &lt;&gt; "", TRUE,""),FALSE)</f>
        <v>0</v>
      </c>
      <c r="B13" t="str">
        <f>TRANSPOSE(_T7[Etiquetas de fila])</f>
        <v>B.CRUDO</v>
      </c>
      <c r="C13">
        <f>TRANSPOSE(_T7[Recuento de T7 CODIGO])</f>
        <v>4</v>
      </c>
    </row>
    <row r="14" spans="1:3" x14ac:dyDescent="0.25">
      <c r="A14" t="b">
        <f>IFERROR(IF(MATCH(B14,RECETAS!$A$2:$A$1700,0) &lt;&gt; "", TRUE,""),FALSE)</f>
        <v>1</v>
      </c>
      <c r="B14" t="str">
        <f>TRANSPOSE(_T7[Etiquetas de fila])</f>
        <v>Baileys</v>
      </c>
      <c r="C14">
        <f>TRANSPOSE(_T7[Recuento de T7 CODIGO])</f>
        <v>1</v>
      </c>
    </row>
    <row r="15" spans="1:3" x14ac:dyDescent="0.25">
      <c r="A15" t="b">
        <f>IFERROR(IF(MATCH(B15,RECETAS!$A$2:$A$1700,0) &lt;&gt; "", TRUE,""),FALSE)</f>
        <v>1</v>
      </c>
      <c r="B15" t="str">
        <f>TRANSPOSE(_T7[Etiquetas de fila])</f>
        <v>Beach Boys</v>
      </c>
      <c r="C15">
        <f>TRANSPOSE(_T7[Recuento de T7 CODIGO])</f>
        <v>4</v>
      </c>
    </row>
    <row r="16" spans="1:3" x14ac:dyDescent="0.25">
      <c r="A16" t="b">
        <f>IFERROR(IF(MATCH(B16,RECETAS!$A$2:$A$1700,0) &lt;&gt; "", TRUE,""),FALSE)</f>
        <v>1</v>
      </c>
      <c r="B16" t="str">
        <f>TRANSPOSE(_T7[Etiquetas de fila])</f>
        <v>Beefeater</v>
      </c>
      <c r="C16">
        <f>TRANSPOSE(_T7[Recuento de T7 CODIGO])</f>
        <v>6</v>
      </c>
    </row>
    <row r="17" spans="1:3" x14ac:dyDescent="0.25">
      <c r="A17" t="b">
        <f>IFERROR(IF(MATCH(B17,RECETAS!$A$2:$A$1700,0) &lt;&gt; "", TRUE,""),FALSE)</f>
        <v>1</v>
      </c>
      <c r="B17" t="str">
        <f>TRANSPOSE(_T7[Etiquetas de fila])</f>
        <v>Berlin Mule</v>
      </c>
      <c r="C17">
        <f>TRANSPOSE(_T7[Recuento de T7 CODIGO])</f>
        <v>2</v>
      </c>
    </row>
    <row r="18" spans="1:3" x14ac:dyDescent="0.25">
      <c r="A18" t="b">
        <f>IFERROR(IF(MATCH(B18,RECETAS!$A$2:$A$1700,0) &lt;&gt; "", TRUE,""),FALSE)</f>
        <v>1</v>
      </c>
      <c r="B18" t="str">
        <f>TRANSPOSE(_T7[Etiquetas de fila])</f>
        <v>Big Mechada</v>
      </c>
      <c r="C18">
        <f>TRANSPOSE(_T7[Recuento de T7 CODIGO])</f>
        <v>12</v>
      </c>
    </row>
    <row r="19" spans="1:3" x14ac:dyDescent="0.25">
      <c r="A19" t="b">
        <f>IFERROR(IF(MATCH(B19,RECETAS!$A$2:$A$1700,0) &lt;&gt; "", TRUE,""),FALSE)</f>
        <v>1</v>
      </c>
      <c r="B19" t="str">
        <f>TRANSPOSE(_T7[Etiquetas de fila])</f>
        <v>Black Russian</v>
      </c>
      <c r="C19">
        <f>TRANSPOSE(_T7[Recuento de T7 CODIGO])</f>
        <v>2</v>
      </c>
    </row>
    <row r="20" spans="1:3" x14ac:dyDescent="0.25">
      <c r="A20" t="b">
        <f>IFERROR(IF(MATCH(B20,RECETAS!$A$2:$A$1700,0) &lt;&gt; "", TRUE,""),FALSE)</f>
        <v>1</v>
      </c>
      <c r="B20" t="str">
        <f>TRANSPOSE(_T7[Etiquetas de fila])</f>
        <v>Bot. Alto 35°</v>
      </c>
      <c r="C20">
        <f>TRANSPOSE(_T7[Recuento de T7 CODIGO])</f>
        <v>1</v>
      </c>
    </row>
    <row r="21" spans="1:3" x14ac:dyDescent="0.25">
      <c r="A21" t="b">
        <f>IFERROR(IF(MATCH(B21,RECETAS!$A$2:$A$1700,0) &lt;&gt; "", TRUE,""),FALSE)</f>
        <v>1</v>
      </c>
      <c r="B21" t="str">
        <f>TRANSPOSE(_T7[Etiquetas de fila])</f>
        <v>Brownie con Helado</v>
      </c>
      <c r="C21">
        <f>TRANSPOSE(_T7[Recuento de T7 CODIGO])</f>
        <v>10</v>
      </c>
    </row>
    <row r="22" spans="1:3" x14ac:dyDescent="0.25">
      <c r="A22" t="b">
        <f>IFERROR(IF(MATCH(B22,RECETAS!$A$2:$A$1700,0) &lt;&gt; "", TRUE,""),FALSE)</f>
        <v>1</v>
      </c>
      <c r="B22" t="str">
        <f>TRANSPOSE(_T7[Etiquetas de fila])</f>
        <v>Brujas de Salamanca 35°</v>
      </c>
      <c r="C22">
        <f>TRANSPOSE(_T7[Recuento de T7 CODIGO])</f>
        <v>1</v>
      </c>
    </row>
    <row r="23" spans="1:3" x14ac:dyDescent="0.25">
      <c r="A23" t="b">
        <f>IFERROR(IF(MATCH(B23,RECETAS!$A$2:$A$1700,0) &lt;&gt; "", TRUE,""),FALSE)</f>
        <v>1</v>
      </c>
      <c r="B23" t="str">
        <f>TRANSPOSE(_T7[Etiquetas de fila])</f>
        <v>Budweiser</v>
      </c>
      <c r="C23">
        <f>TRANSPOSE(_T7[Recuento de T7 CODIGO])</f>
        <v>1</v>
      </c>
    </row>
    <row r="24" spans="1:3" x14ac:dyDescent="0.25">
      <c r="A24" t="b">
        <f>IFERROR(IF(MATCH(B24,RECETAS!$A$2:$A$1700,0) &lt;&gt; "", TRUE,""),FALSE)</f>
        <v>1</v>
      </c>
      <c r="B24" t="str">
        <f>TRANSPOSE(_T7[Etiquetas de fila])</f>
        <v>Caipirinha Frutilla</v>
      </c>
      <c r="C24">
        <f>TRANSPOSE(_T7[Recuento de T7 CODIGO])</f>
        <v>1</v>
      </c>
    </row>
    <row r="25" spans="1:3" x14ac:dyDescent="0.25">
      <c r="A25" t="b">
        <f>IFERROR(IF(MATCH(B25,RECETAS!$A$2:$A$1700,0) &lt;&gt; "", TRUE,""),FALSE)</f>
        <v>1</v>
      </c>
      <c r="B25" t="str">
        <f>TRANSPOSE(_T7[Etiquetas de fila])</f>
        <v>Caipirinha Tradicional</v>
      </c>
      <c r="C25">
        <f>TRANSPOSE(_T7[Recuento de T7 CODIGO])</f>
        <v>5</v>
      </c>
    </row>
    <row r="26" spans="1:3" x14ac:dyDescent="0.25">
      <c r="A26" t="b">
        <f>IFERROR(IF(MATCH(B26,RECETAS!$A$2:$A$1700,0) &lt;&gt; "", TRUE,""),FALSE)</f>
        <v>1</v>
      </c>
      <c r="B26" t="str">
        <f>TRANSPOSE(_T7[Etiquetas de fila])</f>
        <v>Caipiroska Frutilla</v>
      </c>
      <c r="C26">
        <f>TRANSPOSE(_T7[Recuento de T7 CODIGO])</f>
        <v>1</v>
      </c>
    </row>
    <row r="27" spans="1:3" x14ac:dyDescent="0.25">
      <c r="A27" t="b">
        <f>IFERROR(IF(MATCH(B27,RECETAS!$A$2:$A$1700,0) &lt;&gt; "", TRUE,""),FALSE)</f>
        <v>1</v>
      </c>
      <c r="B27" t="str">
        <f>TRANSPOSE(_T7[Etiquetas de fila])</f>
        <v>Campari Naranja</v>
      </c>
      <c r="C27">
        <f>TRANSPOSE(_T7[Recuento de T7 CODIGO])</f>
        <v>1</v>
      </c>
    </row>
    <row r="28" spans="1:3" x14ac:dyDescent="0.25">
      <c r="A28" t="b">
        <f>IFERROR(IF(MATCH(B28,RECETAS!$A$2:$A$1700,0) &lt;&gt; "", TRUE,""),FALSE)</f>
        <v>0</v>
      </c>
      <c r="B28" t="str">
        <f>TRANSPOSE(_T7[Etiquetas de fila])</f>
        <v>CARIÑOSITO</v>
      </c>
      <c r="C28">
        <f>TRANSPOSE(_T7[Recuento de T7 CODIGO])</f>
        <v>3</v>
      </c>
    </row>
    <row r="29" spans="1:3" x14ac:dyDescent="0.25">
      <c r="A29" t="b">
        <f>IFERROR(IF(MATCH(B29,RECETAS!$A$2:$A$1700,0) &lt;&gt; "", TRUE,""),FALSE)</f>
        <v>1</v>
      </c>
      <c r="B29" t="str">
        <f>TRANSPOSE(_T7[Etiquetas de fila])</f>
        <v>Ceviche Mixto</v>
      </c>
      <c r="C29">
        <f>TRANSPOSE(_T7[Recuento de T7 CODIGO])</f>
        <v>32</v>
      </c>
    </row>
    <row r="30" spans="1:3" x14ac:dyDescent="0.25">
      <c r="A30" t="b">
        <f>IFERROR(IF(MATCH(B30,RECETAS!$A$2:$A$1700,0) &lt;&gt; "", TRUE,""),FALSE)</f>
        <v>0</v>
      </c>
      <c r="B30" t="str">
        <f>TRANSPOSE(_T7[Etiquetas de fila])</f>
        <v>CHARDONAY SOUR</v>
      </c>
      <c r="C30">
        <f>TRANSPOSE(_T7[Recuento de T7 CODIGO])</f>
        <v>1</v>
      </c>
    </row>
    <row r="31" spans="1:3" x14ac:dyDescent="0.25">
      <c r="A31" t="b">
        <f>IFERROR(IF(MATCH(B31,RECETAS!$A$2:$A$1700,0) &lt;&gt; "", TRUE,""),FALSE)</f>
        <v>1</v>
      </c>
      <c r="B31" t="str">
        <f>TRANSPOSE(_T7[Etiquetas de fila])</f>
        <v>Cheese Camarones</v>
      </c>
      <c r="C31">
        <f>TRANSPOSE(_T7[Recuento de T7 CODIGO])</f>
        <v>11</v>
      </c>
    </row>
    <row r="32" spans="1:3" x14ac:dyDescent="0.25">
      <c r="A32" t="b">
        <f>IFERROR(IF(MATCH(B32,RECETAS!$A$2:$A$1700,0) &lt;&gt; "", TRUE,""),FALSE)</f>
        <v>1</v>
      </c>
      <c r="B32" t="str">
        <f>TRANSPOSE(_T7[Etiquetas de fila])</f>
        <v>Cheese Champiñones</v>
      </c>
      <c r="C32">
        <f>TRANSPOSE(_T7[Recuento de T7 CODIGO])</f>
        <v>15</v>
      </c>
    </row>
    <row r="33" spans="1:3" x14ac:dyDescent="0.25">
      <c r="A33" t="b">
        <f>IFERROR(IF(MATCH(B33,RECETAS!$A$2:$A$1700,0) &lt;&gt; "", TRUE,""),FALSE)</f>
        <v>1</v>
      </c>
      <c r="B33" t="str">
        <f>TRANSPOSE(_T7[Etiquetas de fila])</f>
        <v>Cheese Fritas Grandes</v>
      </c>
      <c r="C33">
        <f>TRANSPOSE(_T7[Recuento de T7 CODIGO])</f>
        <v>10</v>
      </c>
    </row>
    <row r="34" spans="1:3" x14ac:dyDescent="0.25">
      <c r="A34" t="b">
        <f>IFERROR(IF(MATCH(B34,RECETAS!$A$2:$A$1700,0) &lt;&gt; "", TRUE,""),FALSE)</f>
        <v>1</v>
      </c>
      <c r="B34" t="str">
        <f>TRANSPOSE(_T7[Etiquetas de fila])</f>
        <v>Cheese Mechada</v>
      </c>
      <c r="C34">
        <f>TRANSPOSE(_T7[Recuento de T7 CODIGO])</f>
        <v>34</v>
      </c>
    </row>
    <row r="35" spans="1:3" x14ac:dyDescent="0.25">
      <c r="A35" t="b">
        <f>IFERROR(IF(MATCH(B35,RECETAS!$A$2:$A$1700,0) &lt;&gt; "", TRUE,""),FALSE)</f>
        <v>1</v>
      </c>
      <c r="B35" t="str">
        <f>TRANSPOSE(_T7[Etiquetas de fila])</f>
        <v>Cheese Teclados</v>
      </c>
      <c r="C35">
        <f>TRANSPOSE(_T7[Recuento de T7 CODIGO])</f>
        <v>147</v>
      </c>
    </row>
    <row r="36" spans="1:3" x14ac:dyDescent="0.25">
      <c r="A36" t="b">
        <f>IFERROR(IF(MATCH(B36,RECETAS!$A$2:$A$1700,0) &lt;&gt; "", TRUE,""),FALSE)</f>
        <v>1</v>
      </c>
      <c r="B36" t="str">
        <f>TRANSPOSE(_T7[Etiquetas de fila])</f>
        <v>Cheesecake</v>
      </c>
      <c r="C36">
        <f>TRANSPOSE(_T7[Recuento de T7 CODIGO])</f>
        <v>7</v>
      </c>
    </row>
    <row r="37" spans="1:3" x14ac:dyDescent="0.25">
      <c r="A37" t="b">
        <f>IFERROR(IF(MATCH(B37,RECETAS!$A$2:$A$1700,0) &lt;&gt; "", TRUE,""),FALSE)</f>
        <v>1</v>
      </c>
      <c r="B37" t="str">
        <f>TRANSPOSE(_T7[Etiquetas de fila])</f>
        <v>Chicken Finger</v>
      </c>
      <c r="C37">
        <f>TRANSPOSE(_T7[Recuento de T7 CODIGO])</f>
        <v>26</v>
      </c>
    </row>
    <row r="38" spans="1:3" x14ac:dyDescent="0.25">
      <c r="A38" t="b">
        <f>IFERROR(IF(MATCH(B38,RECETAS!$A$2:$A$1700,0) &lt;&gt; "", TRUE,""),FALSE)</f>
        <v>0</v>
      </c>
      <c r="B38" t="str">
        <f>TRANSPOSE(_T7[Etiquetas de fila])</f>
        <v>CHURRASCO MARINO</v>
      </c>
      <c r="C38">
        <f>TRANSPOSE(_T7[Recuento de T7 CODIGO])</f>
        <v>22</v>
      </c>
    </row>
    <row r="39" spans="1:3" x14ac:dyDescent="0.25">
      <c r="A39" t="b">
        <f>IFERROR(IF(MATCH(B39,RECETAS!$A$2:$A$1700,0) &lt;&gt; "", TRUE,""),FALSE)</f>
        <v>1</v>
      </c>
      <c r="B39" t="str">
        <f>TRANSPOSE(_T7[Etiquetas de fila])</f>
        <v>Clavo Oxidado</v>
      </c>
      <c r="C39">
        <f>TRANSPOSE(_T7[Recuento de T7 CODIGO])</f>
        <v>1</v>
      </c>
    </row>
    <row r="40" spans="1:3" x14ac:dyDescent="0.25">
      <c r="A40" t="b">
        <f>IFERROR(IF(MATCH(B40,RECETAS!$A$2:$A$1700,0) &lt;&gt; "", TRUE,""),FALSE)</f>
        <v>1</v>
      </c>
      <c r="B40" t="str">
        <f>TRANSPOSE(_T7[Etiquetas de fila])</f>
        <v>Coca Cola 350cc</v>
      </c>
      <c r="C40">
        <f>TRANSPOSE(_T7[Recuento de T7 CODIGO])</f>
        <v>21</v>
      </c>
    </row>
    <row r="41" spans="1:3" x14ac:dyDescent="0.25">
      <c r="A41" t="b">
        <f>IFERROR(IF(MATCH(B41,RECETAS!$A$2:$A$1700,0) &lt;&gt; "", TRUE,""),FALSE)</f>
        <v>1</v>
      </c>
      <c r="B41" t="str">
        <f>TRANSPOSE(_T7[Etiquetas de fila])</f>
        <v>Coca Cola Light 350cc</v>
      </c>
      <c r="C41">
        <f>TRANSPOSE(_T7[Recuento de T7 CODIGO])</f>
        <v>38</v>
      </c>
    </row>
    <row r="42" spans="1:3" x14ac:dyDescent="0.25">
      <c r="A42" t="b">
        <f>IFERROR(IF(MATCH(B42,RECETAS!$A$2:$A$1700,0) &lt;&gt; "", TRUE,""),FALSE)</f>
        <v>1</v>
      </c>
      <c r="B42" t="str">
        <f>TRANSPOSE(_T7[Etiquetas de fila])</f>
        <v>Coca Cola Zero  350cc</v>
      </c>
      <c r="C42">
        <f>TRANSPOSE(_T7[Recuento de T7 CODIGO])</f>
        <v>77</v>
      </c>
    </row>
    <row r="43" spans="1:3" x14ac:dyDescent="0.25">
      <c r="A43" t="b">
        <f>IFERROR(IF(MATCH(B43,RECETAS!$A$2:$A$1700,0) &lt;&gt; "", TRUE,""),FALSE)</f>
        <v>1</v>
      </c>
      <c r="B43" t="str">
        <f>TRANSPOSE(_T7[Etiquetas de fila])</f>
        <v>Corona</v>
      </c>
      <c r="C43">
        <f>TRANSPOSE(_T7[Recuento de T7 CODIGO])</f>
        <v>16</v>
      </c>
    </row>
    <row r="44" spans="1:3" x14ac:dyDescent="0.25">
      <c r="A44" t="b">
        <f>IFERROR(IF(MATCH(B44,RECETAS!$A$2:$A$1700,0) &lt;&gt; "", TRUE,""),FALSE)</f>
        <v>0</v>
      </c>
      <c r="B44" t="str">
        <f>TRANSPOSE(_T7[Etiquetas de fila])</f>
        <v>CORONA SUNRISE</v>
      </c>
      <c r="C44">
        <f>TRANSPOSE(_T7[Recuento de T7 CODIGO])</f>
        <v>9</v>
      </c>
    </row>
    <row r="45" spans="1:3" x14ac:dyDescent="0.25">
      <c r="A45" t="b">
        <f>IFERROR(IF(MATCH(B45,RECETAS!$A$2:$A$1700,0) &lt;&gt; "", TRUE,""),FALSE)</f>
        <v>0</v>
      </c>
      <c r="B45" t="str">
        <f>TRANSPOSE(_T7[Etiquetas de fila])</f>
        <v>CORONA TROPICAL</v>
      </c>
      <c r="C45">
        <f>TRANSPOSE(_T7[Recuento de T7 CODIGO])</f>
        <v>16</v>
      </c>
    </row>
    <row r="46" spans="1:3" x14ac:dyDescent="0.25">
      <c r="A46" t="b">
        <f>IFERROR(IF(MATCH(B46,RECETAS!$A$2:$A$1700,0) &lt;&gt; "", TRUE,""),FALSE)</f>
        <v>1</v>
      </c>
      <c r="B46" t="str">
        <f>TRANSPOSE(_T7[Etiquetas de fila])</f>
        <v>Cosmopolitan</v>
      </c>
      <c r="C46">
        <f>TRANSPOSE(_T7[Recuento de T7 CODIGO])</f>
        <v>18</v>
      </c>
    </row>
    <row r="47" spans="1:3" x14ac:dyDescent="0.25">
      <c r="A47" t="b">
        <f>IFERROR(IF(MATCH(B47,RECETAS!$A$2:$A$1700,0) &lt;&gt; "", TRUE,""),FALSE)</f>
        <v>1</v>
      </c>
      <c r="B47" t="str">
        <f>TRANSPOSE(_T7[Etiquetas de fila])</f>
        <v>Crudo</v>
      </c>
      <c r="C47">
        <f>TRANSPOSE(_T7[Recuento de T7 CODIGO])</f>
        <v>24</v>
      </c>
    </row>
    <row r="48" spans="1:3" x14ac:dyDescent="0.25">
      <c r="A48" t="b">
        <f>IFERROR(IF(MATCH(B48,RECETAS!$A$2:$A$1700,0) &lt;&gt; "", TRUE,""),FALSE)</f>
        <v>1</v>
      </c>
      <c r="B48" t="str">
        <f>TRANSPOSE(_T7[Etiquetas de fila])</f>
        <v>Cusqueña Golden Lager</v>
      </c>
      <c r="C48">
        <f>TRANSPOSE(_T7[Recuento de T7 CODIGO])</f>
        <v>1</v>
      </c>
    </row>
    <row r="49" spans="1:3" x14ac:dyDescent="0.25">
      <c r="A49" t="b">
        <f>IFERROR(IF(MATCH(B49,RECETAS!$A$2:$A$1700,0) &lt;&gt; "", TRUE,""),FALSE)</f>
        <v>1</v>
      </c>
      <c r="B49" t="str">
        <f>TRANSPOSE(_T7[Etiquetas de fila])</f>
        <v>Cusqueña Trigo</v>
      </c>
      <c r="C49">
        <f>TRANSPOSE(_T7[Recuento de T7 CODIGO])</f>
        <v>1</v>
      </c>
    </row>
    <row r="50" spans="1:3" x14ac:dyDescent="0.25">
      <c r="A50" t="b">
        <f>IFERROR(IF(MATCH(B50,RECETAS!$A$2:$A$1700,0) &lt;&gt; "", TRUE,""),FALSE)</f>
        <v>1</v>
      </c>
      <c r="B50" t="str">
        <f>TRANSPOSE(_T7[Etiquetas de fila])</f>
        <v>D.CHEESE FRITAS GRANDES</v>
      </c>
      <c r="C50">
        <f>TRANSPOSE(_T7[Recuento de T7 CODIGO])</f>
        <v>6</v>
      </c>
    </row>
    <row r="51" spans="1:3" x14ac:dyDescent="0.25">
      <c r="A51" t="b">
        <f>IFERROR(IF(MATCH(B51,RECETAS!$A$2:$A$1700,0) &lt;&gt; "", TRUE,""),FALSE)</f>
        <v>1</v>
      </c>
      <c r="B51" t="str">
        <f>TRANSPOSE(_T7[Etiquetas de fila])</f>
        <v>D.CHEESE MECHADA</v>
      </c>
      <c r="C51">
        <f>TRANSPOSE(_T7[Recuento de T7 CODIGO])</f>
        <v>1</v>
      </c>
    </row>
    <row r="52" spans="1:3" x14ac:dyDescent="0.25">
      <c r="A52" t="b">
        <f>IFERROR(IF(MATCH(B52,RECETAS!$A$2:$A$1700,0) &lt;&gt; "", TRUE,""),FALSE)</f>
        <v>1</v>
      </c>
      <c r="B52" t="str">
        <f>TRANSPOSE(_T7[Etiquetas de fila])</f>
        <v>D.CHEESE TECLADOS</v>
      </c>
      <c r="C52">
        <f>TRANSPOSE(_T7[Recuento de T7 CODIGO])</f>
        <v>8</v>
      </c>
    </row>
    <row r="53" spans="1:3" x14ac:dyDescent="0.25">
      <c r="A53" t="b">
        <f>IFERROR(IF(MATCH(B53,RECETAS!$A$2:$A$1700,0) &lt;&gt; "", TRUE,""),FALSE)</f>
        <v>1</v>
      </c>
      <c r="B53" t="str">
        <f>TRANSPOSE(_T7[Etiquetas de fila])</f>
        <v>D.DOBLE CHEESE BURGER</v>
      </c>
      <c r="C53">
        <f>TRANSPOSE(_T7[Recuento de T7 CODIGO])</f>
        <v>1</v>
      </c>
    </row>
    <row r="54" spans="1:3" x14ac:dyDescent="0.25">
      <c r="A54" t="b">
        <f>IFERROR(IF(MATCH(B54,RECETAS!$A$2:$A$1700,0) &lt;&gt; "", TRUE,""),FALSE)</f>
        <v>1</v>
      </c>
      <c r="B54" t="str">
        <f>TRANSPOSE(_T7[Etiquetas de fila])</f>
        <v>D.EMPANADAS</v>
      </c>
      <c r="C54">
        <f>TRANSPOSE(_T7[Recuento de T7 CODIGO])</f>
        <v>1</v>
      </c>
    </row>
    <row r="55" spans="1:3" x14ac:dyDescent="0.25">
      <c r="A55" t="b">
        <f>IFERROR(IF(MATCH(B55,RECETAS!$A$2:$A$1700,0) &lt;&gt; "", TRUE,""),FALSE)</f>
        <v>1</v>
      </c>
      <c r="B55" t="str">
        <f>TRANSPOSE(_T7[Etiquetas de fila])</f>
        <v>D.FESTIVAL TECLADOS</v>
      </c>
      <c r="C55">
        <f>TRANSPOSE(_T7[Recuento de T7 CODIGO])</f>
        <v>1</v>
      </c>
    </row>
    <row r="56" spans="1:3" x14ac:dyDescent="0.25">
      <c r="A56" t="b">
        <f>IFERROR(IF(MATCH(B56,RECETAS!$A$2:$A$1700,0) &lt;&gt; "", TRUE,""),FALSE)</f>
        <v>1</v>
      </c>
      <c r="B56" t="str">
        <f>TRANSPOSE(_T7[Etiquetas de fila])</f>
        <v>D.PALOS DE QUESO</v>
      </c>
      <c r="C56">
        <f>TRANSPOSE(_T7[Recuento de T7 CODIGO])</f>
        <v>3</v>
      </c>
    </row>
    <row r="57" spans="1:3" x14ac:dyDescent="0.25">
      <c r="A57" t="b">
        <f>IFERROR(IF(MATCH(B57,RECETAS!$A$2:$A$1700,0) &lt;&gt; "", TRUE,""),FALSE)</f>
        <v>1</v>
      </c>
      <c r="B57" t="str">
        <f>TRANSPOSE(_T7[Etiquetas de fila])</f>
        <v>D.PROMO MOJ. FRAMBUESA CHEESE</v>
      </c>
      <c r="C57">
        <f>TRANSPOSE(_T7[Recuento de T7 CODIGO])</f>
        <v>1</v>
      </c>
    </row>
    <row r="58" spans="1:3" x14ac:dyDescent="0.25">
      <c r="A58" t="b">
        <f>IFERROR(IF(MATCH(B58,RECETAS!$A$2:$A$1700,0) &lt;&gt; "", TRUE,""),FALSE)</f>
        <v>1</v>
      </c>
      <c r="B58" t="str">
        <f>TRANSPOSE(_T7[Etiquetas de fila])</f>
        <v>D.PROMO MOJ. MARACUYA CHEESE</v>
      </c>
      <c r="C58">
        <f>TRANSPOSE(_T7[Recuento de T7 CODIGO])</f>
        <v>1</v>
      </c>
    </row>
    <row r="59" spans="1:3" x14ac:dyDescent="0.25">
      <c r="A59" t="b">
        <f>IFERROR(IF(MATCH(B59,RECETAS!$A$2:$A$1700,0) &lt;&gt; "", TRUE,""),FALSE)</f>
        <v>1</v>
      </c>
      <c r="B59" t="str">
        <f>TRANSPOSE(_T7[Etiquetas de fila])</f>
        <v>D.PROMO MOJITO</v>
      </c>
      <c r="C59">
        <f>TRANSPOSE(_T7[Recuento de T7 CODIGO])</f>
        <v>1</v>
      </c>
    </row>
    <row r="60" spans="1:3" x14ac:dyDescent="0.25">
      <c r="A60" t="b">
        <f>IFERROR(IF(MATCH(B60,RECETAS!$A$2:$A$1700,0) &lt;&gt; "", TRUE,""),FALSE)</f>
        <v>1</v>
      </c>
      <c r="B60" t="str">
        <f>TRANSPOSE(_T7[Etiquetas de fila])</f>
        <v>D.PROMO SANGRIA CHEESE</v>
      </c>
      <c r="C60">
        <f>TRANSPOSE(_T7[Recuento de T7 CODIGO])</f>
        <v>1</v>
      </c>
    </row>
    <row r="61" spans="1:3" x14ac:dyDescent="0.25">
      <c r="A61" t="b">
        <f>IFERROR(IF(MATCH(B61,RECETAS!$A$2:$A$1700,0) &lt;&gt; "", TRUE,""),FALSE)</f>
        <v>1</v>
      </c>
      <c r="B61" t="str">
        <f>TRANSPOSE(_T7[Etiquetas de fila])</f>
        <v>D.QUESADILLAS POLLO CHAMPIGNON</v>
      </c>
      <c r="C61">
        <f>TRANSPOSE(_T7[Recuento de T7 CODIGO])</f>
        <v>1</v>
      </c>
    </row>
    <row r="62" spans="1:3" x14ac:dyDescent="0.25">
      <c r="A62" t="b">
        <f>IFERROR(IF(MATCH(B62,RECETAS!$A$2:$A$1700,0) &lt;&gt; "", TRUE,""),FALSE)</f>
        <v>1</v>
      </c>
      <c r="B62" t="str">
        <f>TRANSPOSE(_T7[Etiquetas de fila])</f>
        <v>D.SIX PACK CORONA</v>
      </c>
      <c r="C62">
        <f>TRANSPOSE(_T7[Recuento de T7 CODIGO])</f>
        <v>1</v>
      </c>
    </row>
    <row r="63" spans="1:3" x14ac:dyDescent="0.25">
      <c r="A63" t="b">
        <f>IFERROR(IF(MATCH(B63,RECETAS!$A$2:$A$1700,0) &lt;&gt; "", TRUE,""),FALSE)</f>
        <v>1</v>
      </c>
      <c r="B63" t="str">
        <f>TRANSPOSE(_T7[Etiquetas de fila])</f>
        <v>D.TOTOPOS</v>
      </c>
      <c r="C63">
        <f>TRANSPOSE(_T7[Recuento de T7 CODIGO])</f>
        <v>1</v>
      </c>
    </row>
    <row r="64" spans="1:3" x14ac:dyDescent="0.25">
      <c r="A64" t="b">
        <f>IFERROR(IF(MATCH(B64,RECETAS!$A$2:$A$1700,0) &lt;&gt; "", TRUE,""),FALSE)</f>
        <v>1</v>
      </c>
      <c r="B64" t="str">
        <f>TRANSPOSE(_T7[Etiquetas de fila])</f>
        <v>Daiquiri Frambuesa</v>
      </c>
      <c r="C64">
        <f>TRANSPOSE(_T7[Recuento de T7 CODIGO])</f>
        <v>45</v>
      </c>
    </row>
    <row r="65" spans="1:3" x14ac:dyDescent="0.25">
      <c r="A65" t="b">
        <f>IFERROR(IF(MATCH(B65,RECETAS!$A$2:$A$1700,0) &lt;&gt; "", TRUE,""),FALSE)</f>
        <v>1</v>
      </c>
      <c r="B65" t="str">
        <f>TRANSPOSE(_T7[Etiquetas de fila])</f>
        <v>Daiquiri Futilla</v>
      </c>
      <c r="C65">
        <f>TRANSPOSE(_T7[Recuento de T7 CODIGO])</f>
        <v>4</v>
      </c>
    </row>
    <row r="66" spans="1:3" x14ac:dyDescent="0.25">
      <c r="A66" t="b">
        <f>IFERROR(IF(MATCH(B66,RECETAS!$A$2:$A$1700,0) &lt;&gt; "", TRUE,""),FALSE)</f>
        <v>1</v>
      </c>
      <c r="B66" t="str">
        <f>TRANSPOSE(_T7[Etiquetas de fila])</f>
        <v>Daiquiri Mango</v>
      </c>
      <c r="C66">
        <f>TRANSPOSE(_T7[Recuento de T7 CODIGO])</f>
        <v>4</v>
      </c>
    </row>
    <row r="67" spans="1:3" x14ac:dyDescent="0.25">
      <c r="A67" t="b">
        <f>IFERROR(IF(MATCH(B67,RECETAS!$A$2:$A$1700,0) &lt;&gt; "", TRUE,""),FALSE)</f>
        <v>1</v>
      </c>
      <c r="B67" t="str">
        <f>TRANSPOSE(_T7[Etiquetas de fila])</f>
        <v>Daiquiri XL Frambuesa</v>
      </c>
      <c r="C67">
        <f>TRANSPOSE(_T7[Recuento de T7 CODIGO])</f>
        <v>3</v>
      </c>
    </row>
    <row r="68" spans="1:3" x14ac:dyDescent="0.25">
      <c r="A68" t="b">
        <f>IFERROR(IF(MATCH(B68,RECETAS!$A$2:$A$1700,0) &lt;&gt; "", TRUE,""),FALSE)</f>
        <v>1</v>
      </c>
      <c r="B68" t="str">
        <f>TRANSPOSE(_T7[Etiquetas de fila])</f>
        <v>Doble Cheese Burger</v>
      </c>
      <c r="C68">
        <f>TRANSPOSE(_T7[Recuento de T7 CODIGO])</f>
        <v>28</v>
      </c>
    </row>
    <row r="69" spans="1:3" x14ac:dyDescent="0.25">
      <c r="A69" t="b">
        <f>IFERROR(IF(MATCH(B69,RECETAS!$A$2:$A$1700,0) &lt;&gt; "", TRUE,""),FALSE)</f>
        <v>1</v>
      </c>
      <c r="B69" t="str">
        <f>TRANSPOSE(_T7[Etiquetas de fila])</f>
        <v>Empanadas Mixtas</v>
      </c>
      <c r="C69">
        <f>TRANSPOSE(_T7[Recuento de T7 CODIGO])</f>
        <v>16</v>
      </c>
    </row>
    <row r="70" spans="1:3" x14ac:dyDescent="0.25">
      <c r="A70" t="b">
        <f>IFERROR(IF(MATCH(B70,RECETAS!$A$2:$A$1700,0) &lt;&gt; "", TRUE,""),FALSE)</f>
        <v>1</v>
      </c>
      <c r="B70" t="str">
        <f>TRANSPOSE(_T7[Etiquetas de fila])</f>
        <v>Espumante de la casa</v>
      </c>
      <c r="C70">
        <f>TRANSPOSE(_T7[Recuento de T7 CODIGO])</f>
        <v>4</v>
      </c>
    </row>
    <row r="71" spans="1:3" x14ac:dyDescent="0.25">
      <c r="A71" t="b">
        <f>IFERROR(IF(MATCH(B71,RECETAS!$A$2:$A$1700,0) &lt;&gt; "", TRUE,""),FALSE)</f>
        <v>1</v>
      </c>
      <c r="B71" t="str">
        <f>TRANSPOSE(_T7[Etiquetas de fila])</f>
        <v>Extasis</v>
      </c>
      <c r="C71">
        <f>TRANSPOSE(_T7[Recuento de T7 CODIGO])</f>
        <v>3</v>
      </c>
    </row>
    <row r="72" spans="1:3" x14ac:dyDescent="0.25">
      <c r="A72" t="b">
        <f>IFERROR(IF(MATCH(B72,RECETAS!$A$2:$A$1700,0) &lt;&gt; "", TRUE,""),FALSE)</f>
        <v>1</v>
      </c>
      <c r="B72" t="str">
        <f>TRANSPOSE(_T7[Etiquetas de fila])</f>
        <v>EXTRA BURGER</v>
      </c>
      <c r="C72">
        <f>TRANSPOSE(_T7[Recuento de T7 CODIGO])</f>
        <v>1</v>
      </c>
    </row>
    <row r="73" spans="1:3" x14ac:dyDescent="0.25">
      <c r="A73" t="b">
        <f>IFERROR(IF(MATCH(B73,RECETAS!$A$2:$A$1700,0) &lt;&gt; "", TRUE,""),FALSE)</f>
        <v>1</v>
      </c>
      <c r="B73" t="str">
        <f>TRANSPOSE(_T7[Etiquetas de fila])</f>
        <v>Extra Camaron</v>
      </c>
      <c r="C73">
        <f>TRANSPOSE(_T7[Recuento de T7 CODIGO])</f>
        <v>3</v>
      </c>
    </row>
    <row r="74" spans="1:3" x14ac:dyDescent="0.25">
      <c r="A74" t="b">
        <f>IFERROR(IF(MATCH(B74,RECETAS!$A$2:$A$1700,0) &lt;&gt; "", TRUE,""),FALSE)</f>
        <v>1</v>
      </c>
      <c r="B74" t="str">
        <f>TRANSPOSE(_T7[Etiquetas de fila])</f>
        <v>Extra Champignon</v>
      </c>
      <c r="C74">
        <f>TRANSPOSE(_T7[Recuento de T7 CODIGO])</f>
        <v>2</v>
      </c>
    </row>
    <row r="75" spans="1:3" x14ac:dyDescent="0.25">
      <c r="A75" t="b">
        <f>IFERROR(IF(MATCH(B75,RECETAS!$A$2:$A$1700,0) &lt;&gt; "", TRUE,""),FALSE)</f>
        <v>1</v>
      </c>
      <c r="B75" t="str">
        <f>TRANSPOSE(_T7[Etiquetas de fila])</f>
        <v>Extra churrasco</v>
      </c>
      <c r="C75">
        <f>TRANSPOSE(_T7[Recuento de T7 CODIGO])</f>
        <v>6</v>
      </c>
    </row>
    <row r="76" spans="1:3" x14ac:dyDescent="0.25">
      <c r="A76" t="b">
        <f>IFERROR(IF(MATCH(B76,RECETAS!$A$2:$A$1700,0) &lt;&gt; "", TRUE,""),FALSE)</f>
        <v>1</v>
      </c>
      <c r="B76" t="str">
        <f>TRANSPOSE(_T7[Etiquetas de fila])</f>
        <v>EXTRA CREMA ACIDA</v>
      </c>
      <c r="C76">
        <f>TRANSPOSE(_T7[Recuento de T7 CODIGO])</f>
        <v>3</v>
      </c>
    </row>
    <row r="77" spans="1:3" x14ac:dyDescent="0.25">
      <c r="A77" t="b">
        <f>IFERROR(IF(MATCH(B77,RECETAS!$A$2:$A$1700,0) &lt;&gt; "", TRUE,""),FALSE)</f>
        <v>1</v>
      </c>
      <c r="B77" t="str">
        <f>TRANSPOSE(_T7[Etiquetas de fila])</f>
        <v>EXTRA GUACAMOLE</v>
      </c>
      <c r="C77">
        <f>TRANSPOSE(_T7[Recuento de T7 CODIGO])</f>
        <v>1</v>
      </c>
    </row>
    <row r="78" spans="1:3" x14ac:dyDescent="0.25">
      <c r="A78" t="b">
        <f>IFERROR(IF(MATCH(B78,RECETAS!$A$2:$A$1700,0) &lt;&gt; "", TRUE,""),FALSE)</f>
        <v>1</v>
      </c>
      <c r="B78" t="str">
        <f>TRANSPOSE(_T7[Etiquetas de fila])</f>
        <v>Extra Palta</v>
      </c>
      <c r="C78">
        <f>TRANSPOSE(_T7[Recuento de T7 CODIGO])</f>
        <v>5</v>
      </c>
    </row>
    <row r="79" spans="1:3" x14ac:dyDescent="0.25">
      <c r="A79" t="b">
        <f>IFERROR(IF(MATCH(B79,RECETAS!$A$2:$A$1700,0) &lt;&gt; "", TRUE,""),FALSE)</f>
        <v>1</v>
      </c>
      <c r="B79" t="str">
        <f>TRANSPOSE(_T7[Etiquetas de fila])</f>
        <v>EXTRA PICO DE GALLO</v>
      </c>
      <c r="C79">
        <f>TRANSPOSE(_T7[Recuento de T7 CODIGO])</f>
        <v>3</v>
      </c>
    </row>
    <row r="80" spans="1:3" x14ac:dyDescent="0.25">
      <c r="A80" t="b">
        <f>IFERROR(IF(MATCH(B80,RECETAS!$A$2:$A$1700,0) &lt;&gt; "", TRUE,""),FALSE)</f>
        <v>1</v>
      </c>
      <c r="B80" t="str">
        <f>TRANSPOSE(_T7[Etiquetas de fila])</f>
        <v>Extra Pollo</v>
      </c>
      <c r="C80">
        <f>TRANSPOSE(_T7[Recuento de T7 CODIGO])</f>
        <v>4</v>
      </c>
    </row>
    <row r="81" spans="1:3" x14ac:dyDescent="0.25">
      <c r="A81" t="b">
        <f>IFERROR(IF(MATCH(B81,RECETAS!$A$2:$A$1700,0) &lt;&gt; "", TRUE,""),FALSE)</f>
        <v>1</v>
      </c>
      <c r="B81" t="str">
        <f>TRANSPOSE(_T7[Etiquetas de fila])</f>
        <v>EXTRA SALSA CHEDDAR</v>
      </c>
      <c r="C81">
        <f>TRANSPOSE(_T7[Recuento de T7 CODIGO])</f>
        <v>5</v>
      </c>
    </row>
    <row r="82" spans="1:3" x14ac:dyDescent="0.25">
      <c r="A82" t="b">
        <f>IFERROR(IF(MATCH(B82,RECETAS!$A$2:$A$1700,0) &lt;&gt; "", TRUE,""),FALSE)</f>
        <v>0</v>
      </c>
      <c r="B82" t="str">
        <f>TRANSPOSE(_T7[Etiquetas de fila])</f>
        <v>EXTRA SALSA de AJO</v>
      </c>
      <c r="C82">
        <f>TRANSPOSE(_T7[Recuento de T7 CODIGO])</f>
        <v>2</v>
      </c>
    </row>
    <row r="83" spans="1:3" x14ac:dyDescent="0.25">
      <c r="A83" t="b">
        <f>IFERROR(IF(MATCH(B83,RECETAS!$A$2:$A$1700,0) &lt;&gt; "", TRUE,""),FALSE)</f>
        <v>1</v>
      </c>
      <c r="B83" t="str">
        <f>TRANSPOSE(_T7[Etiquetas de fila])</f>
        <v>EXTRA TOCINO</v>
      </c>
      <c r="C83">
        <f>TRANSPOSE(_T7[Recuento de T7 CODIGO])</f>
        <v>2</v>
      </c>
    </row>
    <row r="84" spans="1:3" x14ac:dyDescent="0.25">
      <c r="A84" t="b">
        <f>IFERROR(IF(MATCH(B84,RECETAS!$A$2:$A$1700,0) &lt;&gt; "", TRUE,""),FALSE)</f>
        <v>1</v>
      </c>
      <c r="B84" t="str">
        <f>TRANSPOSE(_T7[Etiquetas de fila])</f>
        <v>EXTRA TORTILLA</v>
      </c>
      <c r="C84">
        <f>TRANSPOSE(_T7[Recuento de T7 CODIGO])</f>
        <v>9</v>
      </c>
    </row>
    <row r="85" spans="1:3" x14ac:dyDescent="0.25">
      <c r="A85" t="b">
        <f>IFERROR(IF(MATCH(B85,RECETAS!$A$2:$A$1700,0) &lt;&gt; "", TRUE,""),FALSE)</f>
        <v>1</v>
      </c>
      <c r="B85" t="str">
        <f>TRANSPOSE(_T7[Etiquetas de fila])</f>
        <v>Fanta 350cc</v>
      </c>
      <c r="C85">
        <f>TRANSPOSE(_T7[Recuento de T7 CODIGO])</f>
        <v>5</v>
      </c>
    </row>
    <row r="86" spans="1:3" x14ac:dyDescent="0.25">
      <c r="A86" t="b">
        <f>IFERROR(IF(MATCH(B86,RECETAS!$A$2:$A$1700,0) &lt;&gt; "", TRUE,""),FALSE)</f>
        <v>1</v>
      </c>
      <c r="B86" t="str">
        <f>TRANSPOSE(_T7[Etiquetas de fila])</f>
        <v>Fernet Branca</v>
      </c>
      <c r="C86">
        <f>TRANSPOSE(_T7[Recuento de T7 CODIGO])</f>
        <v>1</v>
      </c>
    </row>
    <row r="87" spans="1:3" x14ac:dyDescent="0.25">
      <c r="A87" t="b">
        <f>IFERROR(IF(MATCH(B87,RECETAS!$A$2:$A$1700,0) &lt;&gt; "", TRUE,""),FALSE)</f>
        <v>1</v>
      </c>
      <c r="B87" t="str">
        <f>TRANSPOSE(_T7[Etiquetas de fila])</f>
        <v>Festival Teclados</v>
      </c>
      <c r="C87">
        <f>TRANSPOSE(_T7[Recuento de T7 CODIGO])</f>
        <v>14</v>
      </c>
    </row>
    <row r="88" spans="1:3" x14ac:dyDescent="0.25">
      <c r="A88" t="b">
        <f>IFERROR(IF(MATCH(B88,RECETAS!$A$2:$A$1700,0) &lt;&gt; "", TRUE,""),FALSE)</f>
        <v>1</v>
      </c>
      <c r="B88" t="str">
        <f>TRANSPOSE(_T7[Etiquetas de fila])</f>
        <v>Florence Spritz</v>
      </c>
      <c r="C88">
        <f>TRANSPOSE(_T7[Recuento de T7 CODIGO])</f>
        <v>8</v>
      </c>
    </row>
    <row r="89" spans="1:3" x14ac:dyDescent="0.25">
      <c r="A89" t="b">
        <f>IFERROR(IF(MATCH(B89,RECETAS!$A$2:$A$1700,0) &lt;&gt; "", TRUE,""),FALSE)</f>
        <v>0</v>
      </c>
      <c r="B89" t="str">
        <f>TRANSPOSE(_T7[Etiquetas de fila])</f>
        <v>Frutilla</v>
      </c>
      <c r="C89">
        <f>TRANSPOSE(_T7[Recuento de T7 CODIGO])</f>
        <v>2</v>
      </c>
    </row>
    <row r="90" spans="1:3" x14ac:dyDescent="0.25">
      <c r="A90" t="b">
        <f>IFERROR(IF(MATCH(B90,RECETAS!$A$2:$A$1700,0) &lt;&gt; "", TRUE,""),FALSE)</f>
        <v>0</v>
      </c>
      <c r="B90" t="str">
        <f>TRANSPOSE(_T7[Etiquetas de fila])</f>
        <v>Ghost Blood</v>
      </c>
      <c r="C90">
        <f>TRANSPOSE(_T7[Recuento de T7 CODIGO])</f>
        <v>7</v>
      </c>
    </row>
    <row r="91" spans="1:3" x14ac:dyDescent="0.25">
      <c r="A91" t="b">
        <f>IFERROR(IF(MATCH(B91,RECETAS!$A$2:$A$1700,0) &lt;&gt; "", TRUE,""),FALSE)</f>
        <v>0</v>
      </c>
      <c r="B91" t="str">
        <f>TRANSPOSE(_T7[Etiquetas de fila])</f>
        <v>GIN DE VERANO</v>
      </c>
      <c r="C91">
        <f>TRANSPOSE(_T7[Recuento de T7 CODIGO])</f>
        <v>716</v>
      </c>
    </row>
    <row r="92" spans="1:3" x14ac:dyDescent="0.25">
      <c r="A92" t="b">
        <f>IFERROR(IF(MATCH(B92,RECETAS!$A$2:$A$1700,0) &lt;&gt; "", TRUE,""),FALSE)</f>
        <v>0</v>
      </c>
      <c r="B92" t="str">
        <f>TRANSPOSE(_T7[Etiquetas de fila])</f>
        <v>halloween</v>
      </c>
      <c r="C92">
        <f>TRANSPOSE(_T7[Recuento de T7 CODIGO])</f>
        <v>1</v>
      </c>
    </row>
    <row r="93" spans="1:3" x14ac:dyDescent="0.25">
      <c r="A93" t="b">
        <f>IFERROR(IF(MATCH(B93,RECETAS!$A$2:$A$1700,0) &lt;&gt; "", TRUE,""),FALSE)</f>
        <v>1</v>
      </c>
      <c r="B93" t="str">
        <f>TRANSPOSE(_T7[Etiquetas de fila])</f>
        <v>Hendricks</v>
      </c>
      <c r="C93">
        <f>TRANSPOSE(_T7[Recuento de T7 CODIGO])</f>
        <v>14</v>
      </c>
    </row>
    <row r="94" spans="1:3" x14ac:dyDescent="0.25">
      <c r="A94" t="b">
        <f>IFERROR(IF(MATCH(B94,RECETAS!$A$2:$A$1700,0) &lt;&gt; "", TRUE,""),FALSE)</f>
        <v>1</v>
      </c>
      <c r="B94" t="str">
        <f>TRANSPOSE(_T7[Etiquetas de fila])</f>
        <v>HH Caipirinha</v>
      </c>
      <c r="C94">
        <f>TRANSPOSE(_T7[Recuento de T7 CODIGO])</f>
        <v>4</v>
      </c>
    </row>
    <row r="95" spans="1:3" x14ac:dyDescent="0.25">
      <c r="A95" t="b">
        <f>IFERROR(IF(MATCH(B95,RECETAS!$A$2:$A$1700,0) &lt;&gt; "", TRUE,""),FALSE)</f>
        <v>0</v>
      </c>
      <c r="B95" t="str">
        <f>TRANSPOSE(_T7[Etiquetas de fila])</f>
        <v>HH Chardonnay sour</v>
      </c>
      <c r="C95">
        <f>TRANSPOSE(_T7[Recuento de T7 CODIGO])</f>
        <v>1</v>
      </c>
    </row>
    <row r="96" spans="1:3" x14ac:dyDescent="0.25">
      <c r="A96" t="b">
        <f>IFERROR(IF(MATCH(B96,RECETAS!$A$2:$A$1700,0) &lt;&gt; "", TRUE,""),FALSE)</f>
        <v>1</v>
      </c>
      <c r="B96" t="str">
        <f>TRANSPOSE(_T7[Etiquetas de fila])</f>
        <v>HH Cosmopolitan</v>
      </c>
      <c r="C96">
        <f>TRANSPOSE(_T7[Recuento de T7 CODIGO])</f>
        <v>4</v>
      </c>
    </row>
    <row r="97" spans="1:3" x14ac:dyDescent="0.25">
      <c r="A97" t="b">
        <f>IFERROR(IF(MATCH(B97,RECETAS!$A$2:$A$1700,0) &lt;&gt; "", TRUE,""),FALSE)</f>
        <v>1</v>
      </c>
      <c r="B97" t="str">
        <f>TRANSPOSE(_T7[Etiquetas de fila])</f>
        <v>HH Daiquiri Frambuesa</v>
      </c>
      <c r="C97">
        <f>TRANSPOSE(_T7[Recuento de T7 CODIGO])</f>
        <v>6</v>
      </c>
    </row>
    <row r="98" spans="1:3" x14ac:dyDescent="0.25">
      <c r="A98" t="b">
        <f>IFERROR(IF(MATCH(B98,RECETAS!$A$2:$A$1700,0) &lt;&gt; "", TRUE,""),FALSE)</f>
        <v>1</v>
      </c>
      <c r="B98" t="str">
        <f>TRANSPOSE(_T7[Etiquetas de fila])</f>
        <v>HH Daiquiri Frutilla</v>
      </c>
      <c r="C98">
        <f>TRANSPOSE(_T7[Recuento de T7 CODIGO])</f>
        <v>1</v>
      </c>
    </row>
    <row r="99" spans="1:3" x14ac:dyDescent="0.25">
      <c r="A99" t="b">
        <f>IFERROR(IF(MATCH(B99,RECETAS!$A$2:$A$1700,0) &lt;&gt; "", TRUE,""),FALSE)</f>
        <v>1</v>
      </c>
      <c r="B99" t="str">
        <f>TRANSPOSE(_T7[Etiquetas de fila])</f>
        <v>HH Daiquiri Mango</v>
      </c>
      <c r="C99">
        <f>TRANSPOSE(_T7[Recuento de T7 CODIGO])</f>
        <v>5</v>
      </c>
    </row>
    <row r="100" spans="1:3" x14ac:dyDescent="0.25">
      <c r="A100" t="b">
        <f>IFERROR(IF(MATCH(B100,RECETAS!$A$2:$A$1700,0) &lt;&gt; "", TRUE,""),FALSE)</f>
        <v>0</v>
      </c>
      <c r="B100" t="str">
        <f>TRANSPOSE(_T7[Etiquetas de fila])</f>
        <v>HH Doble Cheese Bruger</v>
      </c>
      <c r="C100">
        <f>TRANSPOSE(_T7[Recuento de T7 CODIGO])</f>
        <v>27</v>
      </c>
    </row>
    <row r="101" spans="1:3" x14ac:dyDescent="0.25">
      <c r="A101" t="b">
        <f>IFERROR(IF(MATCH(B101,RECETAS!$A$2:$A$1700,0) &lt;&gt; "", TRUE,""),FALSE)</f>
        <v>0</v>
      </c>
      <c r="B101" t="str">
        <f>TRANSPOSE(_T7[Etiquetas de fila])</f>
        <v>HH Laguna azul</v>
      </c>
      <c r="C101">
        <f>TRANSPOSE(_T7[Recuento de T7 CODIGO])</f>
        <v>2</v>
      </c>
    </row>
    <row r="102" spans="1:3" x14ac:dyDescent="0.25">
      <c r="A102" t="b">
        <f>IFERROR(IF(MATCH(B102,RECETAS!$A$2:$A$1700,0) &lt;&gt; "", TRUE,""),FALSE)</f>
        <v>0</v>
      </c>
      <c r="B102" t="str">
        <f>TRANSPOSE(_T7[Etiquetas de fila])</f>
        <v>HH Maitai</v>
      </c>
      <c r="C102">
        <f>TRANSPOSE(_T7[Recuento de T7 CODIGO])</f>
        <v>7</v>
      </c>
    </row>
    <row r="103" spans="1:3" x14ac:dyDescent="0.25">
      <c r="A103" t="b">
        <f>IFERROR(IF(MATCH(B103,RECETAS!$A$2:$A$1700,0) &lt;&gt; "", TRUE,""),FALSE)</f>
        <v>1</v>
      </c>
      <c r="B103" t="str">
        <f>TRANSPOSE(_T7[Etiquetas de fila])</f>
        <v>HH Margarita</v>
      </c>
      <c r="C103">
        <f>TRANSPOSE(_T7[Recuento de T7 CODIGO])</f>
        <v>4</v>
      </c>
    </row>
    <row r="104" spans="1:3" x14ac:dyDescent="0.25">
      <c r="A104" t="b">
        <f>IFERROR(IF(MATCH(B104,RECETAS!$A$2:$A$1700,0) &lt;&gt; "", TRUE,""),FALSE)</f>
        <v>1</v>
      </c>
      <c r="B104" t="str">
        <f>TRANSPOSE(_T7[Etiquetas de fila])</f>
        <v>HH Margarita Frambuesa</v>
      </c>
      <c r="C104">
        <f>TRANSPOSE(_T7[Recuento de T7 CODIGO])</f>
        <v>1</v>
      </c>
    </row>
    <row r="105" spans="1:3" x14ac:dyDescent="0.25">
      <c r="A105" t="b">
        <f>IFERROR(IF(MATCH(B105,RECETAS!$A$2:$A$1700,0) &lt;&gt; "", TRUE,""),FALSE)</f>
        <v>1</v>
      </c>
      <c r="B105" t="str">
        <f>TRANSPOSE(_T7[Etiquetas de fila])</f>
        <v>HH MOJITO BERRIES</v>
      </c>
      <c r="C105">
        <f>TRANSPOSE(_T7[Recuento de T7 CODIGO])</f>
        <v>5</v>
      </c>
    </row>
    <row r="106" spans="1:3" x14ac:dyDescent="0.25">
      <c r="A106" t="b">
        <f>IFERROR(IF(MATCH(B106,RECETAS!$A$2:$A$1700,0) &lt;&gt; "", TRUE,""),FALSE)</f>
        <v>1</v>
      </c>
      <c r="B106" t="str">
        <f>TRANSPOSE(_T7[Etiquetas de fila])</f>
        <v>HH Mojito Clásico</v>
      </c>
      <c r="C106">
        <f>TRANSPOSE(_T7[Recuento de T7 CODIGO])</f>
        <v>16</v>
      </c>
    </row>
    <row r="107" spans="1:3" x14ac:dyDescent="0.25">
      <c r="A107" t="b">
        <f>IFERROR(IF(MATCH(B107,RECETAS!$A$2:$A$1700,0) &lt;&gt; "", TRUE,""),FALSE)</f>
        <v>1</v>
      </c>
      <c r="B107" t="str">
        <f>TRANSPOSE(_T7[Etiquetas de fila])</f>
        <v>HH Mojito Corona</v>
      </c>
      <c r="C107">
        <f>TRANSPOSE(_T7[Recuento de T7 CODIGO])</f>
        <v>16</v>
      </c>
    </row>
    <row r="108" spans="1:3" x14ac:dyDescent="0.25">
      <c r="A108" t="b">
        <f>IFERROR(IF(MATCH(B108,RECETAS!$A$2:$A$1700,0) &lt;&gt; "", TRUE,""),FALSE)</f>
        <v>1</v>
      </c>
      <c r="B108" t="str">
        <f>TRANSPOSE(_T7[Etiquetas de fila])</f>
        <v>HH MOJITO FRUTILLA</v>
      </c>
      <c r="C108">
        <f>TRANSPOSE(_T7[Recuento de T7 CODIGO])</f>
        <v>30</v>
      </c>
    </row>
    <row r="109" spans="1:3" x14ac:dyDescent="0.25">
      <c r="A109" t="b">
        <f>IFERROR(IF(MATCH(B109,RECETAS!$A$2:$A$1700,0) &lt;&gt; "", TRUE,""),FALSE)</f>
        <v>1</v>
      </c>
      <c r="B109" t="str">
        <f>TRANSPOSE(_T7[Etiquetas de fila])</f>
        <v>HH MOJITO MANGO</v>
      </c>
      <c r="C109">
        <f>TRANSPOSE(_T7[Recuento de T7 CODIGO])</f>
        <v>49</v>
      </c>
    </row>
    <row r="110" spans="1:3" x14ac:dyDescent="0.25">
      <c r="A110" t="b">
        <f>IFERROR(IF(MATCH(B110,RECETAS!$A$2:$A$1700,0) &lt;&gt; "", TRUE,""),FALSE)</f>
        <v>1</v>
      </c>
      <c r="B110" t="str">
        <f>TRANSPOSE(_T7[Etiquetas de fila])</f>
        <v>HH Mojito Maracuyá</v>
      </c>
      <c r="C110">
        <f>TRANSPOSE(_T7[Recuento de T7 CODIGO])</f>
        <v>14</v>
      </c>
    </row>
    <row r="111" spans="1:3" x14ac:dyDescent="0.25">
      <c r="A111" t="b">
        <f>IFERROR(IF(MATCH(B111,RECETAS!$A$2:$A$1700,0) &lt;&gt; "", TRUE,""),FALSE)</f>
        <v>1</v>
      </c>
      <c r="B111" t="str">
        <f>TRANSPOSE(_T7[Etiquetas de fila])</f>
        <v>HH Pisco Sour</v>
      </c>
      <c r="C111">
        <f>TRANSPOSE(_T7[Recuento de T7 CODIGO])</f>
        <v>4</v>
      </c>
    </row>
    <row r="112" spans="1:3" x14ac:dyDescent="0.25">
      <c r="A112" t="b">
        <f>IFERROR(IF(MATCH(B112,RECETAS!$A$2:$A$1700,0) &lt;&gt; "", TRUE,""),FALSE)</f>
        <v>0</v>
      </c>
      <c r="B112" t="str">
        <f>TRANSPOSE(_T7[Etiquetas de fila])</f>
        <v>HH Totopos</v>
      </c>
      <c r="C112">
        <f>TRANSPOSE(_T7[Recuento de T7 CODIGO])</f>
        <v>17</v>
      </c>
    </row>
    <row r="113" spans="1:3" x14ac:dyDescent="0.25">
      <c r="A113" t="b">
        <f>IFERROR(IF(MATCH(B113,RECETAS!$A$2:$A$1700,0) &lt;&gt; "", TRUE,""),FALSE)</f>
        <v>1</v>
      </c>
      <c r="B113" t="str">
        <f>TRANSPOSE(_T7[Etiquetas de fila])</f>
        <v>Jack Daniels</v>
      </c>
      <c r="C113">
        <f>TRANSPOSE(_T7[Recuento de T7 CODIGO])</f>
        <v>5</v>
      </c>
    </row>
    <row r="114" spans="1:3" x14ac:dyDescent="0.25">
      <c r="A114" t="b">
        <f>IFERROR(IF(MATCH(B114,RECETAS!$A$2:$A$1700,0) &lt;&gt; "", TRUE,""),FALSE)</f>
        <v>1</v>
      </c>
      <c r="B114" t="str">
        <f>TRANSPOSE(_T7[Etiquetas de fila])</f>
        <v>Jack Daniels Honey</v>
      </c>
      <c r="C114">
        <f>TRANSPOSE(_T7[Recuento de T7 CODIGO])</f>
        <v>3</v>
      </c>
    </row>
    <row r="115" spans="1:3" x14ac:dyDescent="0.25">
      <c r="A115" t="b">
        <f>IFERROR(IF(MATCH(B115,RECETAS!$A$2:$A$1700,0) &lt;&gt; "", TRUE,""),FALSE)</f>
        <v>1</v>
      </c>
      <c r="B115" t="str">
        <f>TRANSPOSE(_T7[Etiquetas de fila])</f>
        <v>Jagermeister</v>
      </c>
      <c r="C115">
        <f>TRANSPOSE(_T7[Recuento de T7 CODIGO])</f>
        <v>8</v>
      </c>
    </row>
    <row r="116" spans="1:3" x14ac:dyDescent="0.25">
      <c r="A116" t="b">
        <f>IFERROR(IF(MATCH(B116,RECETAS!$A$2:$A$1700,0) &lt;&gt; "", TRUE,""),FALSE)</f>
        <v>1</v>
      </c>
      <c r="B116" t="str">
        <f>TRANSPOSE(_T7[Etiquetas de fila])</f>
        <v>Jagermeister + Bebida</v>
      </c>
      <c r="C116">
        <f>TRANSPOSE(_T7[Recuento de T7 CODIGO])</f>
        <v>3</v>
      </c>
    </row>
    <row r="117" spans="1:3" x14ac:dyDescent="0.25">
      <c r="A117" t="b">
        <f>IFERROR(IF(MATCH(B117,RECETAS!$A$2:$A$1700,0) &lt;&gt; "", TRUE,""),FALSE)</f>
        <v>1</v>
      </c>
      <c r="B117" t="str">
        <f>TRANSPOSE(_T7[Etiquetas de fila])</f>
        <v>Jarro Sangria</v>
      </c>
      <c r="C117">
        <f>TRANSPOSE(_T7[Recuento de T7 CODIGO])</f>
        <v>18</v>
      </c>
    </row>
    <row r="118" spans="1:3" x14ac:dyDescent="0.25">
      <c r="A118" t="b">
        <f>IFERROR(IF(MATCH(B118,RECETAS!$A$2:$A$1700,0) &lt;&gt; "", TRUE,""),FALSE)</f>
        <v>1</v>
      </c>
      <c r="B118" t="str">
        <f>TRANSPOSE(_T7[Etiquetas de fila])</f>
        <v>Johnnie Walker Black</v>
      </c>
      <c r="C118">
        <f>TRANSPOSE(_T7[Recuento de T7 CODIGO])</f>
        <v>1</v>
      </c>
    </row>
    <row r="119" spans="1:3" x14ac:dyDescent="0.25">
      <c r="A119" t="b">
        <f>IFERROR(IF(MATCH(B119,RECETAS!$A$2:$A$1700,0) &lt;&gt; "", TRUE,""),FALSE)</f>
        <v>1</v>
      </c>
      <c r="B119" t="str">
        <f>TRANSPOSE(_T7[Etiquetas de fila])</f>
        <v>Johnnie Walker Red</v>
      </c>
      <c r="C119">
        <f>TRANSPOSE(_T7[Recuento de T7 CODIGO])</f>
        <v>2</v>
      </c>
    </row>
    <row r="120" spans="1:3" x14ac:dyDescent="0.25">
      <c r="A120" t="b">
        <f>IFERROR(IF(MATCH(B120,RECETAS!$A$2:$A$1700,0) &lt;&gt; "", TRUE,""),FALSE)</f>
        <v>1</v>
      </c>
      <c r="B120" t="str">
        <f>TRANSPOSE(_T7[Etiquetas de fila])</f>
        <v>Jugo Frambuesa</v>
      </c>
      <c r="C120">
        <f>TRANSPOSE(_T7[Recuento de T7 CODIGO])</f>
        <v>24</v>
      </c>
    </row>
    <row r="121" spans="1:3" x14ac:dyDescent="0.25">
      <c r="A121" t="b">
        <f>IFERROR(IF(MATCH(B121,RECETAS!$A$2:$A$1700,0) &lt;&gt; "", TRUE,""),FALSE)</f>
        <v>1</v>
      </c>
      <c r="B121" t="str">
        <f>TRANSPOSE(_T7[Etiquetas de fila])</f>
        <v>Jugo Frutilla</v>
      </c>
      <c r="C121">
        <f>TRANSPOSE(_T7[Recuento de T7 CODIGO])</f>
        <v>6</v>
      </c>
    </row>
    <row r="122" spans="1:3" x14ac:dyDescent="0.25">
      <c r="A122" t="b">
        <f>IFERROR(IF(MATCH(B122,RECETAS!$A$2:$A$1700,0) &lt;&gt; "", TRUE,""),FALSE)</f>
        <v>1</v>
      </c>
      <c r="B122" t="str">
        <f>TRANSPOSE(_T7[Etiquetas de fila])</f>
        <v>Jugo Mango</v>
      </c>
      <c r="C122">
        <f>TRANSPOSE(_T7[Recuento de T7 CODIGO])</f>
        <v>34</v>
      </c>
    </row>
    <row r="123" spans="1:3" x14ac:dyDescent="0.25">
      <c r="A123" t="b">
        <f>IFERROR(IF(MATCH(B123,RECETAS!$A$2:$A$1700,0) &lt;&gt; "", TRUE,""),FALSE)</f>
        <v>1</v>
      </c>
      <c r="B123" t="str">
        <f>TRANSPOSE(_T7[Etiquetas de fila])</f>
        <v>Kamikaze</v>
      </c>
      <c r="C123">
        <f>TRANSPOSE(_T7[Recuento de T7 CODIGO])</f>
        <v>2</v>
      </c>
    </row>
    <row r="124" spans="1:3" x14ac:dyDescent="0.25">
      <c r="A124" t="b">
        <f>IFERROR(IF(MATCH(B124,RECETAS!$A$2:$A$1700,0) &lt;&gt; "", TRUE,""),FALSE)</f>
        <v>1</v>
      </c>
      <c r="B124" t="str">
        <f>TRANSPOSE(_T7[Etiquetas de fila])</f>
        <v>Kir Royal</v>
      </c>
      <c r="C124">
        <f>TRANSPOSE(_T7[Recuento de T7 CODIGO])</f>
        <v>2</v>
      </c>
    </row>
    <row r="125" spans="1:3" x14ac:dyDescent="0.25">
      <c r="A125" t="b">
        <f>IFERROR(IF(MATCH(B125,RECETAS!$A$2:$A$1700,0) &lt;&gt; "", TRUE,""),FALSE)</f>
        <v>1</v>
      </c>
      <c r="B125" t="str">
        <f>TRANSPOSE(_T7[Etiquetas de fila])</f>
        <v>Laguna Azul</v>
      </c>
      <c r="C125">
        <f>TRANSPOSE(_T7[Recuento de T7 CODIGO])</f>
        <v>18</v>
      </c>
    </row>
    <row r="126" spans="1:3" x14ac:dyDescent="0.25">
      <c r="A126" t="b">
        <f>IFERROR(IF(MATCH(B126,RECETAS!$A$2:$A$1700,0) &lt;&gt; "", TRUE,""),FALSE)</f>
        <v>1</v>
      </c>
      <c r="B126" t="str">
        <f>TRANSPOSE(_T7[Etiquetas de fila])</f>
        <v>Limonada</v>
      </c>
      <c r="C126">
        <f>TRANSPOSE(_T7[Recuento de T7 CODIGO])</f>
        <v>47</v>
      </c>
    </row>
    <row r="127" spans="1:3" x14ac:dyDescent="0.25">
      <c r="A127" t="b">
        <f>IFERROR(IF(MATCH(B127,RECETAS!$A$2:$A$1700,0) &lt;&gt; "", TRUE,""),FALSE)</f>
        <v>1</v>
      </c>
      <c r="B127" t="str">
        <f>TRANSPOSE(_T7[Etiquetas de fila])</f>
        <v>Lomo a lo Pobre</v>
      </c>
      <c r="C127">
        <f>TRANSPOSE(_T7[Recuento de T7 CODIGO])</f>
        <v>8</v>
      </c>
    </row>
    <row r="128" spans="1:3" x14ac:dyDescent="0.25">
      <c r="A128" t="b">
        <f>IFERROR(IF(MATCH(B128,RECETAS!$A$2:$A$1700,0) &lt;&gt; "", TRUE,""),FALSE)</f>
        <v>1</v>
      </c>
      <c r="B128" t="str">
        <f>TRANSPOSE(_T7[Etiquetas de fila])</f>
        <v>London Mule</v>
      </c>
      <c r="C128">
        <f>TRANSPOSE(_T7[Recuento de T7 CODIGO])</f>
        <v>12</v>
      </c>
    </row>
    <row r="129" spans="1:3" x14ac:dyDescent="0.25">
      <c r="A129" t="b">
        <f>IFERROR(IF(MATCH(B129,RECETAS!$A$2:$A$1700,0) &lt;&gt; "", TRUE,""),FALSE)</f>
        <v>1</v>
      </c>
      <c r="B129" t="str">
        <f>TRANSPOSE(_T7[Etiquetas de fila])</f>
        <v>Long Island Ice Tea</v>
      </c>
      <c r="C129">
        <f>TRANSPOSE(_T7[Recuento de T7 CODIGO])</f>
        <v>2</v>
      </c>
    </row>
    <row r="130" spans="1:3" x14ac:dyDescent="0.25">
      <c r="A130" t="b">
        <f>IFERROR(IF(MATCH(B130,RECETAS!$A$2:$A$1700,0) &lt;&gt; "", TRUE,""),FALSE)</f>
        <v>1</v>
      </c>
      <c r="B130" t="str">
        <f>TRANSPOSE(_T7[Etiquetas de fila])</f>
        <v>Maitai</v>
      </c>
      <c r="C130">
        <f>TRANSPOSE(_T7[Recuento de T7 CODIGO])</f>
        <v>5</v>
      </c>
    </row>
    <row r="131" spans="1:3" x14ac:dyDescent="0.25">
      <c r="A131" t="b">
        <f>IFERROR(IF(MATCH(B131,RECETAS!$A$2:$A$1700,0) &lt;&gt; "", TRUE,""),FALSE)</f>
        <v>1</v>
      </c>
      <c r="B131" t="str">
        <f>TRANSPOSE(_T7[Etiquetas de fila])</f>
        <v>Mamacita</v>
      </c>
      <c r="C131">
        <f>TRANSPOSE(_T7[Recuento de T7 CODIGO])</f>
        <v>2</v>
      </c>
    </row>
    <row r="132" spans="1:3" x14ac:dyDescent="0.25">
      <c r="A132" t="b">
        <f>IFERROR(IF(MATCH(B132,RECETAS!$A$2:$A$1700,0) &lt;&gt; "", TRUE,""),FALSE)</f>
        <v>0</v>
      </c>
      <c r="B132" t="str">
        <f>TRANSPOSE(_T7[Etiquetas de fila])</f>
        <v>Mango</v>
      </c>
      <c r="C132">
        <f>TRANSPOSE(_T7[Recuento de T7 CODIGO])</f>
        <v>10</v>
      </c>
    </row>
    <row r="133" spans="1:3" x14ac:dyDescent="0.25">
      <c r="A133" t="b">
        <f>IFERROR(IF(MATCH(B133,RECETAS!$A$2:$A$1700,0) &lt;&gt; "", TRUE,""),FALSE)</f>
        <v>1</v>
      </c>
      <c r="B133" t="str">
        <f>TRANSPOSE(_T7[Etiquetas de fila])</f>
        <v>Mango Colada</v>
      </c>
      <c r="C133">
        <f>TRANSPOSE(_T7[Recuento de T7 CODIGO])</f>
        <v>1</v>
      </c>
    </row>
    <row r="134" spans="1:3" x14ac:dyDescent="0.25">
      <c r="A134" t="b">
        <f>IFERROR(IF(MATCH(B134,RECETAS!$A$2:$A$1700,0) &lt;&gt; "", TRUE,""),FALSE)</f>
        <v>1</v>
      </c>
      <c r="B134" t="str">
        <f>TRANSPOSE(_T7[Etiquetas de fila])</f>
        <v>Margarita</v>
      </c>
      <c r="C134">
        <f>TRANSPOSE(_T7[Recuento de T7 CODIGO])</f>
        <v>12</v>
      </c>
    </row>
    <row r="135" spans="1:3" x14ac:dyDescent="0.25">
      <c r="A135" t="b">
        <f>IFERROR(IF(MATCH(B135,RECETAS!$A$2:$A$1700,0) &lt;&gt; "", TRUE,""),FALSE)</f>
        <v>1</v>
      </c>
      <c r="B135" t="str">
        <f>TRANSPOSE(_T7[Etiquetas de fila])</f>
        <v>Margarita Blue</v>
      </c>
      <c r="C135">
        <f>TRANSPOSE(_T7[Recuento de T7 CODIGO])</f>
        <v>5</v>
      </c>
    </row>
    <row r="136" spans="1:3" x14ac:dyDescent="0.25">
      <c r="A136" t="b">
        <f>IFERROR(IF(MATCH(B136,RECETAS!$A$2:$A$1700,0) &lt;&gt; "", TRUE,""),FALSE)</f>
        <v>1</v>
      </c>
      <c r="B136" t="str">
        <f>TRANSPOSE(_T7[Etiquetas de fila])</f>
        <v>Margarita Frambuesa</v>
      </c>
      <c r="C136">
        <f>TRANSPOSE(_T7[Recuento de T7 CODIGO])</f>
        <v>5</v>
      </c>
    </row>
    <row r="137" spans="1:3" x14ac:dyDescent="0.25">
      <c r="A137" t="b">
        <f>IFERROR(IF(MATCH(B137,RECETAS!$A$2:$A$1700,0) &lt;&gt; "", TRUE,""),FALSE)</f>
        <v>0</v>
      </c>
      <c r="B137" t="str">
        <f>TRANSPOSE(_T7[Etiquetas de fila])</f>
        <v>margarita maracuya spicy</v>
      </c>
      <c r="C137">
        <f>TRANSPOSE(_T7[Recuento de T7 CODIGO])</f>
        <v>4</v>
      </c>
    </row>
    <row r="138" spans="1:3" x14ac:dyDescent="0.25">
      <c r="A138" t="b">
        <f>IFERROR(IF(MATCH(B138,RECETAS!$A$2:$A$1700,0) &lt;&gt; "", TRUE,""),FALSE)</f>
        <v>0</v>
      </c>
      <c r="B138" t="str">
        <f>TRANSPOSE(_T7[Etiquetas de fila])</f>
        <v>margarita spicy</v>
      </c>
      <c r="C138">
        <f>TRANSPOSE(_T7[Recuento de T7 CODIGO])</f>
        <v>4</v>
      </c>
    </row>
    <row r="139" spans="1:3" x14ac:dyDescent="0.25">
      <c r="A139" t="b">
        <f>IFERROR(IF(MATCH(B139,RECETAS!$A$2:$A$1700,0) &lt;&gt; "", TRUE,""),FALSE)</f>
        <v>1</v>
      </c>
      <c r="B139" t="str">
        <f>TRANSPOSE(_T7[Etiquetas de fila])</f>
        <v>Margarita XL</v>
      </c>
      <c r="C139">
        <f>TRANSPOSE(_T7[Recuento de T7 CODIGO])</f>
        <v>1</v>
      </c>
    </row>
    <row r="140" spans="1:3" x14ac:dyDescent="0.25">
      <c r="A140" t="b">
        <f>IFERROR(IF(MATCH(B140,RECETAS!$A$2:$A$1700,0) &lt;&gt; "", TRUE,""),FALSE)</f>
        <v>1</v>
      </c>
      <c r="B140" t="str">
        <f>TRANSPOSE(_T7[Etiquetas de fila])</f>
        <v>Menu Coca cola zero 350cc</v>
      </c>
      <c r="C140">
        <f>TRANSPOSE(_T7[Recuento de T7 CODIGO])</f>
        <v>4</v>
      </c>
    </row>
    <row r="141" spans="1:3" x14ac:dyDescent="0.25">
      <c r="A141" t="b">
        <f>IFERROR(IF(MATCH(B141,RECETAS!$A$2:$A$1700,0) &lt;&gt; "", TRUE,""),FALSE)</f>
        <v>1</v>
      </c>
      <c r="B141" t="str">
        <f>TRANSPOSE(_T7[Etiquetas de fila])</f>
        <v>Menu Pollo al Limon</v>
      </c>
      <c r="C141">
        <f>TRANSPOSE(_T7[Recuento de T7 CODIGO])</f>
        <v>4</v>
      </c>
    </row>
    <row r="142" spans="1:3" x14ac:dyDescent="0.25">
      <c r="A142" t="b">
        <f>IFERROR(IF(MATCH(B142,RECETAS!$A$2:$A$1700,0) &lt;&gt; "", TRUE,""),FALSE)</f>
        <v>0</v>
      </c>
      <c r="B142" t="str">
        <f>TRANSPOSE(_T7[Etiquetas de fila])</f>
        <v>MERLUZA A LO POBRE</v>
      </c>
      <c r="C142">
        <f>TRANSPOSE(_T7[Recuento de T7 CODIGO])</f>
        <v>2</v>
      </c>
    </row>
    <row r="143" spans="1:3" x14ac:dyDescent="0.25">
      <c r="A143" t="b">
        <f>IFERROR(IF(MATCH(B143,RECETAS!$A$2:$A$1700,0) &lt;&gt; "", TRUE,""),FALSE)</f>
        <v>1</v>
      </c>
      <c r="B143" t="str">
        <f>TRANSPOSE(_T7[Etiquetas de fila])</f>
        <v>Michelada</v>
      </c>
      <c r="C143">
        <f>TRANSPOSE(_T7[Recuento de T7 CODIGO])</f>
        <v>51</v>
      </c>
    </row>
    <row r="144" spans="1:3" x14ac:dyDescent="0.25">
      <c r="A144" t="b">
        <f>IFERROR(IF(MATCH(B144,RECETAS!$A$2:$A$1700,0) &lt;&gt; "", TRUE,""),FALSE)</f>
        <v>1</v>
      </c>
      <c r="B144" t="str">
        <f>TRANSPOSE(_T7[Etiquetas de fila])</f>
        <v>Michelada Full</v>
      </c>
      <c r="C144">
        <f>TRANSPOSE(_T7[Recuento de T7 CODIGO])</f>
        <v>62</v>
      </c>
    </row>
    <row r="145" spans="1:3" x14ac:dyDescent="0.25">
      <c r="A145" t="b">
        <f>IFERROR(IF(MATCH(B145,RECETAS!$A$2:$A$1700,0) &lt;&gt; "", TRUE,""),FALSE)</f>
        <v>1</v>
      </c>
      <c r="B145" t="str">
        <f>TRANSPOSE(_T7[Etiquetas de fila])</f>
        <v>Mineral con gas</v>
      </c>
      <c r="C145">
        <f>TRANSPOSE(_T7[Recuento de T7 CODIGO])</f>
        <v>24</v>
      </c>
    </row>
    <row r="146" spans="1:3" x14ac:dyDescent="0.25">
      <c r="A146" t="b">
        <f>IFERROR(IF(MATCH(B146,RECETAS!$A$2:$A$1700,0) &lt;&gt; "", TRUE,""),FALSE)</f>
        <v>1</v>
      </c>
      <c r="B146" t="str">
        <f>TRANSPOSE(_T7[Etiquetas de fila])</f>
        <v>Mineral sin gas</v>
      </c>
      <c r="C146">
        <f>TRANSPOSE(_T7[Recuento de T7 CODIGO])</f>
        <v>20</v>
      </c>
    </row>
    <row r="147" spans="1:3" x14ac:dyDescent="0.25">
      <c r="A147" t="b">
        <f>IFERROR(IF(MATCH(B147,RECETAS!$A$2:$A$1700,0) &lt;&gt; "", TRUE,""),FALSE)</f>
        <v>1</v>
      </c>
      <c r="B147" t="str">
        <f>TRANSPOSE(_T7[Etiquetas de fila])</f>
        <v>Mistral 35°</v>
      </c>
      <c r="C147">
        <f>TRANSPOSE(_T7[Recuento de T7 CODIGO])</f>
        <v>5</v>
      </c>
    </row>
    <row r="148" spans="1:3" x14ac:dyDescent="0.25">
      <c r="A148" t="b">
        <f>IFERROR(IF(MATCH(B148,RECETAS!$A$2:$A$1700,0) &lt;&gt; "", TRUE,""),FALSE)</f>
        <v>1</v>
      </c>
      <c r="B148" t="str">
        <f>TRANSPOSE(_T7[Etiquetas de fila])</f>
        <v>Mistral Nobel 40°</v>
      </c>
      <c r="C148">
        <f>TRANSPOSE(_T7[Recuento de T7 CODIGO])</f>
        <v>5</v>
      </c>
    </row>
    <row r="149" spans="1:3" x14ac:dyDescent="0.25">
      <c r="A149" t="b">
        <f>IFERROR(IF(MATCH(B149,RECETAS!$A$2:$A$1700,0) &lt;&gt; "", TRUE,""),FALSE)</f>
        <v>1</v>
      </c>
      <c r="B149" t="str">
        <f>TRANSPOSE(_T7[Etiquetas de fila])</f>
        <v>Mojito Absolut</v>
      </c>
      <c r="C149">
        <f>TRANSPOSE(_T7[Recuento de T7 CODIGO])</f>
        <v>1</v>
      </c>
    </row>
    <row r="150" spans="1:3" x14ac:dyDescent="0.25">
      <c r="A150" t="b">
        <f>IFERROR(IF(MATCH(B150,RECETAS!$A$2:$A$1700,0) &lt;&gt; "", TRUE,""),FALSE)</f>
        <v>1</v>
      </c>
      <c r="B150" t="str">
        <f>TRANSPOSE(_T7[Etiquetas de fila])</f>
        <v>MOJITO BERRIES</v>
      </c>
      <c r="C150">
        <f>TRANSPOSE(_T7[Recuento de T7 CODIGO])</f>
        <v>14</v>
      </c>
    </row>
    <row r="151" spans="1:3" x14ac:dyDescent="0.25">
      <c r="A151" t="b">
        <f>IFERROR(IF(MATCH(B151,RECETAS!$A$2:$A$1700,0) &lt;&gt; "", TRUE,""),FALSE)</f>
        <v>1</v>
      </c>
      <c r="B151" t="str">
        <f>TRANSPOSE(_T7[Etiquetas de fila])</f>
        <v>Mojito Clásico</v>
      </c>
      <c r="C151">
        <f>TRANSPOSE(_T7[Recuento de T7 CODIGO])</f>
        <v>39</v>
      </c>
    </row>
    <row r="152" spans="1:3" x14ac:dyDescent="0.25">
      <c r="A152" t="b">
        <f>IFERROR(IF(MATCH(B152,RECETAS!$A$2:$A$1700,0) &lt;&gt; "", TRUE,""),FALSE)</f>
        <v>1</v>
      </c>
      <c r="B152" t="str">
        <f>TRANSPOSE(_T7[Etiquetas de fila])</f>
        <v>Mojito Corona</v>
      </c>
      <c r="C152">
        <f>TRANSPOSE(_T7[Recuento de T7 CODIGO])</f>
        <v>55</v>
      </c>
    </row>
    <row r="153" spans="1:3" x14ac:dyDescent="0.25">
      <c r="A153" t="b">
        <f>IFERROR(IF(MATCH(B153,RECETAS!$A$2:$A$1700,0) &lt;&gt; "", TRUE,""),FALSE)</f>
        <v>0</v>
      </c>
      <c r="B153" t="str">
        <f>TRANSPOSE(_T7[Etiquetas de fila])</f>
        <v>MOJITO CORONA 0.0</v>
      </c>
      <c r="C153">
        <f>TRANSPOSE(_T7[Recuento de T7 CODIGO])</f>
        <v>1</v>
      </c>
    </row>
    <row r="154" spans="1:3" x14ac:dyDescent="0.25">
      <c r="A154" t="b">
        <f>IFERROR(IF(MATCH(B154,RECETAS!$A$2:$A$1700,0) &lt;&gt; "", TRUE,""),FALSE)</f>
        <v>1</v>
      </c>
      <c r="B154" t="str">
        <f>TRANSPOSE(_T7[Etiquetas de fila])</f>
        <v>MOJITO FRUTILLA</v>
      </c>
      <c r="C154">
        <f>TRANSPOSE(_T7[Recuento de T7 CODIGO])</f>
        <v>108</v>
      </c>
    </row>
    <row r="155" spans="1:3" x14ac:dyDescent="0.25">
      <c r="A155" t="b">
        <f>IFERROR(IF(MATCH(B155,RECETAS!$A$2:$A$1700,0) &lt;&gt; "", TRUE,""),FALSE)</f>
        <v>1</v>
      </c>
      <c r="B155" t="str">
        <f>TRANSPOSE(_T7[Etiquetas de fila])</f>
        <v>Mojito Jack Daniels</v>
      </c>
      <c r="C155">
        <f>TRANSPOSE(_T7[Recuento de T7 CODIGO])</f>
        <v>1</v>
      </c>
    </row>
    <row r="156" spans="1:3" x14ac:dyDescent="0.25">
      <c r="A156" t="b">
        <f>IFERROR(IF(MATCH(B156,RECETAS!$A$2:$A$1700,0) &lt;&gt; "", TRUE,""),FALSE)</f>
        <v>1</v>
      </c>
      <c r="B156" t="str">
        <f>TRANSPOSE(_T7[Etiquetas de fila])</f>
        <v>MOJITO MANGO</v>
      </c>
      <c r="C156">
        <f>TRANSPOSE(_T7[Recuento de T7 CODIGO])</f>
        <v>5</v>
      </c>
    </row>
    <row r="157" spans="1:3" x14ac:dyDescent="0.25">
      <c r="A157" t="b">
        <f>IFERROR(IF(MATCH(B157,RECETAS!$A$2:$A$1700,0) &lt;&gt; "", TRUE,""),FALSE)</f>
        <v>1</v>
      </c>
      <c r="B157" t="str">
        <f>TRANSPOSE(_T7[Etiquetas de fila])</f>
        <v>Mojito Maracuyá</v>
      </c>
      <c r="C157">
        <f>TRANSPOSE(_T7[Recuento de T7 CODIGO])</f>
        <v>38</v>
      </c>
    </row>
    <row r="158" spans="1:3" x14ac:dyDescent="0.25">
      <c r="A158" t="b">
        <f>IFERROR(IF(MATCH(B158,RECETAS!$A$2:$A$1700,0) &lt;&gt; "", TRUE,""),FALSE)</f>
        <v>1</v>
      </c>
      <c r="B158" t="str">
        <f>TRANSPOSE(_T7[Etiquetas de fila])</f>
        <v>Mojito Sin Alcohol</v>
      </c>
      <c r="C158">
        <f>TRANSPOSE(_T7[Recuento de T7 CODIGO])</f>
        <v>30</v>
      </c>
    </row>
    <row r="159" spans="1:3" x14ac:dyDescent="0.25">
      <c r="A159" t="b">
        <f>IFERROR(IF(MATCH(B159,RECETAS!$A$2:$A$1700,0) &lt;&gt; "", TRUE,""),FALSE)</f>
        <v>0</v>
      </c>
      <c r="B159" t="str">
        <f>TRANSPOSE(_T7[Etiquetas de fila])</f>
        <v>Mojito Tanqueray Royale</v>
      </c>
      <c r="C159">
        <f>TRANSPOSE(_T7[Recuento de T7 CODIGO])</f>
        <v>9</v>
      </c>
    </row>
    <row r="160" spans="1:3" x14ac:dyDescent="0.25">
      <c r="A160" t="b">
        <f>IFERROR(IF(MATCH(B160,RECETAS!$A$2:$A$1700,0) &lt;&gt; "", TRUE,""),FALSE)</f>
        <v>1</v>
      </c>
      <c r="B160" t="str">
        <f>TRANSPOSE(_T7[Etiquetas de fila])</f>
        <v>Mojito Xl</v>
      </c>
      <c r="C160">
        <f>TRANSPOSE(_T7[Recuento de T7 CODIGO])</f>
        <v>14</v>
      </c>
    </row>
    <row r="161" spans="1:3" x14ac:dyDescent="0.25">
      <c r="A161" t="b">
        <f>IFERROR(IF(MATCH(B161,RECETAS!$A$2:$A$1700,0) &lt;&gt; "", TRUE,""),FALSE)</f>
        <v>1</v>
      </c>
      <c r="B161" t="str">
        <f>TRANSPOSE(_T7[Etiquetas de fila])</f>
        <v>Monster Zero</v>
      </c>
      <c r="C161">
        <f>TRANSPOSE(_T7[Recuento de T7 CODIGO])</f>
        <v>4</v>
      </c>
    </row>
    <row r="162" spans="1:3" x14ac:dyDescent="0.25">
      <c r="A162" t="b">
        <f>IFERROR(IF(MATCH(B162,RECETAS!$A$2:$A$1700,0) &lt;&gt; "", TRUE,""),FALSE)</f>
        <v>1</v>
      </c>
      <c r="B162" t="str">
        <f>TRANSPOSE(_T7[Etiquetas de fila])</f>
        <v>Moscow Mule</v>
      </c>
      <c r="C162">
        <f>TRANSPOSE(_T7[Recuento de T7 CODIGO])</f>
        <v>26</v>
      </c>
    </row>
    <row r="163" spans="1:3" x14ac:dyDescent="0.25">
      <c r="A163" t="b">
        <f>IFERROR(IF(MATCH(B163,RECETAS!$A$2:$A$1700,0) &lt;&gt; "", TRUE,""),FALSE)</f>
        <v>1</v>
      </c>
      <c r="B163" t="str">
        <f>TRANSPOSE(_T7[Etiquetas de fila])</f>
        <v>Nashville Honey</v>
      </c>
      <c r="C163">
        <f>TRANSPOSE(_T7[Recuento de T7 CODIGO])</f>
        <v>3</v>
      </c>
    </row>
    <row r="164" spans="1:3" x14ac:dyDescent="0.25">
      <c r="A164" t="b">
        <f>IFERROR(IF(MATCH(B164,RECETAS!$A$2:$A$1700,0) &lt;&gt; "", TRUE,""),FALSE)</f>
        <v>1</v>
      </c>
      <c r="B164" t="str">
        <f>TRANSPOSE(_T7[Etiquetas de fila])</f>
        <v>Negroni</v>
      </c>
      <c r="C164">
        <f>TRANSPOSE(_T7[Recuento de T7 CODIGO])</f>
        <v>5</v>
      </c>
    </row>
    <row r="165" spans="1:3" x14ac:dyDescent="0.25">
      <c r="A165" t="b">
        <f>IFERROR(IF(MATCH(B165,RECETAS!$A$2:$A$1700,0) &lt;&gt; "", TRUE,""),FALSE)</f>
        <v>1</v>
      </c>
      <c r="B165" t="str">
        <f>TRANSPOSE(_T7[Etiquetas de fila])</f>
        <v>NOT Burger</v>
      </c>
      <c r="C165">
        <f>TRANSPOSE(_T7[Recuento de T7 CODIGO])</f>
        <v>16</v>
      </c>
    </row>
    <row r="166" spans="1:3" x14ac:dyDescent="0.25">
      <c r="A166" t="b">
        <f>IFERROR(IF(MATCH(B166,RECETAS!$A$2:$A$1700,0) &lt;&gt; "", TRUE,""),FALSE)</f>
        <v>1</v>
      </c>
      <c r="B166" t="str">
        <f>TRANSPOSE(_T7[Etiquetas de fila])</f>
        <v>P.CHEESE TECLADOS</v>
      </c>
      <c r="C166">
        <f>TRANSPOSE(_T7[Recuento de T7 CODIGO])</f>
        <v>3</v>
      </c>
    </row>
    <row r="167" spans="1:3" x14ac:dyDescent="0.25">
      <c r="A167" t="b">
        <f>IFERROR(IF(MATCH(B167,RECETAS!$A$2:$A$1700,0) &lt;&gt; "", TRUE,""),FALSE)</f>
        <v>1</v>
      </c>
      <c r="B167" t="str">
        <f>TRANSPOSE(_T7[Etiquetas de fila])</f>
        <v>Palos de Queso</v>
      </c>
      <c r="C167">
        <f>TRANSPOSE(_T7[Recuento de T7 CODIGO])</f>
        <v>23</v>
      </c>
    </row>
    <row r="168" spans="1:3" x14ac:dyDescent="0.25">
      <c r="A168" t="b">
        <f>IFERROR(IF(MATCH(B168,RECETAS!$A$2:$A$1700,0) &lt;&gt; "", TRUE,""),FALSE)</f>
        <v>1</v>
      </c>
      <c r="B168" t="str">
        <f>TRANSPOSE(_T7[Etiquetas de fila])</f>
        <v>Pampero Especial</v>
      </c>
      <c r="C168">
        <f>TRANSPOSE(_T7[Recuento de T7 CODIGO])</f>
        <v>1</v>
      </c>
    </row>
    <row r="169" spans="1:3" x14ac:dyDescent="0.25">
      <c r="A169" t="b">
        <f>IFERROR(IF(MATCH(B169,RECETAS!$A$2:$A$1700,0) &lt;&gt; "", TRUE,""),FALSE)</f>
        <v>1</v>
      </c>
      <c r="B169" t="str">
        <f>TRANSPOSE(_T7[Etiquetas de fila])</f>
        <v>Papas Fritas Grandes</v>
      </c>
      <c r="C169">
        <f>TRANSPOSE(_T7[Recuento de T7 CODIGO])</f>
        <v>42</v>
      </c>
    </row>
    <row r="170" spans="1:3" x14ac:dyDescent="0.25">
      <c r="A170" t="b">
        <f>IFERROR(IF(MATCH(B170,RECETAS!$A$2:$A$1700,0) &lt;&gt; "", TRUE,""),FALSE)</f>
        <v>1</v>
      </c>
      <c r="B170" t="str">
        <f>TRANSPOSE(_T7[Etiquetas de fila])</f>
        <v>Picnic Teclados</v>
      </c>
      <c r="C170">
        <f>TRANSPOSE(_T7[Recuento de T7 CODIGO])</f>
        <v>47</v>
      </c>
    </row>
    <row r="171" spans="1:3" x14ac:dyDescent="0.25">
      <c r="A171" t="b">
        <f>IFERROR(IF(MATCH(B171,RECETAS!$A$2:$A$1700,0) &lt;&gt; "", TRUE,""),FALSE)</f>
        <v>1</v>
      </c>
      <c r="B171" t="str">
        <f>TRANSPOSE(_T7[Etiquetas de fila])</f>
        <v>Piña Colada</v>
      </c>
      <c r="C171">
        <f>TRANSPOSE(_T7[Recuento de T7 CODIGO])</f>
        <v>14</v>
      </c>
    </row>
    <row r="172" spans="1:3" x14ac:dyDescent="0.25">
      <c r="A172" t="b">
        <f>IFERROR(IF(MATCH(B172,RECETAS!$A$2:$A$1700,0) &lt;&gt; "", TRUE,""),FALSE)</f>
        <v>1</v>
      </c>
      <c r="B172" t="str">
        <f>TRANSPOSE(_T7[Etiquetas de fila])</f>
        <v>Piña Colada Sin Alcohol</v>
      </c>
      <c r="C172">
        <f>TRANSPOSE(_T7[Recuento de T7 CODIGO])</f>
        <v>3</v>
      </c>
    </row>
    <row r="173" spans="1:3" x14ac:dyDescent="0.25">
      <c r="A173" t="b">
        <f>IFERROR(IF(MATCH(B173,RECETAS!$A$2:$A$1700,0) &lt;&gt; "", TRUE,""),FALSE)</f>
        <v>1</v>
      </c>
      <c r="B173" t="str">
        <f>TRANSPOSE(_T7[Etiquetas de fila])</f>
        <v>Pisco Sour</v>
      </c>
      <c r="C173">
        <f>TRANSPOSE(_T7[Recuento de T7 CODIGO])</f>
        <v>25</v>
      </c>
    </row>
    <row r="174" spans="1:3" x14ac:dyDescent="0.25">
      <c r="A174" t="b">
        <f>IFERROR(IF(MATCH(B174,RECETAS!$A$2:$A$1700,0) &lt;&gt; "", TRUE,""),FALSE)</f>
        <v>1</v>
      </c>
      <c r="B174" t="str">
        <f>TRANSPOSE(_T7[Etiquetas de fila])</f>
        <v>Pisco Sour Alto 35°</v>
      </c>
      <c r="C174">
        <f>TRANSPOSE(_T7[Recuento de T7 CODIGO])</f>
        <v>1</v>
      </c>
    </row>
    <row r="175" spans="1:3" x14ac:dyDescent="0.25">
      <c r="A175" t="b">
        <f>IFERROR(IF(MATCH(B175,RECETAS!$A$2:$A$1700,0) &lt;&gt; "", TRUE,""),FALSE)</f>
        <v>1</v>
      </c>
      <c r="B175" t="str">
        <f>TRANSPOSE(_T7[Etiquetas de fila])</f>
        <v>Pisco Sour Mistral 35°</v>
      </c>
      <c r="C175">
        <f>TRANSPOSE(_T7[Recuento de T7 CODIGO])</f>
        <v>3</v>
      </c>
    </row>
    <row r="176" spans="1:3" x14ac:dyDescent="0.25">
      <c r="A176" t="b">
        <f>IFERROR(IF(MATCH(B176,RECETAS!$A$2:$A$1700,0) &lt;&gt; "", TRUE,""),FALSE)</f>
        <v>1</v>
      </c>
      <c r="B176" t="str">
        <f>TRANSPOSE(_T7[Etiquetas de fila])</f>
        <v>Promo Alto 35°</v>
      </c>
      <c r="C176">
        <f>TRANSPOSE(_T7[Recuento de T7 CODIGO])</f>
        <v>31</v>
      </c>
    </row>
    <row r="177" spans="1:3" x14ac:dyDescent="0.25">
      <c r="A177" t="b">
        <f>IFERROR(IF(MATCH(B177,RECETAS!$A$2:$A$1700,0) &lt;&gt; "", TRUE,""),FALSE)</f>
        <v>1</v>
      </c>
      <c r="B177" t="str">
        <f>TRANSPOSE(_T7[Etiquetas de fila])</f>
        <v>Promo Alto 35° + Redbull</v>
      </c>
      <c r="C177">
        <f>TRANSPOSE(_T7[Recuento de T7 CODIGO])</f>
        <v>30</v>
      </c>
    </row>
    <row r="178" spans="1:3" x14ac:dyDescent="0.25">
      <c r="A178" t="b">
        <f>IFERROR(IF(MATCH(B178,RECETAS!$A$2:$A$1700,0) &lt;&gt; "", TRUE,""),FALSE)</f>
        <v>1</v>
      </c>
      <c r="B178" t="str">
        <f>TRANSPOSE(_T7[Etiquetas de fila])</f>
        <v>Promo Brujas de Salamanca 35</v>
      </c>
      <c r="C178">
        <f>TRANSPOSE(_T7[Recuento de T7 CODIGO])</f>
        <v>1</v>
      </c>
    </row>
    <row r="179" spans="1:3" x14ac:dyDescent="0.25">
      <c r="A179" t="b">
        <f>IFERROR(IF(MATCH(B179,RECETAS!$A$2:$A$1700,0) &lt;&gt; "", TRUE,""),FALSE)</f>
        <v>1</v>
      </c>
      <c r="B179" t="str">
        <f>TRANSPOSE(_T7[Etiquetas de fila])</f>
        <v>Promo coca cola 237cc</v>
      </c>
      <c r="C179">
        <f>TRANSPOSE(_T7[Recuento de T7 CODIGO])</f>
        <v>29</v>
      </c>
    </row>
    <row r="180" spans="1:3" x14ac:dyDescent="0.25">
      <c r="A180" t="b">
        <f>IFERROR(IF(MATCH(B180,RECETAS!$A$2:$A$1700,0) &lt;&gt; "", TRUE,""),FALSE)</f>
        <v>1</v>
      </c>
      <c r="B180" t="str">
        <f>TRANSPOSE(_T7[Etiquetas de fila])</f>
        <v>Promo Coca cola 350cc</v>
      </c>
      <c r="C180">
        <f>TRANSPOSE(_T7[Recuento de T7 CODIGO])</f>
        <v>4</v>
      </c>
    </row>
    <row r="181" spans="1:3" x14ac:dyDescent="0.25">
      <c r="A181" t="b">
        <f>IFERROR(IF(MATCH(B181,RECETAS!$A$2:$A$1700,0) &lt;&gt; "", TRUE,""),FALSE)</f>
        <v>1</v>
      </c>
      <c r="B181" t="str">
        <f>TRANSPOSE(_T7[Etiquetas de fila])</f>
        <v>Promo Coca cola Light 350cc</v>
      </c>
      <c r="C181">
        <f>TRANSPOSE(_T7[Recuento de T7 CODIGO])</f>
        <v>4</v>
      </c>
    </row>
    <row r="182" spans="1:3" x14ac:dyDescent="0.25">
      <c r="A182" t="b">
        <f>IFERROR(IF(MATCH(B182,RECETAS!$A$2:$A$1700,0) &lt;&gt; "", TRUE,""),FALSE)</f>
        <v>1</v>
      </c>
      <c r="B182" t="str">
        <f>TRANSPOSE(_T7[Etiquetas de fila])</f>
        <v>Promo coca cola zero 237cc</v>
      </c>
      <c r="C182">
        <f>TRANSPOSE(_T7[Recuento de T7 CODIGO])</f>
        <v>64</v>
      </c>
    </row>
    <row r="183" spans="1:3" x14ac:dyDescent="0.25">
      <c r="A183" t="b">
        <f>IFERROR(IF(MATCH(B183,RECETAS!$A$2:$A$1700,0) &lt;&gt; "", TRUE,""),FALSE)</f>
        <v>1</v>
      </c>
      <c r="B183" t="str">
        <f>TRANSPOSE(_T7[Etiquetas de fila])</f>
        <v>Promo coca cola zero 350cc</v>
      </c>
      <c r="C183">
        <f>TRANSPOSE(_T7[Recuento de T7 CODIGO])</f>
        <v>29</v>
      </c>
    </row>
    <row r="184" spans="1:3" x14ac:dyDescent="0.25">
      <c r="A184" t="b">
        <f>IFERROR(IF(MATCH(B184,RECETAS!$A$2:$A$1700,0) &lt;&gt; "", TRUE,""),FALSE)</f>
        <v>1</v>
      </c>
      <c r="B184" t="str">
        <f>TRANSPOSE(_T7[Etiquetas de fila])</f>
        <v>Promo Fentimans Tónica</v>
      </c>
      <c r="C184">
        <f>TRANSPOSE(_T7[Recuento de T7 CODIGO])</f>
        <v>6</v>
      </c>
    </row>
    <row r="185" spans="1:3" x14ac:dyDescent="0.25">
      <c r="A185" t="b">
        <f>IFERROR(IF(MATCH(B185,RECETAS!$A$2:$A$1700,0) &lt;&gt; "", TRUE,""),FALSE)</f>
        <v>0</v>
      </c>
      <c r="B185" t="str">
        <f>TRANSPOSE(_T7[Etiquetas de fila])</f>
        <v>Promo Fentimans Tónica Light</v>
      </c>
      <c r="C185">
        <f>TRANSPOSE(_T7[Recuento de T7 CODIGO])</f>
        <v>3</v>
      </c>
    </row>
    <row r="186" spans="1:3" x14ac:dyDescent="0.25">
      <c r="A186" t="b">
        <f>IFERROR(IF(MATCH(B186,RECETAS!$A$2:$A$1700,0) &lt;&gt; "", TRUE,""),FALSE)</f>
        <v>1</v>
      </c>
      <c r="B186" t="str">
        <f>TRANSPOSE(_T7[Etiquetas de fila])</f>
        <v>Promo Mistral 35° + Redbull</v>
      </c>
      <c r="C186">
        <f>TRANSPOSE(_T7[Recuento de T7 CODIGO])</f>
        <v>1</v>
      </c>
    </row>
    <row r="187" spans="1:3" x14ac:dyDescent="0.25">
      <c r="A187" t="b">
        <f>IFERROR(IF(MATCH(B187,RECETAS!$A$2:$A$1700,0) &lt;&gt; "", TRUE,""),FALSE)</f>
        <v>1</v>
      </c>
      <c r="B187" t="str">
        <f>TRANSPOSE(_T7[Etiquetas de fila])</f>
        <v>Promo pisco Sour</v>
      </c>
      <c r="C187">
        <f>TRANSPOSE(_T7[Recuento de T7 CODIGO])</f>
        <v>3</v>
      </c>
    </row>
    <row r="188" spans="1:3" x14ac:dyDescent="0.25">
      <c r="A188" t="b">
        <f>IFERROR(IF(MATCH(B188,RECETAS!$A$2:$A$1700,0) &lt;&gt; "", TRUE,""),FALSE)</f>
        <v>1</v>
      </c>
      <c r="B188" t="str">
        <f>TRANSPOSE(_T7[Etiquetas de fila])</f>
        <v>Promo Red Bull Light</v>
      </c>
      <c r="C188">
        <f>TRANSPOSE(_T7[Recuento de T7 CODIGO])</f>
        <v>7</v>
      </c>
    </row>
    <row r="189" spans="1:3" x14ac:dyDescent="0.25">
      <c r="A189" t="b">
        <f>IFERROR(IF(MATCH(B189,RECETAS!$A$2:$A$1700,0) &lt;&gt; "", TRUE,""),FALSE)</f>
        <v>1</v>
      </c>
      <c r="B189" t="str">
        <f>TRANSPOSE(_T7[Etiquetas de fila])</f>
        <v>Promo Redbull</v>
      </c>
      <c r="C189">
        <f>TRANSPOSE(_T7[Recuento de T7 CODIGO])</f>
        <v>27</v>
      </c>
    </row>
    <row r="190" spans="1:3" x14ac:dyDescent="0.25">
      <c r="A190" t="b">
        <f>IFERROR(IF(MATCH(B190,RECETAS!$A$2:$A$1700,0) &lt;&gt; "", TRUE,""),FALSE)</f>
        <v>1</v>
      </c>
      <c r="B190" t="str">
        <f>TRANSPOSE(_T7[Etiquetas de fila])</f>
        <v>Promo Schweppes Ginger zero 350cc</v>
      </c>
      <c r="C190">
        <f>TRANSPOSE(_T7[Recuento de T7 CODIGO])</f>
        <v>8</v>
      </c>
    </row>
    <row r="191" spans="1:3" x14ac:dyDescent="0.25">
      <c r="A191" t="b">
        <f>IFERROR(IF(MATCH(B191,RECETAS!$A$2:$A$1700,0) &lt;&gt; "", TRUE,""),FALSE)</f>
        <v>1</v>
      </c>
      <c r="B191" t="str">
        <f>TRANSPOSE(_T7[Etiquetas de fila])</f>
        <v>Promo Schweppes Tonica 350cc</v>
      </c>
      <c r="C191">
        <f>TRANSPOSE(_T7[Recuento de T7 CODIGO])</f>
        <v>26</v>
      </c>
    </row>
    <row r="192" spans="1:3" x14ac:dyDescent="0.25">
      <c r="A192" t="b">
        <f>IFERROR(IF(MATCH(B192,RECETAS!$A$2:$A$1700,0) &lt;&gt; "", TRUE,""),FALSE)</f>
        <v>1</v>
      </c>
      <c r="B192" t="str">
        <f>TRANSPOSE(_T7[Etiquetas de fila])</f>
        <v>Promo Sprite 237cc</v>
      </c>
      <c r="C192">
        <f>TRANSPOSE(_T7[Recuento de T7 CODIGO])</f>
        <v>7</v>
      </c>
    </row>
    <row r="193" spans="1:3" x14ac:dyDescent="0.25">
      <c r="A193" t="b">
        <f>IFERROR(IF(MATCH(B193,RECETAS!$A$2:$A$1700,0) &lt;&gt; "", TRUE,""),FALSE)</f>
        <v>1</v>
      </c>
      <c r="B193" t="str">
        <f>TRANSPOSE(_T7[Etiquetas de fila])</f>
        <v>Promo Sprite Zero 350cc</v>
      </c>
      <c r="C193">
        <f>TRANSPOSE(_T7[Recuento de T7 CODIGO])</f>
        <v>13</v>
      </c>
    </row>
    <row r="194" spans="1:3" x14ac:dyDescent="0.25">
      <c r="A194" t="b">
        <f>IFERROR(IF(MATCH(B194,RECETAS!$A$2:$A$1700,0) &lt;&gt; "", TRUE,""),FALSE)</f>
        <v>0</v>
      </c>
      <c r="B194" t="str">
        <f>TRANSPOSE(_T7[Etiquetas de fila])</f>
        <v>Pumpkin</v>
      </c>
      <c r="C194">
        <f>TRANSPOSE(_T7[Recuento de T7 CODIGO])</f>
        <v>4</v>
      </c>
    </row>
    <row r="195" spans="1:3" x14ac:dyDescent="0.25">
      <c r="A195" t="b">
        <f>IFERROR(IF(MATCH(B195,RECETAS!$A$2:$A$1700,0) &lt;&gt; "", TRUE,""),FALSE)</f>
        <v>1</v>
      </c>
      <c r="B195" t="str">
        <f>TRANSPOSE(_T7[Etiquetas de fila])</f>
        <v>Quesadilla Camaron</v>
      </c>
      <c r="C195">
        <f>TRANSPOSE(_T7[Recuento de T7 CODIGO])</f>
        <v>25</v>
      </c>
    </row>
    <row r="196" spans="1:3" x14ac:dyDescent="0.25">
      <c r="A196" t="b">
        <f>IFERROR(IF(MATCH(B196,RECETAS!$A$2:$A$1700,0) &lt;&gt; "", TRUE,""),FALSE)</f>
        <v>1</v>
      </c>
      <c r="B196" t="str">
        <f>TRANSPOSE(_T7[Etiquetas de fila])</f>
        <v>Quesadilla Carne</v>
      </c>
      <c r="C196">
        <f>TRANSPOSE(_T7[Recuento de T7 CODIGO])</f>
        <v>26</v>
      </c>
    </row>
    <row r="197" spans="1:3" x14ac:dyDescent="0.25">
      <c r="A197" t="b">
        <f>IFERROR(IF(MATCH(B197,RECETAS!$A$2:$A$1700,0) &lt;&gt; "", TRUE,""),FALSE)</f>
        <v>0</v>
      </c>
      <c r="B197" t="str">
        <f>TRANSPOSE(_T7[Etiquetas de fila])</f>
        <v>QUESADILLA CHAMPIÑON</v>
      </c>
      <c r="C197">
        <f>TRANSPOSE(_T7[Recuento de T7 CODIGO])</f>
        <v>1</v>
      </c>
    </row>
    <row r="198" spans="1:3" x14ac:dyDescent="0.25">
      <c r="A198" t="b">
        <f>IFERROR(IF(MATCH(B198,RECETAS!$A$2:$A$1700,0) &lt;&gt; "", TRUE,""),FALSE)</f>
        <v>1</v>
      </c>
      <c r="B198" t="str">
        <f>TRANSPOSE(_T7[Etiquetas de fila])</f>
        <v>Quesadilla Pollo - Champignon</v>
      </c>
      <c r="C198">
        <f>TRANSPOSE(_T7[Recuento de T7 CODIGO])</f>
        <v>47</v>
      </c>
    </row>
    <row r="199" spans="1:3" x14ac:dyDescent="0.25">
      <c r="A199" t="b">
        <f>IFERROR(IF(MATCH(B199,RECETAS!$A$2:$A$1700,0) &lt;&gt; "", TRUE,""),FALSE)</f>
        <v>1</v>
      </c>
      <c r="B199" t="str">
        <f>TRANSPOSE(_T7[Etiquetas de fila])</f>
        <v>Ramazzotti</v>
      </c>
      <c r="C199">
        <f>TRANSPOSE(_T7[Recuento de T7 CODIGO])</f>
        <v>65</v>
      </c>
    </row>
    <row r="200" spans="1:3" x14ac:dyDescent="0.25">
      <c r="A200" t="b">
        <f>IFERROR(IF(MATCH(B200,RECETAS!$A$2:$A$1700,0) &lt;&gt; "", TRUE,""),FALSE)</f>
        <v>1</v>
      </c>
      <c r="B200" t="str">
        <f>TRANSPOSE(_T7[Etiquetas de fila])</f>
        <v>Red Bull normal</v>
      </c>
      <c r="C200">
        <f>TRANSPOSE(_T7[Recuento de T7 CODIGO])</f>
        <v>9</v>
      </c>
    </row>
    <row r="201" spans="1:3" x14ac:dyDescent="0.25">
      <c r="A201" t="b">
        <f>IFERROR(IF(MATCH(B201,RECETAS!$A$2:$A$1700,0) &lt;&gt; "", TRUE,""),FALSE)</f>
        <v>1</v>
      </c>
      <c r="B201" t="str">
        <f>TRANSPOSE(_T7[Etiquetas de fila])</f>
        <v>Red Bull sugar free</v>
      </c>
      <c r="C201">
        <f>TRANSPOSE(_T7[Recuento de T7 CODIGO])</f>
        <v>13</v>
      </c>
    </row>
    <row r="202" spans="1:3" x14ac:dyDescent="0.25">
      <c r="A202" t="b">
        <f>IFERROR(IF(MATCH(B202,RECETAS!$A$2:$A$1700,0) &lt;&gt; "", TRUE,""),FALSE)</f>
        <v>1</v>
      </c>
      <c r="B202" t="str">
        <f>TRANSPOSE(_T7[Etiquetas de fila])</f>
        <v>Red Bull yellow</v>
      </c>
      <c r="C202">
        <f>TRANSPOSE(_T7[Recuento de T7 CODIGO])</f>
        <v>4</v>
      </c>
    </row>
    <row r="203" spans="1:3" x14ac:dyDescent="0.25">
      <c r="A203" t="b">
        <f>IFERROR(IF(MATCH(B203,RECETAS!$A$2:$A$1700,0) &lt;&gt; "", TRUE,""),FALSE)</f>
        <v>1</v>
      </c>
      <c r="B203" t="str">
        <f>TRANSPOSE(_T7[Etiquetas de fila])</f>
        <v>Riccadonna Moscato Rose</v>
      </c>
      <c r="C203">
        <f>TRANSPOSE(_T7[Recuento de T7 CODIGO])</f>
        <v>2</v>
      </c>
    </row>
    <row r="204" spans="1:3" x14ac:dyDescent="0.25">
      <c r="A204" t="b">
        <f>IFERROR(IF(MATCH(B204,RECETAS!$A$2:$A$1700,0) &lt;&gt; "", TRUE,""),FALSE)</f>
        <v>1</v>
      </c>
      <c r="B204" t="str">
        <f>TRANSPOSE(_T7[Etiquetas de fila])</f>
        <v>Schop Becker</v>
      </c>
      <c r="C204">
        <f>TRANSPOSE(_T7[Recuento de T7 CODIGO])</f>
        <v>2</v>
      </c>
    </row>
    <row r="205" spans="1:3" x14ac:dyDescent="0.25">
      <c r="A205" t="b">
        <f>IFERROR(IF(MATCH(B205,RECETAS!$A$2:$A$1700,0) &lt;&gt; "", TRUE,""),FALSE)</f>
        <v>1</v>
      </c>
      <c r="B205" t="str">
        <f>TRANSPOSE(_T7[Etiquetas de fila])</f>
        <v>Schop Stella Artois</v>
      </c>
      <c r="C205">
        <f>TRANSPOSE(_T7[Recuento de T7 CODIGO])</f>
        <v>139</v>
      </c>
    </row>
    <row r="206" spans="1:3" x14ac:dyDescent="0.25">
      <c r="A206" t="b">
        <f>IFERROR(IF(MATCH(B206,RECETAS!$A$2:$A$1700,0) &lt;&gt; "", TRUE,""),FALSE)</f>
        <v>1</v>
      </c>
      <c r="B206" t="str">
        <f>TRANSPOSE(_T7[Etiquetas de fila])</f>
        <v>Schweppes Ginger Zero 350cc</v>
      </c>
      <c r="C206">
        <f>TRANSPOSE(_T7[Recuento de T7 CODIGO])</f>
        <v>7</v>
      </c>
    </row>
    <row r="207" spans="1:3" x14ac:dyDescent="0.25">
      <c r="A207" t="b">
        <f>IFERROR(IF(MATCH(B207,RECETAS!$A$2:$A$1700,0) &lt;&gt; "", TRUE,""),FALSE)</f>
        <v>1</v>
      </c>
      <c r="B207" t="str">
        <f>TRANSPOSE(_T7[Etiquetas de fila])</f>
        <v>Schweppes Tonica 350cc</v>
      </c>
      <c r="C207">
        <f>TRANSPOSE(_T7[Recuento de T7 CODIGO])</f>
        <v>5</v>
      </c>
    </row>
    <row r="208" spans="1:3" x14ac:dyDescent="0.25">
      <c r="A208" t="b">
        <f>IFERROR(IF(MATCH(B208,RECETAS!$A$2:$A$1700,0) &lt;&gt; "", TRUE,""),FALSE)</f>
        <v>1</v>
      </c>
      <c r="B208" t="str">
        <f>TRANSPOSE(_T7[Etiquetas de fila])</f>
        <v>Sex on The beach</v>
      </c>
      <c r="C208">
        <f>TRANSPOSE(_T7[Recuento de T7 CODIGO])</f>
        <v>14</v>
      </c>
    </row>
    <row r="209" spans="1:3" x14ac:dyDescent="0.25">
      <c r="A209" t="b">
        <f>IFERROR(IF(MATCH(B209,RECETAS!$A$2:$A$1700,0) &lt;&gt; "", TRUE,""),FALSE)</f>
        <v>1</v>
      </c>
      <c r="B209" t="str">
        <f>TRANSPOSE(_T7[Etiquetas de fila])</f>
        <v>Shot Jack Daniels Fire</v>
      </c>
      <c r="C209">
        <f>TRANSPOSE(_T7[Recuento de T7 CODIGO])</f>
        <v>2</v>
      </c>
    </row>
    <row r="210" spans="1:3" x14ac:dyDescent="0.25">
      <c r="A210" t="b">
        <f>IFERROR(IF(MATCH(B210,RECETAS!$A$2:$A$1700,0) &lt;&gt; "", TRUE,""),FALSE)</f>
        <v>1</v>
      </c>
      <c r="B210" t="str">
        <f>TRANSPOSE(_T7[Etiquetas de fila])</f>
        <v>Shot Tequila Jimador</v>
      </c>
      <c r="C210">
        <f>TRANSPOSE(_T7[Recuento de T7 CODIGO])</f>
        <v>18</v>
      </c>
    </row>
    <row r="211" spans="1:3" x14ac:dyDescent="0.25">
      <c r="A211" t="b">
        <f>IFERROR(IF(MATCH(B211,RECETAS!$A$2:$A$1700,0) &lt;&gt; "", TRUE,""),FALSE)</f>
        <v>1</v>
      </c>
      <c r="B211" t="str">
        <f>TRANSPOSE(_T7[Etiquetas de fila])</f>
        <v>Smirnoff</v>
      </c>
      <c r="C211">
        <f>TRANSPOSE(_T7[Recuento de T7 CODIGO])</f>
        <v>2</v>
      </c>
    </row>
    <row r="212" spans="1:3" x14ac:dyDescent="0.25">
      <c r="A212" t="b">
        <f>IFERROR(IF(MATCH(B212,RECETAS!$A$2:$A$1700,0) &lt;&gt; "", TRUE,""),FALSE)</f>
        <v>1</v>
      </c>
      <c r="B212" t="str">
        <f>TRANSPOSE(_T7[Etiquetas de fila])</f>
        <v>Sonata Teclados</v>
      </c>
      <c r="C212">
        <f>TRANSPOSE(_T7[Recuento de T7 CODIGO])</f>
        <v>7</v>
      </c>
    </row>
    <row r="213" spans="1:3" x14ac:dyDescent="0.25">
      <c r="A213" t="b">
        <f>IFERROR(IF(MATCH(B213,RECETAS!$A$2:$A$1700,0) &lt;&gt; "", TRUE,""),FALSE)</f>
        <v>1</v>
      </c>
      <c r="B213" t="str">
        <f>TRANSPOSE(_T7[Etiquetas de fila])</f>
        <v>Spring Rolls</v>
      </c>
      <c r="C213">
        <f>TRANSPOSE(_T7[Recuento de T7 CODIGO])</f>
        <v>3</v>
      </c>
    </row>
    <row r="214" spans="1:3" x14ac:dyDescent="0.25">
      <c r="A214" t="b">
        <f>IFERROR(IF(MATCH(B214,RECETAS!$A$2:$A$1700,0) &lt;&gt; "", TRUE,""),FALSE)</f>
        <v>1</v>
      </c>
      <c r="B214" t="str">
        <f>TRANSPOSE(_T7[Etiquetas de fila])</f>
        <v>Sprite 350cc</v>
      </c>
      <c r="C214">
        <f>TRANSPOSE(_T7[Recuento de T7 CODIGO])</f>
        <v>2</v>
      </c>
    </row>
    <row r="215" spans="1:3" x14ac:dyDescent="0.25">
      <c r="A215" t="b">
        <f>IFERROR(IF(MATCH(B215,RECETAS!$A$2:$A$1700,0) &lt;&gt; "", TRUE,""),FALSE)</f>
        <v>1</v>
      </c>
      <c r="B215" t="str">
        <f>TRANSPOSE(_T7[Etiquetas de fila])</f>
        <v>Sprite Zero 350cc</v>
      </c>
      <c r="C215">
        <f>TRANSPOSE(_T7[Recuento de T7 CODIGO])</f>
        <v>21</v>
      </c>
    </row>
    <row r="216" spans="1:3" x14ac:dyDescent="0.25">
      <c r="A216" t="b">
        <f>IFERROR(IF(MATCH(B216,RECETAS!$A$2:$A$1700,0) &lt;&gt; "", TRUE,""),FALSE)</f>
        <v>1</v>
      </c>
      <c r="B216" t="str">
        <f>TRANSPOSE(_T7[Etiquetas de fila])</f>
        <v>Stella Artois</v>
      </c>
      <c r="C216">
        <f>TRANSPOSE(_T7[Recuento de T7 CODIGO])</f>
        <v>3</v>
      </c>
    </row>
    <row r="217" spans="1:3" x14ac:dyDescent="0.25">
      <c r="A217" t="b">
        <f>IFERROR(IF(MATCH(B217,RECETAS!$A$2:$A$1700,0) &lt;&gt; "", TRUE,""),FALSE)</f>
        <v>1</v>
      </c>
      <c r="B217" t="str">
        <f>TRANSPOSE(_T7[Etiquetas de fila])</f>
        <v>Stella Artois Sin Alcohol</v>
      </c>
      <c r="C217">
        <f>TRANSPOSE(_T7[Recuento de T7 CODIGO])</f>
        <v>14</v>
      </c>
    </row>
    <row r="218" spans="1:3" x14ac:dyDescent="0.25">
      <c r="A218" t="b">
        <f>IFERROR(IF(MATCH(B218,RECETAS!$A$2:$A$1700,0) &lt;&gt; "", TRUE,""),FALSE)</f>
        <v>1</v>
      </c>
      <c r="B218" t="str">
        <f>TRANSPOSE(_T7[Etiquetas de fila])</f>
        <v>Stolichnaya Premium</v>
      </c>
      <c r="C218">
        <f>TRANSPOSE(_T7[Recuento de T7 CODIGO])</f>
        <v>6</v>
      </c>
    </row>
    <row r="219" spans="1:3" x14ac:dyDescent="0.25">
      <c r="A219" t="b">
        <f>IFERROR(IF(MATCH(B219,RECETAS!$A$2:$A$1700,0) &lt;&gt; "", TRUE,""),FALSE)</f>
        <v>1</v>
      </c>
      <c r="B219" t="str">
        <f>TRANSPOSE(_T7[Etiquetas de fila])</f>
        <v>Tanqueray London</v>
      </c>
      <c r="C219">
        <f>TRANSPOSE(_T7[Recuento de T7 CODIGO])</f>
        <v>9</v>
      </c>
    </row>
    <row r="220" spans="1:3" x14ac:dyDescent="0.25">
      <c r="A220" t="b">
        <f>IFERROR(IF(MATCH(B220,RECETAS!$A$2:$A$1700,0) &lt;&gt; "", TRUE,""),FALSE)</f>
        <v>1</v>
      </c>
      <c r="B220" t="str">
        <f>TRANSPOSE(_T7[Etiquetas de fila])</f>
        <v>Tanqueray Sevilla</v>
      </c>
      <c r="C220">
        <f>TRANSPOSE(_T7[Recuento de T7 CODIGO])</f>
        <v>1</v>
      </c>
    </row>
    <row r="221" spans="1:3" x14ac:dyDescent="0.25">
      <c r="A221" t="b">
        <f>IFERROR(IF(MATCH(B221,RECETAS!$A$2:$A$1700,0) &lt;&gt; "", TRUE,""),FALSE)</f>
        <v>1</v>
      </c>
      <c r="B221" t="str">
        <f>TRANSPOSE(_T7[Etiquetas de fila])</f>
        <v>Tanqueray Ten</v>
      </c>
      <c r="C221">
        <f>TRANSPOSE(_T7[Recuento de T7 CODIGO])</f>
        <v>2</v>
      </c>
    </row>
    <row r="222" spans="1:3" x14ac:dyDescent="0.25">
      <c r="A222" t="b">
        <f>IFERROR(IF(MATCH(B222,RECETAS!$A$2:$A$1700,0) &lt;&gt; "", TRUE,""),FALSE)</f>
        <v>1</v>
      </c>
      <c r="B222" t="str">
        <f>TRANSPOSE(_T7[Etiquetas de fila])</f>
        <v>Tartaro de Salmón</v>
      </c>
      <c r="C222">
        <f>TRANSPOSE(_T7[Recuento de T7 CODIGO])</f>
        <v>20</v>
      </c>
    </row>
    <row r="223" spans="1:3" x14ac:dyDescent="0.25">
      <c r="A223" t="b">
        <f>IFERROR(IF(MATCH(B223,RECETAS!$A$2:$A$1700,0) &lt;&gt; "", TRUE,""),FALSE)</f>
        <v>0</v>
      </c>
      <c r="B223" t="str">
        <f>TRANSPOSE(_T7[Etiquetas de fila])</f>
        <v>Teclados  NOT Burger</v>
      </c>
      <c r="C223">
        <f>TRANSPOSE(_T7[Recuento de T7 CODIGO])</f>
        <v>18</v>
      </c>
    </row>
    <row r="224" spans="1:3" x14ac:dyDescent="0.25">
      <c r="A224" t="b">
        <f>IFERROR(IF(MATCH(B224,RECETAS!$A$2:$A$1700,0) &lt;&gt; "", TRUE,""),FALSE)</f>
        <v>1</v>
      </c>
      <c r="B224" t="str">
        <f>TRANSPOSE(_T7[Etiquetas de fila])</f>
        <v>Teclados Burger</v>
      </c>
      <c r="C224">
        <f>TRANSPOSE(_T7[Recuento de T7 CODIGO])</f>
        <v>27</v>
      </c>
    </row>
    <row r="225" spans="1:3" x14ac:dyDescent="0.25">
      <c r="A225" t="b">
        <f>IFERROR(IF(MATCH(B225,RECETAS!$A$2:$A$1700,0) &lt;&gt; "", TRUE,""),FALSE)</f>
        <v>0</v>
      </c>
      <c r="B225" t="str">
        <f>TRANSPOSE(_T7[Etiquetas de fila])</f>
        <v>TECLADOS SMOKED</v>
      </c>
      <c r="C225">
        <f>TRANSPOSE(_T7[Recuento de T7 CODIGO])</f>
        <v>6</v>
      </c>
    </row>
    <row r="226" spans="1:3" x14ac:dyDescent="0.25">
      <c r="A226" t="b">
        <f>IFERROR(IF(MATCH(B226,RECETAS!$A$2:$A$1700,0) &lt;&gt; "", TRUE,""),FALSE)</f>
        <v>1</v>
      </c>
      <c r="B226" t="str">
        <f>TRANSPOSE(_T7[Etiquetas de fila])</f>
        <v>Tennesse Mule</v>
      </c>
      <c r="C226">
        <f>TRANSPOSE(_T7[Recuento de T7 CODIGO])</f>
        <v>5</v>
      </c>
    </row>
    <row r="227" spans="1:3" x14ac:dyDescent="0.25">
      <c r="A227" t="b">
        <f>IFERROR(IF(MATCH(B227,RECETAS!$A$2:$A$1700,0) &lt;&gt; "", TRUE,""),FALSE)</f>
        <v>0</v>
      </c>
      <c r="B227" t="str">
        <f>TRANSPOSE(_T7[Etiquetas de fila])</f>
        <v>Ticket de Evento</v>
      </c>
      <c r="C227">
        <f>TRANSPOSE(_T7[Recuento de T7 CODIGO])</f>
        <v>1</v>
      </c>
    </row>
    <row r="228" spans="1:3" x14ac:dyDescent="0.25">
      <c r="A228" t="b">
        <f>IFERROR(IF(MATCH(B228,RECETAS!$A$2:$A$1700,0) &lt;&gt; "", TRUE,""),FALSE)</f>
        <v>1</v>
      </c>
      <c r="B228" t="str">
        <f>TRANSPOSE(_T7[Etiquetas de fila])</f>
        <v>Totopos</v>
      </c>
      <c r="C228">
        <f>TRANSPOSE(_T7[Recuento de T7 CODIGO])</f>
        <v>26</v>
      </c>
    </row>
    <row r="229" spans="1:3" x14ac:dyDescent="0.25">
      <c r="A229" t="b">
        <f>IFERROR(IF(MATCH(B229,RECETAS!$A$2:$A$1700,0) &lt;&gt; "", TRUE,""),FALSE)</f>
        <v>1</v>
      </c>
      <c r="B229" t="str">
        <f>TRANSPOSE(_T7[Etiquetas de fila])</f>
        <v>Tropical Gin</v>
      </c>
      <c r="C229">
        <f>TRANSPOSE(_T7[Recuento de T7 CODIGO])</f>
        <v>89</v>
      </c>
    </row>
    <row r="230" spans="1:3" x14ac:dyDescent="0.25">
      <c r="A230" t="b">
        <f>IFERROR(IF(MATCH(B230,RECETAS!$A$2:$A$1700,0) &lt;&gt; "", TRUE,""),FALSE)</f>
        <v>1</v>
      </c>
      <c r="B230" t="str">
        <f>TRANSPOSE(_T7[Etiquetas de fila])</f>
        <v>Vaso Sangria</v>
      </c>
      <c r="C230">
        <f>TRANSPOSE(_T7[Recuento de T7 CODIGO])</f>
        <v>7</v>
      </c>
    </row>
    <row r="231" spans="1:3" x14ac:dyDescent="0.25">
      <c r="A231" t="b">
        <f>IFERROR(IF(MATCH(B231,RECETAS!$A$2:$A$1700,0) &lt;&gt; "", TRUE,""),FALSE)</f>
        <v>1</v>
      </c>
      <c r="B231" t="str">
        <f>TRANSPOSE(_T7[Etiquetas de fila])</f>
        <v>White Russian</v>
      </c>
      <c r="C231">
        <f>TRANSPOSE(_T7[Recuento de T7 CODIGO])</f>
        <v>1</v>
      </c>
    </row>
    <row r="232" spans="1:3" x14ac:dyDescent="0.25">
      <c r="A232" t="b">
        <f>IFERROR(IF(MATCH(B232,RECETAS!$A$2:$A$1700,0) &lt;&gt; "", TRUE,""),FALSE)</f>
        <v>0</v>
      </c>
      <c r="B232" t="str">
        <f>TRANSPOSE(_T7[Etiquetas de fila])</f>
        <v>WRAP ACEVICHADO</v>
      </c>
      <c r="C232">
        <f>TRANSPOSE(_T7[Recuento de T7 CODIGO])</f>
        <v>3</v>
      </c>
    </row>
    <row r="233" spans="1:3" x14ac:dyDescent="0.25">
      <c r="A233" t="b">
        <f>IFERROR(IF(MATCH(B233,RECETAS!$A$2:$A$1700,0) &lt;&gt; "", TRUE,""),FALSE)</f>
        <v>0</v>
      </c>
      <c r="B233" t="str">
        <f>TRANSPOSE(_T7[Etiquetas de fila])</f>
        <v>WRAP DE MECHADA</v>
      </c>
      <c r="C233">
        <f>TRANSPOSE(_T7[Recuento de T7 CODIGO])</f>
        <v>13</v>
      </c>
    </row>
    <row r="234" spans="1:3" x14ac:dyDescent="0.25">
      <c r="A234" t="b">
        <f>IFERROR(IF(MATCH(B234,RECETAS!$A$2:$A$1700,0) &lt;&gt; "", TRUE,""),FALSE)</f>
        <v>0</v>
      </c>
      <c r="B234" t="str">
        <f>TRANSPOSE(_T7[Etiquetas de fila])</f>
        <v>WRAP DE POLLO</v>
      </c>
      <c r="C234">
        <f>TRANSPOSE(_T7[Recuento de T7 CODIGO])</f>
        <v>5</v>
      </c>
    </row>
    <row r="235" spans="1:3" x14ac:dyDescent="0.25">
      <c r="A235" t="b">
        <f>IFERROR(IF(MATCH(B235,RECETAS!$A$2:$A$1700,0) &lt;&gt; "", TRUE,""),FALSE)</f>
        <v>1</v>
      </c>
      <c r="B235" t="str">
        <f>TRANSPOSE(_T7[Etiquetas de fila])</f>
        <v>Zacapa Ambar</v>
      </c>
      <c r="C235">
        <f>TRANSPOSE(_T7[Recuento de T7 CODIGO])</f>
        <v>1</v>
      </c>
    </row>
    <row r="236" spans="1:3" x14ac:dyDescent="0.25">
      <c r="A236" t="b">
        <f>IFERROR(IF(MATCH(B236,RECETAS!$A$2:$A$1700,0) &lt;&gt; "", TRUE,""),FALSE)</f>
        <v>0</v>
      </c>
      <c r="B236" t="str">
        <f>TRANSPOSE(_T7[Etiquetas de fila])</f>
        <v>Total general</v>
      </c>
      <c r="C236">
        <f>TRANSPOSE(_T7[Recuento de T7 CODIGO])</f>
        <v>3783</v>
      </c>
    </row>
    <row r="237" spans="1:3" x14ac:dyDescent="0.25">
      <c r="A237" t="b">
        <f>IFERROR(IF(MATCH(B237,RECETAS!$A$2:$A$1700,0) &lt;&gt; "", TRUE,""),FALSE)</f>
        <v>0</v>
      </c>
      <c r="B237" t="e">
        <f>TRANSPOSE(_T7[Etiquetas de fila])</f>
        <v>#VALUE!</v>
      </c>
      <c r="C237" t="e">
        <f>TRANSPOSE(_T7[Recuento de T7 CODIGO])</f>
        <v>#VALUE!</v>
      </c>
    </row>
    <row r="238" spans="1:3" x14ac:dyDescent="0.25">
      <c r="A238" t="b">
        <f>IFERROR(IF(MATCH(B238,RECETAS!$A$2:$A$1700,0) &lt;&gt; "", TRUE,""),FALSE)</f>
        <v>0</v>
      </c>
      <c r="B238" t="e">
        <f>TRANSPOSE(_T7[Etiquetas de fila])</f>
        <v>#VALUE!</v>
      </c>
      <c r="C238" t="e">
        <f>TRANSPOSE(_T7[Recuento de T7 CODIGO])</f>
        <v>#VALUE!</v>
      </c>
    </row>
    <row r="239" spans="1:3" x14ac:dyDescent="0.25">
      <c r="A239" t="b">
        <f>IFERROR(IF(MATCH(B239,RECETAS!$A$2:$A$1700,0) &lt;&gt; "", TRUE,""),FALSE)</f>
        <v>0</v>
      </c>
      <c r="B239" t="e">
        <f>TRANSPOSE(_T7[Etiquetas de fila])</f>
        <v>#VALUE!</v>
      </c>
      <c r="C239" t="e">
        <f>TRANSPOSE(_T7[Recuento de T7 CODIGO])</f>
        <v>#VALUE!</v>
      </c>
    </row>
    <row r="240" spans="1:3" x14ac:dyDescent="0.25">
      <c r="A240" t="b">
        <f>IFERROR(IF(MATCH(B240,RECETAS!$A$2:$A$1700,0) &lt;&gt; "", TRUE,""),FALSE)</f>
        <v>0</v>
      </c>
      <c r="B240" t="e">
        <f>TRANSPOSE(_T7[Etiquetas de fila])</f>
        <v>#VALUE!</v>
      </c>
      <c r="C240" t="e">
        <f>TRANSPOSE(_T7[Recuento de T7 CODIGO])</f>
        <v>#VALUE!</v>
      </c>
    </row>
    <row r="241" spans="1:3" x14ac:dyDescent="0.25">
      <c r="A241" t="b">
        <f>IFERROR(IF(MATCH(B241,RECETAS!$A$2:$A$1700,0) &lt;&gt; "", TRUE,""),FALSE)</f>
        <v>0</v>
      </c>
      <c r="B241" t="e">
        <f>TRANSPOSE(_T7[Etiquetas de fila])</f>
        <v>#VALUE!</v>
      </c>
      <c r="C241" t="e">
        <f>TRANSPOSE(_T7[Recuento de T7 CODIGO])</f>
        <v>#VALUE!</v>
      </c>
    </row>
    <row r="242" spans="1:3" x14ac:dyDescent="0.25">
      <c r="A242" t="b">
        <f>IFERROR(IF(MATCH(B242,RECETAS!$A$2:$A$1700,0) &lt;&gt; "", TRUE,""),FALSE)</f>
        <v>0</v>
      </c>
      <c r="B242" t="e">
        <f>TRANSPOSE(_T7[Etiquetas de fila])</f>
        <v>#VALUE!</v>
      </c>
      <c r="C242" t="e">
        <f>TRANSPOSE(_T7[Recuento de T7 CODIGO])</f>
        <v>#VALUE!</v>
      </c>
    </row>
    <row r="243" spans="1:3" x14ac:dyDescent="0.25">
      <c r="A243" t="b">
        <f>IFERROR(IF(MATCH(B243,RECETAS!$A$2:$A$1700,0) &lt;&gt; "", TRUE,""),FALSE)</f>
        <v>0</v>
      </c>
      <c r="B243" t="e">
        <f>TRANSPOSE(_T7[Etiquetas de fila])</f>
        <v>#VALUE!</v>
      </c>
      <c r="C243" t="e">
        <f>TRANSPOSE(_T7[Recuento de T7 CODIGO])</f>
        <v>#VALUE!</v>
      </c>
    </row>
    <row r="244" spans="1:3" x14ac:dyDescent="0.25">
      <c r="A244" t="b">
        <f>IFERROR(IF(MATCH(B244,RECETAS!$A$2:$A$1700,0) &lt;&gt; "", TRUE,""),FALSE)</f>
        <v>0</v>
      </c>
      <c r="B244" t="e">
        <f>TRANSPOSE(_T7[Etiquetas de fila])</f>
        <v>#VALUE!</v>
      </c>
      <c r="C244" t="e">
        <f>TRANSPOSE(_T7[Recuento de T7 CODIGO])</f>
        <v>#VALUE!</v>
      </c>
    </row>
    <row r="245" spans="1:3" x14ac:dyDescent="0.25">
      <c r="A245" t="b">
        <f>IFERROR(IF(MATCH(B245,RECETAS!$A$2:$A$1700,0) &lt;&gt; "", TRUE,""),FALSE)</f>
        <v>0</v>
      </c>
      <c r="B245" t="e">
        <f>TRANSPOSE(_T7[Etiquetas de fila])</f>
        <v>#VALUE!</v>
      </c>
      <c r="C245" t="e">
        <f>TRANSPOSE(_T7[Recuento de T7 CODIGO])</f>
        <v>#VALUE!</v>
      </c>
    </row>
    <row r="246" spans="1:3" x14ac:dyDescent="0.25">
      <c r="A246" t="b">
        <f>IFERROR(IF(MATCH(B246,RECETAS!$A$2:$A$1700,0) &lt;&gt; "", TRUE,""),FALSE)</f>
        <v>0</v>
      </c>
      <c r="B246" t="e">
        <f>TRANSPOSE(_T7[Etiquetas de fila])</f>
        <v>#VALUE!</v>
      </c>
      <c r="C246" t="e">
        <f>TRANSPOSE(_T7[Recuento de T7 CODIGO])</f>
        <v>#VALUE!</v>
      </c>
    </row>
    <row r="247" spans="1:3" x14ac:dyDescent="0.25">
      <c r="A247" t="b">
        <f>IFERROR(IF(MATCH(B247,RECETAS!$A$2:$A$1700,0) &lt;&gt; "", TRUE,""),FALSE)</f>
        <v>0</v>
      </c>
      <c r="B247" t="e">
        <f>TRANSPOSE(_T7[Etiquetas de fila])</f>
        <v>#VALUE!</v>
      </c>
      <c r="C247" t="e">
        <f>TRANSPOSE(_T7[Recuento de T7 CODIGO])</f>
        <v>#VALUE!</v>
      </c>
    </row>
    <row r="248" spans="1:3" x14ac:dyDescent="0.25">
      <c r="A248" t="b">
        <f>IFERROR(IF(MATCH(B248,RECETAS!$A$2:$A$1700,0) &lt;&gt; "", TRUE,""),FALSE)</f>
        <v>0</v>
      </c>
      <c r="B248" t="e">
        <f>TRANSPOSE(_T7[Etiquetas de fila])</f>
        <v>#VALUE!</v>
      </c>
      <c r="C248" t="e">
        <f>TRANSPOSE(_T7[Recuento de T7 CODIGO])</f>
        <v>#VALUE!</v>
      </c>
    </row>
    <row r="249" spans="1:3" x14ac:dyDescent="0.25">
      <c r="A249" t="b">
        <f>IFERROR(IF(MATCH(B249,RECETAS!$A$2:$A$1700,0) &lt;&gt; "", TRUE,""),FALSE)</f>
        <v>0</v>
      </c>
      <c r="B249" t="e">
        <f>TRANSPOSE(_T7[Etiquetas de fila])</f>
        <v>#VALUE!</v>
      </c>
      <c r="C249" t="e">
        <f>TRANSPOSE(_T7[Recuento de T7 CODIGO])</f>
        <v>#VALUE!</v>
      </c>
    </row>
    <row r="250" spans="1:3" x14ac:dyDescent="0.25">
      <c r="A250" t="b">
        <f>IFERROR(IF(MATCH(B250,RECETAS!$A$2:$A$1700,0) &lt;&gt; "", TRUE,""),FALSE)</f>
        <v>0</v>
      </c>
      <c r="B250" t="e">
        <f>TRANSPOSE(_T7[Etiquetas de fila])</f>
        <v>#VALUE!</v>
      </c>
      <c r="C250" t="e">
        <f>TRANSPOSE(_T7[Recuento de T7 CODIGO])</f>
        <v>#VALUE!</v>
      </c>
    </row>
    <row r="251" spans="1:3" x14ac:dyDescent="0.25">
      <c r="A251" t="b">
        <f>IFERROR(IF(MATCH(B251,RECETAS!$A$2:$A$1700,0) &lt;&gt; "", TRUE,""),FALSE)</f>
        <v>0</v>
      </c>
      <c r="B251" t="e">
        <f>TRANSPOSE(_T7[Etiquetas de fila])</f>
        <v>#VALUE!</v>
      </c>
      <c r="C251" t="e">
        <f>TRANSPOSE(_T7[Recuento de T7 CODIGO])</f>
        <v>#VALUE!</v>
      </c>
    </row>
    <row r="252" spans="1:3" x14ac:dyDescent="0.25">
      <c r="A252" t="b">
        <f>IFERROR(IF(MATCH(B252,RECETAS!$A$2:$A$1700,0) &lt;&gt; "", TRUE,""),FALSE)</f>
        <v>0</v>
      </c>
      <c r="B252" t="e">
        <f>TRANSPOSE(_T7[Etiquetas de fila])</f>
        <v>#VALUE!</v>
      </c>
      <c r="C252" t="e">
        <f>TRANSPOSE(_T7[Recuento de T7 CODIGO])</f>
        <v>#VALUE!</v>
      </c>
    </row>
    <row r="253" spans="1:3" x14ac:dyDescent="0.25">
      <c r="A253" t="b">
        <f>IFERROR(IF(MATCH(B253,RECETAS!$A$2:$A$1700,0) &lt;&gt; "", TRUE,""),FALSE)</f>
        <v>0</v>
      </c>
      <c r="B253" t="e">
        <f>TRANSPOSE(_T7[Etiquetas de fila])</f>
        <v>#VALUE!</v>
      </c>
      <c r="C253" t="e">
        <f>TRANSPOSE(_T7[Recuento de T7 CODIGO])</f>
        <v>#VALUE!</v>
      </c>
    </row>
    <row r="254" spans="1:3" x14ac:dyDescent="0.25">
      <c r="A254" t="b">
        <f>IFERROR(IF(MATCH(B254,RECETAS!$A$2:$A$1700,0) &lt;&gt; "", TRUE,""),FALSE)</f>
        <v>0</v>
      </c>
      <c r="B254" t="e">
        <f>TRANSPOSE(_T7[Etiquetas de fila])</f>
        <v>#VALUE!</v>
      </c>
      <c r="C254" t="e">
        <f>TRANSPOSE(_T7[Recuento de T7 CODIGO])</f>
        <v>#VALUE!</v>
      </c>
    </row>
    <row r="255" spans="1:3" x14ac:dyDescent="0.25">
      <c r="A255" t="b">
        <f>IFERROR(IF(MATCH(B255,RECETAS!$A$2:$A$1700,0) &lt;&gt; "", TRUE,""),FALSE)</f>
        <v>0</v>
      </c>
      <c r="B255" t="e">
        <f>TRANSPOSE(_T7[Etiquetas de fila])</f>
        <v>#VALUE!</v>
      </c>
      <c r="C255" t="e">
        <f>TRANSPOSE(_T7[Recuento de T7 CODIGO])</f>
        <v>#VALUE!</v>
      </c>
    </row>
    <row r="256" spans="1:3" x14ac:dyDescent="0.25">
      <c r="A256" t="b">
        <f>IFERROR(IF(MATCH(B256,RECETAS!$A$2:$A$1700,0) &lt;&gt; "", TRUE,""),FALSE)</f>
        <v>0</v>
      </c>
      <c r="B256" t="e">
        <f>TRANSPOSE(_T7[Etiquetas de fila])</f>
        <v>#VALUE!</v>
      </c>
      <c r="C256" t="e">
        <f>TRANSPOSE(_T7[Recuento de T7 CODIGO])</f>
        <v>#VALUE!</v>
      </c>
    </row>
    <row r="257" spans="1:3" x14ac:dyDescent="0.25">
      <c r="A257" t="b">
        <f>IFERROR(IF(MATCH(B257,RECETAS!$A$2:$A$1700,0) &lt;&gt; "", TRUE,""),FALSE)</f>
        <v>0</v>
      </c>
      <c r="B257" t="e">
        <f>TRANSPOSE(_T7[Etiquetas de fila])</f>
        <v>#VALUE!</v>
      </c>
      <c r="C257" t="e">
        <f>TRANSPOSE(_T7[Recuento de T7 CODIGO])</f>
        <v>#VALUE!</v>
      </c>
    </row>
    <row r="258" spans="1:3" x14ac:dyDescent="0.25">
      <c r="A258" t="b">
        <f>IFERROR(IF(MATCH(B258,RECETAS!$A$2:$A$1700,0) &lt;&gt; "", TRUE,""),FALSE)</f>
        <v>0</v>
      </c>
      <c r="B258" t="e">
        <f>TRANSPOSE(_T7[Etiquetas de fila])</f>
        <v>#VALUE!</v>
      </c>
      <c r="C258" t="e">
        <f>TRANSPOSE(_T7[Recuento de T7 CODIGO])</f>
        <v>#VALUE!</v>
      </c>
    </row>
    <row r="259" spans="1:3" x14ac:dyDescent="0.25">
      <c r="A259" t="b">
        <f>IFERROR(IF(MATCH(B259,RECETAS!$A$2:$A$1700,0) &lt;&gt; "", TRUE,""),FALSE)</f>
        <v>0</v>
      </c>
      <c r="B259" t="e">
        <f>TRANSPOSE(_T7[Etiquetas de fila])</f>
        <v>#VALUE!</v>
      </c>
      <c r="C259" t="e">
        <f>TRANSPOSE(_T7[Recuento de T7 CODIGO])</f>
        <v>#VALUE!</v>
      </c>
    </row>
    <row r="260" spans="1:3" x14ac:dyDescent="0.25">
      <c r="A260" t="b">
        <f>IFERROR(IF(MATCH(B260,RECETAS!$A$2:$A$1700,0) &lt;&gt; "", TRUE,""),FALSE)</f>
        <v>0</v>
      </c>
      <c r="B260" t="e">
        <f>TRANSPOSE(_T7[Etiquetas de fila])</f>
        <v>#VALUE!</v>
      </c>
      <c r="C260" t="e">
        <f>TRANSPOSE(_T7[Recuento de T7 CODIGO])</f>
        <v>#VALUE!</v>
      </c>
    </row>
    <row r="261" spans="1:3" x14ac:dyDescent="0.25">
      <c r="A261" t="b">
        <f>IFERROR(IF(MATCH(B261,RECETAS!$A$2:$A$1700,0) &lt;&gt; "", TRUE,""),FALSE)</f>
        <v>0</v>
      </c>
      <c r="B261" t="e">
        <f>TRANSPOSE(_T7[Etiquetas de fila])</f>
        <v>#VALUE!</v>
      </c>
      <c r="C261" t="e">
        <f>TRANSPOSE(_T7[Recuento de T7 CODIGO])</f>
        <v>#VALUE!</v>
      </c>
    </row>
    <row r="262" spans="1:3" x14ac:dyDescent="0.25">
      <c r="A262" t="b">
        <f>IFERROR(IF(MATCH(B262,RECETAS!$A$2:$A$1700,0) &lt;&gt; "", TRUE,""),FALSE)</f>
        <v>0</v>
      </c>
      <c r="B262" t="e">
        <f>TRANSPOSE(_T7[Etiquetas de fila])</f>
        <v>#VALUE!</v>
      </c>
      <c r="C262" t="e">
        <f>TRANSPOSE(_T7[Recuento de T7 CODIGO])</f>
        <v>#VALUE!</v>
      </c>
    </row>
    <row r="263" spans="1:3" x14ac:dyDescent="0.25">
      <c r="A263" t="b">
        <f>IFERROR(IF(MATCH(B263,RECETAS!$A$2:$A$1700,0) &lt;&gt; "", TRUE,""),FALSE)</f>
        <v>0</v>
      </c>
      <c r="B263" t="e">
        <f>TRANSPOSE(_T7[Etiquetas de fila])</f>
        <v>#VALUE!</v>
      </c>
      <c r="C263" t="e">
        <f>TRANSPOSE(_T7[Recuento de T7 CODIGO])</f>
        <v>#VALUE!</v>
      </c>
    </row>
    <row r="264" spans="1:3" x14ac:dyDescent="0.25">
      <c r="A264" t="b">
        <f>IFERROR(IF(MATCH(B264,RECETAS!$A$2:$A$1700,0) &lt;&gt; "", TRUE,""),FALSE)</f>
        <v>0</v>
      </c>
      <c r="B264" t="e">
        <f>TRANSPOSE(_T7[Etiquetas de fila])</f>
        <v>#VALUE!</v>
      </c>
      <c r="C264" t="e">
        <f>TRANSPOSE(_T7[Recuento de T7 CODIGO])</f>
        <v>#VALUE!</v>
      </c>
    </row>
    <row r="265" spans="1:3" x14ac:dyDescent="0.25">
      <c r="A265" t="b">
        <f>IFERROR(IF(MATCH(B265,RECETAS!$A$2:$A$1700,0) &lt;&gt; "", TRUE,""),FALSE)</f>
        <v>0</v>
      </c>
      <c r="B265" t="e">
        <f>TRANSPOSE(_T7[Etiquetas de fila])</f>
        <v>#VALUE!</v>
      </c>
      <c r="C265" t="e">
        <f>TRANSPOSE(_T7[Recuento de T7 CODIGO])</f>
        <v>#VALUE!</v>
      </c>
    </row>
    <row r="266" spans="1:3" x14ac:dyDescent="0.25">
      <c r="A266" t="b">
        <f>IFERROR(IF(MATCH(B266,RECETAS!$A$2:$A$1700,0) &lt;&gt; "", TRUE,""),FALSE)</f>
        <v>0</v>
      </c>
      <c r="B266" t="e">
        <f>TRANSPOSE(_T7[Etiquetas de fila])</f>
        <v>#VALUE!</v>
      </c>
      <c r="C266" t="e">
        <f>TRANSPOSE(_T7[Recuento de T7 CODIGO])</f>
        <v>#VALUE!</v>
      </c>
    </row>
    <row r="267" spans="1:3" x14ac:dyDescent="0.25">
      <c r="A267" t="b">
        <f>IFERROR(IF(MATCH(B267,RECETAS!$A$2:$A$1700,0) &lt;&gt; "", TRUE,""),FALSE)</f>
        <v>0</v>
      </c>
      <c r="B267" t="e">
        <f>TRANSPOSE(_T7[Etiquetas de fila])</f>
        <v>#VALUE!</v>
      </c>
      <c r="C267" t="e">
        <f>TRANSPOSE(_T7[Recuento de T7 CODIGO])</f>
        <v>#VALUE!</v>
      </c>
    </row>
    <row r="268" spans="1:3" x14ac:dyDescent="0.25">
      <c r="A268" t="b">
        <f>IFERROR(IF(MATCH(B268,RECETAS!$A$2:$A$1700,0) &lt;&gt; "", TRUE,""),FALSE)</f>
        <v>0</v>
      </c>
      <c r="B268" t="e">
        <f>TRANSPOSE(_T7[Etiquetas de fila])</f>
        <v>#VALUE!</v>
      </c>
      <c r="C268" t="e">
        <f>TRANSPOSE(_T7[Recuento de T7 CODIGO])</f>
        <v>#VALUE!</v>
      </c>
    </row>
    <row r="269" spans="1:3" x14ac:dyDescent="0.25">
      <c r="A269" t="b">
        <f>IFERROR(IF(MATCH(B269,RECETAS!$A$2:$A$1700,0) &lt;&gt; "", TRUE,""),FALSE)</f>
        <v>0</v>
      </c>
      <c r="B269" t="e">
        <f>TRANSPOSE(_T7[Etiquetas de fila])</f>
        <v>#VALUE!</v>
      </c>
      <c r="C269" t="e">
        <f>TRANSPOSE(_T7[Recuento de T7 CODIGO])</f>
        <v>#VALUE!</v>
      </c>
    </row>
    <row r="270" spans="1:3" x14ac:dyDescent="0.25">
      <c r="A270" t="b">
        <f>IFERROR(IF(MATCH(B270,RECETAS!$A$2:$A$1700,0) &lt;&gt; "", TRUE,""),FALSE)</f>
        <v>0</v>
      </c>
      <c r="B270" t="e">
        <f>TRANSPOSE(_T7[Etiquetas de fila])</f>
        <v>#VALUE!</v>
      </c>
      <c r="C270" t="e">
        <f>TRANSPOSE(_T7[Recuento de T7 CODIGO])</f>
        <v>#VALUE!</v>
      </c>
    </row>
    <row r="271" spans="1:3" x14ac:dyDescent="0.25">
      <c r="A271" t="b">
        <f>IFERROR(IF(MATCH(B271,RECETAS!$A$2:$A$1700,0) &lt;&gt; "", TRUE,""),FALSE)</f>
        <v>0</v>
      </c>
      <c r="B271" t="e">
        <f>TRANSPOSE(_T7[Etiquetas de fila])</f>
        <v>#VALUE!</v>
      </c>
      <c r="C271" t="e">
        <f>TRANSPOSE(_T7[Recuento de T7 CODIGO])</f>
        <v>#VALUE!</v>
      </c>
    </row>
    <row r="272" spans="1:3" x14ac:dyDescent="0.25">
      <c r="A272" t="b">
        <f>IFERROR(IF(MATCH(B272,RECETAS!$A$2:$A$1700,0) &lt;&gt; "", TRUE,""),FALSE)</f>
        <v>0</v>
      </c>
      <c r="B272" t="e">
        <f>TRANSPOSE(_T7[Etiquetas de fila])</f>
        <v>#VALUE!</v>
      </c>
      <c r="C272" t="e">
        <f>TRANSPOSE(_T7[Recuento de T7 CODIGO])</f>
        <v>#VALUE!</v>
      </c>
    </row>
    <row r="273" spans="1:3" x14ac:dyDescent="0.25">
      <c r="A273" t="b">
        <f>IFERROR(IF(MATCH(B273,RECETAS!$A$2:$A$1700,0) &lt;&gt; "", TRUE,""),FALSE)</f>
        <v>0</v>
      </c>
      <c r="B273" t="e">
        <f>TRANSPOSE(_T7[Etiquetas de fila])</f>
        <v>#VALUE!</v>
      </c>
      <c r="C273" t="e">
        <f>TRANSPOSE(_T7[Recuento de T7 CODIGO])</f>
        <v>#VALUE!</v>
      </c>
    </row>
    <row r="274" spans="1:3" x14ac:dyDescent="0.25">
      <c r="A274" t="b">
        <f>IFERROR(IF(MATCH(B274,RECETAS!$A$2:$A$1700,0) &lt;&gt; "", TRUE,""),FALSE)</f>
        <v>0</v>
      </c>
      <c r="B274" t="e">
        <f>TRANSPOSE(_T7[Etiquetas de fila])</f>
        <v>#VALUE!</v>
      </c>
      <c r="C274" t="e">
        <f>TRANSPOSE(_T7[Recuento de T7 CODIGO])</f>
        <v>#VALUE!</v>
      </c>
    </row>
    <row r="275" spans="1:3" x14ac:dyDescent="0.25">
      <c r="A275" t="b">
        <f>IFERROR(IF(MATCH(B275,RECETAS!$A$2:$A$1700,0) &lt;&gt; "", TRUE,""),FALSE)</f>
        <v>0</v>
      </c>
      <c r="B275" t="e">
        <f>TRANSPOSE(_T7[Etiquetas de fila])</f>
        <v>#VALUE!</v>
      </c>
      <c r="C275" t="e">
        <f>TRANSPOSE(_T7[Recuento de T7 CODIGO])</f>
        <v>#VALUE!</v>
      </c>
    </row>
    <row r="276" spans="1:3" x14ac:dyDescent="0.25">
      <c r="A276" t="b">
        <f>IFERROR(IF(MATCH(B276,RECETAS!$A$2:$A$1700,0) &lt;&gt; "", TRUE,""),FALSE)</f>
        <v>0</v>
      </c>
      <c r="B276" t="e">
        <f>TRANSPOSE(_T7[Etiquetas de fila])</f>
        <v>#VALUE!</v>
      </c>
      <c r="C276" t="e">
        <f>TRANSPOSE(_T7[Recuento de T7 CODIGO])</f>
        <v>#VALUE!</v>
      </c>
    </row>
    <row r="277" spans="1:3" x14ac:dyDescent="0.25">
      <c r="A277" t="b">
        <f>IFERROR(IF(MATCH(B277,RECETAS!$A$2:$A$1700,0) &lt;&gt; "", TRUE,""),FALSE)</f>
        <v>0</v>
      </c>
      <c r="B277" t="e">
        <f>TRANSPOSE(_T7[Etiquetas de fila])</f>
        <v>#VALUE!</v>
      </c>
      <c r="C277" t="e">
        <f>TRANSPOSE(_T7[Recuento de T7 CODIGO])</f>
        <v>#VALUE!</v>
      </c>
    </row>
    <row r="278" spans="1:3" x14ac:dyDescent="0.25">
      <c r="A278" t="b">
        <f>IFERROR(IF(MATCH(B278,RECETAS!$A$2:$A$1700,0) &lt;&gt; "", TRUE,""),FALSE)</f>
        <v>0</v>
      </c>
      <c r="B278" t="e">
        <f>TRANSPOSE(_T7[Etiquetas de fila])</f>
        <v>#VALUE!</v>
      </c>
      <c r="C278" t="e">
        <f>TRANSPOSE(_T7[Recuento de T7 CODIGO])</f>
        <v>#VALUE!</v>
      </c>
    </row>
    <row r="279" spans="1:3" x14ac:dyDescent="0.25">
      <c r="A279" t="b">
        <f>IFERROR(IF(MATCH(B279,RECETAS!$A$2:$A$1700,0) &lt;&gt; "", TRUE,""),FALSE)</f>
        <v>0</v>
      </c>
      <c r="B279" t="e">
        <f>TRANSPOSE(_T7[Etiquetas de fila])</f>
        <v>#VALUE!</v>
      </c>
      <c r="C279" t="e">
        <f>TRANSPOSE(_T7[Recuento de T7 CODIGO])</f>
        <v>#VALUE!</v>
      </c>
    </row>
    <row r="280" spans="1:3" x14ac:dyDescent="0.25">
      <c r="A280" t="b">
        <f>IFERROR(IF(MATCH(B280,RECETAS!$A$2:$A$1700,0) &lt;&gt; "", TRUE,""),FALSE)</f>
        <v>0</v>
      </c>
      <c r="B280" t="e">
        <f>TRANSPOSE(_T7[Etiquetas de fila])</f>
        <v>#VALUE!</v>
      </c>
      <c r="C280" t="e">
        <f>TRANSPOSE(_T7[Recuento de T7 CODIGO])</f>
        <v>#VALUE!</v>
      </c>
    </row>
    <row r="281" spans="1:3" x14ac:dyDescent="0.25">
      <c r="A281" t="b">
        <f>IFERROR(IF(MATCH(B281,RECETAS!$A$2:$A$1700,0) &lt;&gt; "", TRUE,""),FALSE)</f>
        <v>0</v>
      </c>
      <c r="B281" t="e">
        <f>TRANSPOSE(_T7[Etiquetas de fila])</f>
        <v>#VALUE!</v>
      </c>
      <c r="C281" t="e">
        <f>TRANSPOSE(_T7[Recuento de T7 CODIGO])</f>
        <v>#VALUE!</v>
      </c>
    </row>
    <row r="282" spans="1:3" x14ac:dyDescent="0.25">
      <c r="A282" t="b">
        <f>IFERROR(IF(MATCH(B282,RECETAS!$A$2:$A$1700,0) &lt;&gt; "", TRUE,""),FALSE)</f>
        <v>0</v>
      </c>
      <c r="B282" t="e">
        <f>TRANSPOSE(_T7[Etiquetas de fila])</f>
        <v>#VALUE!</v>
      </c>
      <c r="C282" t="e">
        <f>TRANSPOSE(_T7[Recuento de T7 CODIGO])</f>
        <v>#VALUE!</v>
      </c>
    </row>
    <row r="283" spans="1:3" x14ac:dyDescent="0.25">
      <c r="A283" t="b">
        <f>IFERROR(IF(MATCH(B283,RECETAS!$A$2:$A$1700,0) &lt;&gt; "", TRUE,""),FALSE)</f>
        <v>0</v>
      </c>
      <c r="B283" t="e">
        <f>TRANSPOSE(_T7[Etiquetas de fila])</f>
        <v>#VALUE!</v>
      </c>
      <c r="C283" t="e">
        <f>TRANSPOSE(_T7[Recuento de T7 CODIGO])</f>
        <v>#VALUE!</v>
      </c>
    </row>
    <row r="284" spans="1:3" x14ac:dyDescent="0.25">
      <c r="A284" t="b">
        <f>IFERROR(IF(MATCH(B284,RECETAS!$A$2:$A$1700,0) &lt;&gt; "", TRUE,""),FALSE)</f>
        <v>0</v>
      </c>
      <c r="B284" t="e">
        <f>TRANSPOSE(_T7[Etiquetas de fila])</f>
        <v>#VALUE!</v>
      </c>
      <c r="C284" t="e">
        <f>TRANSPOSE(_T7[Recuento de T7 CODIGO])</f>
        <v>#VALUE!</v>
      </c>
    </row>
    <row r="285" spans="1:3" x14ac:dyDescent="0.25">
      <c r="A285" t="b">
        <f>IFERROR(IF(MATCH(B285,RECETAS!$A$2:$A$1700,0) &lt;&gt; "", TRUE,""),FALSE)</f>
        <v>0</v>
      </c>
      <c r="B285" t="e">
        <f>TRANSPOSE(_T7[Etiquetas de fila])</f>
        <v>#VALUE!</v>
      </c>
      <c r="C285" t="e">
        <f>TRANSPOSE(_T7[Recuento de T7 CODIGO])</f>
        <v>#VALUE!</v>
      </c>
    </row>
    <row r="286" spans="1:3" x14ac:dyDescent="0.25">
      <c r="A286" t="b">
        <f>IFERROR(IF(MATCH(B286,RECETAS!$A$2:$A$1700,0) &lt;&gt; "", TRUE,""),FALSE)</f>
        <v>0</v>
      </c>
      <c r="B286" t="e">
        <f>TRANSPOSE(_T7[Etiquetas de fila])</f>
        <v>#VALUE!</v>
      </c>
      <c r="C286" t="e">
        <f>TRANSPOSE(_T7[Recuento de T7 CODIGO])</f>
        <v>#VALUE!</v>
      </c>
    </row>
    <row r="287" spans="1:3" x14ac:dyDescent="0.25">
      <c r="A287" t="b">
        <f>IFERROR(IF(MATCH(B287,RECETAS!$A$2:$A$1700,0) &lt;&gt; "", TRUE,""),FALSE)</f>
        <v>0</v>
      </c>
      <c r="B287" t="e">
        <f>TRANSPOSE(_T7[Etiquetas de fila])</f>
        <v>#VALUE!</v>
      </c>
      <c r="C287" t="e">
        <f>TRANSPOSE(_T7[Recuento de T7 CODIGO])</f>
        <v>#VALUE!</v>
      </c>
    </row>
    <row r="288" spans="1:3" x14ac:dyDescent="0.25">
      <c r="A288" t="b">
        <f>IFERROR(IF(MATCH(B288,RECETAS!$A$2:$A$1700,0) &lt;&gt; "", TRUE,""),FALSE)</f>
        <v>0</v>
      </c>
      <c r="B288" t="e">
        <f>TRANSPOSE(_T7[Etiquetas de fila])</f>
        <v>#VALUE!</v>
      </c>
      <c r="C288" t="e">
        <f>TRANSPOSE(_T7[Recuento de T7 CODIGO])</f>
        <v>#VALUE!</v>
      </c>
    </row>
    <row r="289" spans="1:3" x14ac:dyDescent="0.25">
      <c r="A289" t="b">
        <f>IFERROR(IF(MATCH(B289,RECETAS!$A$2:$A$1700,0) &lt;&gt; "", TRUE,""),FALSE)</f>
        <v>0</v>
      </c>
      <c r="B289" t="e">
        <f>TRANSPOSE(_T7[Etiquetas de fila])</f>
        <v>#VALUE!</v>
      </c>
      <c r="C289" t="e">
        <f>TRANSPOSE(_T7[Recuento de T7 CODIGO])</f>
        <v>#VALUE!</v>
      </c>
    </row>
    <row r="290" spans="1:3" x14ac:dyDescent="0.25">
      <c r="A290" t="b">
        <f>IFERROR(IF(MATCH(B290,RECETAS!$A$2:$A$1700,0) &lt;&gt; "", TRUE,""),FALSE)</f>
        <v>0</v>
      </c>
      <c r="B290" t="e">
        <f>TRANSPOSE(_T7[Etiquetas de fila])</f>
        <v>#VALUE!</v>
      </c>
      <c r="C290" t="e">
        <f>TRANSPOSE(_T7[Recuento de T7 CODIGO])</f>
        <v>#VALUE!</v>
      </c>
    </row>
    <row r="291" spans="1:3" x14ac:dyDescent="0.25">
      <c r="A291" t="b">
        <f>IFERROR(IF(MATCH(B291,RECETAS!$A$2:$A$1700,0) &lt;&gt; "", TRUE,""),FALSE)</f>
        <v>0</v>
      </c>
      <c r="B291" t="e">
        <f>TRANSPOSE(_T7[Etiquetas de fila])</f>
        <v>#VALUE!</v>
      </c>
      <c r="C291" t="e">
        <f>TRANSPOSE(_T7[Recuento de T7 CODIGO])</f>
        <v>#VALUE!</v>
      </c>
    </row>
    <row r="292" spans="1:3" x14ac:dyDescent="0.25">
      <c r="A292" t="b">
        <f>IFERROR(IF(MATCH(B292,RECETAS!$A$2:$A$1700,0) &lt;&gt; "", TRUE,""),FALSE)</f>
        <v>0</v>
      </c>
      <c r="B292" t="e">
        <f>TRANSPOSE(_T7[Etiquetas de fila])</f>
        <v>#VALUE!</v>
      </c>
      <c r="C292" t="e">
        <f>TRANSPOSE(_T7[Recuento de T7 CODIGO])</f>
        <v>#VALUE!</v>
      </c>
    </row>
    <row r="293" spans="1:3" x14ac:dyDescent="0.25">
      <c r="A293" t="b">
        <f>IFERROR(IF(MATCH(B293,RECETAS!$A$2:$A$1700,0) &lt;&gt; "", TRUE,""),FALSE)</f>
        <v>0</v>
      </c>
      <c r="B293" t="e">
        <f>TRANSPOSE(_T7[Etiquetas de fila])</f>
        <v>#VALUE!</v>
      </c>
      <c r="C293" t="e">
        <f>TRANSPOSE(_T7[Recuento de T7 CODIGO])</f>
        <v>#VALUE!</v>
      </c>
    </row>
    <row r="294" spans="1:3" x14ac:dyDescent="0.25">
      <c r="A294" t="b">
        <f>IFERROR(IF(MATCH(B294,RECETAS!$A$2:$A$1700,0) &lt;&gt; "", TRUE,""),FALSE)</f>
        <v>0</v>
      </c>
      <c r="B294" t="e">
        <f>TRANSPOSE(_T7[Etiquetas de fila])</f>
        <v>#VALUE!</v>
      </c>
      <c r="C294" t="e">
        <f>TRANSPOSE(_T7[Recuento de T7 CODIGO])</f>
        <v>#VALUE!</v>
      </c>
    </row>
    <row r="295" spans="1:3" x14ac:dyDescent="0.25">
      <c r="A295" t="b">
        <f>IFERROR(IF(MATCH(B295,RECETAS!$A$2:$A$1700,0) &lt;&gt; "", TRUE,""),FALSE)</f>
        <v>0</v>
      </c>
      <c r="B295" t="e">
        <f>TRANSPOSE(_T7[Etiquetas de fila])</f>
        <v>#VALUE!</v>
      </c>
      <c r="C295" t="e">
        <f>TRANSPOSE(_T7[Recuento de T7 CODIGO])</f>
        <v>#VALUE!</v>
      </c>
    </row>
    <row r="296" spans="1:3" x14ac:dyDescent="0.25">
      <c r="A296" t="b">
        <f>IFERROR(IF(MATCH(B296,RECETAS!$A$2:$A$1700,0) &lt;&gt; "", TRUE,""),FALSE)</f>
        <v>0</v>
      </c>
      <c r="B296" t="e">
        <f>TRANSPOSE(_T7[Etiquetas de fila])</f>
        <v>#VALUE!</v>
      </c>
      <c r="C296" t="e">
        <f>TRANSPOSE(_T7[Recuento de T7 CODIGO])</f>
        <v>#VALUE!</v>
      </c>
    </row>
    <row r="297" spans="1:3" x14ac:dyDescent="0.25">
      <c r="A297" t="b">
        <f>IFERROR(IF(MATCH(B297,RECETAS!$A$2:$A$1700,0) &lt;&gt; "", TRUE,""),FALSE)</f>
        <v>0</v>
      </c>
      <c r="B297" t="e">
        <f>TRANSPOSE(_T7[Etiquetas de fila])</f>
        <v>#VALUE!</v>
      </c>
      <c r="C297" t="e">
        <f>TRANSPOSE(_T7[Recuento de T7 CODIGO])</f>
        <v>#VALUE!</v>
      </c>
    </row>
    <row r="298" spans="1:3" x14ac:dyDescent="0.25">
      <c r="A298" t="b">
        <f>IFERROR(IF(MATCH(B298,RECETAS!$A$2:$A$1700,0) &lt;&gt; "", TRUE,""),FALSE)</f>
        <v>0</v>
      </c>
      <c r="B298" t="e">
        <f>TRANSPOSE(_T7[Etiquetas de fila])</f>
        <v>#VALUE!</v>
      </c>
      <c r="C298" t="e">
        <f>TRANSPOSE(_T7[Recuento de T7 CODIGO])</f>
        <v>#VALUE!</v>
      </c>
    </row>
    <row r="299" spans="1:3" x14ac:dyDescent="0.25">
      <c r="A299" t="b">
        <f>IFERROR(IF(MATCH(B299,RECETAS!$A$2:$A$1700,0) &lt;&gt; "", TRUE,""),FALSE)</f>
        <v>0</v>
      </c>
      <c r="B299" t="e">
        <f>TRANSPOSE(_T7[Etiquetas de fila])</f>
        <v>#VALUE!</v>
      </c>
      <c r="C299" t="e">
        <f>TRANSPOSE(_T7[Recuento de T7 CODIGO])</f>
        <v>#VALUE!</v>
      </c>
    </row>
    <row r="300" spans="1:3" x14ac:dyDescent="0.25">
      <c r="A300" t="b">
        <f>IFERROR(IF(MATCH(B300,RECETAS!$A$2:$A$1700,0) &lt;&gt; "", TRUE,""),FALSE)</f>
        <v>0</v>
      </c>
      <c r="B300" t="e">
        <f>TRANSPOSE(_T7[Etiquetas de fila])</f>
        <v>#VALUE!</v>
      </c>
      <c r="C300" t="e">
        <f>TRANSPOSE(_T7[Recuento de T7 CODIGO])</f>
        <v>#VALUE!</v>
      </c>
    </row>
    <row r="301" spans="1:3" x14ac:dyDescent="0.25">
      <c r="A301" t="b">
        <f>IFERROR(IF(MATCH(B301,RECETAS!$A$2:$A$1700,0) &lt;&gt; "", TRUE,""),FALSE)</f>
        <v>0</v>
      </c>
      <c r="B301" t="e">
        <f>TRANSPOSE(_T7[Etiquetas de fila])</f>
        <v>#VALUE!</v>
      </c>
      <c r="C301" t="e">
        <f>TRANSPOSE(_T7[Recuento de T7 CODIGO])</f>
        <v>#VALUE!</v>
      </c>
    </row>
    <row r="302" spans="1:3" x14ac:dyDescent="0.25">
      <c r="A302" t="b">
        <f>IFERROR(IF(MATCH(B302,RECETAS!$A$2:$A$1700,0) &lt;&gt; "", TRUE,""),FALSE)</f>
        <v>0</v>
      </c>
      <c r="B302" t="e">
        <f>TRANSPOSE(_T7[Etiquetas de fila])</f>
        <v>#VALUE!</v>
      </c>
      <c r="C302" t="e">
        <f>TRANSPOSE(_T7[Recuento de T7 CODIGO])</f>
        <v>#VALUE!</v>
      </c>
    </row>
    <row r="303" spans="1:3" x14ac:dyDescent="0.25">
      <c r="A303" t="b">
        <f>IFERROR(IF(MATCH(B303,RECETAS!$A$2:$A$1700,0) &lt;&gt; "", TRUE,""),FALSE)</f>
        <v>0</v>
      </c>
      <c r="B303" t="e">
        <f>TRANSPOSE(_T7[Etiquetas de fila])</f>
        <v>#VALUE!</v>
      </c>
      <c r="C303" t="e">
        <f>TRANSPOSE(_T7[Recuento de T7 CODIGO])</f>
        <v>#VALUE!</v>
      </c>
    </row>
    <row r="304" spans="1:3" x14ac:dyDescent="0.25">
      <c r="A304" t="b">
        <f>IFERROR(IF(MATCH(B304,RECETAS!$A$2:$A$1700,0) &lt;&gt; "", TRUE,""),FALSE)</f>
        <v>0</v>
      </c>
      <c r="B304" t="e">
        <f>TRANSPOSE(_T7[Etiquetas de fila])</f>
        <v>#VALUE!</v>
      </c>
      <c r="C304" t="e">
        <f>TRANSPOSE(_T7[Recuento de T7 CODIGO])</f>
        <v>#VALUE!</v>
      </c>
    </row>
    <row r="305" spans="1:3" x14ac:dyDescent="0.25">
      <c r="A305" t="b">
        <f>IFERROR(IF(MATCH(B305,RECETAS!$A$2:$A$1700,0) &lt;&gt; "", TRUE,""),FALSE)</f>
        <v>0</v>
      </c>
      <c r="B305" t="e">
        <f>TRANSPOSE(_T7[Etiquetas de fila])</f>
        <v>#VALUE!</v>
      </c>
      <c r="C305" t="e">
        <f>TRANSPOSE(_T7[Recuento de T7 CODIGO])</f>
        <v>#VALUE!</v>
      </c>
    </row>
    <row r="306" spans="1:3" x14ac:dyDescent="0.25">
      <c r="A306" t="b">
        <f>IFERROR(IF(MATCH(B306,RECETAS!$A$2:$A$1700,0) &lt;&gt; "", TRUE,""),FALSE)</f>
        <v>0</v>
      </c>
      <c r="B306" t="e">
        <f>TRANSPOSE(_T7[Etiquetas de fila])</f>
        <v>#VALUE!</v>
      </c>
      <c r="C306" t="e">
        <f>TRANSPOSE(_T7[Recuento de T7 CODIGO])</f>
        <v>#VALUE!</v>
      </c>
    </row>
    <row r="307" spans="1:3" x14ac:dyDescent="0.25">
      <c r="A307" t="b">
        <f>IFERROR(IF(MATCH(B307,RECETAS!$A$2:$A$1700,0) &lt;&gt; "", TRUE,""),FALSE)</f>
        <v>0</v>
      </c>
      <c r="B307" t="e">
        <f>TRANSPOSE(_T7[Etiquetas de fila])</f>
        <v>#VALUE!</v>
      </c>
      <c r="C307" t="e">
        <f>TRANSPOSE(_T7[Recuento de T7 CODIGO])</f>
        <v>#VALUE!</v>
      </c>
    </row>
    <row r="308" spans="1:3" x14ac:dyDescent="0.25">
      <c r="A308" t="b">
        <f>IFERROR(IF(MATCH(B308,RECETAS!$A$2:$A$1700,0) &lt;&gt; "", TRUE,""),FALSE)</f>
        <v>0</v>
      </c>
      <c r="B308" t="e">
        <f>TRANSPOSE(_T7[Etiquetas de fila])</f>
        <v>#VALUE!</v>
      </c>
      <c r="C308" t="e">
        <f>TRANSPOSE(_T7[Recuento de T7 CODIGO])</f>
        <v>#VALUE!</v>
      </c>
    </row>
    <row r="309" spans="1:3" x14ac:dyDescent="0.25">
      <c r="A309" t="b">
        <f>IFERROR(IF(MATCH(B309,RECETAS!$A$2:$A$1700,0) &lt;&gt; "", TRUE,""),FALSE)</f>
        <v>0</v>
      </c>
      <c r="B309" t="e">
        <f>TRANSPOSE(_T7[Etiquetas de fila])</f>
        <v>#VALUE!</v>
      </c>
      <c r="C309" t="e">
        <f>TRANSPOSE(_T7[Recuento de T7 CODIGO])</f>
        <v>#VALUE!</v>
      </c>
    </row>
    <row r="310" spans="1:3" x14ac:dyDescent="0.25">
      <c r="A310" t="b">
        <f>IFERROR(IF(MATCH(B310,RECETAS!$A$2:$A$1700,0) &lt;&gt; "", TRUE,""),FALSE)</f>
        <v>0</v>
      </c>
      <c r="B310" t="e">
        <f>TRANSPOSE(_T7[Etiquetas de fila])</f>
        <v>#VALUE!</v>
      </c>
      <c r="C310" t="e">
        <f>TRANSPOSE(_T7[Recuento de T7 CODIGO])</f>
        <v>#VALUE!</v>
      </c>
    </row>
    <row r="311" spans="1:3" x14ac:dyDescent="0.25">
      <c r="A311" t="b">
        <f>IFERROR(IF(MATCH(B311,RECETAS!$A$2:$A$1700,0) &lt;&gt; "", TRUE,""),FALSE)</f>
        <v>0</v>
      </c>
      <c r="B311" t="e">
        <f>TRANSPOSE(_T7[Etiquetas de fila])</f>
        <v>#VALUE!</v>
      </c>
      <c r="C311" t="e">
        <f>TRANSPOSE(_T7[Recuento de T7 CODIGO])</f>
        <v>#VALUE!</v>
      </c>
    </row>
    <row r="312" spans="1:3" x14ac:dyDescent="0.25">
      <c r="A312" t="b">
        <f>IFERROR(IF(MATCH(B312,RECETAS!$A$2:$A$1700,0) &lt;&gt; "", TRUE,""),FALSE)</f>
        <v>0</v>
      </c>
      <c r="B312" t="e">
        <f>TRANSPOSE(_T7[Etiquetas de fila])</f>
        <v>#VALUE!</v>
      </c>
      <c r="C312" t="e">
        <f>TRANSPOSE(_T7[Recuento de T7 CODIGO])</f>
        <v>#VALUE!</v>
      </c>
    </row>
    <row r="313" spans="1:3" x14ac:dyDescent="0.25">
      <c r="A313" t="b">
        <f>IFERROR(IF(MATCH(B313,RECETAS!$A$2:$A$1700,0) &lt;&gt; "", TRUE,""),FALSE)</f>
        <v>0</v>
      </c>
      <c r="B313" t="e">
        <f>TRANSPOSE(_T7[Etiquetas de fila])</f>
        <v>#VALUE!</v>
      </c>
      <c r="C313" t="e">
        <f>TRANSPOSE(_T7[Recuento de T7 CODIGO])</f>
        <v>#VALUE!</v>
      </c>
    </row>
    <row r="314" spans="1:3" x14ac:dyDescent="0.25">
      <c r="A314" t="b">
        <f>IFERROR(IF(MATCH(B314,RECETAS!$A$2:$A$1700,0) &lt;&gt; "", TRUE,""),FALSE)</f>
        <v>0</v>
      </c>
      <c r="B314" t="e">
        <f>TRANSPOSE(_T7[Etiquetas de fila])</f>
        <v>#VALUE!</v>
      </c>
      <c r="C314" t="e">
        <f>TRANSPOSE(_T7[Recuento de T7 CODIGO])</f>
        <v>#VALUE!</v>
      </c>
    </row>
    <row r="315" spans="1:3" x14ac:dyDescent="0.25">
      <c r="A315" t="b">
        <f>IFERROR(IF(MATCH(B315,RECETAS!$A$2:$A$1700,0) &lt;&gt; "", TRUE,""),FALSE)</f>
        <v>0</v>
      </c>
      <c r="B315" t="e">
        <f>TRANSPOSE(_T7[Etiquetas de fila])</f>
        <v>#VALUE!</v>
      </c>
      <c r="C315" t="e">
        <f>TRANSPOSE(_T7[Recuento de T7 CODIGO])</f>
        <v>#VALUE!</v>
      </c>
    </row>
    <row r="316" spans="1:3" x14ac:dyDescent="0.25">
      <c r="A316" t="b">
        <f>IFERROR(IF(MATCH(B316,RECETAS!$A$2:$A$1700,0) &lt;&gt; "", TRUE,""),FALSE)</f>
        <v>0</v>
      </c>
      <c r="B316" t="e">
        <f>TRANSPOSE(_T7[Etiquetas de fila])</f>
        <v>#VALUE!</v>
      </c>
      <c r="C316" t="e">
        <f>TRANSPOSE(_T7[Recuento de T7 CODIGO])</f>
        <v>#VALUE!</v>
      </c>
    </row>
    <row r="317" spans="1:3" x14ac:dyDescent="0.25">
      <c r="A317" t="b">
        <f>IFERROR(IF(MATCH(B317,RECETAS!$A$2:$A$1700,0) &lt;&gt; "", TRUE,""),FALSE)</f>
        <v>0</v>
      </c>
      <c r="B317" t="e">
        <f>TRANSPOSE(_T7[Etiquetas de fila])</f>
        <v>#VALUE!</v>
      </c>
      <c r="C317" t="e">
        <f>TRANSPOSE(_T7[Recuento de T7 CODIGO])</f>
        <v>#VALUE!</v>
      </c>
    </row>
    <row r="318" spans="1:3" x14ac:dyDescent="0.25">
      <c r="A318" t="b">
        <f>IFERROR(IF(MATCH(B318,RECETAS!$A$2:$A$1700,0) &lt;&gt; "", TRUE,""),FALSE)</f>
        <v>0</v>
      </c>
      <c r="B318" t="e">
        <f>TRANSPOSE(_T7[Etiquetas de fila])</f>
        <v>#VALUE!</v>
      </c>
      <c r="C318" t="e">
        <f>TRANSPOSE(_T7[Recuento de T7 CODIGO])</f>
        <v>#VALUE!</v>
      </c>
    </row>
    <row r="319" spans="1:3" x14ac:dyDescent="0.25">
      <c r="A319" t="b">
        <f>IFERROR(IF(MATCH(B319,RECETAS!$A$2:$A$1700,0) &lt;&gt; "", TRUE,""),FALSE)</f>
        <v>0</v>
      </c>
      <c r="B319" t="e">
        <f>TRANSPOSE(_T7[Etiquetas de fila])</f>
        <v>#VALUE!</v>
      </c>
      <c r="C319" t="e">
        <f>TRANSPOSE(_T7[Recuento de T7 CODIGO])</f>
        <v>#VALUE!</v>
      </c>
    </row>
    <row r="320" spans="1:3" x14ac:dyDescent="0.25">
      <c r="A320" t="b">
        <f>IFERROR(IF(MATCH(B320,RECETAS!$A$2:$A$1700,0) &lt;&gt; "", TRUE,""),FALSE)</f>
        <v>0</v>
      </c>
      <c r="B320" t="e">
        <f>TRANSPOSE(_T7[Etiquetas de fila])</f>
        <v>#VALUE!</v>
      </c>
      <c r="C320" t="e">
        <f>TRANSPOSE(_T7[Recuento de T7 CODIGO])</f>
        <v>#VALUE!</v>
      </c>
    </row>
    <row r="321" spans="1:3" x14ac:dyDescent="0.25">
      <c r="A321" t="b">
        <f>IFERROR(IF(MATCH(B321,RECETAS!$A$2:$A$1700,0) &lt;&gt; "", TRUE,""),FALSE)</f>
        <v>0</v>
      </c>
      <c r="B321" t="e">
        <f>TRANSPOSE(_T7[Etiquetas de fila])</f>
        <v>#VALUE!</v>
      </c>
      <c r="C321" t="e">
        <f>TRANSPOSE(_T7[Recuento de T7 CODIGO])</f>
        <v>#VALUE!</v>
      </c>
    </row>
    <row r="322" spans="1:3" x14ac:dyDescent="0.25">
      <c r="A322" t="b">
        <f>IFERROR(IF(MATCH(B322,RECETAS!$A$2:$A$1700,0) &lt;&gt; "", TRUE,""),FALSE)</f>
        <v>0</v>
      </c>
      <c r="B322" t="e">
        <f>TRANSPOSE(_T7[Etiquetas de fila])</f>
        <v>#VALUE!</v>
      </c>
      <c r="C322" t="e">
        <f>TRANSPOSE(_T7[Recuento de T7 CODIGO])</f>
        <v>#VALUE!</v>
      </c>
    </row>
    <row r="323" spans="1:3" x14ac:dyDescent="0.25">
      <c r="A323" t="b">
        <f>IFERROR(IF(MATCH(B323,RECETAS!$A$2:$A$1700,0) &lt;&gt; "", TRUE,""),FALSE)</f>
        <v>0</v>
      </c>
      <c r="B323" t="e">
        <f>TRANSPOSE(_T7[Etiquetas de fila])</f>
        <v>#VALUE!</v>
      </c>
      <c r="C323" t="e">
        <f>TRANSPOSE(_T7[Recuento de T7 CODIGO])</f>
        <v>#VALUE!</v>
      </c>
    </row>
    <row r="324" spans="1:3" x14ac:dyDescent="0.25">
      <c r="A324" t="b">
        <f>IFERROR(IF(MATCH(B324,RECETAS!$A$2:$A$1700,0) &lt;&gt; "", TRUE,""),FALSE)</f>
        <v>0</v>
      </c>
      <c r="B324" t="e">
        <f>TRANSPOSE(_T7[Etiquetas de fila])</f>
        <v>#VALUE!</v>
      </c>
      <c r="C324" t="e">
        <f>TRANSPOSE(_T7[Recuento de T7 CODIGO])</f>
        <v>#VALUE!</v>
      </c>
    </row>
    <row r="325" spans="1:3" x14ac:dyDescent="0.25">
      <c r="A325" t="b">
        <f>IFERROR(IF(MATCH(B325,RECETAS!$A$2:$A$1700,0) &lt;&gt; "", TRUE,""),FALSE)</f>
        <v>0</v>
      </c>
      <c r="B325" t="e">
        <f>TRANSPOSE(_T7[Etiquetas de fila])</f>
        <v>#VALUE!</v>
      </c>
      <c r="C325" t="e">
        <f>TRANSPOSE(_T7[Recuento de T7 CODIGO])</f>
        <v>#VALUE!</v>
      </c>
    </row>
    <row r="326" spans="1:3" x14ac:dyDescent="0.25">
      <c r="A326" t="b">
        <f>IFERROR(IF(MATCH(B326,RECETAS!$A$2:$A$1700,0) &lt;&gt; "", TRUE,""),FALSE)</f>
        <v>0</v>
      </c>
      <c r="B326" t="e">
        <f>TRANSPOSE(_T7[Etiquetas de fila])</f>
        <v>#VALUE!</v>
      </c>
      <c r="C326" t="e">
        <f>TRANSPOSE(_T7[Recuento de T7 CODIGO])</f>
        <v>#VALUE!</v>
      </c>
    </row>
    <row r="327" spans="1:3" x14ac:dyDescent="0.25">
      <c r="A327" t="b">
        <f>IFERROR(IF(MATCH(B327,RECETAS!$A$2:$A$1700,0) &lt;&gt; "", TRUE,""),FALSE)</f>
        <v>0</v>
      </c>
      <c r="B327" t="e">
        <f>TRANSPOSE(_T7[Etiquetas de fila])</f>
        <v>#VALUE!</v>
      </c>
      <c r="C327" t="e">
        <f>TRANSPOSE(_T7[Recuento de T7 CODIGO])</f>
        <v>#VALUE!</v>
      </c>
    </row>
    <row r="328" spans="1:3" x14ac:dyDescent="0.25">
      <c r="A328" t="b">
        <f>IFERROR(IF(MATCH(B328,RECETAS!$A$2:$A$1700,0) &lt;&gt; "", TRUE,""),FALSE)</f>
        <v>0</v>
      </c>
      <c r="B328" t="e">
        <f>TRANSPOSE(_T7[Etiquetas de fila])</f>
        <v>#VALUE!</v>
      </c>
      <c r="C328" t="e">
        <f>TRANSPOSE(_T7[Recuento de T7 CODIGO])</f>
        <v>#VALUE!</v>
      </c>
    </row>
    <row r="329" spans="1:3" x14ac:dyDescent="0.25">
      <c r="A329" t="b">
        <f>IFERROR(IF(MATCH(B329,RECETAS!$A$2:$A$1700,0) &lt;&gt; "", TRUE,""),FALSE)</f>
        <v>0</v>
      </c>
      <c r="B329" t="e">
        <f>TRANSPOSE(_T7[Etiquetas de fila])</f>
        <v>#VALUE!</v>
      </c>
      <c r="C329" t="e">
        <f>TRANSPOSE(_T7[Recuento de T7 CODIGO])</f>
        <v>#VALUE!</v>
      </c>
    </row>
    <row r="330" spans="1:3" x14ac:dyDescent="0.25">
      <c r="A330" t="b">
        <f>IFERROR(IF(MATCH(B330,RECETAS!$A$2:$A$1700,0) &lt;&gt; "", TRUE,""),FALSE)</f>
        <v>0</v>
      </c>
      <c r="B330" t="e">
        <f>TRANSPOSE(_T7[Etiquetas de fila])</f>
        <v>#VALUE!</v>
      </c>
      <c r="C330" t="e">
        <f>TRANSPOSE(_T7[Recuento de T7 CODIGO])</f>
        <v>#VALUE!</v>
      </c>
    </row>
    <row r="331" spans="1:3" x14ac:dyDescent="0.25">
      <c r="A331" t="b">
        <f>IFERROR(IF(MATCH(B331,RECETAS!$A$2:$A$1700,0) &lt;&gt; "", TRUE,""),FALSE)</f>
        <v>0</v>
      </c>
      <c r="B331" t="e">
        <f>TRANSPOSE(_T7[Etiquetas de fila])</f>
        <v>#VALUE!</v>
      </c>
      <c r="C331" t="e">
        <f>TRANSPOSE(_T7[Recuento de T7 CODIGO])</f>
        <v>#VALUE!</v>
      </c>
    </row>
    <row r="332" spans="1:3" x14ac:dyDescent="0.25">
      <c r="A332" t="b">
        <f>IFERROR(IF(MATCH(B332,RECETAS!$A$2:$A$1700,0) &lt;&gt; "", TRUE,""),FALSE)</f>
        <v>0</v>
      </c>
      <c r="B332" t="e">
        <f>TRANSPOSE(_T7[Etiquetas de fila])</f>
        <v>#VALUE!</v>
      </c>
      <c r="C332" t="e">
        <f>TRANSPOSE(_T7[Recuento de T7 CODIGO])</f>
        <v>#VALUE!</v>
      </c>
    </row>
    <row r="333" spans="1:3" x14ac:dyDescent="0.25">
      <c r="A333" t="b">
        <f>IFERROR(IF(MATCH(B333,RECETAS!$A$2:$A$1700,0) &lt;&gt; "", TRUE,""),FALSE)</f>
        <v>0</v>
      </c>
      <c r="B333" t="e">
        <f>TRANSPOSE(_T7[Etiquetas de fila])</f>
        <v>#VALUE!</v>
      </c>
      <c r="C333" t="e">
        <f>TRANSPOSE(_T7[Recuento de T7 CODIGO])</f>
        <v>#VALUE!</v>
      </c>
    </row>
    <row r="334" spans="1:3" x14ac:dyDescent="0.25">
      <c r="A334" t="b">
        <f>IFERROR(IF(MATCH(B334,RECETAS!$A$2:$A$1700,0) &lt;&gt; "", TRUE,""),FALSE)</f>
        <v>0</v>
      </c>
      <c r="B334" t="e">
        <f>TRANSPOSE(_T7[Etiquetas de fila])</f>
        <v>#VALUE!</v>
      </c>
      <c r="C334" t="e">
        <f>TRANSPOSE(_T7[Recuento de T7 CODIGO])</f>
        <v>#VALUE!</v>
      </c>
    </row>
    <row r="335" spans="1:3" x14ac:dyDescent="0.25">
      <c r="A335" t="b">
        <f>IFERROR(IF(MATCH(B335,RECETAS!$A$2:$A$1700,0) &lt;&gt; "", TRUE,""),FALSE)</f>
        <v>0</v>
      </c>
      <c r="B335" t="e">
        <f>TRANSPOSE(_T7[Etiquetas de fila])</f>
        <v>#VALUE!</v>
      </c>
      <c r="C335" t="e">
        <f>TRANSPOSE(_T7[Recuento de T7 CODIGO])</f>
        <v>#VALUE!</v>
      </c>
    </row>
    <row r="336" spans="1:3" x14ac:dyDescent="0.25">
      <c r="A336" t="b">
        <f>IFERROR(IF(MATCH(B336,RECETAS!$A$2:$A$1700,0) &lt;&gt; "", TRUE,""),FALSE)</f>
        <v>0</v>
      </c>
      <c r="B336" t="e">
        <f>TRANSPOSE(_T7[Etiquetas de fila])</f>
        <v>#VALUE!</v>
      </c>
      <c r="C336" t="e">
        <f>TRANSPOSE(_T7[Recuento de T7 CODIGO])</f>
        <v>#VALUE!</v>
      </c>
    </row>
    <row r="337" spans="1:3" x14ac:dyDescent="0.25">
      <c r="A337" t="b">
        <f>IFERROR(IF(MATCH(B337,RECETAS!$A$2:$A$1700,0) &lt;&gt; "", TRUE,""),FALSE)</f>
        <v>0</v>
      </c>
      <c r="B337" t="e">
        <f>TRANSPOSE(_T7[Etiquetas de fila])</f>
        <v>#VALUE!</v>
      </c>
      <c r="C337" t="e">
        <f>TRANSPOSE(_T7[Recuento de T7 CODIGO])</f>
        <v>#VALUE!</v>
      </c>
    </row>
    <row r="338" spans="1:3" x14ac:dyDescent="0.25">
      <c r="A338" t="b">
        <f>IFERROR(IF(MATCH(B338,RECETAS!$A$2:$A$1700,0) &lt;&gt; "", TRUE,""),FALSE)</f>
        <v>0</v>
      </c>
      <c r="B338" t="e">
        <f>TRANSPOSE(_T7[Etiquetas de fila])</f>
        <v>#VALUE!</v>
      </c>
      <c r="C338" t="e">
        <f>TRANSPOSE(_T7[Recuento de T7 CODIGO])</f>
        <v>#VALUE!</v>
      </c>
    </row>
    <row r="339" spans="1:3" x14ac:dyDescent="0.25">
      <c r="A339" t="b">
        <f>IFERROR(IF(MATCH(B339,RECETAS!$A$2:$A$1700,0) &lt;&gt; "", TRUE,""),FALSE)</f>
        <v>0</v>
      </c>
      <c r="B339" t="e">
        <f>TRANSPOSE(_T7[Etiquetas de fila])</f>
        <v>#VALUE!</v>
      </c>
      <c r="C339" t="e">
        <f>TRANSPOSE(_T7[Recuento de T7 CODIGO])</f>
        <v>#VALUE!</v>
      </c>
    </row>
    <row r="340" spans="1:3" x14ac:dyDescent="0.25">
      <c r="A340" t="b">
        <f>IFERROR(IF(MATCH(B340,RECETAS!$A$2:$A$1700,0) &lt;&gt; "", TRUE,""),FALSE)</f>
        <v>0</v>
      </c>
      <c r="B340" t="e">
        <f>TRANSPOSE(_T7[Etiquetas de fila])</f>
        <v>#VALUE!</v>
      </c>
      <c r="C340" t="e">
        <f>TRANSPOSE(_T7[Recuento de T7 CODIGO])</f>
        <v>#VALUE!</v>
      </c>
    </row>
    <row r="341" spans="1:3" x14ac:dyDescent="0.25">
      <c r="A341" t="b">
        <f>IFERROR(IF(MATCH(B341,RECETAS!$A$2:$A$1700,0) &lt;&gt; "", TRUE,""),FALSE)</f>
        <v>0</v>
      </c>
      <c r="B341" t="e">
        <f>TRANSPOSE(_T7[Etiquetas de fila])</f>
        <v>#VALUE!</v>
      </c>
      <c r="C341" t="e">
        <f>TRANSPOSE(_T7[Recuento de T7 CODIGO])</f>
        <v>#VALUE!</v>
      </c>
    </row>
    <row r="342" spans="1:3" x14ac:dyDescent="0.25">
      <c r="A342" t="b">
        <f>IFERROR(IF(MATCH(B342,RECETAS!$A$2:$A$1700,0) &lt;&gt; "", TRUE,""),FALSE)</f>
        <v>0</v>
      </c>
      <c r="B342" t="e">
        <f>TRANSPOSE(_T7[Etiquetas de fila])</f>
        <v>#VALUE!</v>
      </c>
      <c r="C342" t="e">
        <f>TRANSPOSE(_T7[Recuento de T7 CODIGO])</f>
        <v>#VALUE!</v>
      </c>
    </row>
    <row r="343" spans="1:3" x14ac:dyDescent="0.25">
      <c r="A343" t="b">
        <f>IFERROR(IF(MATCH(B343,RECETAS!$A$2:$A$1700,0) &lt;&gt; "", TRUE,""),FALSE)</f>
        <v>0</v>
      </c>
      <c r="B343" t="e">
        <f>TRANSPOSE(_T7[Etiquetas de fila])</f>
        <v>#VALUE!</v>
      </c>
      <c r="C343" t="e">
        <f>TRANSPOSE(_T7[Recuento de T7 CODIGO])</f>
        <v>#VALUE!</v>
      </c>
    </row>
    <row r="344" spans="1:3" x14ac:dyDescent="0.25">
      <c r="A344" t="b">
        <f>IFERROR(IF(MATCH(B344,RECETAS!$A$2:$A$1700,0) &lt;&gt; "", TRUE,""),FALSE)</f>
        <v>0</v>
      </c>
      <c r="B344" t="e">
        <f>TRANSPOSE(_T7[Etiquetas de fila])</f>
        <v>#VALUE!</v>
      </c>
      <c r="C344" t="e">
        <f>TRANSPOSE(_T7[Recuento de T7 CODIGO])</f>
        <v>#VALUE!</v>
      </c>
    </row>
    <row r="345" spans="1:3" x14ac:dyDescent="0.25">
      <c r="A345" t="b">
        <f>IFERROR(IF(MATCH(B345,RECETAS!$A$2:$A$1700,0) &lt;&gt; "", TRUE,""),FALSE)</f>
        <v>0</v>
      </c>
      <c r="B345" t="e">
        <f>TRANSPOSE(_T7[Etiquetas de fila])</f>
        <v>#VALUE!</v>
      </c>
      <c r="C345" t="e">
        <f>TRANSPOSE(_T7[Recuento de T7 CODIGO])</f>
        <v>#VALUE!</v>
      </c>
    </row>
    <row r="346" spans="1:3" x14ac:dyDescent="0.25">
      <c r="A346" t="b">
        <f>IFERROR(IF(MATCH(B346,RECETAS!$A$2:$A$1700,0) &lt;&gt; "", TRUE,""),FALSE)</f>
        <v>0</v>
      </c>
      <c r="B346" t="e">
        <f>TRANSPOSE(_T7[Etiquetas de fila])</f>
        <v>#VALUE!</v>
      </c>
      <c r="C346" t="e">
        <f>TRANSPOSE(_T7[Recuento de T7 CODIGO])</f>
        <v>#VALUE!</v>
      </c>
    </row>
    <row r="347" spans="1:3" x14ac:dyDescent="0.25">
      <c r="A347" t="b">
        <f>IFERROR(IF(MATCH(B347,RECETAS!$A$2:$A$1700,0) &lt;&gt; "", TRUE,""),FALSE)</f>
        <v>0</v>
      </c>
      <c r="B347" t="e">
        <f>TRANSPOSE(_T7[Etiquetas de fila])</f>
        <v>#VALUE!</v>
      </c>
      <c r="C347" t="e">
        <f>TRANSPOSE(_T7[Recuento de T7 CODIGO])</f>
        <v>#VALUE!</v>
      </c>
    </row>
    <row r="348" spans="1:3" x14ac:dyDescent="0.25">
      <c r="A348" t="b">
        <f>IFERROR(IF(MATCH(B348,RECETAS!$A$2:$A$1700,0) &lt;&gt; "", TRUE,""),FALSE)</f>
        <v>0</v>
      </c>
      <c r="B348" t="e">
        <f>TRANSPOSE(_T7[Etiquetas de fila])</f>
        <v>#VALUE!</v>
      </c>
      <c r="C348" t="e">
        <f>TRANSPOSE(_T7[Recuento de T7 CODIGO])</f>
        <v>#VALUE!</v>
      </c>
    </row>
    <row r="349" spans="1:3" x14ac:dyDescent="0.25">
      <c r="A349" t="b">
        <f>IFERROR(IF(MATCH(B349,RECETAS!$A$2:$A$1700,0) &lt;&gt; "", TRUE,""),FALSE)</f>
        <v>0</v>
      </c>
      <c r="B349" t="e">
        <f>TRANSPOSE(_T7[Etiquetas de fila])</f>
        <v>#VALUE!</v>
      </c>
      <c r="C349" t="e">
        <f>TRANSPOSE(_T7[Recuento de T7 CODIGO])</f>
        <v>#VALUE!</v>
      </c>
    </row>
    <row r="350" spans="1:3" x14ac:dyDescent="0.25">
      <c r="A350" t="b">
        <f>IFERROR(IF(MATCH(B350,RECETAS!$A$2:$A$1700,0) &lt;&gt; "", TRUE,""),FALSE)</f>
        <v>0</v>
      </c>
      <c r="B350" t="e">
        <f>TRANSPOSE(_T7[Etiquetas de fila])</f>
        <v>#VALUE!</v>
      </c>
      <c r="C350" t="e">
        <f>TRANSPOSE(_T7[Recuento de T7 CODIGO])</f>
        <v>#VALUE!</v>
      </c>
    </row>
    <row r="351" spans="1:3" x14ac:dyDescent="0.25">
      <c r="A351" t="b">
        <f>IFERROR(IF(MATCH(B351,RECETAS!$A$2:$A$1700,0) &lt;&gt; "", TRUE,""),FALSE)</f>
        <v>0</v>
      </c>
      <c r="B351" t="e">
        <f>TRANSPOSE(_T7[Etiquetas de fila])</f>
        <v>#VALUE!</v>
      </c>
      <c r="C351" t="e">
        <f>TRANSPOSE(_T7[Recuento de T7 CODIGO])</f>
        <v>#VALUE!</v>
      </c>
    </row>
    <row r="352" spans="1:3" x14ac:dyDescent="0.25">
      <c r="A352" t="b">
        <f>IFERROR(IF(MATCH(B352,RECETAS!$A$2:$A$1700,0) &lt;&gt; "", TRUE,""),FALSE)</f>
        <v>0</v>
      </c>
      <c r="B352" t="e">
        <f>TRANSPOSE(_T7[Etiquetas de fila])</f>
        <v>#VALUE!</v>
      </c>
      <c r="C352" t="e">
        <f>TRANSPOSE(_T7[Recuento de T7 CODIGO])</f>
        <v>#VALUE!</v>
      </c>
    </row>
    <row r="353" spans="1:3" x14ac:dyDescent="0.25">
      <c r="A353" t="b">
        <f>IFERROR(IF(MATCH(B353,RECETAS!$A$2:$A$1700,0) &lt;&gt; "", TRUE,""),FALSE)</f>
        <v>0</v>
      </c>
      <c r="B353" t="e">
        <f>TRANSPOSE(_T7[Etiquetas de fila])</f>
        <v>#VALUE!</v>
      </c>
      <c r="C353" t="e">
        <f>TRANSPOSE(_T7[Recuento de T7 CODIGO])</f>
        <v>#VALUE!</v>
      </c>
    </row>
    <row r="354" spans="1:3" x14ac:dyDescent="0.25">
      <c r="A354" t="b">
        <f>IFERROR(IF(MATCH(B354,RECETAS!$A$2:$A$1700,0) &lt;&gt; "", TRUE,""),FALSE)</f>
        <v>0</v>
      </c>
      <c r="B354" t="e">
        <f>TRANSPOSE(_T7[Etiquetas de fila])</f>
        <v>#VALUE!</v>
      </c>
      <c r="C354" t="e">
        <f>TRANSPOSE(_T7[Recuento de T7 CODIGO])</f>
        <v>#VALUE!</v>
      </c>
    </row>
    <row r="355" spans="1:3" x14ac:dyDescent="0.25">
      <c r="A355" t="b">
        <f>IFERROR(IF(MATCH(B355,RECETAS!$A$2:$A$1700,0) &lt;&gt; "", TRUE,""),FALSE)</f>
        <v>0</v>
      </c>
      <c r="B355" t="e">
        <f>TRANSPOSE(_T7[Etiquetas de fila])</f>
        <v>#VALUE!</v>
      </c>
      <c r="C355" t="e">
        <f>TRANSPOSE(_T7[Recuento de T7 CODIGO])</f>
        <v>#VALUE!</v>
      </c>
    </row>
    <row r="356" spans="1:3" x14ac:dyDescent="0.25">
      <c r="A356" t="b">
        <f>IFERROR(IF(MATCH(B356,RECETAS!$A$2:$A$1700,0) &lt;&gt; "", TRUE,""),FALSE)</f>
        <v>0</v>
      </c>
      <c r="B356" t="e">
        <f>TRANSPOSE(_T7[Etiquetas de fila])</f>
        <v>#VALUE!</v>
      </c>
      <c r="C356" t="e">
        <f>TRANSPOSE(_T7[Recuento de T7 CODIGO])</f>
        <v>#VALUE!</v>
      </c>
    </row>
    <row r="357" spans="1:3" x14ac:dyDescent="0.25">
      <c r="A357" t="b">
        <f>IFERROR(IF(MATCH(B357,RECETAS!$A$2:$A$1700,0) &lt;&gt; "", TRUE,""),FALSE)</f>
        <v>0</v>
      </c>
      <c r="B357" t="e">
        <f>TRANSPOSE(_T7[Etiquetas de fila])</f>
        <v>#VALUE!</v>
      </c>
      <c r="C357" t="e">
        <f>TRANSPOSE(_T7[Recuento de T7 CODIGO])</f>
        <v>#VALUE!</v>
      </c>
    </row>
    <row r="358" spans="1:3" x14ac:dyDescent="0.25">
      <c r="A358" t="b">
        <f>IFERROR(IF(MATCH(B358,RECETAS!$A$2:$A$1700,0) &lt;&gt; "", TRUE,""),FALSE)</f>
        <v>0</v>
      </c>
      <c r="B358" t="e">
        <f>TRANSPOSE(_T7[Etiquetas de fila])</f>
        <v>#VALUE!</v>
      </c>
      <c r="C358" t="e">
        <f>TRANSPOSE(_T7[Recuento de T7 CODIGO])</f>
        <v>#VALUE!</v>
      </c>
    </row>
    <row r="359" spans="1:3" x14ac:dyDescent="0.25">
      <c r="A359" t="b">
        <f>IFERROR(IF(MATCH(B359,RECETAS!$A$2:$A$1700,0) &lt;&gt; "", TRUE,""),FALSE)</f>
        <v>0</v>
      </c>
      <c r="B359" t="e">
        <f>TRANSPOSE(_T7[Etiquetas de fila])</f>
        <v>#VALUE!</v>
      </c>
      <c r="C359" t="e">
        <f>TRANSPOSE(_T7[Recuento de T7 CODIGO])</f>
        <v>#VALUE!</v>
      </c>
    </row>
    <row r="360" spans="1:3" x14ac:dyDescent="0.25">
      <c r="A360" t="b">
        <f>IFERROR(IF(MATCH(B360,RECETAS!$A$2:$A$1700,0) &lt;&gt; "", TRUE,""),FALSE)</f>
        <v>0</v>
      </c>
      <c r="B360" t="e">
        <f>TRANSPOSE(_T7[Etiquetas de fila])</f>
        <v>#VALUE!</v>
      </c>
      <c r="C360" t="e">
        <f>TRANSPOSE(_T7[Recuento de T7 CODIGO])</f>
        <v>#VALUE!</v>
      </c>
    </row>
    <row r="361" spans="1:3" x14ac:dyDescent="0.25">
      <c r="A361" t="b">
        <f>IFERROR(IF(MATCH(B361,RECETAS!$A$2:$A$1700,0) &lt;&gt; "", TRUE,""),FALSE)</f>
        <v>0</v>
      </c>
      <c r="B361" t="e">
        <f>TRANSPOSE(_T7[Etiquetas de fila])</f>
        <v>#VALUE!</v>
      </c>
      <c r="C361" t="e">
        <f>TRANSPOSE(_T7[Recuento de T7 CODIGO])</f>
        <v>#VALUE!</v>
      </c>
    </row>
    <row r="362" spans="1:3" x14ac:dyDescent="0.25">
      <c r="A362" t="b">
        <f>IFERROR(IF(MATCH(B362,RECETAS!$A$2:$A$1700,0) &lt;&gt; "", TRUE,""),FALSE)</f>
        <v>0</v>
      </c>
      <c r="B362" t="e">
        <f>TRANSPOSE(_T7[Etiquetas de fila])</f>
        <v>#VALUE!</v>
      </c>
      <c r="C362" t="e">
        <f>TRANSPOSE(_T7[Recuento de T7 CODIGO])</f>
        <v>#VALUE!</v>
      </c>
    </row>
    <row r="363" spans="1:3" x14ac:dyDescent="0.25">
      <c r="A363" t="b">
        <f>IFERROR(IF(MATCH(B363,RECETAS!$A$2:$A$1700,0) &lt;&gt; "", TRUE,""),FALSE)</f>
        <v>0</v>
      </c>
      <c r="B363" t="e">
        <f>TRANSPOSE(_T7[Etiquetas de fila])</f>
        <v>#VALUE!</v>
      </c>
      <c r="C363" t="e">
        <f>TRANSPOSE(_T7[Recuento de T7 CODIGO])</f>
        <v>#VALUE!</v>
      </c>
    </row>
    <row r="364" spans="1:3" x14ac:dyDescent="0.25">
      <c r="A364" t="b">
        <f>IFERROR(IF(MATCH(B364,RECETAS!$A$2:$A$1700,0) &lt;&gt; "", TRUE,""),FALSE)</f>
        <v>0</v>
      </c>
      <c r="B364" t="e">
        <f>TRANSPOSE(_T7[Etiquetas de fila])</f>
        <v>#VALUE!</v>
      </c>
      <c r="C364" t="e">
        <f>TRANSPOSE(_T7[Recuento de T7 CODIGO])</f>
        <v>#VALUE!</v>
      </c>
    </row>
    <row r="365" spans="1:3" x14ac:dyDescent="0.25">
      <c r="A365" t="b">
        <f>IFERROR(IF(MATCH(B365,RECETAS!$A$2:$A$1700,0) &lt;&gt; "", TRUE,""),FALSE)</f>
        <v>0</v>
      </c>
      <c r="B365" t="e">
        <f>TRANSPOSE(_T7[Etiquetas de fila])</f>
        <v>#VALUE!</v>
      </c>
      <c r="C365" t="e">
        <f>TRANSPOSE(_T7[Recuento de T7 CODIGO])</f>
        <v>#VALUE!</v>
      </c>
    </row>
    <row r="366" spans="1:3" x14ac:dyDescent="0.25">
      <c r="A366" t="b">
        <f>IFERROR(IF(MATCH(B366,RECETAS!$A$2:$A$1700,0) &lt;&gt; "", TRUE,""),FALSE)</f>
        <v>0</v>
      </c>
      <c r="B366" t="e">
        <f>TRANSPOSE(_T7[Etiquetas de fila])</f>
        <v>#VALUE!</v>
      </c>
      <c r="C366" t="e">
        <f>TRANSPOSE(_T7[Recuento de T7 CODIGO])</f>
        <v>#VALUE!</v>
      </c>
    </row>
    <row r="367" spans="1:3" x14ac:dyDescent="0.25">
      <c r="A367" t="b">
        <f>IFERROR(IF(MATCH(B367,RECETAS!$A$2:$A$1700,0) &lt;&gt; "", TRUE,""),FALSE)</f>
        <v>0</v>
      </c>
      <c r="B367" t="e">
        <f>TRANSPOSE(_T7[Etiquetas de fila])</f>
        <v>#VALUE!</v>
      </c>
      <c r="C367" t="e">
        <f>TRANSPOSE(_T7[Recuento de T7 CODIGO])</f>
        <v>#VALUE!</v>
      </c>
    </row>
    <row r="368" spans="1:3" x14ac:dyDescent="0.25">
      <c r="A368" t="b">
        <f>IFERROR(IF(MATCH(B368,RECETAS!$A$2:$A$1700,0) &lt;&gt; "", TRUE,""),FALSE)</f>
        <v>0</v>
      </c>
      <c r="B368" t="e">
        <f>TRANSPOSE(_T7[Etiquetas de fila])</f>
        <v>#VALUE!</v>
      </c>
      <c r="C368" t="e">
        <f>TRANSPOSE(_T7[Recuento de T7 CODIGO])</f>
        <v>#VALUE!</v>
      </c>
    </row>
    <row r="369" spans="1:3" x14ac:dyDescent="0.25">
      <c r="A369" t="b">
        <f>IFERROR(IF(MATCH(B369,RECETAS!$A$2:$A$1700,0) &lt;&gt; "", TRUE,""),FALSE)</f>
        <v>0</v>
      </c>
      <c r="B369" t="e">
        <f>TRANSPOSE(_T7[Etiquetas de fila])</f>
        <v>#VALUE!</v>
      </c>
      <c r="C369" t="e">
        <f>TRANSPOSE(_T7[Recuento de T7 CODIGO])</f>
        <v>#VALUE!</v>
      </c>
    </row>
    <row r="370" spans="1:3" x14ac:dyDescent="0.25">
      <c r="A370" t="b">
        <f>IFERROR(IF(MATCH(B370,RECETAS!$A$2:$A$1700,0) &lt;&gt; "", TRUE,""),FALSE)</f>
        <v>0</v>
      </c>
      <c r="B370" t="e">
        <f>TRANSPOSE(_T7[Etiquetas de fila])</f>
        <v>#VALUE!</v>
      </c>
      <c r="C370" t="e">
        <f>TRANSPOSE(_T7[Recuento de T7 CODIGO])</f>
        <v>#VALUE!</v>
      </c>
    </row>
    <row r="371" spans="1:3" x14ac:dyDescent="0.25">
      <c r="A371" t="b">
        <f>IFERROR(IF(MATCH(B371,RECETAS!$A$2:$A$1700,0) &lt;&gt; "", TRUE,""),FALSE)</f>
        <v>0</v>
      </c>
      <c r="B371" t="e">
        <f>TRANSPOSE(_T7[Etiquetas de fila])</f>
        <v>#VALUE!</v>
      </c>
      <c r="C371" t="e">
        <f>TRANSPOSE(_T7[Recuento de T7 CODIGO])</f>
        <v>#VALUE!</v>
      </c>
    </row>
    <row r="372" spans="1:3" x14ac:dyDescent="0.25">
      <c r="A372" t="b">
        <f>IFERROR(IF(MATCH(B372,RECETAS!$A$2:$A$1700,0) &lt;&gt; "", TRUE,""),FALSE)</f>
        <v>0</v>
      </c>
      <c r="B372" t="e">
        <f>TRANSPOSE(_T7[Etiquetas de fila])</f>
        <v>#VALUE!</v>
      </c>
      <c r="C372" t="e">
        <f>TRANSPOSE(_T7[Recuento de T7 CODIGO])</f>
        <v>#VALUE!</v>
      </c>
    </row>
    <row r="373" spans="1:3" x14ac:dyDescent="0.25">
      <c r="A373" t="b">
        <f>IFERROR(IF(MATCH(B373,RECETAS!$A$2:$A$1700,0) &lt;&gt; "", TRUE,""),FALSE)</f>
        <v>0</v>
      </c>
      <c r="B373" t="e">
        <f>TRANSPOSE(_T7[Etiquetas de fila])</f>
        <v>#VALUE!</v>
      </c>
      <c r="C373" t="e">
        <f>TRANSPOSE(_T7[Recuento de T7 CODIGO])</f>
        <v>#VALUE!</v>
      </c>
    </row>
    <row r="374" spans="1:3" x14ac:dyDescent="0.25">
      <c r="A374" t="b">
        <f>IFERROR(IF(MATCH(B374,RECETAS!$A$2:$A$1700,0) &lt;&gt; "", TRUE,""),FALSE)</f>
        <v>0</v>
      </c>
      <c r="B374" t="e">
        <f>TRANSPOSE(_T7[Etiquetas de fila])</f>
        <v>#VALUE!</v>
      </c>
      <c r="C374" t="e">
        <f>TRANSPOSE(_T7[Recuento de T7 CODIGO])</f>
        <v>#VALUE!</v>
      </c>
    </row>
    <row r="375" spans="1:3" x14ac:dyDescent="0.25">
      <c r="A375" t="b">
        <f>IFERROR(IF(MATCH(B375,RECETAS!$A$2:$A$1700,0) &lt;&gt; "", TRUE,""),FALSE)</f>
        <v>0</v>
      </c>
      <c r="B375" t="e">
        <f>TRANSPOSE(_T7[Etiquetas de fila])</f>
        <v>#VALUE!</v>
      </c>
      <c r="C375" t="e">
        <f>TRANSPOSE(_T7[Recuento de T7 CODIGO])</f>
        <v>#VALUE!</v>
      </c>
    </row>
    <row r="376" spans="1:3" x14ac:dyDescent="0.25">
      <c r="A376" t="b">
        <f>IFERROR(IF(MATCH(B376,RECETAS!$A$2:$A$1700,0) &lt;&gt; "", TRUE,""),FALSE)</f>
        <v>0</v>
      </c>
      <c r="B376" t="e">
        <f>TRANSPOSE(_T7[Etiquetas de fila])</f>
        <v>#VALUE!</v>
      </c>
      <c r="C376" t="e">
        <f>TRANSPOSE(_T7[Recuento de T7 CODIGO])</f>
        <v>#VALUE!</v>
      </c>
    </row>
    <row r="377" spans="1:3" x14ac:dyDescent="0.25">
      <c r="A377" t="b">
        <f>IFERROR(IF(MATCH(B377,RECETAS!$A$2:$A$1700,0) &lt;&gt; "", TRUE,""),FALSE)</f>
        <v>0</v>
      </c>
      <c r="B377" t="e">
        <f>TRANSPOSE(_T7[Etiquetas de fila])</f>
        <v>#VALUE!</v>
      </c>
      <c r="C377" t="e">
        <f>TRANSPOSE(_T7[Recuento de T7 CODIGO])</f>
        <v>#VALUE!</v>
      </c>
    </row>
    <row r="378" spans="1:3" x14ac:dyDescent="0.25">
      <c r="A378" t="b">
        <f>IFERROR(IF(MATCH(B378,RECETAS!$A$2:$A$1700,0) &lt;&gt; "", TRUE,""),FALSE)</f>
        <v>0</v>
      </c>
      <c r="B378" t="e">
        <f>TRANSPOSE(_T7[Etiquetas de fila])</f>
        <v>#VALUE!</v>
      </c>
      <c r="C378" t="e">
        <f>TRANSPOSE(_T7[Recuento de T7 CODIGO])</f>
        <v>#VALUE!</v>
      </c>
    </row>
    <row r="379" spans="1:3" x14ac:dyDescent="0.25">
      <c r="A379" t="b">
        <f>IFERROR(IF(MATCH(B379,RECETAS!$A$2:$A$1700,0) &lt;&gt; "", TRUE,""),FALSE)</f>
        <v>0</v>
      </c>
      <c r="B379" t="e">
        <f>TRANSPOSE(_T7[Etiquetas de fila])</f>
        <v>#VALUE!</v>
      </c>
      <c r="C379" t="e">
        <f>TRANSPOSE(_T7[Recuento de T7 CODIGO])</f>
        <v>#VALUE!</v>
      </c>
    </row>
    <row r="380" spans="1:3" x14ac:dyDescent="0.25">
      <c r="A380" t="b">
        <f>IFERROR(IF(MATCH(B380,RECETAS!$A$2:$A$1700,0) &lt;&gt; "", TRUE,""),FALSE)</f>
        <v>0</v>
      </c>
      <c r="B380" t="e">
        <f>TRANSPOSE(_T7[Etiquetas de fila])</f>
        <v>#VALUE!</v>
      </c>
      <c r="C380" t="e">
        <f>TRANSPOSE(_T7[Recuento de T7 CODIGO])</f>
        <v>#VALUE!</v>
      </c>
    </row>
    <row r="381" spans="1:3" x14ac:dyDescent="0.25">
      <c r="A381" t="b">
        <f>IFERROR(IF(MATCH(B381,RECETAS!$A$2:$A$1700,0) &lt;&gt; "", TRUE,""),FALSE)</f>
        <v>0</v>
      </c>
      <c r="B381" t="e">
        <f>TRANSPOSE(_T7[Etiquetas de fila])</f>
        <v>#VALUE!</v>
      </c>
      <c r="C381" t="e">
        <f>TRANSPOSE(_T7[Recuento de T7 CODIGO])</f>
        <v>#VALUE!</v>
      </c>
    </row>
    <row r="382" spans="1:3" x14ac:dyDescent="0.25">
      <c r="A382" t="b">
        <f>IFERROR(IF(MATCH(B382,RECETAS!$A$2:$A$1700,0) &lt;&gt; "", TRUE,""),FALSE)</f>
        <v>0</v>
      </c>
      <c r="B382" t="e">
        <f>TRANSPOSE(_T7[Etiquetas de fila])</f>
        <v>#VALUE!</v>
      </c>
      <c r="C382" t="e">
        <f>TRANSPOSE(_T7[Recuento de T7 CODIGO])</f>
        <v>#VALUE!</v>
      </c>
    </row>
    <row r="383" spans="1:3" x14ac:dyDescent="0.25">
      <c r="A383" t="b">
        <f>IFERROR(IF(MATCH(B383,RECETAS!$A$2:$A$1700,0) &lt;&gt; "", TRUE,""),FALSE)</f>
        <v>0</v>
      </c>
      <c r="B383" t="e">
        <f>TRANSPOSE(_T7[Etiquetas de fila])</f>
        <v>#VALUE!</v>
      </c>
      <c r="C383" t="e">
        <f>TRANSPOSE(_T7[Recuento de T7 CODIGO])</f>
        <v>#VALUE!</v>
      </c>
    </row>
    <row r="384" spans="1:3" x14ac:dyDescent="0.25">
      <c r="A384" t="b">
        <f>IFERROR(IF(MATCH(B384,RECETAS!$A$2:$A$1700,0) &lt;&gt; "", TRUE,""),FALSE)</f>
        <v>0</v>
      </c>
      <c r="B384" t="e">
        <f>TRANSPOSE(_T7[Etiquetas de fila])</f>
        <v>#VALUE!</v>
      </c>
      <c r="C384" t="e">
        <f>TRANSPOSE(_T7[Recuento de T7 CODIGO])</f>
        <v>#VALUE!</v>
      </c>
    </row>
    <row r="385" spans="1:3" x14ac:dyDescent="0.25">
      <c r="A385" t="b">
        <f>IFERROR(IF(MATCH(B385,RECETAS!$A$2:$A$1700,0) &lt;&gt; "", TRUE,""),FALSE)</f>
        <v>0</v>
      </c>
      <c r="B385" t="e">
        <f>TRANSPOSE(_T7[Etiquetas de fila])</f>
        <v>#VALUE!</v>
      </c>
      <c r="C385" t="e">
        <f>TRANSPOSE(_T7[Recuento de T7 CODIGO])</f>
        <v>#VALUE!</v>
      </c>
    </row>
    <row r="386" spans="1:3" x14ac:dyDescent="0.25">
      <c r="A386" t="b">
        <f>IFERROR(IF(MATCH(B386,RECETAS!$A$2:$A$1700,0) &lt;&gt; "", TRUE,""),FALSE)</f>
        <v>0</v>
      </c>
      <c r="B386" t="e">
        <f>TRANSPOSE(_T7[Etiquetas de fila])</f>
        <v>#VALUE!</v>
      </c>
      <c r="C386" t="e">
        <f>TRANSPOSE(_T7[Recuento de T7 CODIGO])</f>
        <v>#VALUE!</v>
      </c>
    </row>
    <row r="387" spans="1:3" x14ac:dyDescent="0.25">
      <c r="A387" t="b">
        <f>IFERROR(IF(MATCH(B387,RECETAS!$A$2:$A$1700,0) &lt;&gt; "", TRUE,""),FALSE)</f>
        <v>0</v>
      </c>
      <c r="B387" t="e">
        <f>TRANSPOSE(_T7[Etiquetas de fila])</f>
        <v>#VALUE!</v>
      </c>
      <c r="C387" t="e">
        <f>TRANSPOSE(_T7[Recuento de T7 CODIGO])</f>
        <v>#VALUE!</v>
      </c>
    </row>
    <row r="388" spans="1:3" x14ac:dyDescent="0.25">
      <c r="A388" t="b">
        <f>IFERROR(IF(MATCH(B388,RECETAS!$A$2:$A$1700,0) &lt;&gt; "", TRUE,""),FALSE)</f>
        <v>0</v>
      </c>
      <c r="B388" t="e">
        <f>TRANSPOSE(_T7[Etiquetas de fila])</f>
        <v>#VALUE!</v>
      </c>
      <c r="C388" t="e">
        <f>TRANSPOSE(_T7[Recuento de T7 CODIGO])</f>
        <v>#VALUE!</v>
      </c>
    </row>
    <row r="389" spans="1:3" x14ac:dyDescent="0.25">
      <c r="A389" t="b">
        <f>IFERROR(IF(MATCH(B389,RECETAS!$A$2:$A$1700,0) &lt;&gt; "", TRUE,""),FALSE)</f>
        <v>0</v>
      </c>
      <c r="B389" t="e">
        <f>TRANSPOSE(_T7[Etiquetas de fila])</f>
        <v>#VALUE!</v>
      </c>
      <c r="C389" t="e">
        <f>TRANSPOSE(_T7[Recuento de T7 CODIGO])</f>
        <v>#VALUE!</v>
      </c>
    </row>
    <row r="390" spans="1:3" x14ac:dyDescent="0.25">
      <c r="A390" t="b">
        <f>IFERROR(IF(MATCH(B390,RECETAS!$A$2:$A$1700,0) &lt;&gt; "", TRUE,""),FALSE)</f>
        <v>0</v>
      </c>
      <c r="B390" t="e">
        <f>TRANSPOSE(_T7[Etiquetas de fila])</f>
        <v>#VALUE!</v>
      </c>
      <c r="C390" t="e">
        <f>TRANSPOSE(_T7[Recuento de T7 CODIGO])</f>
        <v>#VALUE!</v>
      </c>
    </row>
    <row r="391" spans="1:3" x14ac:dyDescent="0.25">
      <c r="A391" t="b">
        <f>IFERROR(IF(MATCH(B391,RECETAS!$A$2:$A$1700,0) &lt;&gt; "", TRUE,""),FALSE)</f>
        <v>0</v>
      </c>
      <c r="B391" t="e">
        <f>TRANSPOSE(_T7[Etiquetas de fila])</f>
        <v>#VALUE!</v>
      </c>
      <c r="C391" t="e">
        <f>TRANSPOSE(_T7[Recuento de T7 CODIGO])</f>
        <v>#VALUE!</v>
      </c>
    </row>
    <row r="392" spans="1:3" x14ac:dyDescent="0.25">
      <c r="A392" t="b">
        <f>IFERROR(IF(MATCH(B392,RECETAS!$A$2:$A$1700,0) &lt;&gt; "", TRUE,""),FALSE)</f>
        <v>0</v>
      </c>
      <c r="B392" t="e">
        <f>TRANSPOSE(_T7[Etiquetas de fila])</f>
        <v>#VALUE!</v>
      </c>
      <c r="C392" t="e">
        <f>TRANSPOSE(_T7[Recuento de T7 CODIGO])</f>
        <v>#VALUE!</v>
      </c>
    </row>
    <row r="393" spans="1:3" x14ac:dyDescent="0.25">
      <c r="A393" t="b">
        <f>IFERROR(IF(MATCH(B393,RECETAS!$A$2:$A$1700,0) &lt;&gt; "", TRUE,""),FALSE)</f>
        <v>0</v>
      </c>
      <c r="B393" t="e">
        <f>TRANSPOSE(_T7[Etiquetas de fila])</f>
        <v>#VALUE!</v>
      </c>
      <c r="C393" t="e">
        <f>TRANSPOSE(_T7[Recuento de T7 CODIGO])</f>
        <v>#VALUE!</v>
      </c>
    </row>
    <row r="394" spans="1:3" x14ac:dyDescent="0.25">
      <c r="A394" t="b">
        <f>IFERROR(IF(MATCH(B394,RECETAS!$A$2:$A$1700,0) &lt;&gt; "", TRUE,""),FALSE)</f>
        <v>0</v>
      </c>
      <c r="B394" t="e">
        <f>TRANSPOSE(_T7[Etiquetas de fila])</f>
        <v>#VALUE!</v>
      </c>
      <c r="C394" t="e">
        <f>TRANSPOSE(_T7[Recuento de T7 CODIGO])</f>
        <v>#VALUE!</v>
      </c>
    </row>
    <row r="395" spans="1:3" x14ac:dyDescent="0.25">
      <c r="A395" t="b">
        <f>IFERROR(IF(MATCH(B395,RECETAS!$A$2:$A$1700,0) &lt;&gt; "", TRUE,""),FALSE)</f>
        <v>0</v>
      </c>
      <c r="B395" t="e">
        <f>TRANSPOSE(_T7[Etiquetas de fila])</f>
        <v>#VALUE!</v>
      </c>
      <c r="C395" t="e">
        <f>TRANSPOSE(_T7[Recuento de T7 CODIGO])</f>
        <v>#VALUE!</v>
      </c>
    </row>
    <row r="396" spans="1:3" x14ac:dyDescent="0.25">
      <c r="A396" t="b">
        <f>IFERROR(IF(MATCH(B396,RECETAS!$A$2:$A$1700,0) &lt;&gt; "", TRUE,""),FALSE)</f>
        <v>0</v>
      </c>
      <c r="B396" t="e">
        <f>TRANSPOSE(_T7[Etiquetas de fila])</f>
        <v>#VALUE!</v>
      </c>
      <c r="C396" t="e">
        <f>TRANSPOSE(_T7[Recuento de T7 CODIGO])</f>
        <v>#VALUE!</v>
      </c>
    </row>
    <row r="397" spans="1:3" x14ac:dyDescent="0.25">
      <c r="A397" t="b">
        <f>IFERROR(IF(MATCH(B397,RECETAS!$A$2:$A$1700,0) &lt;&gt; "", TRUE,""),FALSE)</f>
        <v>0</v>
      </c>
      <c r="B397" t="e">
        <f>TRANSPOSE(_T7[Etiquetas de fila])</f>
        <v>#VALUE!</v>
      </c>
      <c r="C397" t="e">
        <f>TRANSPOSE(_T7[Recuento de T7 CODIGO])</f>
        <v>#VALUE!</v>
      </c>
    </row>
    <row r="398" spans="1:3" x14ac:dyDescent="0.25">
      <c r="A398" t="b">
        <f>IFERROR(IF(MATCH(B398,RECETAS!$A$2:$A$1700,0) &lt;&gt; "", TRUE,""),FALSE)</f>
        <v>0</v>
      </c>
      <c r="B398" t="e">
        <f>TRANSPOSE(_T7[Etiquetas de fila])</f>
        <v>#VALUE!</v>
      </c>
      <c r="C398" t="e">
        <f>TRANSPOSE(_T7[Recuento de T7 CODIGO])</f>
        <v>#VALUE!</v>
      </c>
    </row>
    <row r="399" spans="1:3" x14ac:dyDescent="0.25">
      <c r="A399" t="b">
        <f>IFERROR(IF(MATCH(B399,RECETAS!$A$2:$A$1700,0) &lt;&gt; "", TRUE,""),FALSE)</f>
        <v>0</v>
      </c>
      <c r="B399" t="e">
        <f>TRANSPOSE(_T7[Etiquetas de fila])</f>
        <v>#VALUE!</v>
      </c>
      <c r="C399" t="e">
        <f>TRANSPOSE(_T7[Recuento de T7 CODIGO])</f>
        <v>#VALUE!</v>
      </c>
    </row>
    <row r="400" spans="1:3" x14ac:dyDescent="0.25">
      <c r="A400" t="b">
        <f>IFERROR(IF(MATCH(B400,RECETAS!$A$2:$A$1700,0) &lt;&gt; "", TRUE,""),FALSE)</f>
        <v>0</v>
      </c>
      <c r="B400" t="e">
        <f>TRANSPOSE(_T7[Etiquetas de fila])</f>
        <v>#VALUE!</v>
      </c>
      <c r="C400" t="e">
        <f>TRANSPOSE(_T7[Recuento de T7 CODIGO])</f>
        <v>#VALUE!</v>
      </c>
    </row>
  </sheetData>
  <conditionalFormatting sqref="A3:A400">
    <cfRule type="cellIs" dxfId="43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CARVENTAS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0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1BA0A-D296-4247-843F-51686103EEB5}">
  <dimension ref="A1:D236"/>
  <sheetViews>
    <sheetView topLeftCell="A88" workbookViewId="0">
      <selection sqref="A1:D236"/>
    </sheetView>
  </sheetViews>
  <sheetFormatPr baseColWidth="10" defaultRowHeight="15" x14ac:dyDescent="0.25"/>
  <cols>
    <col min="1" max="1" width="34.5703125" bestFit="1" customWidth="1"/>
    <col min="2" max="2" width="24.85546875" bestFit="1" customWidth="1"/>
    <col min="3" max="3" width="16.7109375" style="251" bestFit="1" customWidth="1"/>
    <col min="4" max="4" width="11.42578125" style="251"/>
  </cols>
  <sheetData>
    <row r="1" spans="1:4" x14ac:dyDescent="0.25">
      <c r="A1" t="s">
        <v>897</v>
      </c>
      <c r="B1" t="s">
        <v>1079</v>
      </c>
      <c r="C1" s="251" t="s">
        <v>1084</v>
      </c>
      <c r="D1" s="251" t="s">
        <v>1085</v>
      </c>
    </row>
    <row r="2" spans="1:4" x14ac:dyDescent="0.25">
      <c r="A2" s="250" t="s">
        <v>1065</v>
      </c>
      <c r="B2">
        <v>2</v>
      </c>
      <c r="C2" s="251">
        <f>LOOKUP(_T7[[#This Row],[Etiquetas de fila]],'VALORIZACION CARTA'!B:B,'VALORIZACION CARTA'!C:C)</f>
        <v>4179.0839999999998</v>
      </c>
      <c r="D2" s="251">
        <f>SUM(_T7[[#This Row],[Recuento de T7 CODIGO]]*_T7[[#This Row],[VALORIZACION]])</f>
        <v>8358.1679999999997</v>
      </c>
    </row>
    <row r="3" spans="1:4" x14ac:dyDescent="0.25">
      <c r="A3" s="250" t="s">
        <v>899</v>
      </c>
      <c r="B3">
        <v>8</v>
      </c>
      <c r="C3" s="251">
        <f>LOOKUP(_T7[[#This Row],[Etiquetas de fila]],'VALORIZACION CARTA'!B:B,'VALORIZACION CARTA'!C:C)</f>
        <v>2963.8265999999999</v>
      </c>
      <c r="D3" s="251">
        <f>SUM(_T7[[#This Row],[Recuento de T7 CODIGO]]*_T7[[#This Row],[VALORIZACION]])</f>
        <v>23710.612799999999</v>
      </c>
    </row>
    <row r="4" spans="1:4" x14ac:dyDescent="0.25">
      <c r="A4" s="250" t="s">
        <v>222</v>
      </c>
      <c r="B4">
        <v>2</v>
      </c>
      <c r="C4" s="251">
        <f>LOOKUP(_T7[[#This Row],[Etiquetas de fila]],'VALORIZACION CARTA'!B:B,'VALORIZACION CARTA'!C:C)</f>
        <v>4416.8310000000001</v>
      </c>
      <c r="D4" s="251">
        <f>SUM(_T7[[#This Row],[Recuento de T7 CODIGO]]*_T7[[#This Row],[VALORIZACION]])</f>
        <v>8833.6620000000003</v>
      </c>
    </row>
    <row r="5" spans="1:4" x14ac:dyDescent="0.25">
      <c r="A5" s="250" t="s">
        <v>900</v>
      </c>
      <c r="B5">
        <v>1</v>
      </c>
      <c r="C5" s="251">
        <f>LOOKUP(_T7[[#This Row],[Etiquetas de fila]],'VALORIZACION CARTA'!B:B,'VALORIZACION CARTA'!C:C)</f>
        <v>1330.5275000000001</v>
      </c>
      <c r="D5" s="251">
        <f>SUM(_T7[[#This Row],[Recuento de T7 CODIGO]]*_T7[[#This Row],[VALORIZACION]])</f>
        <v>1330.5275000000001</v>
      </c>
    </row>
    <row r="6" spans="1:4" x14ac:dyDescent="0.25">
      <c r="A6" s="250" t="s">
        <v>1036</v>
      </c>
      <c r="B6">
        <v>2</v>
      </c>
      <c r="C6" s="251">
        <f>LOOKUP(_T7[[#This Row],[Etiquetas de fila]],'VALORIZACION CARTA'!B:B,'VALORIZACION CARTA'!C:C)</f>
        <v>1231.047</v>
      </c>
      <c r="D6" s="251">
        <f>SUM(_T7[[#This Row],[Recuento de T7 CODIGO]]*_T7[[#This Row],[VALORIZACION]])</f>
        <v>2462.0940000000001</v>
      </c>
    </row>
    <row r="7" spans="1:4" x14ac:dyDescent="0.25">
      <c r="A7" s="250" t="s">
        <v>605</v>
      </c>
      <c r="B7">
        <v>2</v>
      </c>
      <c r="C7" s="251">
        <f>LOOKUP(_T7[[#This Row],[Etiquetas de fila]],'VALORIZACION CARTA'!B:B,'VALORIZACION CARTA'!C:C)</f>
        <v>908.22450000000003</v>
      </c>
      <c r="D7" s="251">
        <f>SUM(_T7[[#This Row],[Recuento de T7 CODIGO]]*_T7[[#This Row],[VALORIZACION]])</f>
        <v>1816.4490000000001</v>
      </c>
    </row>
    <row r="8" spans="1:4" x14ac:dyDescent="0.25">
      <c r="A8" s="250" t="s">
        <v>314</v>
      </c>
      <c r="B8">
        <v>18</v>
      </c>
      <c r="C8" s="251">
        <f>LOOKUP(_T7[[#This Row],[Etiquetas de fila]],'VALORIZACION CARTA'!B:B,'VALORIZACION CARTA'!C:C)</f>
        <v>1023.3517325</v>
      </c>
      <c r="D8" s="251">
        <f>SUM(_T7[[#This Row],[Recuento de T7 CODIGO]]*_T7[[#This Row],[VALORIZACION]])</f>
        <v>18420.331184999999</v>
      </c>
    </row>
    <row r="9" spans="1:4" x14ac:dyDescent="0.25">
      <c r="A9" s="250" t="s">
        <v>315</v>
      </c>
      <c r="B9">
        <v>55</v>
      </c>
      <c r="C9" s="251">
        <f>LOOKUP(_T7[[#This Row],[Etiquetas de fila]],'VALORIZACION CARTA'!B:B,'VALORIZACION CARTA'!C:C)</f>
        <v>735.52575000000002</v>
      </c>
      <c r="D9" s="251">
        <f>SUM(_T7[[#This Row],[Recuento de T7 CODIGO]]*_T7[[#This Row],[VALORIZACION]])</f>
        <v>40453.916250000002</v>
      </c>
    </row>
    <row r="10" spans="1:4" x14ac:dyDescent="0.25">
      <c r="A10" s="250" t="s">
        <v>844</v>
      </c>
      <c r="B10">
        <v>26</v>
      </c>
      <c r="C10" s="251">
        <f>LOOKUP(_T7[[#This Row],[Etiquetas de fila]],'VALORIZACION CARTA'!B:B,'VALORIZACION CARTA'!C:C)</f>
        <v>1640.1064499999998</v>
      </c>
      <c r="D10" s="251">
        <f>SUM(_T7[[#This Row],[Recuento de T7 CODIGO]]*_T7[[#This Row],[VALORIZACION]])</f>
        <v>42642.767699999997</v>
      </c>
    </row>
    <row r="11" spans="1:4" x14ac:dyDescent="0.25">
      <c r="A11" s="250" t="s">
        <v>901</v>
      </c>
      <c r="B11">
        <v>1</v>
      </c>
      <c r="C11" s="251">
        <f>LOOKUP(_T7[[#This Row],[Etiquetas de fila]],'VALORIZACION CARTA'!B:B,'VALORIZACION CARTA'!C:C)</f>
        <v>1640.1064499999998</v>
      </c>
      <c r="D11" s="251">
        <f>SUM(_T7[[#This Row],[Recuento de T7 CODIGO]]*_T7[[#This Row],[VALORIZACION]])</f>
        <v>1640.1064499999998</v>
      </c>
    </row>
    <row r="12" spans="1:4" x14ac:dyDescent="0.25">
      <c r="A12" s="250" t="s">
        <v>902</v>
      </c>
      <c r="B12">
        <v>2</v>
      </c>
      <c r="C12" s="251">
        <f>LOOKUP(_T7[[#This Row],[Etiquetas de fila]],'VALORIZACION CARTA'!B:B,'VALORIZACION CARTA'!C:C)</f>
        <v>783.2898275</v>
      </c>
      <c r="D12" s="251">
        <f>SUM(_T7[[#This Row],[Recuento de T7 CODIGO]]*_T7[[#This Row],[VALORIZACION]])</f>
        <v>1566.579655</v>
      </c>
    </row>
    <row r="13" spans="1:4" x14ac:dyDescent="0.25">
      <c r="A13" s="250" t="s">
        <v>1060</v>
      </c>
      <c r="B13">
        <v>4</v>
      </c>
      <c r="C13" s="251">
        <f>LOOKUP(_T7[[#This Row],[Etiquetas de fila]],'VALORIZACION CARTA'!B:B,'VALORIZACION CARTA'!C:C)</f>
        <v>783.2898275</v>
      </c>
      <c r="D13" s="251">
        <f>SUM(_T7[[#This Row],[Recuento de T7 CODIGO]]*_T7[[#This Row],[VALORIZACION]])</f>
        <v>3133.15931</v>
      </c>
    </row>
    <row r="14" spans="1:4" x14ac:dyDescent="0.25">
      <c r="A14" s="250" t="s">
        <v>1061</v>
      </c>
      <c r="B14">
        <v>1</v>
      </c>
      <c r="C14" s="251">
        <f>LOOKUP(_T7[[#This Row],[Etiquetas de fila]],'VALORIZACION CARTA'!B:B,'VALORIZACION CARTA'!C:C)</f>
        <v>995.18124999999998</v>
      </c>
      <c r="D14" s="251">
        <f>SUM(_T7[[#This Row],[Recuento de T7 CODIGO]]*_T7[[#This Row],[VALORIZACION]])</f>
        <v>995.18124999999998</v>
      </c>
    </row>
    <row r="15" spans="1:4" x14ac:dyDescent="0.25">
      <c r="A15" s="250" t="s">
        <v>903</v>
      </c>
      <c r="B15">
        <v>4</v>
      </c>
      <c r="C15" s="251">
        <f>LOOKUP(_T7[[#This Row],[Etiquetas de fila]],'VALORIZACION CARTA'!B:B,'VALORIZACION CARTA'!C:C)</f>
        <v>2109.2086250000002</v>
      </c>
      <c r="D15" s="251">
        <f>SUM(_T7[[#This Row],[Recuento de T7 CODIGO]]*_T7[[#This Row],[VALORIZACION]])</f>
        <v>8436.8345000000008</v>
      </c>
    </row>
    <row r="16" spans="1:4" x14ac:dyDescent="0.25">
      <c r="A16" s="250" t="s">
        <v>904</v>
      </c>
      <c r="B16">
        <v>6</v>
      </c>
      <c r="C16" s="251">
        <f>LOOKUP(_T7[[#This Row],[Etiquetas de fila]],'VALORIZACION CARTA'!B:B,'VALORIZACION CARTA'!C:C)</f>
        <v>1143.8172</v>
      </c>
      <c r="D16" s="251">
        <f>SUM(_T7[[#This Row],[Recuento de T7 CODIGO]]*_T7[[#This Row],[VALORIZACION]])</f>
        <v>6862.9031999999997</v>
      </c>
    </row>
    <row r="17" spans="1:4" x14ac:dyDescent="0.25">
      <c r="A17" s="250" t="s">
        <v>905</v>
      </c>
      <c r="B17">
        <v>2</v>
      </c>
      <c r="C17" s="251">
        <f>LOOKUP(_T7[[#This Row],[Etiquetas de fila]],'VALORIZACION CARTA'!B:B,'VALORIZACION CARTA'!C:C)</f>
        <v>2403.2813750000005</v>
      </c>
      <c r="D17" s="251">
        <f>SUM(_T7[[#This Row],[Recuento de T7 CODIGO]]*_T7[[#This Row],[VALORIZACION]])</f>
        <v>4806.562750000001</v>
      </c>
    </row>
    <row r="18" spans="1:4" x14ac:dyDescent="0.25">
      <c r="A18" s="250" t="s">
        <v>863</v>
      </c>
      <c r="B18">
        <v>12</v>
      </c>
      <c r="C18" s="251">
        <f>LOOKUP(_T7[[#This Row],[Etiquetas de fila]],'VALORIZACION CARTA'!B:B,'VALORIZACION CARTA'!C:C)</f>
        <v>1472.6250000000002</v>
      </c>
      <c r="D18" s="251">
        <f>SUM(_T7[[#This Row],[Recuento de T7 CODIGO]]*_T7[[#This Row],[VALORIZACION]])</f>
        <v>17671.500000000004</v>
      </c>
    </row>
    <row r="19" spans="1:4" x14ac:dyDescent="0.25">
      <c r="A19" s="250" t="s">
        <v>906</v>
      </c>
      <c r="B19">
        <v>2</v>
      </c>
      <c r="C19" s="251">
        <f>LOOKUP(_T7[[#This Row],[Etiquetas de fila]],'VALORIZACION CARTA'!B:B,'VALORIZACION CARTA'!C:C)</f>
        <v>469.48409666666663</v>
      </c>
      <c r="D19" s="251">
        <f>SUM(_T7[[#This Row],[Recuento de T7 CODIGO]]*_T7[[#This Row],[VALORIZACION]])</f>
        <v>938.96819333333326</v>
      </c>
    </row>
    <row r="20" spans="1:4" x14ac:dyDescent="0.25">
      <c r="A20" s="250" t="s">
        <v>723</v>
      </c>
      <c r="B20">
        <v>1</v>
      </c>
      <c r="C20" s="251">
        <f>LOOKUP(_T7[[#This Row],[Etiquetas de fila]],'VALORIZACION CARTA'!B:B,'VALORIZACION CARTA'!C:C)</f>
        <v>5770.17</v>
      </c>
      <c r="D20" s="251">
        <f>SUM(_T7[[#This Row],[Recuento de T7 CODIGO]]*_T7[[#This Row],[VALORIZACION]])</f>
        <v>5770.17</v>
      </c>
    </row>
    <row r="21" spans="1:4" x14ac:dyDescent="0.25">
      <c r="A21" s="250" t="s">
        <v>606</v>
      </c>
      <c r="B21">
        <v>10</v>
      </c>
      <c r="C21" s="251">
        <f>LOOKUP(_T7[[#This Row],[Etiquetas de fila]],'VALORIZACION CARTA'!B:B,'VALORIZACION CARTA'!C:C)</f>
        <v>452.69583333333333</v>
      </c>
      <c r="D21" s="251">
        <f>SUM(_T7[[#This Row],[Recuento de T7 CODIGO]]*_T7[[#This Row],[VALORIZACION]])</f>
        <v>4526.958333333333</v>
      </c>
    </row>
    <row r="22" spans="1:4" x14ac:dyDescent="0.25">
      <c r="A22" s="250" t="s">
        <v>535</v>
      </c>
      <c r="B22">
        <v>1</v>
      </c>
      <c r="C22" s="251">
        <f>LOOKUP(_T7[[#This Row],[Etiquetas de fila]],'VALORIZACION CARTA'!B:B,'VALORIZACION CARTA'!C:C)</f>
        <v>835.21243500000003</v>
      </c>
      <c r="D22" s="251">
        <f>SUM(_T7[[#This Row],[Recuento de T7 CODIGO]]*_T7[[#This Row],[VALORIZACION]])</f>
        <v>835.21243500000003</v>
      </c>
    </row>
    <row r="23" spans="1:4" x14ac:dyDescent="0.25">
      <c r="A23" s="250" t="s">
        <v>878</v>
      </c>
      <c r="B23">
        <v>1</v>
      </c>
      <c r="C23" s="251">
        <f>LOOKUP(_T7[[#This Row],[Etiquetas de fila]],'VALORIZACION CARTA'!B:B,'VALORIZACION CARTA'!C:C)</f>
        <v>824.44499999999994</v>
      </c>
      <c r="D23" s="251">
        <f>SUM(_T7[[#This Row],[Recuento de T7 CODIGO]]*_T7[[#This Row],[VALORIZACION]])</f>
        <v>824.44499999999994</v>
      </c>
    </row>
    <row r="24" spans="1:4" x14ac:dyDescent="0.25">
      <c r="A24" s="250" t="s">
        <v>1037</v>
      </c>
      <c r="B24">
        <v>1</v>
      </c>
      <c r="C24" s="251">
        <f>LOOKUP(_T7[[#This Row],[Etiquetas de fila]],'VALORIZACION CARTA'!B:B,'VALORIZACION CARTA'!C:C)</f>
        <v>552.1753124999999</v>
      </c>
      <c r="D24" s="251">
        <f>SUM(_T7[[#This Row],[Recuento de T7 CODIGO]]*_T7[[#This Row],[VALORIZACION]])</f>
        <v>552.1753124999999</v>
      </c>
    </row>
    <row r="25" spans="1:4" x14ac:dyDescent="0.25">
      <c r="A25" s="250" t="s">
        <v>888</v>
      </c>
      <c r="B25">
        <v>5</v>
      </c>
      <c r="C25" s="251">
        <f>LOOKUP(_T7[[#This Row],[Etiquetas de fila]],'VALORIZACION CARTA'!B:B,'VALORIZACION CARTA'!C:C)</f>
        <v>536.40037499999994</v>
      </c>
      <c r="D25" s="251">
        <f>SUM(_T7[[#This Row],[Recuento de T7 CODIGO]]*_T7[[#This Row],[VALORIZACION]])</f>
        <v>2682.0018749999999</v>
      </c>
    </row>
    <row r="26" spans="1:4" x14ac:dyDescent="0.25">
      <c r="A26" s="250" t="s">
        <v>652</v>
      </c>
      <c r="B26">
        <v>1</v>
      </c>
      <c r="C26" s="251">
        <f>LOOKUP(_T7[[#This Row],[Etiquetas de fila]],'VALORIZACION CARTA'!B:B,'VALORIZACION CARTA'!C:C)</f>
        <v>380.15381250000002</v>
      </c>
      <c r="D26" s="251">
        <f>SUM(_T7[[#This Row],[Recuento de T7 CODIGO]]*_T7[[#This Row],[VALORIZACION]])</f>
        <v>380.15381250000002</v>
      </c>
    </row>
    <row r="27" spans="1:4" x14ac:dyDescent="0.25">
      <c r="A27" s="250" t="s">
        <v>1067</v>
      </c>
      <c r="B27">
        <v>1</v>
      </c>
      <c r="C27" s="251">
        <f>LOOKUP(_T7[[#This Row],[Etiquetas de fila]],'VALORIZACION CARTA'!B:B,'VALORIZACION CARTA'!C:C)</f>
        <v>1291.4972599999999</v>
      </c>
      <c r="D27" s="251">
        <f>SUM(_T7[[#This Row],[Recuento de T7 CODIGO]]*_T7[[#This Row],[VALORIZACION]])</f>
        <v>1291.4972599999999</v>
      </c>
    </row>
    <row r="28" spans="1:4" x14ac:dyDescent="0.25">
      <c r="A28" s="250" t="s">
        <v>913</v>
      </c>
      <c r="B28">
        <v>3</v>
      </c>
      <c r="C28" s="251">
        <f>LOOKUP(_T7[[#This Row],[Etiquetas de fila]],'VALORIZACION CARTA'!B:B,'VALORIZACION CARTA'!C:C)</f>
        <v>1291.4972599999999</v>
      </c>
      <c r="D28" s="251">
        <f>SUM(_T7[[#This Row],[Recuento de T7 CODIGO]]*_T7[[#This Row],[VALORIZACION]])</f>
        <v>3874.4917799999994</v>
      </c>
    </row>
    <row r="29" spans="1:4" x14ac:dyDescent="0.25">
      <c r="A29" s="250" t="s">
        <v>609</v>
      </c>
      <c r="B29">
        <v>32</v>
      </c>
      <c r="C29" s="251">
        <f>LOOKUP(_T7[[#This Row],[Etiquetas de fila]],'VALORIZACION CARTA'!B:B,'VALORIZACION CARTA'!C:C)</f>
        <v>5020.5566775956286</v>
      </c>
      <c r="D29" s="251">
        <f>SUM(_T7[[#This Row],[Recuento de T7 CODIGO]]*_T7[[#This Row],[VALORIZACION]])</f>
        <v>160657.81368306011</v>
      </c>
    </row>
    <row r="30" spans="1:4" x14ac:dyDescent="0.25">
      <c r="A30" s="250" t="s">
        <v>914</v>
      </c>
      <c r="B30">
        <v>1</v>
      </c>
      <c r="C30" s="251">
        <f>LOOKUP(_T7[[#This Row],[Etiquetas de fila]],'VALORIZACION CARTA'!B:B,'VALORIZACION CARTA'!C:C)</f>
        <v>5020.5566775956286</v>
      </c>
      <c r="D30" s="251">
        <f>SUM(_T7[[#This Row],[Recuento de T7 CODIGO]]*_T7[[#This Row],[VALORIZACION]])</f>
        <v>5020.5566775956286</v>
      </c>
    </row>
    <row r="31" spans="1:4" x14ac:dyDescent="0.25">
      <c r="A31" s="250" t="s">
        <v>876</v>
      </c>
      <c r="B31">
        <v>11</v>
      </c>
      <c r="C31" s="251">
        <f>LOOKUP(_T7[[#This Row],[Etiquetas de fila]],'VALORIZACION CARTA'!B:B,'VALORIZACION CARTA'!C:C)</f>
        <v>5736.3950000000004</v>
      </c>
      <c r="D31" s="251">
        <f>SUM(_T7[[#This Row],[Recuento de T7 CODIGO]]*_T7[[#This Row],[VALORIZACION]])</f>
        <v>63100.345000000001</v>
      </c>
    </row>
    <row r="32" spans="1:4" x14ac:dyDescent="0.25">
      <c r="A32" s="250" t="s">
        <v>916</v>
      </c>
      <c r="B32">
        <v>15</v>
      </c>
      <c r="C32" s="251">
        <f>LOOKUP(_T7[[#This Row],[Etiquetas de fila]],'VALORIZACION CARTA'!B:B,'VALORIZACION CARTA'!C:C)</f>
        <v>3519.4250000000002</v>
      </c>
      <c r="D32" s="251">
        <f>SUM(_T7[[#This Row],[Recuento de T7 CODIGO]]*_T7[[#This Row],[VALORIZACION]])</f>
        <v>52791.375</v>
      </c>
    </row>
    <row r="33" spans="1:4" x14ac:dyDescent="0.25">
      <c r="A33" s="250" t="s">
        <v>917</v>
      </c>
      <c r="B33">
        <v>10</v>
      </c>
      <c r="C33" s="251">
        <f>LOOKUP(_T7[[#This Row],[Etiquetas de fila]],'VALORIZACION CARTA'!B:B,'VALORIZACION CARTA'!C:C)</f>
        <v>2751.875</v>
      </c>
      <c r="D33" s="251">
        <f>SUM(_T7[[#This Row],[Recuento de T7 CODIGO]]*_T7[[#This Row],[VALORIZACION]])</f>
        <v>27518.75</v>
      </c>
    </row>
    <row r="34" spans="1:4" x14ac:dyDescent="0.25">
      <c r="A34" s="250" t="s">
        <v>853</v>
      </c>
      <c r="B34">
        <v>34</v>
      </c>
      <c r="C34" s="251">
        <f>LOOKUP(_T7[[#This Row],[Etiquetas de fila]],'VALORIZACION CARTA'!B:B,'VALORIZACION CARTA'!C:C)</f>
        <v>3628.0124999999998</v>
      </c>
      <c r="D34" s="251">
        <f>SUM(_T7[[#This Row],[Recuento de T7 CODIGO]]*_T7[[#This Row],[VALORIZACION]])</f>
        <v>123352.42499999999</v>
      </c>
    </row>
    <row r="35" spans="1:4" x14ac:dyDescent="0.25">
      <c r="A35" s="250" t="s">
        <v>610</v>
      </c>
      <c r="B35">
        <v>147</v>
      </c>
      <c r="C35" s="251">
        <f>LOOKUP(_T7[[#This Row],[Etiquetas de fila]],'VALORIZACION CARTA'!B:B,'VALORIZACION CARTA'!C:C)</f>
        <v>3943.0650000000001</v>
      </c>
      <c r="D35" s="251">
        <f>SUM(_T7[[#This Row],[Recuento de T7 CODIGO]]*_T7[[#This Row],[VALORIZACION]])</f>
        <v>579630.55500000005</v>
      </c>
    </row>
    <row r="36" spans="1:4" x14ac:dyDescent="0.25">
      <c r="A36" s="250" t="s">
        <v>611</v>
      </c>
      <c r="B36">
        <v>7</v>
      </c>
      <c r="C36" s="251">
        <f>LOOKUP(_T7[[#This Row],[Etiquetas de fila]],'VALORIZACION CARTA'!B:B,'VALORIZACION CARTA'!C:C)</f>
        <v>2932.5</v>
      </c>
      <c r="D36" s="251">
        <f>SUM(_T7[[#This Row],[Recuento de T7 CODIGO]]*_T7[[#This Row],[VALORIZACION]])</f>
        <v>20527.5</v>
      </c>
    </row>
    <row r="37" spans="1:4" x14ac:dyDescent="0.25">
      <c r="A37" s="250" t="s">
        <v>724</v>
      </c>
      <c r="B37">
        <v>26</v>
      </c>
      <c r="C37" s="251">
        <f>LOOKUP(_T7[[#This Row],[Etiquetas de fila]],'VALORIZACION CARTA'!B:B,'VALORIZACION CARTA'!C:C)</f>
        <v>1087.0650000000001</v>
      </c>
      <c r="D37" s="251">
        <f>SUM(_T7[[#This Row],[Recuento de T7 CODIGO]]*_T7[[#This Row],[VALORIZACION]])</f>
        <v>28263.690000000002</v>
      </c>
    </row>
    <row r="38" spans="1:4" x14ac:dyDescent="0.25">
      <c r="A38" s="250" t="s">
        <v>892</v>
      </c>
      <c r="B38">
        <v>22</v>
      </c>
      <c r="C38" s="251">
        <f>LOOKUP(_T7[[#This Row],[Etiquetas de fila]],'VALORIZACION CARTA'!B:B,'VALORIZACION CARTA'!C:C)</f>
        <v>1087.0650000000001</v>
      </c>
      <c r="D38" s="251">
        <f>SUM(_T7[[#This Row],[Recuento de T7 CODIGO]]*_T7[[#This Row],[VALORIZACION]])</f>
        <v>23915.43</v>
      </c>
    </row>
    <row r="39" spans="1:4" x14ac:dyDescent="0.25">
      <c r="A39" s="250" t="s">
        <v>870</v>
      </c>
      <c r="B39">
        <v>1</v>
      </c>
      <c r="C39" s="251">
        <f>LOOKUP(_T7[[#This Row],[Etiquetas de fila]],'VALORIZACION CARTA'!B:B,'VALORIZACION CARTA'!C:C)</f>
        <v>1151.1932600000002</v>
      </c>
      <c r="D39" s="251">
        <f>SUM(_T7[[#This Row],[Recuento de T7 CODIGO]]*_T7[[#This Row],[VALORIZACION]])</f>
        <v>1151.1932600000002</v>
      </c>
    </row>
    <row r="40" spans="1:4" x14ac:dyDescent="0.25">
      <c r="A40" s="250" t="s">
        <v>841</v>
      </c>
      <c r="B40">
        <v>21</v>
      </c>
      <c r="C40" s="251">
        <f>LOOKUP(_T7[[#This Row],[Etiquetas de fila]],'VALORIZACION CARTA'!B:B,'VALORIZACION CARTA'!C:C)</f>
        <v>664.35</v>
      </c>
      <c r="D40" s="251">
        <f>SUM(_T7[[#This Row],[Recuento de T7 CODIGO]]*_T7[[#This Row],[VALORIZACION]])</f>
        <v>13951.35</v>
      </c>
    </row>
    <row r="41" spans="1:4" x14ac:dyDescent="0.25">
      <c r="A41" s="250" t="s">
        <v>869</v>
      </c>
      <c r="B41">
        <v>38</v>
      </c>
      <c r="C41" s="251">
        <f>LOOKUP(_T7[[#This Row],[Etiquetas de fila]],'VALORIZACION CARTA'!B:B,'VALORIZACION CARTA'!C:C)</f>
        <v>664.24679999999989</v>
      </c>
      <c r="D41" s="251">
        <f>SUM(_T7[[#This Row],[Recuento de T7 CODIGO]]*_T7[[#This Row],[VALORIZACION]])</f>
        <v>25241.378399999994</v>
      </c>
    </row>
    <row r="42" spans="1:4" x14ac:dyDescent="0.25">
      <c r="A42" s="250" t="s">
        <v>316</v>
      </c>
      <c r="B42">
        <v>77</v>
      </c>
      <c r="C42" s="251">
        <f>LOOKUP(_T7[[#This Row],[Etiquetas de fila]],'VALORIZACION CARTA'!B:B,'VALORIZACION CARTA'!C:C)</f>
        <v>664.24679999999989</v>
      </c>
      <c r="D42" s="251">
        <f>SUM(_T7[[#This Row],[Recuento de T7 CODIGO]]*_T7[[#This Row],[VALORIZACION]])</f>
        <v>51147.003599999989</v>
      </c>
    </row>
    <row r="43" spans="1:4" x14ac:dyDescent="0.25">
      <c r="A43" s="250" t="s">
        <v>859</v>
      </c>
      <c r="B43">
        <v>16</v>
      </c>
      <c r="C43" s="251">
        <f>LOOKUP(_T7[[#This Row],[Etiquetas de fila]],'VALORIZACION CARTA'!B:B,'VALORIZACION CARTA'!C:C)</f>
        <v>855.13499999999999</v>
      </c>
      <c r="D43" s="251">
        <f>SUM(_T7[[#This Row],[Recuento de T7 CODIGO]]*_T7[[#This Row],[VALORIZACION]])</f>
        <v>13682.16</v>
      </c>
    </row>
    <row r="44" spans="1:4" x14ac:dyDescent="0.25">
      <c r="A44" s="250" t="s">
        <v>886</v>
      </c>
      <c r="B44">
        <v>9</v>
      </c>
      <c r="C44" s="251">
        <f>LOOKUP(_T7[[#This Row],[Etiquetas de fila]],'VALORIZACION CARTA'!B:B,'VALORIZACION CARTA'!C:C)</f>
        <v>855.13499999999999</v>
      </c>
      <c r="D44" s="251">
        <f>SUM(_T7[[#This Row],[Recuento de T7 CODIGO]]*_T7[[#This Row],[VALORIZACION]])</f>
        <v>7696.2150000000001</v>
      </c>
    </row>
    <row r="45" spans="1:4" x14ac:dyDescent="0.25">
      <c r="A45" s="250" t="s">
        <v>882</v>
      </c>
      <c r="B45">
        <v>16</v>
      </c>
      <c r="C45" s="251">
        <f>LOOKUP(_T7[[#This Row],[Etiquetas de fila]],'VALORIZACION CARTA'!B:B,'VALORIZACION CARTA'!C:C)</f>
        <v>855.13499999999999</v>
      </c>
      <c r="D45" s="251">
        <f>SUM(_T7[[#This Row],[Recuento de T7 CODIGO]]*_T7[[#This Row],[VALORIZACION]])</f>
        <v>13682.16</v>
      </c>
    </row>
    <row r="46" spans="1:4" x14ac:dyDescent="0.25">
      <c r="A46" s="250" t="s">
        <v>921</v>
      </c>
      <c r="B46">
        <v>18</v>
      </c>
      <c r="C46" s="251">
        <f>LOOKUP(_T7[[#This Row],[Etiquetas de fila]],'VALORIZACION CARTA'!B:B,'VALORIZACION CARTA'!C:C)</f>
        <v>427.84008749999998</v>
      </c>
      <c r="D46" s="251">
        <f>SUM(_T7[[#This Row],[Recuento de T7 CODIGO]]*_T7[[#This Row],[VALORIZACION]])</f>
        <v>7701.1215749999992</v>
      </c>
    </row>
    <row r="47" spans="1:4" x14ac:dyDescent="0.25">
      <c r="A47" s="250" t="s">
        <v>843</v>
      </c>
      <c r="B47">
        <v>24</v>
      </c>
      <c r="C47" s="251">
        <f>LOOKUP(_T7[[#This Row],[Etiquetas de fila]],'VALORIZACION CARTA'!B:B,'VALORIZACION CARTA'!C:C)</f>
        <v>2207.8986885245899</v>
      </c>
      <c r="D47" s="251">
        <f>SUM(_T7[[#This Row],[Recuento de T7 CODIGO]]*_T7[[#This Row],[VALORIZACION]])</f>
        <v>52989.568524590155</v>
      </c>
    </row>
    <row r="48" spans="1:4" x14ac:dyDescent="0.25">
      <c r="A48" s="250" t="s">
        <v>923</v>
      </c>
      <c r="B48">
        <v>1</v>
      </c>
      <c r="C48" s="251">
        <f>LOOKUP(_T7[[#This Row],[Etiquetas de fila]],'VALORIZACION CARTA'!B:B,'VALORIZACION CARTA'!C:C)</f>
        <v>940.42529999999999</v>
      </c>
      <c r="D48" s="251">
        <f>SUM(_T7[[#This Row],[Recuento de T7 CODIGO]]*_T7[[#This Row],[VALORIZACION]])</f>
        <v>940.42529999999999</v>
      </c>
    </row>
    <row r="49" spans="1:4" x14ac:dyDescent="0.25">
      <c r="A49" s="250" t="s">
        <v>1073</v>
      </c>
      <c r="B49">
        <v>1</v>
      </c>
      <c r="C49" s="251">
        <f>LOOKUP(_T7[[#This Row],[Etiquetas de fila]],'VALORIZACION CARTA'!B:B,'VALORIZACION CARTA'!C:C)</f>
        <v>658.44</v>
      </c>
      <c r="D49" s="251">
        <f>SUM(_T7[[#This Row],[Recuento de T7 CODIGO]]*_T7[[#This Row],[VALORIZACION]])</f>
        <v>658.44</v>
      </c>
    </row>
    <row r="50" spans="1:4" x14ac:dyDescent="0.25">
      <c r="A50" s="250" t="s">
        <v>532</v>
      </c>
      <c r="B50">
        <v>6</v>
      </c>
      <c r="C50" s="251">
        <f>LOOKUP(_T7[[#This Row],[Etiquetas de fila]],'VALORIZACION CARTA'!B:B,'VALORIZACION CARTA'!C:C)</f>
        <v>2751.875</v>
      </c>
      <c r="D50" s="251">
        <f>SUM(_T7[[#This Row],[Recuento de T7 CODIGO]]*_T7[[#This Row],[VALORIZACION]])</f>
        <v>16511.25</v>
      </c>
    </row>
    <row r="51" spans="1:4" x14ac:dyDescent="0.25">
      <c r="A51" s="250" t="s">
        <v>612</v>
      </c>
      <c r="B51">
        <v>1</v>
      </c>
      <c r="C51" s="251">
        <f>LOOKUP(_T7[[#This Row],[Etiquetas de fila]],'VALORIZACION CARTA'!B:B,'VALORIZACION CARTA'!C:C)</f>
        <v>2751.875</v>
      </c>
      <c r="D51" s="251">
        <f>SUM(_T7[[#This Row],[Recuento de T7 CODIGO]]*_T7[[#This Row],[VALORIZACION]])</f>
        <v>2751.875</v>
      </c>
    </row>
    <row r="52" spans="1:4" x14ac:dyDescent="0.25">
      <c r="A52" s="250" t="s">
        <v>524</v>
      </c>
      <c r="B52">
        <v>8</v>
      </c>
      <c r="C52" s="251">
        <f>LOOKUP(_T7[[#This Row],[Etiquetas de fila]],'VALORIZACION CARTA'!B:B,'VALORIZACION CARTA'!C:C)</f>
        <v>3717.6790000000005</v>
      </c>
      <c r="D52" s="251">
        <f>SUM(_T7[[#This Row],[Recuento de T7 CODIGO]]*_T7[[#This Row],[VALORIZACION]])</f>
        <v>29741.432000000004</v>
      </c>
    </row>
    <row r="53" spans="1:4" x14ac:dyDescent="0.25">
      <c r="A53" s="250" t="s">
        <v>665</v>
      </c>
      <c r="B53">
        <v>1</v>
      </c>
      <c r="C53" s="251">
        <f>LOOKUP(_T7[[#This Row],[Etiquetas de fila]],'VALORIZACION CARTA'!B:B,'VALORIZACION CARTA'!C:C)</f>
        <v>3641.1716333333334</v>
      </c>
      <c r="D53" s="251">
        <f>SUM(_T7[[#This Row],[Recuento de T7 CODIGO]]*_T7[[#This Row],[VALORIZACION]])</f>
        <v>3641.1716333333334</v>
      </c>
    </row>
    <row r="54" spans="1:4" x14ac:dyDescent="0.25">
      <c r="A54" s="250" t="s">
        <v>527</v>
      </c>
      <c r="B54">
        <v>1</v>
      </c>
      <c r="C54" s="251">
        <f>LOOKUP(_T7[[#This Row],[Etiquetas de fila]],'VALORIZACION CARTA'!B:B,'VALORIZACION CARTA'!C:C)</f>
        <v>4426.8</v>
      </c>
      <c r="D54" s="251">
        <f>SUM(_T7[[#This Row],[Recuento de T7 CODIGO]]*_T7[[#This Row],[VALORIZACION]])</f>
        <v>4426.8</v>
      </c>
    </row>
    <row r="55" spans="1:4" x14ac:dyDescent="0.25">
      <c r="A55" s="250" t="s">
        <v>542</v>
      </c>
      <c r="B55">
        <v>1</v>
      </c>
      <c r="C55" s="251">
        <f>LOOKUP(_T7[[#This Row],[Etiquetas de fila]],'VALORIZACION CARTA'!B:B,'VALORIZACION CARTA'!C:C)</f>
        <v>7062.8060655737709</v>
      </c>
      <c r="D55" s="251">
        <f>SUM(_T7[[#This Row],[Recuento de T7 CODIGO]]*_T7[[#This Row],[VALORIZACION]])</f>
        <v>7062.8060655737709</v>
      </c>
    </row>
    <row r="56" spans="1:4" x14ac:dyDescent="0.25">
      <c r="A56" s="250" t="s">
        <v>544</v>
      </c>
      <c r="B56">
        <v>3</v>
      </c>
      <c r="C56" s="251">
        <f>LOOKUP(_T7[[#This Row],[Etiquetas de fila]],'VALORIZACION CARTA'!B:B,'VALORIZACION CARTA'!C:C)</f>
        <v>3146.3599999999997</v>
      </c>
      <c r="D56" s="251">
        <f>SUM(_T7[[#This Row],[Recuento de T7 CODIGO]]*_T7[[#This Row],[VALORIZACION]])</f>
        <v>9439.0799999999981</v>
      </c>
    </row>
    <row r="57" spans="1:4" x14ac:dyDescent="0.25">
      <c r="A57" s="250" t="s">
        <v>506</v>
      </c>
      <c r="B57">
        <v>1</v>
      </c>
      <c r="C57" s="251">
        <f>LOOKUP(_T7[[#This Row],[Etiquetas de fila]],'VALORIZACION CARTA'!B:B,'VALORIZACION CARTA'!C:C)</f>
        <v>5675.4885468749999</v>
      </c>
      <c r="D57" s="251">
        <f>SUM(_T7[[#This Row],[Recuento de T7 CODIGO]]*_T7[[#This Row],[VALORIZACION]])</f>
        <v>5675.4885468749999</v>
      </c>
    </row>
    <row r="58" spans="1:4" x14ac:dyDescent="0.25">
      <c r="A58" s="250" t="s">
        <v>504</v>
      </c>
      <c r="B58">
        <v>1</v>
      </c>
      <c r="C58" s="251">
        <f>LOOKUP(_T7[[#This Row],[Etiquetas de fila]],'VALORIZACION CARTA'!B:B,'VALORIZACION CARTA'!C:C)</f>
        <v>5797.9004999999997</v>
      </c>
      <c r="D58" s="251">
        <f>SUM(_T7[[#This Row],[Recuento de T7 CODIGO]]*_T7[[#This Row],[VALORIZACION]])</f>
        <v>5797.9004999999997</v>
      </c>
    </row>
    <row r="59" spans="1:4" x14ac:dyDescent="0.25">
      <c r="A59" s="250" t="s">
        <v>667</v>
      </c>
      <c r="B59">
        <v>1</v>
      </c>
      <c r="C59" s="251">
        <f>LOOKUP(_T7[[#This Row],[Etiquetas de fila]],'VALORIZACION CARTA'!B:B,'VALORIZACION CARTA'!C:C)</f>
        <v>2347.2574999999997</v>
      </c>
      <c r="D59" s="251">
        <f>SUM(_T7[[#This Row],[Recuento de T7 CODIGO]]*_T7[[#This Row],[VALORIZACION]])</f>
        <v>2347.2574999999997</v>
      </c>
    </row>
    <row r="60" spans="1:4" x14ac:dyDescent="0.25">
      <c r="A60" s="250" t="s">
        <v>670</v>
      </c>
      <c r="B60">
        <v>1</v>
      </c>
      <c r="C60" s="251">
        <f>LOOKUP(_T7[[#This Row],[Etiquetas de fila]],'VALORIZACION CARTA'!B:B,'VALORIZACION CARTA'!C:C)</f>
        <v>5106.5339039999999</v>
      </c>
      <c r="D60" s="251">
        <f>SUM(_T7[[#This Row],[Recuento de T7 CODIGO]]*_T7[[#This Row],[VALORIZACION]])</f>
        <v>5106.5339039999999</v>
      </c>
    </row>
    <row r="61" spans="1:4" x14ac:dyDescent="0.25">
      <c r="A61" s="250" t="s">
        <v>616</v>
      </c>
      <c r="B61">
        <v>1</v>
      </c>
      <c r="C61" s="251">
        <f>LOOKUP(_T7[[#This Row],[Etiquetas de fila]],'VALORIZACION CARTA'!B:B,'VALORIZACION CARTA'!C:C)</f>
        <v>1744.7482500000001</v>
      </c>
      <c r="D61" s="251">
        <f>SUM(_T7[[#This Row],[Recuento de T7 CODIGO]]*_T7[[#This Row],[VALORIZACION]])</f>
        <v>1744.7482500000001</v>
      </c>
    </row>
    <row r="62" spans="1:4" x14ac:dyDescent="0.25">
      <c r="A62" s="250" t="s">
        <v>477</v>
      </c>
      <c r="B62">
        <v>1</v>
      </c>
      <c r="C62" s="251">
        <f>LOOKUP(_T7[[#This Row],[Etiquetas de fila]],'VALORIZACION CARTA'!B:B,'VALORIZACION CARTA'!C:C)</f>
        <v>5130.8099999999995</v>
      </c>
      <c r="D62" s="251">
        <f>SUM(_T7[[#This Row],[Recuento de T7 CODIGO]]*_T7[[#This Row],[VALORIZACION]])</f>
        <v>5130.8099999999995</v>
      </c>
    </row>
    <row r="63" spans="1:4" x14ac:dyDescent="0.25">
      <c r="A63" s="250" t="s">
        <v>526</v>
      </c>
      <c r="B63">
        <v>1</v>
      </c>
      <c r="C63" s="251">
        <f>LOOKUP(_T7[[#This Row],[Etiquetas de fila]],'VALORIZACION CARTA'!B:B,'VALORIZACION CARTA'!C:C)</f>
        <v>4263.1154999999999</v>
      </c>
      <c r="D63" s="251">
        <f>SUM(_T7[[#This Row],[Recuento de T7 CODIGO]]*_T7[[#This Row],[VALORIZACION]])</f>
        <v>4263.1154999999999</v>
      </c>
    </row>
    <row r="64" spans="1:4" x14ac:dyDescent="0.25">
      <c r="A64" s="250" t="s">
        <v>927</v>
      </c>
      <c r="B64">
        <v>45</v>
      </c>
      <c r="C64" s="251">
        <f>LOOKUP(_T7[[#This Row],[Etiquetas de fila]],'VALORIZACION CARTA'!B:B,'VALORIZACION CARTA'!C:C)</f>
        <v>573.38798125000005</v>
      </c>
      <c r="D64" s="251">
        <f>SUM(_T7[[#This Row],[Recuento de T7 CODIGO]]*_T7[[#This Row],[VALORIZACION]])</f>
        <v>25802.459156250003</v>
      </c>
    </row>
    <row r="65" spans="1:4" x14ac:dyDescent="0.25">
      <c r="A65" s="250" t="s">
        <v>617</v>
      </c>
      <c r="B65">
        <v>4</v>
      </c>
      <c r="C65" s="251">
        <f>LOOKUP(_T7[[#This Row],[Etiquetas de fila]],'VALORIZACION CARTA'!B:B,'VALORIZACION CARTA'!C:C)</f>
        <v>529.87860624999996</v>
      </c>
      <c r="D65" s="251">
        <f>SUM(_T7[[#This Row],[Recuento de T7 CODIGO]]*_T7[[#This Row],[VALORIZACION]])</f>
        <v>2119.5144249999998</v>
      </c>
    </row>
    <row r="66" spans="1:4" x14ac:dyDescent="0.25">
      <c r="A66" s="250" t="s">
        <v>928</v>
      </c>
      <c r="B66">
        <v>4</v>
      </c>
      <c r="C66" s="251">
        <f>LOOKUP(_T7[[#This Row],[Etiquetas de fila]],'VALORIZACION CARTA'!B:B,'VALORIZACION CARTA'!C:C)</f>
        <v>591.68423125000004</v>
      </c>
      <c r="D66" s="251">
        <f>SUM(_T7[[#This Row],[Recuento de T7 CODIGO]]*_T7[[#This Row],[VALORIZACION]])</f>
        <v>2366.7369250000002</v>
      </c>
    </row>
    <row r="67" spans="1:4" x14ac:dyDescent="0.25">
      <c r="A67" s="250" t="s">
        <v>548</v>
      </c>
      <c r="B67">
        <v>3</v>
      </c>
      <c r="C67" s="251">
        <f>LOOKUP(_T7[[#This Row],[Etiquetas de fila]],'VALORIZACION CARTA'!B:B,'VALORIZACION CARTA'!C:C)</f>
        <v>1995.91520625</v>
      </c>
      <c r="D67" s="251">
        <f>SUM(_T7[[#This Row],[Recuento de T7 CODIGO]]*_T7[[#This Row],[VALORIZACION]])</f>
        <v>5987.7456187500002</v>
      </c>
    </row>
    <row r="68" spans="1:4" x14ac:dyDescent="0.25">
      <c r="A68" s="250" t="s">
        <v>873</v>
      </c>
      <c r="B68">
        <v>28</v>
      </c>
      <c r="C68" s="251">
        <f>LOOKUP(_T7[[#This Row],[Etiquetas de fila]],'VALORIZACION CARTA'!B:B,'VALORIZACION CARTA'!C:C)</f>
        <v>3667.1136333333334</v>
      </c>
      <c r="D68" s="251">
        <f>SUM(_T7[[#This Row],[Recuento de T7 CODIGO]]*_T7[[#This Row],[VALORIZACION]])</f>
        <v>102679.18173333333</v>
      </c>
    </row>
    <row r="69" spans="1:4" x14ac:dyDescent="0.25">
      <c r="A69" s="250" t="s">
        <v>872</v>
      </c>
      <c r="B69">
        <v>16</v>
      </c>
      <c r="C69" s="251">
        <f>LOOKUP(_T7[[#This Row],[Etiquetas de fila]],'VALORIZACION CARTA'!B:B,'VALORIZACION CARTA'!C:C)</f>
        <v>4426.8</v>
      </c>
      <c r="D69" s="251">
        <f>SUM(_T7[[#This Row],[Recuento de T7 CODIGO]]*_T7[[#This Row],[VALORIZACION]])</f>
        <v>70828.800000000003</v>
      </c>
    </row>
    <row r="70" spans="1:4" x14ac:dyDescent="0.25">
      <c r="A70" s="250" t="s">
        <v>896</v>
      </c>
      <c r="B70">
        <v>4</v>
      </c>
      <c r="C70" s="251">
        <f>LOOKUP(_T7[[#This Row],[Etiquetas de fila]],'VALORIZACION CARTA'!B:B,'VALORIZACION CARTA'!C:C)</f>
        <v>3675.8249999999998</v>
      </c>
      <c r="D70" s="251">
        <f>SUM(_T7[[#This Row],[Recuento de T7 CODIGO]]*_T7[[#This Row],[VALORIZACION]])</f>
        <v>14703.3</v>
      </c>
    </row>
    <row r="71" spans="1:4" x14ac:dyDescent="0.25">
      <c r="A71" s="250" t="s">
        <v>930</v>
      </c>
      <c r="B71">
        <v>3</v>
      </c>
      <c r="C71" s="251">
        <f>LOOKUP(_T7[[#This Row],[Etiquetas de fila]],'VALORIZACION CARTA'!B:B,'VALORIZACION CARTA'!C:C)</f>
        <v>745.45679833333338</v>
      </c>
      <c r="D71" s="251">
        <f>SUM(_T7[[#This Row],[Recuento de T7 CODIGO]]*_T7[[#This Row],[VALORIZACION]])</f>
        <v>2236.3703949999999</v>
      </c>
    </row>
    <row r="72" spans="1:4" x14ac:dyDescent="0.25">
      <c r="A72" s="250" t="s">
        <v>1068</v>
      </c>
      <c r="B72">
        <v>1</v>
      </c>
      <c r="C72" s="251">
        <f>LOOKUP(_T7[[#This Row],[Etiquetas de fila]],'VALORIZACION CARTA'!B:B,'VALORIZACION CARTA'!C:C)</f>
        <v>745.45679833333338</v>
      </c>
      <c r="D72" s="251">
        <f>SUM(_T7[[#This Row],[Recuento de T7 CODIGO]]*_T7[[#This Row],[VALORIZACION]])</f>
        <v>745.45679833333338</v>
      </c>
    </row>
    <row r="73" spans="1:4" x14ac:dyDescent="0.25">
      <c r="A73" s="250" t="s">
        <v>707</v>
      </c>
      <c r="B73">
        <v>3</v>
      </c>
      <c r="C73" s="251">
        <f>LOOKUP(_T7[[#This Row],[Etiquetas de fila]],'VALORIZACION CARTA'!B:B,'VALORIZACION CARTA'!C:C)</f>
        <v>745.45679833333338</v>
      </c>
      <c r="D73" s="251">
        <f>SUM(_T7[[#This Row],[Recuento de T7 CODIGO]]*_T7[[#This Row],[VALORIZACION]])</f>
        <v>2236.3703949999999</v>
      </c>
    </row>
    <row r="74" spans="1:4" x14ac:dyDescent="0.25">
      <c r="A74" s="250" t="s">
        <v>708</v>
      </c>
      <c r="B74">
        <v>2</v>
      </c>
      <c r="C74" s="251">
        <f>LOOKUP(_T7[[#This Row],[Etiquetas de fila]],'VALORIZACION CARTA'!B:B,'VALORIZACION CARTA'!C:C)</f>
        <v>745.45679833333338</v>
      </c>
      <c r="D74" s="251">
        <f>SUM(_T7[[#This Row],[Recuento de T7 CODIGO]]*_T7[[#This Row],[VALORIZACION]])</f>
        <v>1490.9135966666668</v>
      </c>
    </row>
    <row r="75" spans="1:4" x14ac:dyDescent="0.25">
      <c r="A75" s="250" t="s">
        <v>621</v>
      </c>
      <c r="B75">
        <v>6</v>
      </c>
      <c r="C75" s="251">
        <f>LOOKUP(_T7[[#This Row],[Etiquetas de fila]],'VALORIZACION CARTA'!B:B,'VALORIZACION CARTA'!C:C)</f>
        <v>745.45679833333338</v>
      </c>
      <c r="D75" s="251">
        <f>SUM(_T7[[#This Row],[Recuento de T7 CODIGO]]*_T7[[#This Row],[VALORIZACION]])</f>
        <v>4472.7407899999998</v>
      </c>
    </row>
    <row r="76" spans="1:4" x14ac:dyDescent="0.25">
      <c r="A76" s="250" t="s">
        <v>931</v>
      </c>
      <c r="B76">
        <v>3</v>
      </c>
      <c r="C76" s="251">
        <f>LOOKUP(_T7[[#This Row],[Etiquetas de fila]],'VALORIZACION CARTA'!B:B,'VALORIZACION CARTA'!C:C)</f>
        <v>745.45679833333338</v>
      </c>
      <c r="D76" s="251">
        <f>SUM(_T7[[#This Row],[Recuento de T7 CODIGO]]*_T7[[#This Row],[VALORIZACION]])</f>
        <v>2236.3703949999999</v>
      </c>
    </row>
    <row r="77" spans="1:4" x14ac:dyDescent="0.25">
      <c r="A77" s="250" t="s">
        <v>932</v>
      </c>
      <c r="B77">
        <v>1</v>
      </c>
      <c r="C77" s="251">
        <f>LOOKUP(_T7[[#This Row],[Etiquetas de fila]],'VALORIZACION CARTA'!B:B,'VALORIZACION CARTA'!C:C)</f>
        <v>745.45679833333338</v>
      </c>
      <c r="D77" s="251">
        <f>SUM(_T7[[#This Row],[Recuento de T7 CODIGO]]*_T7[[#This Row],[VALORIZACION]])</f>
        <v>745.45679833333338</v>
      </c>
    </row>
    <row r="78" spans="1:4" x14ac:dyDescent="0.25">
      <c r="A78" s="250" t="s">
        <v>620</v>
      </c>
      <c r="B78">
        <v>5</v>
      </c>
      <c r="C78" s="251">
        <f>LOOKUP(_T7[[#This Row],[Etiquetas de fila]],'VALORIZACION CARTA'!B:B,'VALORIZACION CARTA'!C:C)</f>
        <v>745.45679833333338</v>
      </c>
      <c r="D78" s="251">
        <f>SUM(_T7[[#This Row],[Recuento de T7 CODIGO]]*_T7[[#This Row],[VALORIZACION]])</f>
        <v>3727.2839916666671</v>
      </c>
    </row>
    <row r="79" spans="1:4" x14ac:dyDescent="0.25">
      <c r="A79" s="250" t="s">
        <v>1074</v>
      </c>
      <c r="B79">
        <v>3</v>
      </c>
      <c r="C79" s="251">
        <f>LOOKUP(_T7[[#This Row],[Etiquetas de fila]],'VALORIZACION CARTA'!B:B,'VALORIZACION CARTA'!C:C)</f>
        <v>745.45679833333338</v>
      </c>
      <c r="D79" s="251">
        <f>SUM(_T7[[#This Row],[Recuento de T7 CODIGO]]*_T7[[#This Row],[VALORIZACION]])</f>
        <v>2236.3703949999999</v>
      </c>
    </row>
    <row r="80" spans="1:4" x14ac:dyDescent="0.25">
      <c r="A80" s="250" t="s">
        <v>718</v>
      </c>
      <c r="B80">
        <v>4</v>
      </c>
      <c r="C80" s="251">
        <f>LOOKUP(_T7[[#This Row],[Etiquetas de fila]],'VALORIZACION CARTA'!B:B,'VALORIZACION CARTA'!C:C)</f>
        <v>745.45679833333338</v>
      </c>
      <c r="D80" s="251">
        <f>SUM(_T7[[#This Row],[Recuento de T7 CODIGO]]*_T7[[#This Row],[VALORIZACION]])</f>
        <v>2981.8271933333335</v>
      </c>
    </row>
    <row r="81" spans="1:4" x14ac:dyDescent="0.25">
      <c r="A81" s="250" t="s">
        <v>618</v>
      </c>
      <c r="B81">
        <v>5</v>
      </c>
      <c r="C81" s="251">
        <f>LOOKUP(_T7[[#This Row],[Etiquetas de fila]],'VALORIZACION CARTA'!B:B,'VALORIZACION CARTA'!C:C)</f>
        <v>745.45679833333338</v>
      </c>
      <c r="D81" s="251">
        <f>SUM(_T7[[#This Row],[Recuento de T7 CODIGO]]*_T7[[#This Row],[VALORIZACION]])</f>
        <v>3727.2839916666671</v>
      </c>
    </row>
    <row r="82" spans="1:4" x14ac:dyDescent="0.25">
      <c r="A82" s="250" t="s">
        <v>933</v>
      </c>
      <c r="B82">
        <v>2</v>
      </c>
      <c r="C82" s="251">
        <f>LOOKUP(_T7[[#This Row],[Etiquetas de fila]],'VALORIZACION CARTA'!B:B,'VALORIZACION CARTA'!C:C)</f>
        <v>745.45679833333338</v>
      </c>
      <c r="D82" s="251">
        <f>SUM(_T7[[#This Row],[Recuento de T7 CODIGO]]*_T7[[#This Row],[VALORIZACION]])</f>
        <v>1490.9135966666668</v>
      </c>
    </row>
    <row r="83" spans="1:4" x14ac:dyDescent="0.25">
      <c r="A83" s="250" t="s">
        <v>934</v>
      </c>
      <c r="B83">
        <v>2</v>
      </c>
      <c r="C83" s="251">
        <f>LOOKUP(_T7[[#This Row],[Etiquetas de fila]],'VALORIZACION CARTA'!B:B,'VALORIZACION CARTA'!C:C)</f>
        <v>745.45679833333338</v>
      </c>
      <c r="D83" s="251">
        <f>SUM(_T7[[#This Row],[Recuento de T7 CODIGO]]*_T7[[#This Row],[VALORIZACION]])</f>
        <v>1490.9135966666668</v>
      </c>
    </row>
    <row r="84" spans="1:4" x14ac:dyDescent="0.25">
      <c r="A84" s="250" t="s">
        <v>935</v>
      </c>
      <c r="B84">
        <v>9</v>
      </c>
      <c r="C84" s="251">
        <f>LOOKUP(_T7[[#This Row],[Etiquetas de fila]],'VALORIZACION CARTA'!B:B,'VALORIZACION CARTA'!C:C)</f>
        <v>745.45679833333338</v>
      </c>
      <c r="D84" s="251">
        <f>SUM(_T7[[#This Row],[Recuento de T7 CODIGO]]*_T7[[#This Row],[VALORIZACION]])</f>
        <v>6709.1111850000007</v>
      </c>
    </row>
    <row r="85" spans="1:4" x14ac:dyDescent="0.25">
      <c r="A85" s="250" t="s">
        <v>936</v>
      </c>
      <c r="B85">
        <v>5</v>
      </c>
      <c r="C85" s="251">
        <f>LOOKUP(_T7[[#This Row],[Etiquetas de fila]],'VALORIZACION CARTA'!B:B,'VALORIZACION CARTA'!C:C)</f>
        <v>704.62379999999996</v>
      </c>
      <c r="D85" s="251">
        <f>SUM(_T7[[#This Row],[Recuento de T7 CODIGO]]*_T7[[#This Row],[VALORIZACION]])</f>
        <v>3523.1189999999997</v>
      </c>
    </row>
    <row r="86" spans="1:4" x14ac:dyDescent="0.25">
      <c r="A86" s="250" t="s">
        <v>938</v>
      </c>
      <c r="B86">
        <v>1</v>
      </c>
      <c r="C86" s="251">
        <f>LOOKUP(_T7[[#This Row],[Etiquetas de fila]],'VALORIZACION CARTA'!B:B,'VALORIZACION CARTA'!C:C)</f>
        <v>661.29699999999991</v>
      </c>
      <c r="D86" s="251">
        <f>SUM(_T7[[#This Row],[Recuento de T7 CODIGO]]*_T7[[#This Row],[VALORIZACION]])</f>
        <v>661.29699999999991</v>
      </c>
    </row>
    <row r="87" spans="1:4" x14ac:dyDescent="0.25">
      <c r="A87" s="250" t="s">
        <v>834</v>
      </c>
      <c r="B87">
        <v>14</v>
      </c>
      <c r="C87" s="251">
        <f>LOOKUP(_T7[[#This Row],[Etiquetas de fila]],'VALORIZACION CARTA'!B:B,'VALORIZACION CARTA'!C:C)</f>
        <v>7062.8060655737709</v>
      </c>
      <c r="D87" s="251">
        <f>SUM(_T7[[#This Row],[Recuento de T7 CODIGO]]*_T7[[#This Row],[VALORIZACION]])</f>
        <v>98879.28491803279</v>
      </c>
    </row>
    <row r="88" spans="1:4" x14ac:dyDescent="0.25">
      <c r="A88" s="250" t="s">
        <v>893</v>
      </c>
      <c r="B88">
        <v>8</v>
      </c>
      <c r="C88" s="251">
        <f>LOOKUP(_T7[[#This Row],[Etiquetas de fila]],'VALORIZACION CARTA'!B:B,'VALORIZACION CARTA'!C:C)</f>
        <v>2050.8890333333334</v>
      </c>
      <c r="D88" s="251">
        <f>SUM(_T7[[#This Row],[Recuento de T7 CODIGO]]*_T7[[#This Row],[VALORIZACION]])</f>
        <v>16407.112266666667</v>
      </c>
    </row>
    <row r="89" spans="1:4" x14ac:dyDescent="0.25">
      <c r="A89" s="250" t="s">
        <v>940</v>
      </c>
      <c r="B89">
        <v>2</v>
      </c>
      <c r="C89" s="251">
        <f>LOOKUP(_T7[[#This Row],[Etiquetas de fila]],'VALORIZACION CARTA'!B:B,'VALORIZACION CARTA'!C:C)</f>
        <v>638.72610374999999</v>
      </c>
      <c r="D89" s="251">
        <f>SUM(_T7[[#This Row],[Recuento de T7 CODIGO]]*_T7[[#This Row],[VALORIZACION]])</f>
        <v>1277.4522075</v>
      </c>
    </row>
    <row r="90" spans="1:4" x14ac:dyDescent="0.25">
      <c r="A90" s="250" t="s">
        <v>1042</v>
      </c>
      <c r="B90">
        <v>7</v>
      </c>
      <c r="C90" s="251">
        <f>LOOKUP(_T7[[#This Row],[Etiquetas de fila]],'VALORIZACION CARTA'!B:B,'VALORIZACION CARTA'!C:C)</f>
        <v>638.72610374999999</v>
      </c>
      <c r="D90" s="251">
        <f>SUM(_T7[[#This Row],[Recuento de T7 CODIGO]]*_T7[[#This Row],[VALORIZACION]])</f>
        <v>4471.0827262499997</v>
      </c>
    </row>
    <row r="91" spans="1:4" x14ac:dyDescent="0.25">
      <c r="A91" s="250" t="s">
        <v>941</v>
      </c>
      <c r="B91">
        <v>716</v>
      </c>
      <c r="C91" s="251">
        <f>LOOKUP(_T7[[#This Row],[Etiquetas de fila]],'VALORIZACION CARTA'!B:B,'VALORIZACION CARTA'!C:C)</f>
        <v>638.72610374999999</v>
      </c>
      <c r="D91" s="251">
        <f>SUM(_T7[[#This Row],[Recuento de T7 CODIGO]]*_T7[[#This Row],[VALORIZACION]])</f>
        <v>457327.89028499997</v>
      </c>
    </row>
    <row r="92" spans="1:4" x14ac:dyDescent="0.25">
      <c r="A92" s="250" t="s">
        <v>1043</v>
      </c>
      <c r="B92">
        <v>1</v>
      </c>
      <c r="C92" s="251">
        <f>LOOKUP(_T7[[#This Row],[Etiquetas de fila]],'VALORIZACION CARTA'!B:B,'VALORIZACION CARTA'!C:C)</f>
        <v>1241.55</v>
      </c>
      <c r="D92" s="251">
        <f>SUM(_T7[[#This Row],[Recuento de T7 CODIGO]]*_T7[[#This Row],[VALORIZACION]])</f>
        <v>1241.55</v>
      </c>
    </row>
    <row r="93" spans="1:4" x14ac:dyDescent="0.25">
      <c r="A93" s="250" t="s">
        <v>879</v>
      </c>
      <c r="B93">
        <v>14</v>
      </c>
      <c r="C93" s="251">
        <f>LOOKUP(_T7[[#This Row],[Etiquetas de fila]],'VALORIZACION CARTA'!B:B,'VALORIZACION CARTA'!C:C)</f>
        <v>2383.69425</v>
      </c>
      <c r="D93" s="251">
        <f>SUM(_T7[[#This Row],[Recuento de T7 CODIGO]]*_T7[[#This Row],[VALORIZACION]])</f>
        <v>33371.719499999999</v>
      </c>
    </row>
    <row r="94" spans="1:4" x14ac:dyDescent="0.25">
      <c r="A94" s="250" t="s">
        <v>591</v>
      </c>
      <c r="B94">
        <v>4</v>
      </c>
      <c r="C94" s="251">
        <f>LOOKUP(_T7[[#This Row],[Etiquetas de fila]],'VALORIZACION CARTA'!B:B,'VALORIZACION CARTA'!C:C)</f>
        <v>536.40037499999994</v>
      </c>
      <c r="D94" s="251">
        <f>SUM(_T7[[#This Row],[Recuento de T7 CODIGO]]*_T7[[#This Row],[VALORIZACION]])</f>
        <v>2145.6014999999998</v>
      </c>
    </row>
    <row r="95" spans="1:4" x14ac:dyDescent="0.25">
      <c r="A95" s="250" t="s">
        <v>942</v>
      </c>
      <c r="B95">
        <v>1</v>
      </c>
      <c r="C95" s="251">
        <f>LOOKUP(_T7[[#This Row],[Etiquetas de fila]],'VALORIZACION CARTA'!B:B,'VALORIZACION CARTA'!C:C)</f>
        <v>560.41606249999995</v>
      </c>
      <c r="D95" s="251">
        <f>SUM(_T7[[#This Row],[Recuento de T7 CODIGO]]*_T7[[#This Row],[VALORIZACION]])</f>
        <v>560.41606249999995</v>
      </c>
    </row>
    <row r="96" spans="1:4" x14ac:dyDescent="0.25">
      <c r="A96" s="250" t="s">
        <v>595</v>
      </c>
      <c r="B96">
        <v>4</v>
      </c>
      <c r="C96" s="251">
        <f>LOOKUP(_T7[[#This Row],[Etiquetas de fila]],'VALORIZACION CARTA'!B:B,'VALORIZACION CARTA'!C:C)</f>
        <v>427.84008749999998</v>
      </c>
      <c r="D96" s="251">
        <f>SUM(_T7[[#This Row],[Recuento de T7 CODIGO]]*_T7[[#This Row],[VALORIZACION]])</f>
        <v>1711.3603499999999</v>
      </c>
    </row>
    <row r="97" spans="1:4" x14ac:dyDescent="0.25">
      <c r="A97" s="250" t="s">
        <v>596</v>
      </c>
      <c r="B97">
        <v>6</v>
      </c>
      <c r="C97" s="251">
        <f>LOOKUP(_T7[[#This Row],[Etiquetas de fila]],'VALORIZACION CARTA'!B:B,'VALORIZACION CARTA'!C:C)</f>
        <v>573.38798125000005</v>
      </c>
      <c r="D97" s="251">
        <f>SUM(_T7[[#This Row],[Recuento de T7 CODIGO]]*_T7[[#This Row],[VALORIZACION]])</f>
        <v>3440.3278875000005</v>
      </c>
    </row>
    <row r="98" spans="1:4" x14ac:dyDescent="0.25">
      <c r="A98" s="250" t="s">
        <v>597</v>
      </c>
      <c r="B98">
        <v>1</v>
      </c>
      <c r="C98" s="251">
        <f>LOOKUP(_T7[[#This Row],[Etiquetas de fila]],'VALORIZACION CARTA'!B:B,'VALORIZACION CARTA'!C:C)</f>
        <v>529.87860624999996</v>
      </c>
      <c r="D98" s="251">
        <f>SUM(_T7[[#This Row],[Recuento de T7 CODIGO]]*_T7[[#This Row],[VALORIZACION]])</f>
        <v>529.87860624999996</v>
      </c>
    </row>
    <row r="99" spans="1:4" x14ac:dyDescent="0.25">
      <c r="A99" s="250" t="s">
        <v>598</v>
      </c>
      <c r="B99">
        <v>5</v>
      </c>
      <c r="C99" s="251">
        <f>LOOKUP(_T7[[#This Row],[Etiquetas de fila]],'VALORIZACION CARTA'!B:B,'VALORIZACION CARTA'!C:C)</f>
        <v>591.68423125000004</v>
      </c>
      <c r="D99" s="251">
        <f>SUM(_T7[[#This Row],[Recuento de T7 CODIGO]]*_T7[[#This Row],[VALORIZACION]])</f>
        <v>2958.4211562500004</v>
      </c>
    </row>
    <row r="100" spans="1:4" x14ac:dyDescent="0.25">
      <c r="A100" s="250" t="s">
        <v>944</v>
      </c>
      <c r="B100">
        <v>27</v>
      </c>
      <c r="C100" s="251">
        <f>LOOKUP(_T7[[#This Row],[Etiquetas de fila]],'VALORIZACION CARTA'!B:B,'VALORIZACION CARTA'!C:C)</f>
        <v>591.68423125000004</v>
      </c>
      <c r="D100" s="251">
        <f>SUM(_T7[[#This Row],[Recuento de T7 CODIGO]]*_T7[[#This Row],[VALORIZACION]])</f>
        <v>15975.474243750001</v>
      </c>
    </row>
    <row r="101" spans="1:4" x14ac:dyDescent="0.25">
      <c r="A101" s="250" t="s">
        <v>945</v>
      </c>
      <c r="B101">
        <v>2</v>
      </c>
      <c r="C101" s="251">
        <f>LOOKUP(_T7[[#This Row],[Etiquetas de fila]],'VALORIZACION CARTA'!B:B,'VALORIZACION CARTA'!C:C)</f>
        <v>591.68423125000004</v>
      </c>
      <c r="D101" s="251">
        <f>SUM(_T7[[#This Row],[Recuento de T7 CODIGO]]*_T7[[#This Row],[VALORIZACION]])</f>
        <v>1183.3684625000001</v>
      </c>
    </row>
    <row r="102" spans="1:4" x14ac:dyDescent="0.25">
      <c r="A102" s="250" t="s">
        <v>1044</v>
      </c>
      <c r="B102">
        <v>7</v>
      </c>
      <c r="C102" s="251">
        <f>LOOKUP(_T7[[#This Row],[Etiquetas de fila]],'VALORIZACION CARTA'!B:B,'VALORIZACION CARTA'!C:C)</f>
        <v>591.68423125000004</v>
      </c>
      <c r="D102" s="251">
        <f>SUM(_T7[[#This Row],[Recuento de T7 CODIGO]]*_T7[[#This Row],[VALORIZACION]])</f>
        <v>4141.78961875</v>
      </c>
    </row>
    <row r="103" spans="1:4" x14ac:dyDescent="0.25">
      <c r="A103" s="250" t="s">
        <v>599</v>
      </c>
      <c r="B103">
        <v>4</v>
      </c>
      <c r="C103" s="251">
        <f>LOOKUP(_T7[[#This Row],[Etiquetas de fila]],'VALORIZACION CARTA'!B:B,'VALORIZACION CARTA'!C:C)</f>
        <v>915.41563749999989</v>
      </c>
      <c r="D103" s="251">
        <f>SUM(_T7[[#This Row],[Recuento de T7 CODIGO]]*_T7[[#This Row],[VALORIZACION]])</f>
        <v>3661.6625499999996</v>
      </c>
    </row>
    <row r="104" spans="1:4" x14ac:dyDescent="0.25">
      <c r="A104" s="250" t="s">
        <v>601</v>
      </c>
      <c r="B104">
        <v>1</v>
      </c>
      <c r="C104" s="251">
        <f>LOOKUP(_T7[[#This Row],[Etiquetas de fila]],'VALORIZACION CARTA'!B:B,'VALORIZACION CARTA'!C:C)</f>
        <v>919.50254374999997</v>
      </c>
      <c r="D104" s="251">
        <f>SUM(_T7[[#This Row],[Recuento de T7 CODIGO]]*_T7[[#This Row],[VALORIZACION]])</f>
        <v>919.50254374999997</v>
      </c>
    </row>
    <row r="105" spans="1:4" x14ac:dyDescent="0.25">
      <c r="A105" s="250" t="s">
        <v>946</v>
      </c>
      <c r="B105">
        <v>5</v>
      </c>
      <c r="C105" s="251">
        <f>LOOKUP(_T7[[#This Row],[Etiquetas de fila]],'VALORIZACION CARTA'!B:B,'VALORIZACION CARTA'!C:C)</f>
        <v>868.31766874999994</v>
      </c>
      <c r="D105" s="251">
        <f>SUM(_T7[[#This Row],[Recuento de T7 CODIGO]]*_T7[[#This Row],[VALORIZACION]])</f>
        <v>4341.5883437499997</v>
      </c>
    </row>
    <row r="106" spans="1:4" x14ac:dyDescent="0.25">
      <c r="A106" s="250" t="s">
        <v>317</v>
      </c>
      <c r="B106">
        <v>16</v>
      </c>
      <c r="C106" s="251">
        <f>LOOKUP(_T7[[#This Row],[Etiquetas de fila]],'VALORIZACION CARTA'!B:B,'VALORIZACION CARTA'!C:C)</f>
        <v>496.56381249999998</v>
      </c>
      <c r="D106" s="251">
        <f>SUM(_T7[[#This Row],[Recuento de T7 CODIGO]]*_T7[[#This Row],[VALORIZACION]])</f>
        <v>7945.0209999999997</v>
      </c>
    </row>
    <row r="107" spans="1:4" x14ac:dyDescent="0.25">
      <c r="A107" s="250" t="s">
        <v>552</v>
      </c>
      <c r="B107">
        <v>16</v>
      </c>
      <c r="C107" s="251">
        <f>LOOKUP(_T7[[#This Row],[Etiquetas de fila]],'VALORIZACION CARTA'!B:B,'VALORIZACION CARTA'!C:C)</f>
        <v>1351.6988125</v>
      </c>
      <c r="D107" s="251">
        <f>SUM(_T7[[#This Row],[Recuento de T7 CODIGO]]*_T7[[#This Row],[VALORIZACION]])</f>
        <v>21627.181</v>
      </c>
    </row>
    <row r="108" spans="1:4" x14ac:dyDescent="0.25">
      <c r="A108" s="250" t="s">
        <v>947</v>
      </c>
      <c r="B108">
        <v>30</v>
      </c>
      <c r="C108" s="251">
        <f>LOOKUP(_T7[[#This Row],[Etiquetas de fila]],'VALORIZACION CARTA'!B:B,'VALORIZACION CARTA'!C:C)</f>
        <v>1351.6988125</v>
      </c>
      <c r="D108" s="251">
        <f>SUM(_T7[[#This Row],[Recuento de T7 CODIGO]]*_T7[[#This Row],[VALORIZACION]])</f>
        <v>40550.964375000003</v>
      </c>
    </row>
    <row r="109" spans="1:4" x14ac:dyDescent="0.25">
      <c r="A109" s="250" t="s">
        <v>948</v>
      </c>
      <c r="B109">
        <v>49</v>
      </c>
      <c r="C109" s="251">
        <f>LOOKUP(_T7[[#This Row],[Etiquetas de fila]],'VALORIZACION CARTA'!B:B,'VALORIZACION CARTA'!C:C)</f>
        <v>1351.6988125</v>
      </c>
      <c r="D109" s="251">
        <f>SUM(_T7[[#This Row],[Recuento de T7 CODIGO]]*_T7[[#This Row],[VALORIZACION]])</f>
        <v>66233.241812499997</v>
      </c>
    </row>
    <row r="110" spans="1:4" x14ac:dyDescent="0.25">
      <c r="A110" s="250" t="s">
        <v>318</v>
      </c>
      <c r="B110">
        <v>14</v>
      </c>
      <c r="C110" s="251">
        <f>LOOKUP(_T7[[#This Row],[Etiquetas de fila]],'VALORIZACION CARTA'!B:B,'VALORIZACION CARTA'!C:C)</f>
        <v>618.27850000000001</v>
      </c>
      <c r="D110" s="251">
        <f>SUM(_T7[[#This Row],[Recuento de T7 CODIGO]]*_T7[[#This Row],[VALORIZACION]])</f>
        <v>8655.8989999999994</v>
      </c>
    </row>
    <row r="111" spans="1:4" x14ac:dyDescent="0.25">
      <c r="A111" s="250" t="s">
        <v>603</v>
      </c>
      <c r="B111">
        <v>4</v>
      </c>
      <c r="C111" s="251">
        <f>LOOKUP(_T7[[#This Row],[Etiquetas de fila]],'VALORIZACION CARTA'!B:B,'VALORIZACION CARTA'!C:C)</f>
        <v>627.93800999999996</v>
      </c>
      <c r="D111" s="251">
        <f>SUM(_T7[[#This Row],[Recuento de T7 CODIGO]]*_T7[[#This Row],[VALORIZACION]])</f>
        <v>2511.7520399999999</v>
      </c>
    </row>
    <row r="112" spans="1:4" x14ac:dyDescent="0.25">
      <c r="A112" s="250" t="s">
        <v>949</v>
      </c>
      <c r="B112">
        <v>17</v>
      </c>
      <c r="C112" s="251">
        <f>LOOKUP(_T7[[#This Row],[Etiquetas de fila]],'VALORIZACION CARTA'!B:B,'VALORIZACION CARTA'!C:C)</f>
        <v>1674.93</v>
      </c>
      <c r="D112" s="251">
        <f>SUM(_T7[[#This Row],[Recuento de T7 CODIGO]]*_T7[[#This Row],[VALORIZACION]])</f>
        <v>28473.81</v>
      </c>
    </row>
    <row r="113" spans="1:4" x14ac:dyDescent="0.25">
      <c r="A113" s="250" t="s">
        <v>854</v>
      </c>
      <c r="B113">
        <v>5</v>
      </c>
      <c r="C113" s="251">
        <f>LOOKUP(_T7[[#This Row],[Etiquetas de fila]],'VALORIZACION CARTA'!B:B,'VALORIZACION CARTA'!C:C)</f>
        <v>2204.0295000000001</v>
      </c>
      <c r="D113" s="251">
        <f>SUM(_T7[[#This Row],[Recuento de T7 CODIGO]]*_T7[[#This Row],[VALORIZACION]])</f>
        <v>11020.147500000001</v>
      </c>
    </row>
    <row r="114" spans="1:4" x14ac:dyDescent="0.25">
      <c r="A114" s="250" t="s">
        <v>950</v>
      </c>
      <c r="B114">
        <v>3</v>
      </c>
      <c r="C114" s="251">
        <f>LOOKUP(_T7[[#This Row],[Etiquetas de fila]],'VALORIZACION CARTA'!B:B,'VALORIZACION CARTA'!C:C)</f>
        <v>2392.3802500000002</v>
      </c>
      <c r="D114" s="251">
        <f>SUM(_T7[[#This Row],[Recuento de T7 CODIGO]]*_T7[[#This Row],[VALORIZACION]])</f>
        <v>7177.1407500000005</v>
      </c>
    </row>
    <row r="115" spans="1:4" x14ac:dyDescent="0.25">
      <c r="A115" s="250" t="s">
        <v>623</v>
      </c>
      <c r="B115">
        <v>8</v>
      </c>
      <c r="C115" s="251">
        <f>LOOKUP(_T7[[#This Row],[Etiquetas de fila]],'VALORIZACION CARTA'!B:B,'VALORIZACION CARTA'!C:C)</f>
        <v>1331.2800000000002</v>
      </c>
      <c r="D115" s="251">
        <f>SUM(_T7[[#This Row],[Recuento de T7 CODIGO]]*_T7[[#This Row],[VALORIZACION]])</f>
        <v>10650.240000000002</v>
      </c>
    </row>
    <row r="116" spans="1:4" x14ac:dyDescent="0.25">
      <c r="A116" s="250" t="s">
        <v>1045</v>
      </c>
      <c r="B116">
        <v>3</v>
      </c>
      <c r="C116" s="251">
        <f>LOOKUP(_T7[[#This Row],[Etiquetas de fila]],'VALORIZACION CARTA'!B:B,'VALORIZACION CARTA'!C:C)</f>
        <v>1358.70712</v>
      </c>
      <c r="D116" s="251">
        <f>SUM(_T7[[#This Row],[Recuento de T7 CODIGO]]*_T7[[#This Row],[VALORIZACION]])</f>
        <v>4076.1213600000001</v>
      </c>
    </row>
    <row r="117" spans="1:4" x14ac:dyDescent="0.25">
      <c r="A117" s="250" t="s">
        <v>951</v>
      </c>
      <c r="B117">
        <v>18</v>
      </c>
      <c r="C117" s="251">
        <f>LOOKUP(_T7[[#This Row],[Etiquetas de fila]],'VALORIZACION CARTA'!B:B,'VALORIZACION CARTA'!C:C)</f>
        <v>1163.4689039999998</v>
      </c>
      <c r="D117" s="251">
        <f>SUM(_T7[[#This Row],[Recuento de T7 CODIGO]]*_T7[[#This Row],[VALORIZACION]])</f>
        <v>20942.440271999996</v>
      </c>
    </row>
    <row r="118" spans="1:4" x14ac:dyDescent="0.25">
      <c r="A118" s="250" t="s">
        <v>624</v>
      </c>
      <c r="B118">
        <v>1</v>
      </c>
      <c r="C118" s="251">
        <f>LOOKUP(_T7[[#This Row],[Etiquetas de fila]],'VALORIZACION CARTA'!B:B,'VALORIZACION CARTA'!C:C)</f>
        <v>2952.4660000000003</v>
      </c>
      <c r="D118" s="251">
        <f>SUM(_T7[[#This Row],[Recuento de T7 CODIGO]]*_T7[[#This Row],[VALORIZACION]])</f>
        <v>2952.4660000000003</v>
      </c>
    </row>
    <row r="119" spans="1:4" x14ac:dyDescent="0.25">
      <c r="A119" s="250" t="s">
        <v>625</v>
      </c>
      <c r="B119">
        <v>2</v>
      </c>
      <c r="C119" s="251">
        <f>LOOKUP(_T7[[#This Row],[Etiquetas de fila]],'VALORIZACION CARTA'!B:B,'VALORIZACION CARTA'!C:C)</f>
        <v>1280.8248749999998</v>
      </c>
      <c r="D119" s="251">
        <f>SUM(_T7[[#This Row],[Recuento de T7 CODIGO]]*_T7[[#This Row],[VALORIZACION]])</f>
        <v>2561.6497499999996</v>
      </c>
    </row>
    <row r="120" spans="1:4" x14ac:dyDescent="0.25">
      <c r="A120" s="250" t="s">
        <v>954</v>
      </c>
      <c r="B120">
        <v>24</v>
      </c>
      <c r="C120" s="251">
        <f>LOOKUP(_T7[[#This Row],[Etiquetas de fila]],'VALORIZACION CARTA'!B:B,'VALORIZACION CARTA'!C:C)</f>
        <v>356.00709375000002</v>
      </c>
      <c r="D120" s="251">
        <f>SUM(_T7[[#This Row],[Recuento de T7 CODIGO]]*_T7[[#This Row],[VALORIZACION]])</f>
        <v>8544.170250000001</v>
      </c>
    </row>
    <row r="121" spans="1:4" x14ac:dyDescent="0.25">
      <c r="A121" s="250" t="s">
        <v>880</v>
      </c>
      <c r="B121">
        <v>6</v>
      </c>
      <c r="C121" s="251">
        <f>LOOKUP(_T7[[#This Row],[Etiquetas de fila]],'VALORIZACION CARTA'!B:B,'VALORIZACION CARTA'!C:C)</f>
        <v>260.28646875000004</v>
      </c>
      <c r="D121" s="251">
        <f>SUM(_T7[[#This Row],[Recuento de T7 CODIGO]]*_T7[[#This Row],[VALORIZACION]])</f>
        <v>1561.7188125000002</v>
      </c>
    </row>
    <row r="122" spans="1:4" x14ac:dyDescent="0.25">
      <c r="A122" s="250" t="s">
        <v>857</v>
      </c>
      <c r="B122">
        <v>34</v>
      </c>
      <c r="C122" s="251">
        <f>LOOKUP(_T7[[#This Row],[Etiquetas de fila]],'VALORIZACION CARTA'!B:B,'VALORIZACION CARTA'!C:C)</f>
        <v>396.25884374999998</v>
      </c>
      <c r="D122" s="251">
        <f>SUM(_T7[[#This Row],[Recuento de T7 CODIGO]]*_T7[[#This Row],[VALORIZACION]])</f>
        <v>13472.800687499999</v>
      </c>
    </row>
    <row r="123" spans="1:4" x14ac:dyDescent="0.25">
      <c r="A123" s="250" t="s">
        <v>955</v>
      </c>
      <c r="B123">
        <v>2</v>
      </c>
      <c r="C123" s="251">
        <f>LOOKUP(_T7[[#This Row],[Etiquetas de fila]],'VALORIZACION CARTA'!B:B,'VALORIZACION CARTA'!C:C)</f>
        <v>445.37771249999997</v>
      </c>
      <c r="D123" s="251">
        <f>SUM(_T7[[#This Row],[Recuento de T7 CODIGO]]*_T7[[#This Row],[VALORIZACION]])</f>
        <v>890.75542499999995</v>
      </c>
    </row>
    <row r="124" spans="1:4" x14ac:dyDescent="0.25">
      <c r="A124" s="250" t="s">
        <v>1075</v>
      </c>
      <c r="B124">
        <v>2</v>
      </c>
      <c r="C124" s="251">
        <f>LOOKUP(_T7[[#This Row],[Etiquetas de fila]],'VALORIZACION CARTA'!B:B,'VALORIZACION CARTA'!C:C)</f>
        <v>842.58186666666666</v>
      </c>
      <c r="D124" s="251">
        <f>SUM(_T7[[#This Row],[Recuento de T7 CODIGO]]*_T7[[#This Row],[VALORIZACION]])</f>
        <v>1685.1637333333333</v>
      </c>
    </row>
    <row r="125" spans="1:4" x14ac:dyDescent="0.25">
      <c r="A125" s="250" t="s">
        <v>957</v>
      </c>
      <c r="B125">
        <v>18</v>
      </c>
      <c r="C125" s="251">
        <f>LOOKUP(_T7[[#This Row],[Etiquetas de fila]],'VALORIZACION CARTA'!B:B,'VALORIZACION CARTA'!C:C)</f>
        <v>553.29974000000004</v>
      </c>
      <c r="D125" s="251">
        <f>SUM(_T7[[#This Row],[Recuento de T7 CODIGO]]*_T7[[#This Row],[VALORIZACION]])</f>
        <v>9959.3953200000014</v>
      </c>
    </row>
    <row r="126" spans="1:4" x14ac:dyDescent="0.25">
      <c r="A126" s="250" t="s">
        <v>862</v>
      </c>
      <c r="B126">
        <v>47</v>
      </c>
      <c r="C126" s="251">
        <f>LOOKUP(_T7[[#This Row],[Etiquetas de fila]],'VALORIZACION CARTA'!B:B,'VALORIZACION CARTA'!C:C)</f>
        <v>466.57668750000005</v>
      </c>
      <c r="D126" s="251">
        <f>SUM(_T7[[#This Row],[Recuento de T7 CODIGO]]*_T7[[#This Row],[VALORIZACION]])</f>
        <v>21929.104312500003</v>
      </c>
    </row>
    <row r="127" spans="1:4" x14ac:dyDescent="0.25">
      <c r="A127" s="250" t="s">
        <v>959</v>
      </c>
      <c r="B127">
        <v>8</v>
      </c>
      <c r="C127" s="251">
        <f>LOOKUP(_T7[[#This Row],[Etiquetas de fila]],'VALORIZACION CARTA'!B:B,'VALORIZACION CARTA'!C:C)</f>
        <v>3360.56</v>
      </c>
      <c r="D127" s="251">
        <f>SUM(_T7[[#This Row],[Recuento de T7 CODIGO]]*_T7[[#This Row],[VALORIZACION]])</f>
        <v>26884.48</v>
      </c>
    </row>
    <row r="128" spans="1:4" x14ac:dyDescent="0.25">
      <c r="A128" s="250" t="s">
        <v>875</v>
      </c>
      <c r="B128">
        <v>12</v>
      </c>
      <c r="C128" s="251">
        <f>LOOKUP(_T7[[#This Row],[Etiquetas de fila]],'VALORIZACION CARTA'!B:B,'VALORIZACION CARTA'!C:C)</f>
        <v>2215.8185750000002</v>
      </c>
      <c r="D128" s="251">
        <f>SUM(_T7[[#This Row],[Recuento de T7 CODIGO]]*_T7[[#This Row],[VALORIZACION]])</f>
        <v>26589.822900000003</v>
      </c>
    </row>
    <row r="129" spans="1:4" x14ac:dyDescent="0.25">
      <c r="A129" s="250" t="s">
        <v>960</v>
      </c>
      <c r="B129">
        <v>2</v>
      </c>
      <c r="C129" s="251">
        <f>LOOKUP(_T7[[#This Row],[Etiquetas de fila]],'VALORIZACION CARTA'!B:B,'VALORIZACION CARTA'!C:C)</f>
        <v>1235.3842666666667</v>
      </c>
      <c r="D129" s="251">
        <f>SUM(_T7[[#This Row],[Recuento de T7 CODIGO]]*_T7[[#This Row],[VALORIZACION]])</f>
        <v>2470.7685333333334</v>
      </c>
    </row>
    <row r="130" spans="1:4" x14ac:dyDescent="0.25">
      <c r="A130" s="250" t="s">
        <v>961</v>
      </c>
      <c r="B130">
        <v>5</v>
      </c>
      <c r="C130" s="251">
        <f>LOOKUP(_T7[[#This Row],[Etiquetas de fila]],'VALORIZACION CARTA'!B:B,'VALORIZACION CARTA'!C:C)</f>
        <v>475.18470374999993</v>
      </c>
      <c r="D130" s="251">
        <f>SUM(_T7[[#This Row],[Recuento de T7 CODIGO]]*_T7[[#This Row],[VALORIZACION]])</f>
        <v>2375.9235187499999</v>
      </c>
    </row>
    <row r="131" spans="1:4" x14ac:dyDescent="0.25">
      <c r="A131" s="250" t="s">
        <v>881</v>
      </c>
      <c r="B131">
        <v>2</v>
      </c>
      <c r="C131" s="251">
        <f>LOOKUP(_T7[[#This Row],[Etiquetas de fila]],'VALORIZACION CARTA'!B:B,'VALORIZACION CARTA'!C:C)</f>
        <v>991.76869749999992</v>
      </c>
      <c r="D131" s="251">
        <f>SUM(_T7[[#This Row],[Recuento de T7 CODIGO]]*_T7[[#This Row],[VALORIZACION]])</f>
        <v>1983.5373949999998</v>
      </c>
    </row>
    <row r="132" spans="1:4" x14ac:dyDescent="0.25">
      <c r="A132" s="250" t="s">
        <v>963</v>
      </c>
      <c r="B132">
        <v>10</v>
      </c>
      <c r="C132" s="251">
        <f>LOOKUP(_T7[[#This Row],[Etiquetas de fila]],'VALORIZACION CARTA'!B:B,'VALORIZACION CARTA'!C:C)</f>
        <v>991.76869749999992</v>
      </c>
      <c r="D132" s="251">
        <f>SUM(_T7[[#This Row],[Recuento de T7 CODIGO]]*_T7[[#This Row],[VALORIZACION]])</f>
        <v>9917.6869749999987</v>
      </c>
    </row>
    <row r="133" spans="1:4" x14ac:dyDescent="0.25">
      <c r="A133" s="250" t="s">
        <v>845</v>
      </c>
      <c r="B133">
        <v>1</v>
      </c>
      <c r="C133" s="251">
        <f>LOOKUP(_T7[[#This Row],[Etiquetas de fila]],'VALORIZACION CARTA'!B:B,'VALORIZACION CARTA'!C:C)</f>
        <v>806.65921874999992</v>
      </c>
      <c r="D133" s="251">
        <f>SUM(_T7[[#This Row],[Recuento de T7 CODIGO]]*_T7[[#This Row],[VALORIZACION]])</f>
        <v>806.65921874999992</v>
      </c>
    </row>
    <row r="134" spans="1:4" x14ac:dyDescent="0.25">
      <c r="A134" s="250" t="s">
        <v>874</v>
      </c>
      <c r="B134">
        <v>12</v>
      </c>
      <c r="C134" s="251">
        <f>LOOKUP(_T7[[#This Row],[Etiquetas de fila]],'VALORIZACION CARTA'!B:B,'VALORIZACION CARTA'!C:C)</f>
        <v>915.41563749999989</v>
      </c>
      <c r="D134" s="251">
        <f>SUM(_T7[[#This Row],[Recuento de T7 CODIGO]]*_T7[[#This Row],[VALORIZACION]])</f>
        <v>10984.987649999999</v>
      </c>
    </row>
    <row r="135" spans="1:4" x14ac:dyDescent="0.25">
      <c r="A135" s="250" t="s">
        <v>655</v>
      </c>
      <c r="B135">
        <v>5</v>
      </c>
      <c r="C135" s="251">
        <f>LOOKUP(_T7[[#This Row],[Etiquetas de fila]],'VALORIZACION CARTA'!B:B,'VALORIZACION CARTA'!C:C)</f>
        <v>1049.9626625000001</v>
      </c>
      <c r="D135" s="251">
        <f>SUM(_T7[[#This Row],[Recuento de T7 CODIGO]]*_T7[[#This Row],[VALORIZACION]])</f>
        <v>5249.8133125000004</v>
      </c>
    </row>
    <row r="136" spans="1:4" x14ac:dyDescent="0.25">
      <c r="A136" s="250" t="s">
        <v>891</v>
      </c>
      <c r="B136">
        <v>5</v>
      </c>
      <c r="C136" s="251">
        <f>LOOKUP(_T7[[#This Row],[Etiquetas de fila]],'VALORIZACION CARTA'!B:B,'VALORIZACION CARTA'!C:C)</f>
        <v>919.50254374999997</v>
      </c>
      <c r="D136" s="251">
        <f>SUM(_T7[[#This Row],[Recuento de T7 CODIGO]]*_T7[[#This Row],[VALORIZACION]])</f>
        <v>4597.5127187500002</v>
      </c>
    </row>
    <row r="137" spans="1:4" x14ac:dyDescent="0.25">
      <c r="A137" s="250" t="s">
        <v>1047</v>
      </c>
      <c r="B137">
        <v>4</v>
      </c>
      <c r="C137" s="251">
        <f>LOOKUP(_T7[[#This Row],[Etiquetas de fila]],'VALORIZACION CARTA'!B:B,'VALORIZACION CARTA'!C:C)</f>
        <v>868.31766874999994</v>
      </c>
      <c r="D137" s="251">
        <f>SUM(_T7[[#This Row],[Recuento de T7 CODIGO]]*_T7[[#This Row],[VALORIZACION]])</f>
        <v>3473.2706749999998</v>
      </c>
    </row>
    <row r="138" spans="1:4" x14ac:dyDescent="0.25">
      <c r="A138" s="250" t="s">
        <v>1048</v>
      </c>
      <c r="B138">
        <v>4</v>
      </c>
      <c r="C138" s="251">
        <f>LOOKUP(_T7[[#This Row],[Etiquetas de fila]],'VALORIZACION CARTA'!B:B,'VALORIZACION CARTA'!C:C)</f>
        <v>868.31766874999994</v>
      </c>
      <c r="D138" s="251">
        <f>SUM(_T7[[#This Row],[Recuento de T7 CODIGO]]*_T7[[#This Row],[VALORIZACION]])</f>
        <v>3473.2706749999998</v>
      </c>
    </row>
    <row r="139" spans="1:4" x14ac:dyDescent="0.25">
      <c r="A139" s="250" t="s">
        <v>1049</v>
      </c>
      <c r="B139">
        <v>1</v>
      </c>
      <c r="C139" s="251">
        <f>LOOKUP(_T7[[#This Row],[Etiquetas de fila]],'VALORIZACION CARTA'!B:B,'VALORIZACION CARTA'!C:C)</f>
        <v>2661.4147874999999</v>
      </c>
      <c r="D139" s="251">
        <f>SUM(_T7[[#This Row],[Recuento de T7 CODIGO]]*_T7[[#This Row],[VALORIZACION]])</f>
        <v>2661.4147874999999</v>
      </c>
    </row>
    <row r="140" spans="1:4" x14ac:dyDescent="0.25">
      <c r="A140" s="250" t="s">
        <v>970</v>
      </c>
      <c r="B140">
        <v>4</v>
      </c>
      <c r="C140" s="251">
        <f>LOOKUP(_T7[[#This Row],[Etiquetas de fila]],'VALORIZACION CARTA'!B:B,'VALORIZACION CARTA'!C:C)</f>
        <v>664.24679999999989</v>
      </c>
      <c r="D140" s="251">
        <f>SUM(_T7[[#This Row],[Recuento de T7 CODIGO]]*_T7[[#This Row],[VALORIZACION]])</f>
        <v>2656.9871999999996</v>
      </c>
    </row>
    <row r="141" spans="1:4" x14ac:dyDescent="0.25">
      <c r="A141" s="250" t="s">
        <v>979</v>
      </c>
      <c r="B141">
        <v>4</v>
      </c>
      <c r="C141" s="251">
        <f>LOOKUP(_T7[[#This Row],[Etiquetas de fila]],'VALORIZACION CARTA'!B:B,'VALORIZACION CARTA'!C:C)</f>
        <v>2157.8183076923078</v>
      </c>
      <c r="D141" s="251">
        <f>SUM(_T7[[#This Row],[Recuento de T7 CODIGO]]*_T7[[#This Row],[VALORIZACION]])</f>
        <v>8631.2732307692313</v>
      </c>
    </row>
    <row r="142" spans="1:4" x14ac:dyDescent="0.25">
      <c r="A142" s="250" t="s">
        <v>986</v>
      </c>
      <c r="B142">
        <v>2</v>
      </c>
      <c r="C142" s="251">
        <f>LOOKUP(_T7[[#This Row],[Etiquetas de fila]],'VALORIZACION CARTA'!B:B,'VALORIZACION CARTA'!C:C)</f>
        <v>704.62379999999996</v>
      </c>
      <c r="D142" s="251">
        <f>SUM(_T7[[#This Row],[Recuento de T7 CODIGO]]*_T7[[#This Row],[VALORIZACION]])</f>
        <v>1409.2475999999999</v>
      </c>
    </row>
    <row r="143" spans="1:4" x14ac:dyDescent="0.25">
      <c r="A143" s="250" t="s">
        <v>626</v>
      </c>
      <c r="B143">
        <v>51</v>
      </c>
      <c r="C143" s="251">
        <f>LOOKUP(_T7[[#This Row],[Etiquetas de fila]],'VALORIZACION CARTA'!B:B,'VALORIZACION CARTA'!C:C)</f>
        <v>106.04015625000002</v>
      </c>
      <c r="D143" s="251">
        <f>SUM(_T7[[#This Row],[Recuento de T7 CODIGO]]*_T7[[#This Row],[VALORIZACION]])</f>
        <v>5408.047968750001</v>
      </c>
    </row>
    <row r="144" spans="1:4" x14ac:dyDescent="0.25">
      <c r="A144" s="250" t="s">
        <v>205</v>
      </c>
      <c r="B144">
        <v>62</v>
      </c>
      <c r="C144" s="251">
        <f>LOOKUP(_T7[[#This Row],[Etiquetas de fila]],'VALORIZACION CARTA'!B:B,'VALORIZACION CARTA'!C:C)</f>
        <v>106.04015625000002</v>
      </c>
      <c r="D144" s="251">
        <f>SUM(_T7[[#This Row],[Recuento de T7 CODIGO]]*_T7[[#This Row],[VALORIZACION]])</f>
        <v>6574.4896875000013</v>
      </c>
    </row>
    <row r="145" spans="1:4" x14ac:dyDescent="0.25">
      <c r="A145" s="250" t="s">
        <v>885</v>
      </c>
      <c r="B145">
        <v>24</v>
      </c>
      <c r="C145" s="251">
        <f>LOOKUP(_T7[[#This Row],[Etiquetas de fila]],'VALORIZACION CARTA'!B:B,'VALORIZACION CARTA'!C:C)</f>
        <v>349.86</v>
      </c>
      <c r="D145" s="251">
        <f>SUM(_T7[[#This Row],[Recuento de T7 CODIGO]]*_T7[[#This Row],[VALORIZACION]])</f>
        <v>8396.64</v>
      </c>
    </row>
    <row r="146" spans="1:4" x14ac:dyDescent="0.25">
      <c r="A146" s="250" t="s">
        <v>858</v>
      </c>
      <c r="B146">
        <v>20</v>
      </c>
      <c r="C146" s="251">
        <f>LOOKUP(_T7[[#This Row],[Etiquetas de fila]],'VALORIZACION CARTA'!B:B,'VALORIZACION CARTA'!C:C)</f>
        <v>467.67</v>
      </c>
      <c r="D146" s="251">
        <f>SUM(_T7[[#This Row],[Recuento de T7 CODIGO]]*_T7[[#This Row],[VALORIZACION]])</f>
        <v>9353.4</v>
      </c>
    </row>
    <row r="147" spans="1:4" x14ac:dyDescent="0.25">
      <c r="A147" s="250" t="s">
        <v>558</v>
      </c>
      <c r="B147">
        <v>5</v>
      </c>
      <c r="C147" s="251">
        <f>LOOKUP(_T7[[#This Row],[Etiquetas de fila]],'VALORIZACION CARTA'!B:B,'VALORIZACION CARTA'!C:C)</f>
        <v>852.38900000000001</v>
      </c>
      <c r="D147" s="251">
        <f>SUM(_T7[[#This Row],[Recuento de T7 CODIGO]]*_T7[[#This Row],[VALORIZACION]])</f>
        <v>4261.9449999999997</v>
      </c>
    </row>
    <row r="148" spans="1:4" x14ac:dyDescent="0.25">
      <c r="A148" s="250" t="s">
        <v>559</v>
      </c>
      <c r="B148">
        <v>5</v>
      </c>
      <c r="C148" s="251">
        <f>LOOKUP(_T7[[#This Row],[Etiquetas de fila]],'VALORIZACION CARTA'!B:B,'VALORIZACION CARTA'!C:C)</f>
        <v>1392.5335</v>
      </c>
      <c r="D148" s="251">
        <f>SUM(_T7[[#This Row],[Recuento de T7 CODIGO]]*_T7[[#This Row],[VALORIZACION]])</f>
        <v>6962.6674999999996</v>
      </c>
    </row>
    <row r="149" spans="1:4" x14ac:dyDescent="0.25">
      <c r="A149" s="250" t="s">
        <v>560</v>
      </c>
      <c r="B149">
        <v>1</v>
      </c>
      <c r="C149" s="251">
        <f>LOOKUP(_T7[[#This Row],[Etiquetas de fila]],'VALORIZACION CARTA'!B:B,'VALORIZACION CARTA'!C:C)</f>
        <v>1236.5723125000002</v>
      </c>
      <c r="D149" s="251">
        <f>SUM(_T7[[#This Row],[Recuento de T7 CODIGO]]*_T7[[#This Row],[VALORIZACION]])</f>
        <v>1236.5723125000002</v>
      </c>
    </row>
    <row r="150" spans="1:4" x14ac:dyDescent="0.25">
      <c r="A150" s="250" t="s">
        <v>990</v>
      </c>
      <c r="B150">
        <v>14</v>
      </c>
      <c r="C150" s="251">
        <f>LOOKUP(_T7[[#This Row],[Etiquetas de fila]],'VALORIZACION CARTA'!B:B,'VALORIZACION CARTA'!C:C)</f>
        <v>1137.0918125000001</v>
      </c>
      <c r="D150" s="251">
        <f>SUM(_T7[[#This Row],[Recuento de T7 CODIGO]]*_T7[[#This Row],[VALORIZACION]])</f>
        <v>15919.285375000001</v>
      </c>
    </row>
    <row r="151" spans="1:4" x14ac:dyDescent="0.25">
      <c r="A151" s="250" t="s">
        <v>320</v>
      </c>
      <c r="B151">
        <v>39</v>
      </c>
      <c r="C151" s="251">
        <f>LOOKUP(_T7[[#This Row],[Etiquetas de fila]],'VALORIZACION CARTA'!B:B,'VALORIZACION CARTA'!C:C)</f>
        <v>496.56381249999998</v>
      </c>
      <c r="D151" s="251">
        <f>SUM(_T7[[#This Row],[Recuento de T7 CODIGO]]*_T7[[#This Row],[VALORIZACION]])</f>
        <v>19365.988687500001</v>
      </c>
    </row>
    <row r="152" spans="1:4" x14ac:dyDescent="0.25">
      <c r="A152" s="250" t="s">
        <v>838</v>
      </c>
      <c r="B152">
        <v>55</v>
      </c>
      <c r="C152" s="251">
        <f>LOOKUP(_T7[[#This Row],[Etiquetas de fila]],'VALORIZACION CARTA'!B:B,'VALORIZACION CARTA'!C:C)</f>
        <v>1560.506625</v>
      </c>
      <c r="D152" s="251">
        <f>SUM(_T7[[#This Row],[Recuento de T7 CODIGO]]*_T7[[#This Row],[VALORIZACION]])</f>
        <v>85827.864375000005</v>
      </c>
    </row>
    <row r="153" spans="1:4" x14ac:dyDescent="0.25">
      <c r="A153" s="250" t="s">
        <v>991</v>
      </c>
      <c r="B153">
        <v>1</v>
      </c>
      <c r="C153" s="251">
        <f>LOOKUP(_T7[[#This Row],[Etiquetas de fila]],'VALORIZACION CARTA'!B:B,'VALORIZACION CARTA'!C:C)</f>
        <v>1560.506625</v>
      </c>
      <c r="D153" s="251">
        <f>SUM(_T7[[#This Row],[Recuento de T7 CODIGO]]*_T7[[#This Row],[VALORIZACION]])</f>
        <v>1560.506625</v>
      </c>
    </row>
    <row r="154" spans="1:4" x14ac:dyDescent="0.25">
      <c r="A154" s="250" t="s">
        <v>993</v>
      </c>
      <c r="B154">
        <v>108</v>
      </c>
      <c r="C154" s="251">
        <f>LOOKUP(_T7[[#This Row],[Etiquetas de fila]],'VALORIZACION CARTA'!B:B,'VALORIZACION CARTA'!C:C)</f>
        <v>1560.506625</v>
      </c>
      <c r="D154" s="251">
        <f>SUM(_T7[[#This Row],[Recuento de T7 CODIGO]]*_T7[[#This Row],[VALORIZACION]])</f>
        <v>168534.71549999999</v>
      </c>
    </row>
    <row r="155" spans="1:4" x14ac:dyDescent="0.25">
      <c r="A155" s="250" t="s">
        <v>994</v>
      </c>
      <c r="B155">
        <v>1</v>
      </c>
      <c r="C155" s="251">
        <f>LOOKUP(_T7[[#This Row],[Etiquetas de fila]],'VALORIZACION CARTA'!B:B,'VALORIZACION CARTA'!C:C)</f>
        <v>2110.0743124999999</v>
      </c>
      <c r="D155" s="251">
        <f>SUM(_T7[[#This Row],[Recuento de T7 CODIGO]]*_T7[[#This Row],[VALORIZACION]])</f>
        <v>2110.0743124999999</v>
      </c>
    </row>
    <row r="156" spans="1:4" x14ac:dyDescent="0.25">
      <c r="A156" s="250" t="s">
        <v>995</v>
      </c>
      <c r="B156">
        <v>5</v>
      </c>
      <c r="C156" s="251">
        <f>LOOKUP(_T7[[#This Row],[Etiquetas de fila]],'VALORIZACION CARTA'!B:B,'VALORIZACION CARTA'!C:C)</f>
        <v>1237.3248125</v>
      </c>
      <c r="D156" s="251">
        <f>SUM(_T7[[#This Row],[Recuento de T7 CODIGO]]*_T7[[#This Row],[VALORIZACION]])</f>
        <v>6186.6240625</v>
      </c>
    </row>
    <row r="157" spans="1:4" x14ac:dyDescent="0.25">
      <c r="A157" s="250" t="s">
        <v>321</v>
      </c>
      <c r="B157">
        <v>38</v>
      </c>
      <c r="C157" s="251">
        <f>LOOKUP(_T7[[#This Row],[Etiquetas de fila]],'VALORIZACION CARTA'!B:B,'VALORIZACION CARTA'!C:C)</f>
        <v>618.27850000000001</v>
      </c>
      <c r="D157" s="251">
        <f>SUM(_T7[[#This Row],[Recuento de T7 CODIGO]]*_T7[[#This Row],[VALORIZACION]])</f>
        <v>23494.582999999999</v>
      </c>
    </row>
    <row r="158" spans="1:4" x14ac:dyDescent="0.25">
      <c r="A158" s="250" t="s">
        <v>997</v>
      </c>
      <c r="B158">
        <v>30</v>
      </c>
      <c r="C158" s="251">
        <f>LOOKUP(_T7[[#This Row],[Etiquetas de fila]],'VALORIZACION CARTA'!B:B,'VALORIZACION CARTA'!C:C)</f>
        <v>485.19437499999998</v>
      </c>
      <c r="D158" s="251">
        <f>SUM(_T7[[#This Row],[Recuento de T7 CODIGO]]*_T7[[#This Row],[VALORIZACION]])</f>
        <v>14555.831249999999</v>
      </c>
    </row>
    <row r="159" spans="1:4" x14ac:dyDescent="0.25">
      <c r="A159" s="250" t="s">
        <v>1051</v>
      </c>
      <c r="B159">
        <v>9</v>
      </c>
      <c r="C159" s="251">
        <f>LOOKUP(_T7[[#This Row],[Etiquetas de fila]],'VALORIZACION CARTA'!B:B,'VALORIZACION CARTA'!C:C)</f>
        <v>485.19437499999998</v>
      </c>
      <c r="D159" s="251">
        <f>SUM(_T7[[#This Row],[Recuento de T7 CODIGO]]*_T7[[#This Row],[VALORIZACION]])</f>
        <v>4366.7493749999994</v>
      </c>
    </row>
    <row r="160" spans="1:4" x14ac:dyDescent="0.25">
      <c r="A160" s="250" t="s">
        <v>999</v>
      </c>
      <c r="B160">
        <v>14</v>
      </c>
      <c r="C160" s="251">
        <f>LOOKUP(_T7[[#This Row],[Etiquetas de fila]],'VALORIZACION CARTA'!B:B,'VALORIZACION CARTA'!C:C)</f>
        <v>1532.1075000000001</v>
      </c>
      <c r="D160" s="251">
        <f>SUM(_T7[[#This Row],[Recuento de T7 CODIGO]]*_T7[[#This Row],[VALORIZACION]])</f>
        <v>21449.505000000001</v>
      </c>
    </row>
    <row r="161" spans="1:4" x14ac:dyDescent="0.25">
      <c r="A161" s="250" t="s">
        <v>627</v>
      </c>
      <c r="B161">
        <v>4</v>
      </c>
      <c r="C161" s="251">
        <f>LOOKUP(_T7[[#This Row],[Etiquetas de fila]],'VALORIZACION CARTA'!B:B,'VALORIZACION CARTA'!C:C)</f>
        <v>1532.1075000000001</v>
      </c>
      <c r="D161" s="251">
        <f>SUM(_T7[[#This Row],[Recuento de T7 CODIGO]]*_T7[[#This Row],[VALORIZACION]])</f>
        <v>6128.43</v>
      </c>
    </row>
    <row r="162" spans="1:4" x14ac:dyDescent="0.25">
      <c r="A162" s="250" t="s">
        <v>864</v>
      </c>
      <c r="B162">
        <v>26</v>
      </c>
      <c r="C162" s="251">
        <f>LOOKUP(_T7[[#This Row],[Etiquetas de fila]],'VALORIZACION CARTA'!B:B,'VALORIZACION CARTA'!C:C)</f>
        <v>2252.9318750000002</v>
      </c>
      <c r="D162" s="251">
        <f>SUM(_T7[[#This Row],[Recuento de T7 CODIGO]]*_T7[[#This Row],[VALORIZACION]])</f>
        <v>58576.228750000009</v>
      </c>
    </row>
    <row r="163" spans="1:4" x14ac:dyDescent="0.25">
      <c r="A163" s="250" t="s">
        <v>1052</v>
      </c>
      <c r="B163">
        <v>3</v>
      </c>
      <c r="C163" s="251">
        <f>LOOKUP(_T7[[#This Row],[Etiquetas de fila]],'VALORIZACION CARTA'!B:B,'VALORIZACION CARTA'!C:C)</f>
        <v>1978.2297499999997</v>
      </c>
      <c r="D163" s="251">
        <f>SUM(_T7[[#This Row],[Recuento de T7 CODIGO]]*_T7[[#This Row],[VALORIZACION]])</f>
        <v>5934.6892499999994</v>
      </c>
    </row>
    <row r="164" spans="1:4" x14ac:dyDescent="0.25">
      <c r="A164" s="250" t="s">
        <v>846</v>
      </c>
      <c r="B164">
        <v>5</v>
      </c>
      <c r="C164" s="251">
        <f>LOOKUP(_T7[[#This Row],[Etiquetas de fila]],'VALORIZACION CARTA'!B:B,'VALORIZACION CARTA'!C:C)</f>
        <v>2458.1767</v>
      </c>
      <c r="D164" s="251">
        <f>SUM(_T7[[#This Row],[Recuento de T7 CODIGO]]*_T7[[#This Row],[VALORIZACION]])</f>
        <v>12290.8835</v>
      </c>
    </row>
    <row r="165" spans="1:4" x14ac:dyDescent="0.25">
      <c r="A165" s="250" t="s">
        <v>1062</v>
      </c>
      <c r="B165">
        <v>16</v>
      </c>
      <c r="C165" s="251">
        <f>LOOKUP(_T7[[#This Row],[Etiquetas de fila]],'VALORIZACION CARTA'!B:B,'VALORIZACION CARTA'!C:C)</f>
        <v>2458.1767</v>
      </c>
      <c r="D165" s="251">
        <f>SUM(_T7[[#This Row],[Recuento de T7 CODIGO]]*_T7[[#This Row],[VALORIZACION]])</f>
        <v>39330.8272</v>
      </c>
    </row>
    <row r="166" spans="1:4" x14ac:dyDescent="0.25">
      <c r="A166" s="250" t="s">
        <v>805</v>
      </c>
      <c r="B166">
        <v>3</v>
      </c>
      <c r="C166" s="251">
        <f>LOOKUP(_T7[[#This Row],[Etiquetas de fila]],'VALORIZACION CARTA'!B:B,'VALORIZACION CARTA'!C:C)</f>
        <v>2458.1767</v>
      </c>
      <c r="D166" s="251">
        <f>SUM(_T7[[#This Row],[Recuento de T7 CODIGO]]*_T7[[#This Row],[VALORIZACION]])</f>
        <v>7374.5300999999999</v>
      </c>
    </row>
    <row r="167" spans="1:4" x14ac:dyDescent="0.25">
      <c r="A167" s="250" t="s">
        <v>1000</v>
      </c>
      <c r="B167">
        <v>23</v>
      </c>
      <c r="C167" s="251">
        <f>LOOKUP(_T7[[#This Row],[Etiquetas de fila]],'VALORIZACION CARTA'!B:B,'VALORIZACION CARTA'!C:C)</f>
        <v>3146.3599999999997</v>
      </c>
      <c r="D167" s="251">
        <f>SUM(_T7[[#This Row],[Recuento de T7 CODIGO]]*_T7[[#This Row],[VALORIZACION]])</f>
        <v>72366.28</v>
      </c>
    </row>
    <row r="168" spans="1:4" x14ac:dyDescent="0.25">
      <c r="A168" s="250" t="s">
        <v>1002</v>
      </c>
      <c r="B168">
        <v>1</v>
      </c>
      <c r="C168" s="251">
        <f>LOOKUP(_T7[[#This Row],[Etiquetas de fila]],'VALORIZACION CARTA'!B:B,'VALORIZACION CARTA'!C:C)</f>
        <v>1369.8509999999999</v>
      </c>
      <c r="D168" s="251">
        <f>SUM(_T7[[#This Row],[Recuento de T7 CODIGO]]*_T7[[#This Row],[VALORIZACION]])</f>
        <v>1369.8509999999999</v>
      </c>
    </row>
    <row r="169" spans="1:4" x14ac:dyDescent="0.25">
      <c r="A169" s="250" t="s">
        <v>871</v>
      </c>
      <c r="B169">
        <v>42</v>
      </c>
      <c r="C169" s="251">
        <f>LOOKUP(_T7[[#This Row],[Etiquetas de fila]],'VALORIZACION CARTA'!B:B,'VALORIZACION CARTA'!C:C)</f>
        <v>1037.68</v>
      </c>
      <c r="D169" s="251">
        <f>SUM(_T7[[#This Row],[Recuento de T7 CODIGO]]*_T7[[#This Row],[VALORIZACION]])</f>
        <v>43582.560000000005</v>
      </c>
    </row>
    <row r="170" spans="1:4" x14ac:dyDescent="0.25">
      <c r="A170" s="250" t="s">
        <v>839</v>
      </c>
      <c r="B170">
        <v>47</v>
      </c>
      <c r="C170" s="251">
        <f>LOOKUP(_T7[[#This Row],[Etiquetas de fila]],'VALORIZACION CARTA'!B:B,'VALORIZACION CARTA'!C:C)</f>
        <v>7892.8534999999993</v>
      </c>
      <c r="D170" s="251">
        <f>SUM(_T7[[#This Row],[Recuento de T7 CODIGO]]*_T7[[#This Row],[VALORIZACION]])</f>
        <v>370964.11449999997</v>
      </c>
    </row>
    <row r="171" spans="1:4" x14ac:dyDescent="0.25">
      <c r="A171" s="250" t="s">
        <v>322</v>
      </c>
      <c r="B171">
        <v>14</v>
      </c>
      <c r="C171" s="251">
        <f>LOOKUP(_T7[[#This Row],[Etiquetas de fila]],'VALORIZACION CARTA'!B:B,'VALORIZACION CARTA'!C:C)</f>
        <v>820.92109749999997</v>
      </c>
      <c r="D171" s="251">
        <f>SUM(_T7[[#This Row],[Recuento de T7 CODIGO]]*_T7[[#This Row],[VALORIZACION]])</f>
        <v>11492.895365</v>
      </c>
    </row>
    <row r="172" spans="1:4" x14ac:dyDescent="0.25">
      <c r="A172" s="250" t="s">
        <v>1003</v>
      </c>
      <c r="B172">
        <v>3</v>
      </c>
      <c r="C172" s="251">
        <f>LOOKUP(_T7[[#This Row],[Etiquetas de fila]],'VALORIZACION CARTA'!B:B,'VALORIZACION CARTA'!C:C)</f>
        <v>664.11019499999998</v>
      </c>
      <c r="D172" s="251">
        <f>SUM(_T7[[#This Row],[Recuento de T7 CODIGO]]*_T7[[#This Row],[VALORIZACION]])</f>
        <v>1992.3305849999999</v>
      </c>
    </row>
    <row r="173" spans="1:4" x14ac:dyDescent="0.25">
      <c r="A173" s="250" t="s">
        <v>856</v>
      </c>
      <c r="B173">
        <v>25</v>
      </c>
      <c r="C173" s="251">
        <f>LOOKUP(_T7[[#This Row],[Etiquetas de fila]],'VALORIZACION CARTA'!B:B,'VALORIZACION CARTA'!C:C)</f>
        <v>627.93800999999996</v>
      </c>
      <c r="D173" s="251">
        <f>SUM(_T7[[#This Row],[Recuento de T7 CODIGO]]*_T7[[#This Row],[VALORIZACION]])</f>
        <v>15698.45025</v>
      </c>
    </row>
    <row r="174" spans="1:4" x14ac:dyDescent="0.25">
      <c r="A174" s="250" t="s">
        <v>629</v>
      </c>
      <c r="B174">
        <v>1</v>
      </c>
      <c r="C174" s="251">
        <f>LOOKUP(_T7[[#This Row],[Etiquetas de fila]],'VALORIZACION CARTA'!B:B,'VALORIZACION CARTA'!C:C)</f>
        <v>528.25132500000007</v>
      </c>
      <c r="D174" s="251">
        <f>SUM(_T7[[#This Row],[Recuento de T7 CODIGO]]*_T7[[#This Row],[VALORIZACION]])</f>
        <v>528.25132500000007</v>
      </c>
    </row>
    <row r="175" spans="1:4" x14ac:dyDescent="0.25">
      <c r="A175" s="250" t="s">
        <v>630</v>
      </c>
      <c r="B175">
        <v>3</v>
      </c>
      <c r="C175" s="251">
        <f>LOOKUP(_T7[[#This Row],[Etiquetas de fila]],'VALORIZACION CARTA'!B:B,'VALORIZACION CARTA'!C:C)</f>
        <v>645.11457499999995</v>
      </c>
      <c r="D175" s="251">
        <f>SUM(_T7[[#This Row],[Recuento de T7 CODIGO]]*_T7[[#This Row],[VALORIZACION]])</f>
        <v>1935.3437249999997</v>
      </c>
    </row>
    <row r="176" spans="1:4" x14ac:dyDescent="0.25">
      <c r="A176" s="250" t="s">
        <v>323</v>
      </c>
      <c r="B176">
        <v>31</v>
      </c>
      <c r="C176" s="251">
        <f>LOOKUP(_T7[[#This Row],[Etiquetas de fila]],'VALORIZACION CARTA'!B:B,'VALORIZACION CARTA'!C:C)</f>
        <v>865.52550000000008</v>
      </c>
      <c r="D176" s="251">
        <f>SUM(_T7[[#This Row],[Recuento de T7 CODIGO]]*_T7[[#This Row],[VALORIZACION]])</f>
        <v>26831.290500000003</v>
      </c>
    </row>
    <row r="177" spans="1:4" x14ac:dyDescent="0.25">
      <c r="A177" s="250" t="s">
        <v>564</v>
      </c>
      <c r="B177">
        <v>30</v>
      </c>
      <c r="C177" s="251">
        <f>LOOKUP(_T7[[#This Row],[Etiquetas de fila]],'VALORIZACION CARTA'!B:B,'VALORIZACION CARTA'!C:C)</f>
        <v>2572.4454999999998</v>
      </c>
      <c r="D177" s="251">
        <f>SUM(_T7[[#This Row],[Recuento de T7 CODIGO]]*_T7[[#This Row],[VALORIZACION]])</f>
        <v>77173.364999999991</v>
      </c>
    </row>
    <row r="178" spans="1:4" x14ac:dyDescent="0.25">
      <c r="A178" s="250" t="s">
        <v>663</v>
      </c>
      <c r="B178">
        <v>1</v>
      </c>
      <c r="C178" s="251">
        <f>LOOKUP(_T7[[#This Row],[Etiquetas de fila]],'VALORIZACION CARTA'!B:B,'VALORIZACION CARTA'!C:C)</f>
        <v>1729.2488699999999</v>
      </c>
      <c r="D178" s="251">
        <f>SUM(_T7[[#This Row],[Recuento de T7 CODIGO]]*_T7[[#This Row],[VALORIZACION]])</f>
        <v>1729.2488699999999</v>
      </c>
    </row>
    <row r="179" spans="1:4" x14ac:dyDescent="0.25">
      <c r="A179" s="250" t="s">
        <v>1005</v>
      </c>
      <c r="B179">
        <v>29</v>
      </c>
      <c r="C179" s="251">
        <f>LOOKUP(_T7[[#This Row],[Etiquetas de fila]],'VALORIZACION CARTA'!B:B,'VALORIZACION CARTA'!C:C)</f>
        <v>302.76300000000003</v>
      </c>
      <c r="D179" s="251">
        <f>SUM(_T7[[#This Row],[Recuento de T7 CODIGO]]*_T7[[#This Row],[VALORIZACION]])</f>
        <v>8780.1270000000004</v>
      </c>
    </row>
    <row r="180" spans="1:4" x14ac:dyDescent="0.25">
      <c r="A180" s="250" t="s">
        <v>1006</v>
      </c>
      <c r="B180">
        <v>4</v>
      </c>
      <c r="C180" s="251">
        <f>LOOKUP(_T7[[#This Row],[Etiquetas de fila]],'VALORIZACION CARTA'!B:B,'VALORIZACION CARTA'!C:C)</f>
        <v>664.35</v>
      </c>
      <c r="D180" s="251">
        <f>SUM(_T7[[#This Row],[Recuento de T7 CODIGO]]*_T7[[#This Row],[VALORIZACION]])</f>
        <v>2657.4</v>
      </c>
    </row>
    <row r="181" spans="1:4" x14ac:dyDescent="0.25">
      <c r="A181" s="250" t="s">
        <v>884</v>
      </c>
      <c r="B181">
        <v>4</v>
      </c>
      <c r="C181" s="251">
        <f>LOOKUP(_T7[[#This Row],[Etiquetas de fila]],'VALORIZACION CARTA'!B:B,'VALORIZACION CARTA'!C:C)</f>
        <v>664.24679999999989</v>
      </c>
      <c r="D181" s="251">
        <f>SUM(_T7[[#This Row],[Recuento de T7 CODIGO]]*_T7[[#This Row],[VALORIZACION]])</f>
        <v>2656.9871999999996</v>
      </c>
    </row>
    <row r="182" spans="1:4" x14ac:dyDescent="0.25">
      <c r="A182" s="250" t="s">
        <v>850</v>
      </c>
      <c r="B182">
        <v>64</v>
      </c>
      <c r="C182" s="251">
        <f>LOOKUP(_T7[[#This Row],[Etiquetas de fila]],'VALORIZACION CARTA'!B:B,'VALORIZACION CARTA'!C:C)</f>
        <v>317.40450000000004</v>
      </c>
      <c r="D182" s="251">
        <f>SUM(_T7[[#This Row],[Recuento de T7 CODIGO]]*_T7[[#This Row],[VALORIZACION]])</f>
        <v>20313.888000000003</v>
      </c>
    </row>
    <row r="183" spans="1:4" x14ac:dyDescent="0.25">
      <c r="A183" s="250" t="s">
        <v>849</v>
      </c>
      <c r="B183">
        <v>29</v>
      </c>
      <c r="C183" s="251">
        <f>LOOKUP(_T7[[#This Row],[Etiquetas de fila]],'VALORIZACION CARTA'!B:B,'VALORIZACION CARTA'!C:C)</f>
        <v>664.24679999999989</v>
      </c>
      <c r="D183" s="251">
        <f>SUM(_T7[[#This Row],[Recuento de T7 CODIGO]]*_T7[[#This Row],[VALORIZACION]])</f>
        <v>19263.157199999998</v>
      </c>
    </row>
    <row r="184" spans="1:4" x14ac:dyDescent="0.25">
      <c r="A184" s="250" t="s">
        <v>631</v>
      </c>
      <c r="B184">
        <v>6</v>
      </c>
      <c r="C184" s="251">
        <f>LOOKUP(_T7[[#This Row],[Etiquetas de fila]],'VALORIZACION CARTA'!B:B,'VALORIZACION CARTA'!C:C)</f>
        <v>1305.48</v>
      </c>
      <c r="D184" s="251">
        <f>SUM(_T7[[#This Row],[Recuento de T7 CODIGO]]*_T7[[#This Row],[VALORIZACION]])</f>
        <v>7832.88</v>
      </c>
    </row>
    <row r="185" spans="1:4" x14ac:dyDescent="0.25">
      <c r="A185" s="250" t="s">
        <v>1007</v>
      </c>
      <c r="B185">
        <v>3</v>
      </c>
      <c r="C185" s="251">
        <f>LOOKUP(_T7[[#This Row],[Etiquetas de fila]],'VALORIZACION CARTA'!B:B,'VALORIZACION CARTA'!C:C)</f>
        <v>1305.48</v>
      </c>
      <c r="D185" s="251">
        <f>SUM(_T7[[#This Row],[Recuento de T7 CODIGO]]*_T7[[#This Row],[VALORIZACION]])</f>
        <v>3916.44</v>
      </c>
    </row>
    <row r="186" spans="1:4" x14ac:dyDescent="0.25">
      <c r="A186" s="250" t="s">
        <v>566</v>
      </c>
      <c r="B186">
        <v>1</v>
      </c>
      <c r="C186" s="251">
        <f>LOOKUP(_T7[[#This Row],[Etiquetas de fila]],'VALORIZACION CARTA'!B:B,'VALORIZACION CARTA'!C:C)</f>
        <v>2806.172</v>
      </c>
      <c r="D186" s="251">
        <f>SUM(_T7[[#This Row],[Recuento de T7 CODIGO]]*_T7[[#This Row],[VALORIZACION]])</f>
        <v>2806.172</v>
      </c>
    </row>
    <row r="187" spans="1:4" x14ac:dyDescent="0.25">
      <c r="A187" s="250" t="s">
        <v>1008</v>
      </c>
      <c r="B187">
        <v>3</v>
      </c>
      <c r="C187" s="251">
        <f>LOOKUP(_T7[[#This Row],[Etiquetas de fila]],'VALORIZACION CARTA'!B:B,'VALORIZACION CARTA'!C:C)</f>
        <v>1255.8760199999999</v>
      </c>
      <c r="D187" s="251">
        <f>SUM(_T7[[#This Row],[Recuento de T7 CODIGO]]*_T7[[#This Row],[VALORIZACION]])</f>
        <v>3767.62806</v>
      </c>
    </row>
    <row r="188" spans="1:4" x14ac:dyDescent="0.25">
      <c r="A188" s="250" t="s">
        <v>808</v>
      </c>
      <c r="B188">
        <v>7</v>
      </c>
      <c r="C188" s="251">
        <f>LOOKUP(_T7[[#This Row],[Etiquetas de fila]],'VALORIZACION CARTA'!B:B,'VALORIZACION CARTA'!C:C)</f>
        <v>1255.8760199999999</v>
      </c>
      <c r="D188" s="251">
        <f>SUM(_T7[[#This Row],[Recuento de T7 CODIGO]]*_T7[[#This Row],[VALORIZACION]])</f>
        <v>8791.1321399999997</v>
      </c>
    </row>
    <row r="189" spans="1:4" x14ac:dyDescent="0.25">
      <c r="A189" s="250" t="s">
        <v>604</v>
      </c>
      <c r="B189">
        <v>27</v>
      </c>
      <c r="C189" s="251">
        <f>LOOKUP(_T7[[#This Row],[Etiquetas de fila]],'VALORIZACION CARTA'!B:B,'VALORIZACION CARTA'!C:C)</f>
        <v>1255.8760199999999</v>
      </c>
      <c r="D189" s="251">
        <f>SUM(_T7[[#This Row],[Recuento de T7 CODIGO]]*_T7[[#This Row],[VALORIZACION]])</f>
        <v>33908.652539999995</v>
      </c>
    </row>
    <row r="190" spans="1:4" x14ac:dyDescent="0.25">
      <c r="A190" s="250" t="s">
        <v>867</v>
      </c>
      <c r="B190">
        <v>8</v>
      </c>
      <c r="C190" s="251">
        <f>LOOKUP(_T7[[#This Row],[Etiquetas de fila]],'VALORIZACION CARTA'!B:B,'VALORIZACION CARTA'!C:C)</f>
        <v>704.62379999999996</v>
      </c>
      <c r="D190" s="251">
        <f>SUM(_T7[[#This Row],[Recuento de T7 CODIGO]]*_T7[[#This Row],[VALORIZACION]])</f>
        <v>5636.9903999999997</v>
      </c>
    </row>
    <row r="191" spans="1:4" x14ac:dyDescent="0.25">
      <c r="A191" s="250" t="s">
        <v>847</v>
      </c>
      <c r="B191">
        <v>26</v>
      </c>
      <c r="C191" s="251">
        <f>LOOKUP(_T7[[#This Row],[Etiquetas de fila]],'VALORIZACION CARTA'!B:B,'VALORIZACION CARTA'!C:C)</f>
        <v>665.51099999999997</v>
      </c>
      <c r="D191" s="251">
        <f>SUM(_T7[[#This Row],[Recuento de T7 CODIGO]]*_T7[[#This Row],[VALORIZACION]])</f>
        <v>17303.286</v>
      </c>
    </row>
    <row r="192" spans="1:4" x14ac:dyDescent="0.25">
      <c r="A192" s="250" t="s">
        <v>1009</v>
      </c>
      <c r="B192">
        <v>7</v>
      </c>
      <c r="C192" s="251">
        <f>LOOKUP(_T7[[#This Row],[Etiquetas de fila]],'VALORIZACION CARTA'!B:B,'VALORIZACION CARTA'!C:C)</f>
        <v>301.85999999999996</v>
      </c>
      <c r="D192" s="251">
        <f>SUM(_T7[[#This Row],[Recuento de T7 CODIGO]]*_T7[[#This Row],[VALORIZACION]])</f>
        <v>2113.0199999999995</v>
      </c>
    </row>
    <row r="193" spans="1:4" x14ac:dyDescent="0.25">
      <c r="A193" s="250" t="s">
        <v>1055</v>
      </c>
      <c r="B193">
        <v>13</v>
      </c>
      <c r="C193" s="251">
        <f>LOOKUP(_T7[[#This Row],[Etiquetas de fila]],'VALORIZACION CARTA'!B:B,'VALORIZACION CARTA'!C:C)</f>
        <v>704.62379999999996</v>
      </c>
      <c r="D193" s="251">
        <f>SUM(_T7[[#This Row],[Recuento de T7 CODIGO]]*_T7[[#This Row],[VALORIZACION]])</f>
        <v>9160.1093999999994</v>
      </c>
    </row>
    <row r="194" spans="1:4" x14ac:dyDescent="0.25">
      <c r="A194" s="250" t="s">
        <v>1010</v>
      </c>
      <c r="B194">
        <v>4</v>
      </c>
      <c r="C194" s="251">
        <f>LOOKUP(_T7[[#This Row],[Etiquetas de fila]],'VALORIZACION CARTA'!B:B,'VALORIZACION CARTA'!C:C)</f>
        <v>2420.6849999999999</v>
      </c>
      <c r="D194" s="251">
        <f>SUM(_T7[[#This Row],[Recuento de T7 CODIGO]]*_T7[[#This Row],[VALORIZACION]])</f>
        <v>9682.74</v>
      </c>
    </row>
    <row r="195" spans="1:4" x14ac:dyDescent="0.25">
      <c r="A195" s="250" t="s">
        <v>855</v>
      </c>
      <c r="B195">
        <v>25</v>
      </c>
      <c r="C195" s="251">
        <f>LOOKUP(_T7[[#This Row],[Etiquetas de fila]],'VALORIZACION CARTA'!B:B,'VALORIZACION CARTA'!C:C)</f>
        <v>2202.8982500000002</v>
      </c>
      <c r="D195" s="251">
        <f>SUM(_T7[[#This Row],[Recuento de T7 CODIGO]]*_T7[[#This Row],[VALORIZACION]])</f>
        <v>55072.456250000003</v>
      </c>
    </row>
    <row r="196" spans="1:4" x14ac:dyDescent="0.25">
      <c r="A196" s="250" t="s">
        <v>860</v>
      </c>
      <c r="B196">
        <v>26</v>
      </c>
      <c r="C196" s="251">
        <f>LOOKUP(_T7[[#This Row],[Etiquetas de fila]],'VALORIZACION CARTA'!B:B,'VALORIZACION CARTA'!C:C)</f>
        <v>1804.2482499999999</v>
      </c>
      <c r="D196" s="251">
        <f>SUM(_T7[[#This Row],[Recuento de T7 CODIGO]]*_T7[[#This Row],[VALORIZACION]])</f>
        <v>46910.4545</v>
      </c>
    </row>
    <row r="197" spans="1:4" x14ac:dyDescent="0.25">
      <c r="A197" s="250" t="s">
        <v>1011</v>
      </c>
      <c r="B197">
        <v>1</v>
      </c>
      <c r="C197" s="251">
        <f>LOOKUP(_T7[[#This Row],[Etiquetas de fila]],'VALORIZACION CARTA'!B:B,'VALORIZACION CARTA'!C:C)</f>
        <v>1804.2482499999999</v>
      </c>
      <c r="D197" s="251">
        <f>SUM(_T7[[#This Row],[Recuento de T7 CODIGO]]*_T7[[#This Row],[VALORIZACION]])</f>
        <v>1804.2482499999999</v>
      </c>
    </row>
    <row r="198" spans="1:4" x14ac:dyDescent="0.25">
      <c r="A198" s="250" t="s">
        <v>324</v>
      </c>
      <c r="B198">
        <v>47</v>
      </c>
      <c r="C198" s="251">
        <f>LOOKUP(_T7[[#This Row],[Etiquetas de fila]],'VALORIZACION CARTA'!B:B,'VALORIZACION CARTA'!C:C)</f>
        <v>1744.7482500000001</v>
      </c>
      <c r="D198" s="251">
        <f>SUM(_T7[[#This Row],[Recuento de T7 CODIGO]]*_T7[[#This Row],[VALORIZACION]])</f>
        <v>82003.167750000008</v>
      </c>
    </row>
    <row r="199" spans="1:4" x14ac:dyDescent="0.25">
      <c r="A199" s="250" t="s">
        <v>835</v>
      </c>
      <c r="B199">
        <v>65</v>
      </c>
      <c r="C199" s="251">
        <f>LOOKUP(_T7[[#This Row],[Etiquetas de fila]],'VALORIZACION CARTA'!B:B,'VALORIZACION CARTA'!C:C)</f>
        <v>1674.93</v>
      </c>
      <c r="D199" s="251">
        <f>SUM(_T7[[#This Row],[Recuento de T7 CODIGO]]*_T7[[#This Row],[VALORIZACION]])</f>
        <v>108870.45</v>
      </c>
    </row>
    <row r="200" spans="1:4" x14ac:dyDescent="0.25">
      <c r="A200" s="250" t="s">
        <v>1012</v>
      </c>
      <c r="B200">
        <v>9</v>
      </c>
      <c r="C200" s="251">
        <f>LOOKUP(_T7[[#This Row],[Etiquetas de fila]],'VALORIZACION CARTA'!B:B,'VALORIZACION CARTA'!C:C)</f>
        <v>1042.57</v>
      </c>
      <c r="D200" s="251">
        <f>SUM(_T7[[#This Row],[Recuento de T7 CODIGO]]*_T7[[#This Row],[VALORIZACION]])</f>
        <v>9383.1299999999992</v>
      </c>
    </row>
    <row r="201" spans="1:4" x14ac:dyDescent="0.25">
      <c r="A201" s="250" t="s">
        <v>1013</v>
      </c>
      <c r="B201">
        <v>13</v>
      </c>
      <c r="C201" s="251">
        <f>LOOKUP(_T7[[#This Row],[Etiquetas de fila]],'VALORIZACION CARTA'!B:B,'VALORIZACION CARTA'!C:C)</f>
        <v>1106.96</v>
      </c>
      <c r="D201" s="251">
        <f>SUM(_T7[[#This Row],[Recuento de T7 CODIGO]]*_T7[[#This Row],[VALORIZACION]])</f>
        <v>14390.48</v>
      </c>
    </row>
    <row r="202" spans="1:4" x14ac:dyDescent="0.25">
      <c r="A202" s="250" t="s">
        <v>1014</v>
      </c>
      <c r="B202">
        <v>4</v>
      </c>
      <c r="C202" s="251">
        <f>LOOKUP(_T7[[#This Row],[Etiquetas de fila]],'VALORIZACION CARTA'!B:B,'VALORIZACION CARTA'!C:C)</f>
        <v>1046.6799999999998</v>
      </c>
      <c r="D202" s="251">
        <f>SUM(_T7[[#This Row],[Recuento de T7 CODIGO]]*_T7[[#This Row],[VALORIZACION]])</f>
        <v>4186.7199999999993</v>
      </c>
    </row>
    <row r="203" spans="1:4" x14ac:dyDescent="0.25">
      <c r="A203" s="250" t="s">
        <v>1076</v>
      </c>
      <c r="B203">
        <v>2</v>
      </c>
      <c r="C203" s="251">
        <f>LOOKUP(_T7[[#This Row],[Etiquetas de fila]],'VALORIZACION CARTA'!B:B,'VALORIZACION CARTA'!C:C)</f>
        <v>11017.012499999999</v>
      </c>
      <c r="D203" s="251">
        <f>SUM(_T7[[#This Row],[Recuento de T7 CODIGO]]*_T7[[#This Row],[VALORIZACION]])</f>
        <v>22034.024999999998</v>
      </c>
    </row>
    <row r="204" spans="1:4" x14ac:dyDescent="0.25">
      <c r="A204" s="250" t="s">
        <v>1015</v>
      </c>
      <c r="B204">
        <v>2</v>
      </c>
      <c r="C204" s="251">
        <f>LOOKUP(_T7[[#This Row],[Etiquetas de fila]],'VALORIZACION CARTA'!B:B,'VALORIZACION CARTA'!C:C)</f>
        <v>311.02222499999999</v>
      </c>
      <c r="D204" s="251">
        <f>SUM(_T7[[#This Row],[Recuento de T7 CODIGO]]*_T7[[#This Row],[VALORIZACION]])</f>
        <v>622.04444999999998</v>
      </c>
    </row>
    <row r="205" spans="1:4" x14ac:dyDescent="0.25">
      <c r="A205" s="250" t="s">
        <v>836</v>
      </c>
      <c r="B205">
        <v>139</v>
      </c>
      <c r="C205" s="251">
        <f>LOOKUP(_T7[[#This Row],[Etiquetas de fila]],'VALORIZACION CARTA'!B:B,'VALORIZACION CARTA'!C:C)</f>
        <v>879.64050000000009</v>
      </c>
      <c r="D205" s="251">
        <f>SUM(_T7[[#This Row],[Recuento de T7 CODIGO]]*_T7[[#This Row],[VALORIZACION]])</f>
        <v>122270.02950000002</v>
      </c>
    </row>
    <row r="206" spans="1:4" x14ac:dyDescent="0.25">
      <c r="A206" s="250" t="s">
        <v>633</v>
      </c>
      <c r="B206">
        <v>7</v>
      </c>
      <c r="C206" s="251">
        <f>LOOKUP(_T7[[#This Row],[Etiquetas de fila]],'VALORIZACION CARTA'!B:B,'VALORIZACION CARTA'!C:C)</f>
        <v>879.64050000000009</v>
      </c>
      <c r="D206" s="251">
        <f>SUM(_T7[[#This Row],[Recuento de T7 CODIGO]]*_T7[[#This Row],[VALORIZACION]])</f>
        <v>6157.4835000000003</v>
      </c>
    </row>
    <row r="207" spans="1:4" x14ac:dyDescent="0.25">
      <c r="A207" s="250" t="s">
        <v>691</v>
      </c>
      <c r="B207">
        <v>5</v>
      </c>
      <c r="C207" s="251">
        <f>LOOKUP(_T7[[#This Row],[Etiquetas de fila]],'VALORIZACION CARTA'!B:B,'VALORIZACION CARTA'!C:C)</f>
        <v>879.64050000000009</v>
      </c>
      <c r="D207" s="251">
        <f>SUM(_T7[[#This Row],[Recuento de T7 CODIGO]]*_T7[[#This Row],[VALORIZACION]])</f>
        <v>4398.2025000000003</v>
      </c>
    </row>
    <row r="208" spans="1:4" x14ac:dyDescent="0.25">
      <c r="A208" s="250" t="s">
        <v>1018</v>
      </c>
      <c r="B208">
        <v>14</v>
      </c>
      <c r="C208" s="251">
        <f>LOOKUP(_T7[[#This Row],[Etiquetas de fila]],'VALORIZACION CARTA'!B:B,'VALORIZACION CARTA'!C:C)</f>
        <v>576.65332750000005</v>
      </c>
      <c r="D208" s="251">
        <f>SUM(_T7[[#This Row],[Recuento de T7 CODIGO]]*_T7[[#This Row],[VALORIZACION]])</f>
        <v>8073.1465850000004</v>
      </c>
    </row>
    <row r="209" spans="1:4" x14ac:dyDescent="0.25">
      <c r="A209" s="250" t="s">
        <v>1019</v>
      </c>
      <c r="B209">
        <v>2</v>
      </c>
      <c r="C209" s="251">
        <f>LOOKUP(_T7[[#This Row],[Etiquetas de fila]],'VALORIZACION CARTA'!B:B,'VALORIZACION CARTA'!C:C)</f>
        <v>2089.5419999999999</v>
      </c>
      <c r="D209" s="251">
        <f>SUM(_T7[[#This Row],[Recuento de T7 CODIGO]]*_T7[[#This Row],[VALORIZACION]])</f>
        <v>4179.0839999999998</v>
      </c>
    </row>
    <row r="210" spans="1:4" x14ac:dyDescent="0.25">
      <c r="A210" s="250" t="s">
        <v>1020</v>
      </c>
      <c r="B210">
        <v>18</v>
      </c>
      <c r="C210" s="251">
        <f>LOOKUP(_T7[[#This Row],[Etiquetas de fila]],'VALORIZACION CARTA'!B:B,'VALORIZACION CARTA'!C:C)</f>
        <v>1481.9132999999999</v>
      </c>
      <c r="D210" s="251">
        <f>SUM(_T7[[#This Row],[Recuento de T7 CODIGO]]*_T7[[#This Row],[VALORIZACION]])</f>
        <v>26674.439399999999</v>
      </c>
    </row>
    <row r="211" spans="1:4" x14ac:dyDescent="0.25">
      <c r="A211" s="250" t="s">
        <v>1077</v>
      </c>
      <c r="B211">
        <v>2</v>
      </c>
      <c r="C211" s="251">
        <f>LOOKUP(_T7[[#This Row],[Etiquetas de fila]],'VALORIZACION CARTA'!B:B,'VALORIZACION CARTA'!C:C)</f>
        <v>1062.0355</v>
      </c>
      <c r="D211" s="251">
        <f>SUM(_T7[[#This Row],[Recuento de T7 CODIGO]]*_T7[[#This Row],[VALORIZACION]])</f>
        <v>2124.0709999999999</v>
      </c>
    </row>
    <row r="212" spans="1:4" x14ac:dyDescent="0.25">
      <c r="A212" s="250" t="s">
        <v>837</v>
      </c>
      <c r="B212">
        <v>7</v>
      </c>
      <c r="C212" s="251">
        <f>LOOKUP(_T7[[#This Row],[Etiquetas de fila]],'VALORIZACION CARTA'!B:B,'VALORIZACION CARTA'!C:C)</f>
        <v>9038.2820499999998</v>
      </c>
      <c r="D212" s="251">
        <f>SUM(_T7[[#This Row],[Recuento de T7 CODIGO]]*_T7[[#This Row],[VALORIZACION]])</f>
        <v>63267.974349999997</v>
      </c>
    </row>
    <row r="213" spans="1:4" x14ac:dyDescent="0.25">
      <c r="A213" s="250" t="s">
        <v>325</v>
      </c>
      <c r="B213">
        <v>3</v>
      </c>
      <c r="C213" s="251">
        <f>LOOKUP(_T7[[#This Row],[Etiquetas de fila]],'VALORIZACION CARTA'!B:B,'VALORIZACION CARTA'!C:C)</f>
        <v>778.26</v>
      </c>
      <c r="D213" s="251">
        <f>SUM(_T7[[#This Row],[Recuento de T7 CODIGO]]*_T7[[#This Row],[VALORIZACION]])</f>
        <v>2334.7799999999997</v>
      </c>
    </row>
    <row r="214" spans="1:4" x14ac:dyDescent="0.25">
      <c r="A214" s="250" t="s">
        <v>840</v>
      </c>
      <c r="B214">
        <v>2</v>
      </c>
      <c r="C214" s="251">
        <f>LOOKUP(_T7[[#This Row],[Etiquetas de fila]],'VALORIZACION CARTA'!B:B,'VALORIZACION CARTA'!C:C)</f>
        <v>704.64960000000008</v>
      </c>
      <c r="D214" s="251">
        <f>SUM(_T7[[#This Row],[Recuento de T7 CODIGO]]*_T7[[#This Row],[VALORIZACION]])</f>
        <v>1409.2992000000002</v>
      </c>
    </row>
    <row r="215" spans="1:4" x14ac:dyDescent="0.25">
      <c r="A215" s="250" t="s">
        <v>1021</v>
      </c>
      <c r="B215">
        <v>21</v>
      </c>
      <c r="C215" s="251">
        <f>LOOKUP(_T7[[#This Row],[Etiquetas de fila]],'VALORIZACION CARTA'!B:B,'VALORIZACION CARTA'!C:C)</f>
        <v>704.62379999999996</v>
      </c>
      <c r="D215" s="251">
        <f>SUM(_T7[[#This Row],[Recuento de T7 CODIGO]]*_T7[[#This Row],[VALORIZACION]])</f>
        <v>14797.0998</v>
      </c>
    </row>
    <row r="216" spans="1:4" x14ac:dyDescent="0.25">
      <c r="A216" s="250" t="s">
        <v>1022</v>
      </c>
      <c r="B216">
        <v>3</v>
      </c>
      <c r="C216" s="251">
        <f>LOOKUP(_T7[[#This Row],[Etiquetas de fila]],'VALORIZACION CARTA'!B:B,'VALORIZACION CARTA'!C:C)</f>
        <v>816.07499999999993</v>
      </c>
      <c r="D216" s="251">
        <f>SUM(_T7[[#This Row],[Recuento de T7 CODIGO]]*_T7[[#This Row],[VALORIZACION]])</f>
        <v>2448.2249999999999</v>
      </c>
    </row>
    <row r="217" spans="1:4" x14ac:dyDescent="0.25">
      <c r="A217" s="250" t="s">
        <v>848</v>
      </c>
      <c r="B217">
        <v>14</v>
      </c>
      <c r="C217" s="251">
        <f>LOOKUP(_T7[[#This Row],[Etiquetas de fila]],'VALORIZACION CARTA'!B:B,'VALORIZACION CARTA'!C:C)</f>
        <v>802.1090999999999</v>
      </c>
      <c r="D217" s="251">
        <f>SUM(_T7[[#This Row],[Recuento de T7 CODIGO]]*_T7[[#This Row],[VALORIZACION]])</f>
        <v>11229.527399999999</v>
      </c>
    </row>
    <row r="218" spans="1:4" x14ac:dyDescent="0.25">
      <c r="A218" s="250" t="s">
        <v>567</v>
      </c>
      <c r="B218">
        <v>6</v>
      </c>
      <c r="C218" s="251">
        <f>LOOKUP(_T7[[#This Row],[Etiquetas de fila]],'VALORIZACION CARTA'!B:B,'VALORIZACION CARTA'!C:C)</f>
        <v>1180.9304999999999</v>
      </c>
      <c r="D218" s="251">
        <f>SUM(_T7[[#This Row],[Recuento de T7 CODIGO]]*_T7[[#This Row],[VALORIZACION]])</f>
        <v>7085.5829999999996</v>
      </c>
    </row>
    <row r="219" spans="1:4" x14ac:dyDescent="0.25">
      <c r="A219" s="250" t="s">
        <v>851</v>
      </c>
      <c r="B219">
        <v>9</v>
      </c>
      <c r="C219" s="251">
        <f>LOOKUP(_T7[[#This Row],[Etiquetas de fila]],'VALORIZACION CARTA'!B:B,'VALORIZACION CARTA'!C:C)</f>
        <v>1629.7215000000001</v>
      </c>
      <c r="D219" s="251">
        <f>SUM(_T7[[#This Row],[Recuento de T7 CODIGO]]*_T7[[#This Row],[VALORIZACION]])</f>
        <v>14667.4935</v>
      </c>
    </row>
    <row r="220" spans="1:4" x14ac:dyDescent="0.25">
      <c r="A220" s="250" t="s">
        <v>1023</v>
      </c>
      <c r="B220">
        <v>1</v>
      </c>
      <c r="C220" s="251">
        <f>LOOKUP(_T7[[#This Row],[Etiquetas de fila]],'VALORIZACION CARTA'!B:B,'VALORIZACION CARTA'!C:C)</f>
        <v>1861.9429999999998</v>
      </c>
      <c r="D220" s="251">
        <f>SUM(_T7[[#This Row],[Recuento de T7 CODIGO]]*_T7[[#This Row],[VALORIZACION]])</f>
        <v>1861.9429999999998</v>
      </c>
    </row>
    <row r="221" spans="1:4" x14ac:dyDescent="0.25">
      <c r="A221" s="250" t="s">
        <v>1057</v>
      </c>
      <c r="B221">
        <v>2</v>
      </c>
      <c r="C221" s="251">
        <f>LOOKUP(_T7[[#This Row],[Etiquetas de fila]],'VALORIZACION CARTA'!B:B,'VALORIZACION CARTA'!C:C)</f>
        <v>3030.5755000000004</v>
      </c>
      <c r="D221" s="251">
        <f>SUM(_T7[[#This Row],[Recuento de T7 CODIGO]]*_T7[[#This Row],[VALORIZACION]])</f>
        <v>6061.1510000000007</v>
      </c>
    </row>
    <row r="222" spans="1:4" x14ac:dyDescent="0.25">
      <c r="A222" s="250" t="s">
        <v>326</v>
      </c>
      <c r="B222">
        <v>20</v>
      </c>
      <c r="C222" s="251">
        <f>LOOKUP(_T7[[#This Row],[Etiquetas de fila]],'VALORIZACION CARTA'!B:B,'VALORIZACION CARTA'!C:C)</f>
        <v>15478.01006557377</v>
      </c>
      <c r="D222" s="251">
        <f>SUM(_T7[[#This Row],[Recuento de T7 CODIGO]]*_T7[[#This Row],[VALORIZACION]])</f>
        <v>309560.20131147536</v>
      </c>
    </row>
    <row r="223" spans="1:4" x14ac:dyDescent="0.25">
      <c r="A223" s="250" t="s">
        <v>1024</v>
      </c>
      <c r="B223">
        <v>18</v>
      </c>
      <c r="C223" s="251">
        <f>LOOKUP(_T7[[#This Row],[Etiquetas de fila]],'VALORIZACION CARTA'!B:B,'VALORIZACION CARTA'!C:C)</f>
        <v>15478.01006557377</v>
      </c>
      <c r="D223" s="251">
        <f>SUM(_T7[[#This Row],[Recuento de T7 CODIGO]]*_T7[[#This Row],[VALORIZACION]])</f>
        <v>278604.18118032784</v>
      </c>
    </row>
    <row r="224" spans="1:4" x14ac:dyDescent="0.25">
      <c r="A224" s="250" t="s">
        <v>852</v>
      </c>
      <c r="B224">
        <v>27</v>
      </c>
      <c r="C224" s="251">
        <f>LOOKUP(_T7[[#This Row],[Etiquetas de fila]],'VALORIZACION CARTA'!B:B,'VALORIZACION CARTA'!C:C)</f>
        <v>4127.4879841666661</v>
      </c>
      <c r="D224" s="251">
        <f>SUM(_T7[[#This Row],[Recuento de T7 CODIGO]]*_T7[[#This Row],[VALORIZACION]])</f>
        <v>111442.17557249998</v>
      </c>
    </row>
    <row r="225" spans="1:4" x14ac:dyDescent="0.25">
      <c r="A225" s="250" t="s">
        <v>887</v>
      </c>
      <c r="B225">
        <v>6</v>
      </c>
      <c r="C225" s="251">
        <f>LOOKUP(_T7[[#This Row],[Etiquetas de fila]],'VALORIZACION CARTA'!B:B,'VALORIZACION CARTA'!C:C)</f>
        <v>2331.10721375</v>
      </c>
      <c r="D225" s="251">
        <f>SUM(_T7[[#This Row],[Recuento de T7 CODIGO]]*_T7[[#This Row],[VALORIZACION]])</f>
        <v>13986.643282500001</v>
      </c>
    </row>
    <row r="226" spans="1:4" x14ac:dyDescent="0.25">
      <c r="A226" s="250" t="s">
        <v>1025</v>
      </c>
      <c r="B226">
        <v>5</v>
      </c>
      <c r="C226" s="251">
        <f>LOOKUP(_T7[[#This Row],[Etiquetas de fila]],'VALORIZACION CARTA'!B:B,'VALORIZACION CARTA'!C:C)</f>
        <v>3276.0308749999999</v>
      </c>
      <c r="D226" s="251">
        <f>SUM(_T7[[#This Row],[Recuento de T7 CODIGO]]*_T7[[#This Row],[VALORIZACION]])</f>
        <v>16380.154375</v>
      </c>
    </row>
    <row r="227" spans="1:4" x14ac:dyDescent="0.25">
      <c r="A227" s="250" t="s">
        <v>1078</v>
      </c>
      <c r="B227">
        <v>1</v>
      </c>
      <c r="C227" s="251">
        <f>LOOKUP(_T7[[#This Row],[Etiquetas de fila]],'VALORIZACION CARTA'!B:B,'VALORIZACION CARTA'!C:C)</f>
        <v>3030.4249999999997</v>
      </c>
      <c r="D227" s="251">
        <f>SUM(_T7[[#This Row],[Recuento de T7 CODIGO]]*_T7[[#This Row],[VALORIZACION]])</f>
        <v>3030.4249999999997</v>
      </c>
    </row>
    <row r="228" spans="1:4" x14ac:dyDescent="0.25">
      <c r="A228" s="250" t="s">
        <v>861</v>
      </c>
      <c r="B228">
        <v>26</v>
      </c>
      <c r="C228" s="251">
        <f>LOOKUP(_T7[[#This Row],[Etiquetas de fila]],'VALORIZACION CARTA'!B:B,'VALORIZACION CARTA'!C:C)</f>
        <v>4263.1154999999999</v>
      </c>
      <c r="D228" s="251">
        <f>SUM(_T7[[#This Row],[Recuento de T7 CODIGO]]*_T7[[#This Row],[VALORIZACION]])</f>
        <v>110841.003</v>
      </c>
    </row>
    <row r="229" spans="1:4" x14ac:dyDescent="0.25">
      <c r="A229" s="250" t="s">
        <v>842</v>
      </c>
      <c r="B229">
        <v>89</v>
      </c>
      <c r="C229" s="251">
        <f>LOOKUP(_T7[[#This Row],[Etiquetas de fila]],'VALORIZACION CARTA'!B:B,'VALORIZACION CARTA'!C:C)</f>
        <v>841.05419999999992</v>
      </c>
      <c r="D229" s="251">
        <f>SUM(_T7[[#This Row],[Recuento de T7 CODIGO]]*_T7[[#This Row],[VALORIZACION]])</f>
        <v>74853.823799999998</v>
      </c>
    </row>
    <row r="230" spans="1:4" x14ac:dyDescent="0.25">
      <c r="A230" s="250" t="s">
        <v>883</v>
      </c>
      <c r="B230">
        <v>7</v>
      </c>
      <c r="C230" s="251">
        <f>LOOKUP(_T7[[#This Row],[Etiquetas de fila]],'VALORIZACION CARTA'!B:B,'VALORIZACION CARTA'!C:C)</f>
        <v>623.55092999999999</v>
      </c>
      <c r="D230" s="251">
        <f>SUM(_T7[[#This Row],[Recuento de T7 CODIGO]]*_T7[[#This Row],[VALORIZACION]])</f>
        <v>4364.8565099999996</v>
      </c>
    </row>
    <row r="231" spans="1:4" x14ac:dyDescent="0.25">
      <c r="A231" s="250" t="s">
        <v>1028</v>
      </c>
      <c r="B231">
        <v>1</v>
      </c>
      <c r="C231" s="251">
        <f>LOOKUP(_T7[[#This Row],[Etiquetas de fila]],'VALORIZACION CARTA'!B:B,'VALORIZACION CARTA'!C:C)</f>
        <v>1011.9253666666666</v>
      </c>
      <c r="D231" s="251">
        <f>SUM(_T7[[#This Row],[Recuento de T7 CODIGO]]*_T7[[#This Row],[VALORIZACION]])</f>
        <v>1011.9253666666666</v>
      </c>
    </row>
    <row r="232" spans="1:4" x14ac:dyDescent="0.25">
      <c r="A232" s="250" t="s">
        <v>1029</v>
      </c>
      <c r="B232">
        <v>3</v>
      </c>
      <c r="C232" s="251">
        <f>LOOKUP(_T7[[#This Row],[Etiquetas de fila]],'VALORIZACION CARTA'!B:B,'VALORIZACION CARTA'!C:C)</f>
        <v>1011.9253666666666</v>
      </c>
      <c r="D232" s="251">
        <f>SUM(_T7[[#This Row],[Recuento de T7 CODIGO]]*_T7[[#This Row],[VALORIZACION]])</f>
        <v>3035.7761</v>
      </c>
    </row>
    <row r="233" spans="1:4" x14ac:dyDescent="0.25">
      <c r="A233" s="250" t="s">
        <v>1030</v>
      </c>
      <c r="B233">
        <v>13</v>
      </c>
      <c r="C233" s="251">
        <f>LOOKUP(_T7[[#This Row],[Etiquetas de fila]],'VALORIZACION CARTA'!B:B,'VALORIZACION CARTA'!C:C)</f>
        <v>1011.9253666666666</v>
      </c>
      <c r="D233" s="251">
        <f>SUM(_T7[[#This Row],[Recuento de T7 CODIGO]]*_T7[[#This Row],[VALORIZACION]])</f>
        <v>13155.029766666667</v>
      </c>
    </row>
    <row r="234" spans="1:4" x14ac:dyDescent="0.25">
      <c r="A234" s="250" t="s">
        <v>866</v>
      </c>
      <c r="B234">
        <v>5</v>
      </c>
      <c r="C234" s="251">
        <f>LOOKUP(_T7[[#This Row],[Etiquetas de fila]],'VALORIZACION CARTA'!B:B,'VALORIZACION CARTA'!C:C)</f>
        <v>1011.9253666666666</v>
      </c>
      <c r="D234" s="251">
        <f>SUM(_T7[[#This Row],[Recuento de T7 CODIGO]]*_T7[[#This Row],[VALORIZACION]])</f>
        <v>5059.6268333333328</v>
      </c>
    </row>
    <row r="235" spans="1:4" x14ac:dyDescent="0.25">
      <c r="A235" s="250" t="s">
        <v>1058</v>
      </c>
      <c r="B235">
        <v>1</v>
      </c>
      <c r="C235" s="251">
        <f>LOOKUP(_T7[[#This Row],[Etiquetas de fila]],'VALORIZACION CARTA'!B:B,'VALORIZACION CARTA'!C:C)</f>
        <v>2635.3624999999997</v>
      </c>
      <c r="D235" s="251">
        <f>SUM(_T7[[#This Row],[Recuento de T7 CODIGO]]*_T7[[#This Row],[VALORIZACION]])</f>
        <v>2635.3624999999997</v>
      </c>
    </row>
    <row r="236" spans="1:4" x14ac:dyDescent="0.25">
      <c r="A236" s="250" t="s">
        <v>1031</v>
      </c>
      <c r="B236">
        <v>3783</v>
      </c>
      <c r="C236" s="251">
        <f>LOOKUP(_T7[[#This Row],[Etiquetas de fila]],'VALORIZACION CARTA'!B:B,'VALORIZACION CARTA'!C:C)</f>
        <v>675.04281250000008</v>
      </c>
      <c r="D236" s="251">
        <f>SUM(_T7[[#This Row],[Recuento de T7 CODIGO]]*_T7[[#This Row],[VALORIZACION]])</f>
        <v>2553686.9596875003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D4E05-FA38-4EA8-A934-7BB5387E9B9D}">
  <dimension ref="A1:D358"/>
  <sheetViews>
    <sheetView topLeftCell="A312" workbookViewId="0">
      <selection activeCell="B323" sqref="B323"/>
    </sheetView>
  </sheetViews>
  <sheetFormatPr baseColWidth="10" defaultRowHeight="15" x14ac:dyDescent="0.25"/>
  <cols>
    <col min="1" max="1" width="11.42578125" style="251"/>
    <col min="2" max="2" width="44" bestFit="1" customWidth="1"/>
    <col min="3" max="4" width="11.42578125" style="251"/>
  </cols>
  <sheetData>
    <row r="1" spans="1:4" x14ac:dyDescent="0.25">
      <c r="A1" s="251" t="s">
        <v>1080</v>
      </c>
      <c r="B1" t="s">
        <v>897</v>
      </c>
      <c r="C1" s="251" t="s">
        <v>1081</v>
      </c>
      <c r="D1" s="251" t="s">
        <v>1082</v>
      </c>
    </row>
    <row r="2" spans="1:4" x14ac:dyDescent="0.25">
      <c r="A2" s="251">
        <v>183</v>
      </c>
      <c r="B2" t="s">
        <v>420</v>
      </c>
      <c r="C2" s="251">
        <v>4179.0839999999998</v>
      </c>
      <c r="D2" s="251">
        <v>4179.0839999999998</v>
      </c>
    </row>
    <row r="3" spans="1:4" x14ac:dyDescent="0.25">
      <c r="A3" s="251">
        <v>185</v>
      </c>
      <c r="B3" t="s">
        <v>422</v>
      </c>
      <c r="C3" s="251">
        <v>2963.8265999999999</v>
      </c>
      <c r="D3" s="251">
        <v>2963.8265999999999</v>
      </c>
    </row>
    <row r="4" spans="1:4" x14ac:dyDescent="0.25">
      <c r="A4" s="251">
        <v>100</v>
      </c>
      <c r="B4" t="s">
        <v>222</v>
      </c>
      <c r="C4" s="251">
        <v>4416.8310000000001</v>
      </c>
      <c r="D4" s="251">
        <v>4114.0680000000002</v>
      </c>
    </row>
    <row r="5" spans="1:4" x14ac:dyDescent="0.25">
      <c r="A5" s="251">
        <v>95</v>
      </c>
      <c r="B5" t="s">
        <v>376</v>
      </c>
      <c r="C5" s="251">
        <v>1330.5275000000001</v>
      </c>
      <c r="D5" s="251">
        <v>1027.7645000000002</v>
      </c>
    </row>
    <row r="6" spans="1:4" x14ac:dyDescent="0.25">
      <c r="A6" s="251">
        <v>98</v>
      </c>
      <c r="B6" t="s">
        <v>379</v>
      </c>
      <c r="C6" s="251">
        <v>1119.376</v>
      </c>
      <c r="D6" s="251">
        <v>816.61299999999994</v>
      </c>
    </row>
    <row r="7" spans="1:4" x14ac:dyDescent="0.25">
      <c r="A7" s="251">
        <v>96</v>
      </c>
      <c r="B7" t="s">
        <v>377</v>
      </c>
      <c r="C7" s="251">
        <v>1469.5895</v>
      </c>
      <c r="D7" s="251">
        <v>1166.8265000000001</v>
      </c>
    </row>
    <row r="8" spans="1:4" x14ac:dyDescent="0.25">
      <c r="A8" s="251">
        <v>97</v>
      </c>
      <c r="B8" t="s">
        <v>378</v>
      </c>
      <c r="C8" s="251">
        <v>1231.047</v>
      </c>
      <c r="D8" s="251">
        <v>928.28399999999999</v>
      </c>
    </row>
    <row r="9" spans="1:4" x14ac:dyDescent="0.25">
      <c r="A9" s="251">
        <v>520</v>
      </c>
      <c r="B9" t="s">
        <v>433</v>
      </c>
      <c r="C9" s="251">
        <v>840.55253333333326</v>
      </c>
      <c r="D9" s="251">
        <v>840.55253333333326</v>
      </c>
    </row>
    <row r="10" spans="1:4" x14ac:dyDescent="0.25">
      <c r="A10" s="251">
        <v>109</v>
      </c>
      <c r="B10" t="s">
        <v>605</v>
      </c>
      <c r="C10" s="251">
        <v>908.22450000000003</v>
      </c>
      <c r="D10" s="251">
        <v>605.4615</v>
      </c>
    </row>
    <row r="11" spans="1:4" x14ac:dyDescent="0.25">
      <c r="A11" s="251">
        <v>108</v>
      </c>
      <c r="B11" t="s">
        <v>314</v>
      </c>
      <c r="C11" s="251">
        <v>1023.3517325</v>
      </c>
      <c r="D11" s="251">
        <v>720.58873249999999</v>
      </c>
    </row>
    <row r="12" spans="1:4" x14ac:dyDescent="0.25">
      <c r="A12" s="251">
        <v>106</v>
      </c>
      <c r="B12" t="s">
        <v>315</v>
      </c>
      <c r="C12" s="251">
        <v>735.52575000000002</v>
      </c>
      <c r="D12" s="251">
        <v>432.76275000000004</v>
      </c>
    </row>
    <row r="13" spans="1:4" x14ac:dyDescent="0.25">
      <c r="A13" s="251">
        <v>107</v>
      </c>
      <c r="B13" t="s">
        <v>534</v>
      </c>
      <c r="C13" s="251">
        <v>908.22450000000003</v>
      </c>
      <c r="D13" s="251">
        <v>605.4615</v>
      </c>
    </row>
    <row r="14" spans="1:4" x14ac:dyDescent="0.25">
      <c r="A14" s="251">
        <v>85</v>
      </c>
      <c r="B14" t="s">
        <v>208</v>
      </c>
      <c r="C14" s="251">
        <v>1640.1064499999998</v>
      </c>
      <c r="D14" s="251">
        <v>1640.1064499999998</v>
      </c>
    </row>
    <row r="15" spans="1:4" x14ac:dyDescent="0.25">
      <c r="A15" s="251">
        <v>140</v>
      </c>
      <c r="B15" t="s">
        <v>156</v>
      </c>
      <c r="C15" s="251">
        <v>783.2898275</v>
      </c>
      <c r="D15" s="251">
        <v>783.2898275</v>
      </c>
    </row>
    <row r="16" spans="1:4" x14ac:dyDescent="0.25">
      <c r="A16" s="251">
        <v>121</v>
      </c>
      <c r="B16" t="s">
        <v>390</v>
      </c>
      <c r="C16" s="251">
        <v>995.18124999999998</v>
      </c>
      <c r="D16" s="251">
        <v>995.18124999999998</v>
      </c>
    </row>
    <row r="17" spans="1:4" x14ac:dyDescent="0.25">
      <c r="A17" s="251">
        <v>32</v>
      </c>
      <c r="B17" t="s">
        <v>341</v>
      </c>
      <c r="C17" s="251">
        <v>1318.0254062500001</v>
      </c>
      <c r="D17" s="251">
        <v>1318.0254062500001</v>
      </c>
    </row>
    <row r="18" spans="1:4" x14ac:dyDescent="0.25">
      <c r="A18" s="251">
        <v>33</v>
      </c>
      <c r="B18" t="s">
        <v>342</v>
      </c>
      <c r="C18" s="251">
        <v>1274.51603125</v>
      </c>
      <c r="D18" s="251">
        <v>1274.51603125</v>
      </c>
    </row>
    <row r="19" spans="1:4" x14ac:dyDescent="0.25">
      <c r="A19" s="251">
        <v>31</v>
      </c>
      <c r="B19" t="s">
        <v>340</v>
      </c>
      <c r="C19" s="251">
        <v>1336.3216562499999</v>
      </c>
      <c r="D19" s="251">
        <v>1336.3216562499999</v>
      </c>
    </row>
    <row r="20" spans="1:4" x14ac:dyDescent="0.25">
      <c r="A20" s="251">
        <v>206</v>
      </c>
      <c r="B20" t="s">
        <v>432</v>
      </c>
      <c r="C20" s="251">
        <v>2109.2086250000002</v>
      </c>
      <c r="D20" s="251">
        <v>2109.2086250000002</v>
      </c>
    </row>
    <row r="21" spans="1:4" x14ac:dyDescent="0.25">
      <c r="A21" s="251">
        <v>170</v>
      </c>
      <c r="B21" t="s">
        <v>412</v>
      </c>
      <c r="C21" s="251">
        <v>584.29</v>
      </c>
      <c r="D21" s="251">
        <v>584.29</v>
      </c>
    </row>
    <row r="22" spans="1:4" x14ac:dyDescent="0.25">
      <c r="A22" s="251">
        <v>118</v>
      </c>
      <c r="B22" t="s">
        <v>387</v>
      </c>
      <c r="C22" s="251">
        <v>1143.8172</v>
      </c>
      <c r="D22" s="251">
        <v>841.05419999999992</v>
      </c>
    </row>
    <row r="23" spans="1:4" x14ac:dyDescent="0.25">
      <c r="A23" s="251">
        <v>138</v>
      </c>
      <c r="B23" t="s">
        <v>395</v>
      </c>
      <c r="C23" s="251">
        <v>2403.2813750000005</v>
      </c>
      <c r="D23" s="251">
        <v>2403.2813750000005</v>
      </c>
    </row>
    <row r="24" spans="1:4" x14ac:dyDescent="0.25">
      <c r="A24" s="251">
        <v>22</v>
      </c>
      <c r="B24" t="s">
        <v>33</v>
      </c>
      <c r="C24" s="251">
        <v>1472.6250000000002</v>
      </c>
      <c r="D24" s="251">
        <v>1472.6250000000002</v>
      </c>
    </row>
    <row r="25" spans="1:4" x14ac:dyDescent="0.25">
      <c r="A25" s="251">
        <v>141</v>
      </c>
      <c r="B25" t="s">
        <v>154</v>
      </c>
      <c r="C25" s="251">
        <v>469.48409666666663</v>
      </c>
      <c r="D25" s="251">
        <v>469.48409666666663</v>
      </c>
    </row>
    <row r="26" spans="1:4" x14ac:dyDescent="0.25">
      <c r="A26" s="251">
        <v>142</v>
      </c>
      <c r="B26" t="s">
        <v>157</v>
      </c>
      <c r="C26" s="251">
        <v>730.20718749999992</v>
      </c>
      <c r="D26" s="251">
        <v>730.20718749999992</v>
      </c>
    </row>
    <row r="27" spans="1:4" x14ac:dyDescent="0.25">
      <c r="A27" s="251">
        <v>252</v>
      </c>
      <c r="B27" t="s">
        <v>723</v>
      </c>
      <c r="C27" s="251">
        <v>5770.17</v>
      </c>
      <c r="D27" s="251">
        <v>5770.17</v>
      </c>
    </row>
    <row r="28" spans="1:4" x14ac:dyDescent="0.25">
      <c r="A28" s="251">
        <v>250</v>
      </c>
      <c r="B28" t="s">
        <v>472</v>
      </c>
      <c r="C28" s="251">
        <v>10277.645000000002</v>
      </c>
      <c r="D28" s="251">
        <v>10277.645000000002</v>
      </c>
    </row>
    <row r="29" spans="1:4" x14ac:dyDescent="0.25">
      <c r="A29" s="251">
        <v>250</v>
      </c>
      <c r="B29" t="s">
        <v>471</v>
      </c>
      <c r="C29" s="251">
        <v>11668.265000000001</v>
      </c>
      <c r="D29" s="251">
        <v>11668.265000000001</v>
      </c>
    </row>
    <row r="30" spans="1:4" x14ac:dyDescent="0.25">
      <c r="A30" s="251">
        <v>250</v>
      </c>
      <c r="B30" t="s">
        <v>473</v>
      </c>
      <c r="C30" s="251">
        <v>9780.6187499999978</v>
      </c>
      <c r="D30" s="251">
        <v>9780.6187499999978</v>
      </c>
    </row>
    <row r="31" spans="1:4" x14ac:dyDescent="0.25">
      <c r="A31" s="251">
        <v>250</v>
      </c>
      <c r="B31" t="s">
        <v>474</v>
      </c>
      <c r="C31" s="251">
        <v>19012.665000000001</v>
      </c>
      <c r="D31" s="251">
        <v>19012.665000000001</v>
      </c>
    </row>
    <row r="32" spans="1:4" x14ac:dyDescent="0.25">
      <c r="A32" s="251">
        <v>204</v>
      </c>
      <c r="B32" t="s">
        <v>430</v>
      </c>
      <c r="C32" s="251">
        <v>452.69583333333333</v>
      </c>
      <c r="D32" s="251">
        <v>452.69583333333333</v>
      </c>
    </row>
    <row r="33" spans="1:4" x14ac:dyDescent="0.25">
      <c r="A33" s="251">
        <v>110</v>
      </c>
      <c r="B33" t="s">
        <v>535</v>
      </c>
      <c r="C33" s="251">
        <v>835.21243500000003</v>
      </c>
      <c r="D33" s="251">
        <v>532.44943499999999</v>
      </c>
    </row>
    <row r="34" spans="1:4" x14ac:dyDescent="0.25">
      <c r="A34" s="251">
        <v>111</v>
      </c>
      <c r="B34" t="s">
        <v>536</v>
      </c>
      <c r="C34" s="251">
        <v>930.67007000000012</v>
      </c>
      <c r="D34" s="251">
        <v>627.90707000000009</v>
      </c>
    </row>
    <row r="35" spans="1:4" x14ac:dyDescent="0.25">
      <c r="A35" s="251">
        <v>165</v>
      </c>
      <c r="B35" t="s">
        <v>411</v>
      </c>
      <c r="C35" s="251">
        <v>824.44499999999994</v>
      </c>
      <c r="D35" s="251">
        <v>824.44499999999994</v>
      </c>
    </row>
    <row r="36" spans="1:4" x14ac:dyDescent="0.25">
      <c r="A36" s="251">
        <v>78</v>
      </c>
      <c r="B36" t="s">
        <v>139</v>
      </c>
      <c r="C36" s="251">
        <v>557.9765625</v>
      </c>
      <c r="D36" s="251">
        <v>557.9765625</v>
      </c>
    </row>
    <row r="37" spans="1:4" x14ac:dyDescent="0.25">
      <c r="A37" s="251">
        <v>77</v>
      </c>
      <c r="B37" t="s">
        <v>141</v>
      </c>
      <c r="C37" s="251">
        <v>552.1753124999999</v>
      </c>
      <c r="D37" s="251">
        <v>552.1753124999999</v>
      </c>
    </row>
    <row r="38" spans="1:4" x14ac:dyDescent="0.25">
      <c r="A38" s="251">
        <v>79</v>
      </c>
      <c r="B38" t="s">
        <v>140</v>
      </c>
      <c r="C38" s="251">
        <v>560.41606249999995</v>
      </c>
      <c r="D38" s="251">
        <v>560.41606249999995</v>
      </c>
    </row>
    <row r="39" spans="1:4" x14ac:dyDescent="0.25">
      <c r="A39" s="251">
        <v>76</v>
      </c>
      <c r="B39" t="s">
        <v>369</v>
      </c>
      <c r="C39" s="251">
        <v>536.40037499999994</v>
      </c>
      <c r="D39" s="251">
        <v>536.40037499999994</v>
      </c>
    </row>
    <row r="40" spans="1:4" x14ac:dyDescent="0.25">
      <c r="A40" s="251">
        <v>81</v>
      </c>
      <c r="B40" t="s">
        <v>652</v>
      </c>
      <c r="C40" s="251">
        <v>380.15381250000002</v>
      </c>
      <c r="D40" s="251">
        <v>380.15381250000002</v>
      </c>
    </row>
    <row r="41" spans="1:4" x14ac:dyDescent="0.25">
      <c r="A41" s="251">
        <v>83</v>
      </c>
      <c r="B41" t="s">
        <v>143</v>
      </c>
      <c r="C41" s="251">
        <v>388.39456250000001</v>
      </c>
      <c r="D41" s="251">
        <v>388.39456250000001</v>
      </c>
    </row>
    <row r="42" spans="1:4" x14ac:dyDescent="0.25">
      <c r="A42" s="251">
        <v>80</v>
      </c>
      <c r="B42" t="s">
        <v>370</v>
      </c>
      <c r="C42" s="251">
        <v>364.37887499999999</v>
      </c>
      <c r="D42" s="251">
        <v>364.37887499999999</v>
      </c>
    </row>
    <row r="43" spans="1:4" x14ac:dyDescent="0.25">
      <c r="A43" s="251">
        <v>82</v>
      </c>
      <c r="B43" t="s">
        <v>608</v>
      </c>
      <c r="C43" s="251">
        <v>385.9550625</v>
      </c>
      <c r="D43" s="251">
        <v>385.9550625</v>
      </c>
    </row>
    <row r="44" spans="1:4" x14ac:dyDescent="0.25">
      <c r="A44" s="251">
        <v>6</v>
      </c>
      <c r="B44" t="s">
        <v>329</v>
      </c>
      <c r="C44" s="251">
        <v>2096.0386885245898</v>
      </c>
      <c r="D44" s="251">
        <v>2096.0386885245898</v>
      </c>
    </row>
    <row r="45" spans="1:4" x14ac:dyDescent="0.25">
      <c r="A45" s="251">
        <v>176</v>
      </c>
      <c r="B45" t="s">
        <v>418</v>
      </c>
      <c r="C45" s="251">
        <v>1291.4972599999999</v>
      </c>
      <c r="D45" s="251">
        <v>1291.4972599999999</v>
      </c>
    </row>
    <row r="46" spans="1:4" x14ac:dyDescent="0.25">
      <c r="A46" s="251">
        <v>207</v>
      </c>
      <c r="B46" t="s">
        <v>643</v>
      </c>
      <c r="C46" s="251">
        <v>5620.4549999999999</v>
      </c>
      <c r="D46" s="251">
        <v>5620.4549999999999</v>
      </c>
    </row>
    <row r="47" spans="1:4" x14ac:dyDescent="0.25">
      <c r="A47" s="251">
        <v>451</v>
      </c>
      <c r="B47" t="s">
        <v>734</v>
      </c>
      <c r="C47" s="251">
        <v>5620.4549999999999</v>
      </c>
      <c r="D47" s="251">
        <v>5620.4549999999999</v>
      </c>
    </row>
    <row r="48" spans="1:4" x14ac:dyDescent="0.25">
      <c r="A48" s="251">
        <v>453</v>
      </c>
      <c r="B48" t="s">
        <v>650</v>
      </c>
      <c r="C48" s="251">
        <v>10420.65</v>
      </c>
      <c r="D48" s="251">
        <v>10420.65</v>
      </c>
    </row>
    <row r="49" spans="1:4" x14ac:dyDescent="0.25">
      <c r="A49" s="251">
        <v>29</v>
      </c>
      <c r="B49" t="s">
        <v>609</v>
      </c>
      <c r="C49" s="251">
        <v>5020.5566775956286</v>
      </c>
      <c r="D49" s="251">
        <v>5020.5566775956286</v>
      </c>
    </row>
    <row r="50" spans="1:4" x14ac:dyDescent="0.25">
      <c r="A50" s="251">
        <v>18</v>
      </c>
      <c r="B50" t="s">
        <v>207</v>
      </c>
      <c r="C50" s="251">
        <v>5736.3950000000004</v>
      </c>
      <c r="D50" s="251">
        <v>5736.3950000000004</v>
      </c>
    </row>
    <row r="51" spans="1:4" x14ac:dyDescent="0.25">
      <c r="A51" s="251">
        <v>19</v>
      </c>
      <c r="B51" t="s">
        <v>335</v>
      </c>
      <c r="C51" s="251">
        <v>3519.4250000000002</v>
      </c>
      <c r="D51" s="251">
        <v>3519.4250000000002</v>
      </c>
    </row>
    <row r="52" spans="1:4" x14ac:dyDescent="0.25">
      <c r="A52" s="251">
        <v>17</v>
      </c>
      <c r="B52" t="s">
        <v>25</v>
      </c>
      <c r="C52" s="251">
        <v>2751.875</v>
      </c>
      <c r="D52" s="251">
        <v>2751.875</v>
      </c>
    </row>
    <row r="53" spans="1:4" x14ac:dyDescent="0.25">
      <c r="A53" s="251">
        <v>20</v>
      </c>
      <c r="B53" t="s">
        <v>336</v>
      </c>
      <c r="C53" s="251">
        <v>3628.0124999999998</v>
      </c>
      <c r="D53" s="251">
        <v>3628.0124999999998</v>
      </c>
    </row>
    <row r="54" spans="1:4" x14ac:dyDescent="0.25">
      <c r="A54" s="251">
        <v>16</v>
      </c>
      <c r="B54" t="s">
        <v>334</v>
      </c>
      <c r="C54" s="251">
        <v>3943.0650000000001</v>
      </c>
      <c r="D54" s="251">
        <v>3943.0650000000001</v>
      </c>
    </row>
    <row r="55" spans="1:4" x14ac:dyDescent="0.25">
      <c r="A55" s="251">
        <v>205</v>
      </c>
      <c r="B55" t="s">
        <v>431</v>
      </c>
      <c r="C55" s="251">
        <v>2932.5</v>
      </c>
      <c r="D55" s="251">
        <v>2932.5</v>
      </c>
    </row>
    <row r="56" spans="1:4" x14ac:dyDescent="0.25">
      <c r="A56" s="251">
        <v>1</v>
      </c>
      <c r="B56" t="s">
        <v>724</v>
      </c>
      <c r="C56" s="251">
        <v>1087.0650000000001</v>
      </c>
      <c r="D56" s="251">
        <v>1087.0650000000001</v>
      </c>
    </row>
    <row r="57" spans="1:4" x14ac:dyDescent="0.25">
      <c r="A57" s="251">
        <v>406</v>
      </c>
      <c r="B57" t="s">
        <v>607</v>
      </c>
      <c r="C57" s="251">
        <v>2311.2775000000001</v>
      </c>
      <c r="D57" s="251">
        <v>2311.2775000000001</v>
      </c>
    </row>
    <row r="58" spans="1:4" x14ac:dyDescent="0.25">
      <c r="A58" s="251">
        <v>143</v>
      </c>
      <c r="B58" t="s">
        <v>397</v>
      </c>
      <c r="C58" s="251">
        <v>1151.1932600000002</v>
      </c>
      <c r="D58" s="251">
        <v>1151.1932600000002</v>
      </c>
    </row>
    <row r="59" spans="1:4" x14ac:dyDescent="0.25">
      <c r="A59" s="251">
        <v>41</v>
      </c>
      <c r="B59" t="s">
        <v>350</v>
      </c>
      <c r="C59" s="251">
        <v>664.35</v>
      </c>
      <c r="D59" s="251">
        <v>664.35</v>
      </c>
    </row>
    <row r="60" spans="1:4" x14ac:dyDescent="0.25">
      <c r="A60" s="251">
        <v>43</v>
      </c>
      <c r="B60" t="s">
        <v>351</v>
      </c>
      <c r="C60" s="251">
        <v>664.24679999999989</v>
      </c>
      <c r="D60" s="251">
        <v>664.24679999999989</v>
      </c>
    </row>
    <row r="61" spans="1:4" x14ac:dyDescent="0.25">
      <c r="A61" s="251">
        <v>42</v>
      </c>
      <c r="B61" t="s">
        <v>316</v>
      </c>
      <c r="C61" s="251">
        <v>664.24679999999989</v>
      </c>
      <c r="D61" s="251">
        <v>664.24679999999989</v>
      </c>
    </row>
    <row r="62" spans="1:4" x14ac:dyDescent="0.25">
      <c r="A62" s="251">
        <v>163</v>
      </c>
      <c r="B62" t="s">
        <v>409</v>
      </c>
      <c r="C62" s="251">
        <v>855.13499999999999</v>
      </c>
      <c r="D62" s="251">
        <v>855.13499999999999</v>
      </c>
    </row>
    <row r="63" spans="1:4" x14ac:dyDescent="0.25">
      <c r="A63" s="251">
        <v>135</v>
      </c>
      <c r="B63" t="s">
        <v>148</v>
      </c>
      <c r="C63" s="251">
        <v>427.84008749999998</v>
      </c>
      <c r="D63" s="251">
        <v>427.84008749999998</v>
      </c>
    </row>
    <row r="64" spans="1:4" x14ac:dyDescent="0.25">
      <c r="A64" s="251">
        <v>12</v>
      </c>
      <c r="B64" t="s">
        <v>333</v>
      </c>
      <c r="C64" s="251">
        <v>2207.8986885245899</v>
      </c>
      <c r="D64" s="251">
        <v>2207.8986885245899</v>
      </c>
    </row>
    <row r="65" spans="1:4" x14ac:dyDescent="0.25">
      <c r="A65" s="251">
        <v>167</v>
      </c>
      <c r="B65" t="s">
        <v>579</v>
      </c>
      <c r="C65" s="251">
        <v>644.49</v>
      </c>
      <c r="D65" s="251">
        <v>644.49</v>
      </c>
    </row>
    <row r="66" spans="1:4" x14ac:dyDescent="0.25">
      <c r="A66" s="251">
        <v>166</v>
      </c>
      <c r="B66" t="s">
        <v>578</v>
      </c>
      <c r="C66" s="251">
        <v>940.42529999999999</v>
      </c>
      <c r="D66" s="251">
        <v>940.42529999999999</v>
      </c>
    </row>
    <row r="67" spans="1:4" x14ac:dyDescent="0.25">
      <c r="A67" s="251">
        <v>168</v>
      </c>
      <c r="B67" t="s">
        <v>580</v>
      </c>
      <c r="C67" s="251">
        <v>644.49</v>
      </c>
      <c r="D67" s="251">
        <v>644.49</v>
      </c>
    </row>
    <row r="68" spans="1:4" x14ac:dyDescent="0.25">
      <c r="A68" s="251">
        <v>169</v>
      </c>
      <c r="B68" t="s">
        <v>581</v>
      </c>
      <c r="C68" s="251">
        <v>658.44</v>
      </c>
      <c r="D68" s="251">
        <v>658.44</v>
      </c>
    </row>
    <row r="69" spans="1:4" x14ac:dyDescent="0.25">
      <c r="A69" s="251">
        <v>169</v>
      </c>
      <c r="B69" t="s">
        <v>666</v>
      </c>
      <c r="C69" s="251">
        <v>9073.875</v>
      </c>
      <c r="D69" s="251">
        <v>9073.875</v>
      </c>
    </row>
    <row r="70" spans="1:4" x14ac:dyDescent="0.25">
      <c r="A70" s="251">
        <v>394</v>
      </c>
      <c r="B70" t="s">
        <v>672</v>
      </c>
      <c r="C70" s="251">
        <v>815.14999999999986</v>
      </c>
      <c r="D70" s="251">
        <v>815.14999999999986</v>
      </c>
    </row>
    <row r="71" spans="1:4" x14ac:dyDescent="0.25">
      <c r="A71" s="251">
        <v>325</v>
      </c>
      <c r="B71" t="s">
        <v>569</v>
      </c>
      <c r="C71" s="251">
        <v>1446.6830000000002</v>
      </c>
      <c r="D71" s="251">
        <v>1446.6830000000002</v>
      </c>
    </row>
    <row r="72" spans="1:4" x14ac:dyDescent="0.25">
      <c r="A72" s="251">
        <v>399</v>
      </c>
      <c r="B72" t="s">
        <v>519</v>
      </c>
      <c r="C72" s="251">
        <v>1648.8899999999999</v>
      </c>
      <c r="D72" s="251">
        <v>1648.8899999999999</v>
      </c>
    </row>
    <row r="73" spans="1:4" x14ac:dyDescent="0.25">
      <c r="A73" s="251">
        <v>399</v>
      </c>
      <c r="B73" t="s">
        <v>539</v>
      </c>
      <c r="C73" s="251">
        <v>2096.0386885245898</v>
      </c>
      <c r="D73" s="251">
        <v>2096.0386885245898</v>
      </c>
    </row>
    <row r="74" spans="1:4" x14ac:dyDescent="0.25">
      <c r="A74" s="251">
        <v>314</v>
      </c>
      <c r="B74" t="s">
        <v>540</v>
      </c>
      <c r="C74" s="251">
        <v>5736.3950000000004</v>
      </c>
      <c r="D74" s="251">
        <v>5736.3950000000004</v>
      </c>
    </row>
    <row r="75" spans="1:4" x14ac:dyDescent="0.25">
      <c r="A75" s="251">
        <v>313</v>
      </c>
      <c r="B75" t="s">
        <v>531</v>
      </c>
      <c r="C75" s="251">
        <v>3519.4250000000002</v>
      </c>
      <c r="D75" s="251">
        <v>3519.4250000000002</v>
      </c>
    </row>
    <row r="76" spans="1:4" x14ac:dyDescent="0.25">
      <c r="A76" s="251">
        <v>311</v>
      </c>
      <c r="B76" t="s">
        <v>532</v>
      </c>
      <c r="C76" s="251">
        <v>2751.875</v>
      </c>
      <c r="D76" s="251">
        <v>2751.875</v>
      </c>
    </row>
    <row r="77" spans="1:4" x14ac:dyDescent="0.25">
      <c r="A77" s="251">
        <v>312</v>
      </c>
      <c r="B77" t="s">
        <v>524</v>
      </c>
      <c r="C77" s="251">
        <v>3717.6790000000005</v>
      </c>
      <c r="D77" s="251">
        <v>3717.6790000000005</v>
      </c>
    </row>
    <row r="78" spans="1:4" x14ac:dyDescent="0.25">
      <c r="A78" s="251">
        <v>328</v>
      </c>
      <c r="B78" t="s">
        <v>613</v>
      </c>
      <c r="C78" s="251">
        <v>1087.0650000000001</v>
      </c>
      <c r="D78" s="251">
        <v>1087.0650000000001</v>
      </c>
    </row>
    <row r="79" spans="1:4" x14ac:dyDescent="0.25">
      <c r="A79" s="251">
        <v>397</v>
      </c>
      <c r="B79" t="s">
        <v>517</v>
      </c>
      <c r="C79" s="251">
        <v>1328.7</v>
      </c>
      <c r="D79" s="251">
        <v>1328.7</v>
      </c>
    </row>
    <row r="80" spans="1:4" x14ac:dyDescent="0.25">
      <c r="A80" s="251">
        <v>390</v>
      </c>
      <c r="B80" t="s">
        <v>541</v>
      </c>
      <c r="C80" s="251">
        <v>3062.46</v>
      </c>
      <c r="D80" s="251">
        <v>3062.46</v>
      </c>
    </row>
    <row r="81" spans="1:4" x14ac:dyDescent="0.25">
      <c r="A81" s="251">
        <v>391</v>
      </c>
      <c r="B81" t="s">
        <v>512</v>
      </c>
      <c r="C81" s="251">
        <v>3227.58</v>
      </c>
      <c r="D81" s="251">
        <v>3227.58</v>
      </c>
    </row>
    <row r="82" spans="1:4" x14ac:dyDescent="0.25">
      <c r="A82" s="251">
        <v>395</v>
      </c>
      <c r="B82" t="s">
        <v>515</v>
      </c>
      <c r="C82" s="251">
        <v>1328.4935999999998</v>
      </c>
      <c r="D82" s="251">
        <v>1328.4935999999998</v>
      </c>
    </row>
    <row r="83" spans="1:4" x14ac:dyDescent="0.25">
      <c r="A83" s="251">
        <v>398</v>
      </c>
      <c r="B83" t="s">
        <v>518</v>
      </c>
      <c r="C83" s="251">
        <v>1710.27</v>
      </c>
      <c r="D83" s="251">
        <v>1710.27</v>
      </c>
    </row>
    <row r="84" spans="1:4" x14ac:dyDescent="0.25">
      <c r="A84" s="251">
        <v>332</v>
      </c>
      <c r="B84" t="s">
        <v>528</v>
      </c>
      <c r="C84" s="251">
        <v>2207.8986885245899</v>
      </c>
      <c r="D84" s="251">
        <v>2207.8986885245899</v>
      </c>
    </row>
    <row r="85" spans="1:4" x14ac:dyDescent="0.25">
      <c r="A85" s="251">
        <v>324</v>
      </c>
      <c r="B85" t="s">
        <v>665</v>
      </c>
      <c r="C85" s="251">
        <v>3641.1716333333334</v>
      </c>
      <c r="D85" s="251">
        <v>3641.1716333333334</v>
      </c>
    </row>
    <row r="86" spans="1:4" x14ac:dyDescent="0.25">
      <c r="A86" s="251">
        <v>326</v>
      </c>
      <c r="B86" t="s">
        <v>527</v>
      </c>
      <c r="C86" s="251">
        <v>4426.8</v>
      </c>
      <c r="D86" s="251">
        <v>4426.8</v>
      </c>
    </row>
    <row r="87" spans="1:4" x14ac:dyDescent="0.25">
      <c r="A87" s="251">
        <v>318</v>
      </c>
      <c r="B87" t="s">
        <v>525</v>
      </c>
      <c r="C87" s="251">
        <v>5780.0534968750017</v>
      </c>
      <c r="D87" s="251">
        <v>5780.0534968750017</v>
      </c>
    </row>
    <row r="88" spans="1:4" x14ac:dyDescent="0.25">
      <c r="A88" s="251">
        <v>317</v>
      </c>
      <c r="B88" t="s">
        <v>542</v>
      </c>
      <c r="C88" s="251">
        <v>7062.8060655737709</v>
      </c>
      <c r="D88" s="251">
        <v>7062.8060655737709</v>
      </c>
    </row>
    <row r="89" spans="1:4" x14ac:dyDescent="0.25">
      <c r="A89" s="251">
        <v>393</v>
      </c>
      <c r="B89" t="s">
        <v>514</v>
      </c>
      <c r="C89" s="251">
        <v>3134.7</v>
      </c>
      <c r="D89" s="251">
        <v>3134.7</v>
      </c>
    </row>
    <row r="90" spans="1:4" x14ac:dyDescent="0.25">
      <c r="A90" s="251">
        <v>333</v>
      </c>
      <c r="B90" t="s">
        <v>543</v>
      </c>
      <c r="C90" s="251">
        <v>1566.7723076923078</v>
      </c>
      <c r="D90" s="251">
        <v>1566.7723076923078</v>
      </c>
    </row>
    <row r="91" spans="1:4" x14ac:dyDescent="0.25">
      <c r="A91" s="251">
        <v>367</v>
      </c>
      <c r="B91" t="s">
        <v>614</v>
      </c>
      <c r="C91" s="251">
        <v>10563.5664375</v>
      </c>
      <c r="D91" s="251">
        <v>10563.5664375</v>
      </c>
    </row>
    <row r="92" spans="1:4" x14ac:dyDescent="0.25">
      <c r="A92" s="251">
        <v>388</v>
      </c>
      <c r="B92" t="s">
        <v>510</v>
      </c>
      <c r="C92" s="251">
        <v>1154.8725000000002</v>
      </c>
      <c r="D92" s="251">
        <v>1154.8725000000002</v>
      </c>
    </row>
    <row r="93" spans="1:4" x14ac:dyDescent="0.25">
      <c r="A93" s="251">
        <v>329</v>
      </c>
      <c r="B93" t="s">
        <v>544</v>
      </c>
      <c r="C93" s="251">
        <v>3146.3599999999997</v>
      </c>
      <c r="D93" s="251">
        <v>3146.3599999999997</v>
      </c>
    </row>
    <row r="94" spans="1:4" x14ac:dyDescent="0.25">
      <c r="A94" s="251">
        <v>310</v>
      </c>
      <c r="B94" t="s">
        <v>587</v>
      </c>
      <c r="C94" s="251">
        <v>1037.68</v>
      </c>
      <c r="D94" s="251">
        <v>1037.68</v>
      </c>
    </row>
    <row r="95" spans="1:4" x14ac:dyDescent="0.25">
      <c r="A95" s="251">
        <v>316</v>
      </c>
      <c r="B95" t="s">
        <v>545</v>
      </c>
      <c r="C95" s="251">
        <v>7892.8534999999993</v>
      </c>
      <c r="D95" s="251">
        <v>7892.8534999999993</v>
      </c>
    </row>
    <row r="96" spans="1:4" x14ac:dyDescent="0.25">
      <c r="A96" s="251">
        <v>334</v>
      </c>
      <c r="B96" t="s">
        <v>568</v>
      </c>
      <c r="C96" s="251">
        <v>1493.4683076923077</v>
      </c>
      <c r="D96" s="251">
        <v>1493.4683076923077</v>
      </c>
    </row>
    <row r="97" spans="1:4" x14ac:dyDescent="0.25">
      <c r="A97" s="251">
        <v>341</v>
      </c>
      <c r="B97" t="s">
        <v>476</v>
      </c>
      <c r="C97" s="251">
        <v>5770.17</v>
      </c>
      <c r="D97" s="251">
        <v>5770.17</v>
      </c>
    </row>
    <row r="98" spans="1:4" x14ac:dyDescent="0.25">
      <c r="A98" s="251">
        <v>340</v>
      </c>
      <c r="B98" t="s">
        <v>475</v>
      </c>
      <c r="C98" s="251">
        <v>11244.465</v>
      </c>
      <c r="D98" s="251">
        <v>11244.465</v>
      </c>
    </row>
    <row r="99" spans="1:4" x14ac:dyDescent="0.25">
      <c r="A99" s="251">
        <v>348</v>
      </c>
      <c r="B99" t="s">
        <v>481</v>
      </c>
      <c r="C99" s="251">
        <v>16401.573968749999</v>
      </c>
      <c r="D99" s="251">
        <v>16401.573968749999</v>
      </c>
    </row>
    <row r="100" spans="1:4" x14ac:dyDescent="0.25">
      <c r="A100" s="251">
        <v>348</v>
      </c>
      <c r="B100" t="s">
        <v>482</v>
      </c>
      <c r="C100" s="251">
        <v>18030.547968749997</v>
      </c>
      <c r="D100" s="251">
        <v>18030.547968749997</v>
      </c>
    </row>
    <row r="101" spans="1:4" x14ac:dyDescent="0.25">
      <c r="A101" s="251">
        <v>368</v>
      </c>
      <c r="B101" t="s">
        <v>546</v>
      </c>
      <c r="C101" s="251">
        <v>1609.2011249999996</v>
      </c>
      <c r="D101" s="251">
        <v>1609.2011249999996</v>
      </c>
    </row>
    <row r="102" spans="1:4" x14ac:dyDescent="0.25">
      <c r="A102" s="251">
        <v>369</v>
      </c>
      <c r="B102" t="s">
        <v>589</v>
      </c>
      <c r="C102" s="251">
        <v>5552.2661250000001</v>
      </c>
      <c r="D102" s="251">
        <v>5552.2661250000001</v>
      </c>
    </row>
    <row r="103" spans="1:4" x14ac:dyDescent="0.25">
      <c r="A103" s="251">
        <v>370</v>
      </c>
      <c r="B103" t="s">
        <v>495</v>
      </c>
      <c r="C103" s="251">
        <v>1114.3446562500001</v>
      </c>
      <c r="D103" s="251">
        <v>1114.3446562500001</v>
      </c>
    </row>
    <row r="104" spans="1:4" x14ac:dyDescent="0.25">
      <c r="A104" s="251">
        <v>371</v>
      </c>
      <c r="B104" t="s">
        <v>496</v>
      </c>
      <c r="C104" s="251">
        <v>5057.4096562499999</v>
      </c>
      <c r="D104" s="251">
        <v>5057.4096562499999</v>
      </c>
    </row>
    <row r="105" spans="1:4" x14ac:dyDescent="0.25">
      <c r="A105" s="251">
        <v>344</v>
      </c>
      <c r="B105" t="s">
        <v>478</v>
      </c>
      <c r="C105" s="251">
        <v>10910.863496874999</v>
      </c>
      <c r="D105" s="251">
        <v>10910.863496874999</v>
      </c>
    </row>
    <row r="106" spans="1:4" x14ac:dyDescent="0.25">
      <c r="A106" s="251">
        <v>352</v>
      </c>
      <c r="B106" t="s">
        <v>736</v>
      </c>
      <c r="C106" s="251">
        <v>1603.4963437500001</v>
      </c>
      <c r="D106" s="251">
        <v>1603.4963437500001</v>
      </c>
    </row>
    <row r="107" spans="1:4" x14ac:dyDescent="0.25">
      <c r="A107" s="251">
        <v>353</v>
      </c>
      <c r="B107" t="s">
        <v>485</v>
      </c>
      <c r="C107" s="251">
        <v>5471.9520624999996</v>
      </c>
      <c r="D107" s="251">
        <v>5471.9520624999996</v>
      </c>
    </row>
    <row r="108" spans="1:4" x14ac:dyDescent="0.25">
      <c r="A108" s="251">
        <v>354</v>
      </c>
      <c r="B108" t="s">
        <v>486</v>
      </c>
      <c r="C108" s="251">
        <v>24714.174999999999</v>
      </c>
      <c r="D108" s="251">
        <v>24714.174999999999</v>
      </c>
    </row>
    <row r="109" spans="1:4" x14ac:dyDescent="0.25">
      <c r="A109" s="251">
        <v>355</v>
      </c>
      <c r="B109" t="s">
        <v>487</v>
      </c>
      <c r="C109" s="251">
        <v>28431.853999999996</v>
      </c>
      <c r="D109" s="251">
        <v>28431.853999999996</v>
      </c>
    </row>
    <row r="110" spans="1:4" x14ac:dyDescent="0.25">
      <c r="A110" s="251">
        <v>356</v>
      </c>
      <c r="B110" t="s">
        <v>488</v>
      </c>
      <c r="C110" s="251">
        <v>14455.45</v>
      </c>
      <c r="D110" s="251">
        <v>14455.45</v>
      </c>
    </row>
    <row r="111" spans="1:4" x14ac:dyDescent="0.25">
      <c r="A111" s="251">
        <v>357</v>
      </c>
      <c r="B111" t="s">
        <v>489</v>
      </c>
      <c r="C111" s="251">
        <v>18173.128999999997</v>
      </c>
      <c r="D111" s="251">
        <v>18173.128999999997</v>
      </c>
    </row>
    <row r="112" spans="1:4" x14ac:dyDescent="0.25">
      <c r="A112" s="251">
        <v>376</v>
      </c>
      <c r="B112" t="s">
        <v>501</v>
      </c>
      <c r="C112" s="251">
        <v>15507.09</v>
      </c>
      <c r="D112" s="251">
        <v>15507.09</v>
      </c>
    </row>
    <row r="113" spans="1:4" x14ac:dyDescent="0.25">
      <c r="A113" s="251">
        <v>377</v>
      </c>
      <c r="B113" t="s">
        <v>502</v>
      </c>
      <c r="C113" s="251">
        <v>19450.154999999999</v>
      </c>
      <c r="D113" s="251">
        <v>19450.154999999999</v>
      </c>
    </row>
    <row r="114" spans="1:4" x14ac:dyDescent="0.25">
      <c r="A114" s="251">
        <v>360</v>
      </c>
      <c r="B114" t="s">
        <v>491</v>
      </c>
      <c r="C114" s="251">
        <v>3706.1527999999998</v>
      </c>
      <c r="D114" s="251">
        <v>3706.1527999999998</v>
      </c>
    </row>
    <row r="115" spans="1:4" x14ac:dyDescent="0.25">
      <c r="A115" s="251">
        <v>361</v>
      </c>
      <c r="B115" t="s">
        <v>492</v>
      </c>
      <c r="C115" s="251">
        <v>7649.2178000000004</v>
      </c>
      <c r="D115" s="251">
        <v>7649.2178000000004</v>
      </c>
    </row>
    <row r="116" spans="1:4" x14ac:dyDescent="0.25">
      <c r="A116" s="251">
        <v>358</v>
      </c>
      <c r="B116" t="s">
        <v>490</v>
      </c>
      <c r="C116" s="251">
        <v>2618.9987249999995</v>
      </c>
      <c r="D116" s="251">
        <v>2618.9987249999995</v>
      </c>
    </row>
    <row r="117" spans="1:4" x14ac:dyDescent="0.25">
      <c r="A117" s="251">
        <v>359</v>
      </c>
      <c r="B117" t="s">
        <v>615</v>
      </c>
      <c r="C117" s="251">
        <v>6604.4797875000004</v>
      </c>
      <c r="D117" s="251">
        <v>6604.4797875000004</v>
      </c>
    </row>
    <row r="118" spans="1:4" x14ac:dyDescent="0.25">
      <c r="A118" s="251">
        <v>384</v>
      </c>
      <c r="B118" t="s">
        <v>506</v>
      </c>
      <c r="C118" s="251">
        <v>5675.4885468749999</v>
      </c>
      <c r="D118" s="251">
        <v>5675.4885468749999</v>
      </c>
    </row>
    <row r="119" spans="1:4" x14ac:dyDescent="0.25">
      <c r="A119" s="251">
        <v>385</v>
      </c>
      <c r="B119" t="s">
        <v>507</v>
      </c>
      <c r="C119" s="251">
        <v>6453.2193687500003</v>
      </c>
      <c r="D119" s="251">
        <v>6453.2193687500003</v>
      </c>
    </row>
    <row r="120" spans="1:4" x14ac:dyDescent="0.25">
      <c r="A120" s="251">
        <v>385</v>
      </c>
      <c r="B120" t="s">
        <v>761</v>
      </c>
      <c r="C120" s="251">
        <v>1732.4235468750001</v>
      </c>
      <c r="D120" s="251">
        <v>1732.4235468750001</v>
      </c>
    </row>
    <row r="121" spans="1:4" x14ac:dyDescent="0.25">
      <c r="A121" s="251">
        <v>381</v>
      </c>
      <c r="B121" t="s">
        <v>504</v>
      </c>
      <c r="C121" s="251">
        <v>5797.9004999999997</v>
      </c>
      <c r="D121" s="251">
        <v>5797.9004999999997</v>
      </c>
    </row>
    <row r="122" spans="1:4" x14ac:dyDescent="0.25">
      <c r="A122" s="251">
        <v>382</v>
      </c>
      <c r="B122" t="s">
        <v>505</v>
      </c>
      <c r="C122" s="251">
        <v>6485.8625562500001</v>
      </c>
      <c r="D122" s="251">
        <v>6485.8625562500001</v>
      </c>
    </row>
    <row r="123" spans="1:4" x14ac:dyDescent="0.25">
      <c r="A123" s="251">
        <v>345</v>
      </c>
      <c r="B123" t="s">
        <v>667</v>
      </c>
      <c r="C123" s="251">
        <v>2347.2574999999997</v>
      </c>
      <c r="D123" s="251">
        <v>2347.2574999999997</v>
      </c>
    </row>
    <row r="124" spans="1:4" x14ac:dyDescent="0.25">
      <c r="A124" s="251">
        <v>346</v>
      </c>
      <c r="B124" t="s">
        <v>479</v>
      </c>
      <c r="C124" s="251">
        <v>5433.2659062500006</v>
      </c>
      <c r="D124" s="251">
        <v>5433.2659062500006</v>
      </c>
    </row>
    <row r="125" spans="1:4" x14ac:dyDescent="0.25">
      <c r="A125" s="251">
        <v>366</v>
      </c>
      <c r="B125" t="s">
        <v>494</v>
      </c>
      <c r="C125" s="251">
        <v>6551.7231562500001</v>
      </c>
      <c r="D125" s="251">
        <v>6551.7231562500001</v>
      </c>
    </row>
    <row r="126" spans="1:4" x14ac:dyDescent="0.25">
      <c r="A126" s="251">
        <v>380</v>
      </c>
      <c r="B126" t="s">
        <v>503</v>
      </c>
      <c r="C126" s="251">
        <v>1854.8355000000001</v>
      </c>
      <c r="D126" s="251">
        <v>1854.8355000000001</v>
      </c>
    </row>
    <row r="127" spans="1:4" x14ac:dyDescent="0.25">
      <c r="A127" s="251">
        <v>347</v>
      </c>
      <c r="B127" t="s">
        <v>480</v>
      </c>
      <c r="C127" s="251">
        <v>6205.2308062499997</v>
      </c>
      <c r="D127" s="251">
        <v>6205.2308062499997</v>
      </c>
    </row>
    <row r="128" spans="1:4" x14ac:dyDescent="0.25">
      <c r="A128" s="251">
        <v>372</v>
      </c>
      <c r="B128" t="s">
        <v>497</v>
      </c>
      <c r="C128" s="251">
        <v>4058.1246562500005</v>
      </c>
      <c r="D128" s="251">
        <v>4058.1246562500005</v>
      </c>
    </row>
    <row r="129" spans="1:4" x14ac:dyDescent="0.25">
      <c r="A129" s="251">
        <v>373</v>
      </c>
      <c r="B129" t="s">
        <v>498</v>
      </c>
      <c r="C129" s="251">
        <v>8001.1896562500006</v>
      </c>
      <c r="D129" s="251">
        <v>8001.1896562500006</v>
      </c>
    </row>
    <row r="130" spans="1:4" x14ac:dyDescent="0.25">
      <c r="A130" s="251">
        <v>374</v>
      </c>
      <c r="B130" t="s">
        <v>499</v>
      </c>
      <c r="C130" s="251">
        <v>3192.1476562500002</v>
      </c>
      <c r="D130" s="251">
        <v>3192.1476562500002</v>
      </c>
    </row>
    <row r="131" spans="1:4" x14ac:dyDescent="0.25">
      <c r="A131" s="251">
        <v>375</v>
      </c>
      <c r="B131" t="s">
        <v>500</v>
      </c>
      <c r="C131" s="251">
        <v>7135.2126562500016</v>
      </c>
      <c r="D131" s="251">
        <v>7135.2126562500016</v>
      </c>
    </row>
    <row r="132" spans="1:4" x14ac:dyDescent="0.25">
      <c r="A132" s="251">
        <v>389</v>
      </c>
      <c r="B132" t="s">
        <v>511</v>
      </c>
      <c r="C132" s="251">
        <v>2309.7450000000003</v>
      </c>
      <c r="D132" s="251">
        <v>2309.7450000000003</v>
      </c>
    </row>
    <row r="133" spans="1:4" x14ac:dyDescent="0.25">
      <c r="A133" s="251">
        <v>378</v>
      </c>
      <c r="B133" t="s">
        <v>590</v>
      </c>
      <c r="C133" s="251">
        <v>2462.7632924999998</v>
      </c>
      <c r="D133" s="251">
        <v>2462.7632924999998</v>
      </c>
    </row>
    <row r="134" spans="1:4" x14ac:dyDescent="0.25">
      <c r="A134" s="251">
        <v>379</v>
      </c>
      <c r="B134" t="s">
        <v>671</v>
      </c>
      <c r="C134" s="251">
        <v>6405.8282925000003</v>
      </c>
      <c r="D134" s="251">
        <v>6405.8282925000003</v>
      </c>
    </row>
    <row r="135" spans="1:4" x14ac:dyDescent="0.25">
      <c r="A135" s="251">
        <v>362</v>
      </c>
      <c r="B135" t="s">
        <v>668</v>
      </c>
      <c r="C135" s="251">
        <v>1883.8140299999998</v>
      </c>
      <c r="D135" s="251">
        <v>1883.8140299999998</v>
      </c>
    </row>
    <row r="136" spans="1:4" x14ac:dyDescent="0.25">
      <c r="A136" s="251">
        <v>363</v>
      </c>
      <c r="B136" t="s">
        <v>493</v>
      </c>
      <c r="C136" s="251">
        <v>7217.9116799999983</v>
      </c>
      <c r="D136" s="251">
        <v>7217.9116799999983</v>
      </c>
    </row>
    <row r="137" spans="1:4" x14ac:dyDescent="0.25">
      <c r="A137" s="251">
        <v>350</v>
      </c>
      <c r="B137" t="s">
        <v>483</v>
      </c>
      <c r="C137" s="251">
        <v>16749.809468749998</v>
      </c>
      <c r="D137" s="251">
        <v>16749.809468749998</v>
      </c>
    </row>
    <row r="138" spans="1:4" x14ac:dyDescent="0.25">
      <c r="A138" s="251">
        <v>351</v>
      </c>
      <c r="B138" t="s">
        <v>484</v>
      </c>
      <c r="C138" s="251">
        <v>25788.091518749996</v>
      </c>
      <c r="D138" s="251">
        <v>25788.091518749996</v>
      </c>
    </row>
    <row r="139" spans="1:4" x14ac:dyDescent="0.25">
      <c r="A139" s="251">
        <v>364</v>
      </c>
      <c r="B139" t="s">
        <v>669</v>
      </c>
      <c r="C139" s="251">
        <v>1163.4689039999998</v>
      </c>
      <c r="D139" s="251">
        <v>1163.4689039999998</v>
      </c>
    </row>
    <row r="140" spans="1:4" x14ac:dyDescent="0.25">
      <c r="A140" s="251">
        <v>365</v>
      </c>
      <c r="B140" t="s">
        <v>670</v>
      </c>
      <c r="C140" s="251">
        <v>5106.5339039999999</v>
      </c>
      <c r="D140" s="251">
        <v>5106.5339039999999</v>
      </c>
    </row>
    <row r="141" spans="1:4" x14ac:dyDescent="0.25">
      <c r="A141" s="251">
        <v>321</v>
      </c>
      <c r="B141" t="s">
        <v>529</v>
      </c>
      <c r="C141" s="251">
        <v>2202.8982500000002</v>
      </c>
      <c r="D141" s="251">
        <v>2202.8982500000002</v>
      </c>
    </row>
    <row r="142" spans="1:4" x14ac:dyDescent="0.25">
      <c r="A142" s="251">
        <v>320</v>
      </c>
      <c r="B142" t="s">
        <v>530</v>
      </c>
      <c r="C142" s="251">
        <v>1804.2482499999999</v>
      </c>
      <c r="D142" s="251">
        <v>1804.2482499999999</v>
      </c>
    </row>
    <row r="143" spans="1:4" x14ac:dyDescent="0.25">
      <c r="A143" s="251">
        <v>319</v>
      </c>
      <c r="B143" t="s">
        <v>616</v>
      </c>
      <c r="C143" s="251">
        <v>1744.7482500000001</v>
      </c>
      <c r="D143" s="251">
        <v>1744.7482500000001</v>
      </c>
    </row>
    <row r="144" spans="1:4" x14ac:dyDescent="0.25">
      <c r="A144" s="251">
        <v>386</v>
      </c>
      <c r="B144" t="s">
        <v>508</v>
      </c>
      <c r="C144" s="251">
        <v>1042.57</v>
      </c>
      <c r="D144" s="251">
        <v>1042.57</v>
      </c>
    </row>
    <row r="145" spans="1:4" x14ac:dyDescent="0.25">
      <c r="A145" s="251">
        <v>387</v>
      </c>
      <c r="B145" t="s">
        <v>509</v>
      </c>
      <c r="C145" s="251">
        <v>1046.6799999999998</v>
      </c>
      <c r="D145" s="251">
        <v>1046.6799999999998</v>
      </c>
    </row>
    <row r="146" spans="1:4" x14ac:dyDescent="0.25">
      <c r="A146" s="251">
        <v>342</v>
      </c>
      <c r="B146" t="s">
        <v>477</v>
      </c>
      <c r="C146" s="251">
        <v>5130.8099999999995</v>
      </c>
      <c r="D146" s="251">
        <v>5130.8099999999995</v>
      </c>
    </row>
    <row r="147" spans="1:4" x14ac:dyDescent="0.25">
      <c r="A147" s="251">
        <v>315</v>
      </c>
      <c r="B147" t="s">
        <v>533</v>
      </c>
      <c r="C147" s="251">
        <v>9038.2820499999998</v>
      </c>
      <c r="D147" s="251">
        <v>9038.2820499999998</v>
      </c>
    </row>
    <row r="148" spans="1:4" x14ac:dyDescent="0.25">
      <c r="A148" s="251">
        <v>327</v>
      </c>
      <c r="B148" t="s">
        <v>547</v>
      </c>
      <c r="C148" s="251">
        <v>778.26</v>
      </c>
      <c r="D148" s="251">
        <v>778.26</v>
      </c>
    </row>
    <row r="149" spans="1:4" x14ac:dyDescent="0.25">
      <c r="A149" s="251">
        <v>396</v>
      </c>
      <c r="B149" t="s">
        <v>516</v>
      </c>
      <c r="C149" s="251">
        <v>1409.2475999999999</v>
      </c>
      <c r="D149" s="251">
        <v>1409.2475999999999</v>
      </c>
    </row>
    <row r="150" spans="1:4" x14ac:dyDescent="0.25">
      <c r="A150" s="251">
        <v>331</v>
      </c>
      <c r="B150" t="s">
        <v>588</v>
      </c>
      <c r="C150" s="251">
        <v>4393.9286885245901</v>
      </c>
      <c r="D150" s="251">
        <v>4393.9286885245901</v>
      </c>
    </row>
    <row r="151" spans="1:4" x14ac:dyDescent="0.25">
      <c r="A151" s="251">
        <v>323</v>
      </c>
      <c r="B151" t="s">
        <v>664</v>
      </c>
      <c r="C151" s="251">
        <v>4326.0595654166664</v>
      </c>
      <c r="D151" s="251">
        <v>4326.0595654166664</v>
      </c>
    </row>
    <row r="152" spans="1:4" x14ac:dyDescent="0.25">
      <c r="A152" s="251">
        <v>392</v>
      </c>
      <c r="B152" t="s">
        <v>513</v>
      </c>
      <c r="C152" s="251">
        <v>2598.06</v>
      </c>
      <c r="D152" s="251">
        <v>2598.06</v>
      </c>
    </row>
    <row r="153" spans="1:4" x14ac:dyDescent="0.25">
      <c r="A153" s="251">
        <v>322</v>
      </c>
      <c r="B153" t="s">
        <v>526</v>
      </c>
      <c r="C153" s="251">
        <v>4263.1154999999999</v>
      </c>
      <c r="D153" s="251">
        <v>4263.1154999999999</v>
      </c>
    </row>
    <row r="154" spans="1:4" x14ac:dyDescent="0.25">
      <c r="A154" s="251">
        <v>123</v>
      </c>
      <c r="B154" t="s">
        <v>391</v>
      </c>
      <c r="C154" s="251">
        <v>573.38798125000005</v>
      </c>
      <c r="D154" s="251">
        <v>573.38798125000005</v>
      </c>
    </row>
    <row r="155" spans="1:4" x14ac:dyDescent="0.25">
      <c r="A155" s="251">
        <v>124</v>
      </c>
      <c r="B155" t="s">
        <v>617</v>
      </c>
      <c r="C155" s="251">
        <v>529.87860624999996</v>
      </c>
      <c r="D155" s="251">
        <v>529.87860624999996</v>
      </c>
    </row>
    <row r="156" spans="1:4" x14ac:dyDescent="0.25">
      <c r="A156" s="251">
        <v>122</v>
      </c>
      <c r="B156" t="s">
        <v>654</v>
      </c>
      <c r="C156" s="251">
        <v>386.74912499999999</v>
      </c>
      <c r="D156" s="251">
        <v>386.74912499999999</v>
      </c>
    </row>
    <row r="157" spans="1:4" x14ac:dyDescent="0.25">
      <c r="A157" s="251">
        <v>125</v>
      </c>
      <c r="B157" t="s">
        <v>142</v>
      </c>
      <c r="C157" s="251">
        <v>591.68423125000004</v>
      </c>
      <c r="D157" s="251">
        <v>591.68423125000004</v>
      </c>
    </row>
    <row r="158" spans="1:4" x14ac:dyDescent="0.25">
      <c r="A158" s="251">
        <v>201</v>
      </c>
      <c r="B158" t="s">
        <v>548</v>
      </c>
      <c r="C158" s="251">
        <v>1995.91520625</v>
      </c>
      <c r="D158" s="251">
        <v>1995.91520625</v>
      </c>
    </row>
    <row r="159" spans="1:4" x14ac:dyDescent="0.25">
      <c r="A159" s="251">
        <v>200</v>
      </c>
      <c r="B159" t="s">
        <v>549</v>
      </c>
      <c r="C159" s="251">
        <v>1865.3870812499999</v>
      </c>
      <c r="D159" s="251">
        <v>1865.3870812499999</v>
      </c>
    </row>
    <row r="160" spans="1:4" x14ac:dyDescent="0.25">
      <c r="A160" s="251">
        <v>23</v>
      </c>
      <c r="B160" t="s">
        <v>572</v>
      </c>
      <c r="C160" s="251">
        <v>3667.1136333333334</v>
      </c>
      <c r="D160" s="251">
        <v>3667.1136333333334</v>
      </c>
    </row>
    <row r="161" spans="1:4" x14ac:dyDescent="0.25">
      <c r="A161" s="251">
        <v>426</v>
      </c>
      <c r="B161" t="s">
        <v>673</v>
      </c>
      <c r="C161" s="251">
        <v>3698.7449666666666</v>
      </c>
      <c r="D161" s="251">
        <v>3698.7449666666666</v>
      </c>
    </row>
    <row r="162" spans="1:4" x14ac:dyDescent="0.25">
      <c r="A162" s="251">
        <v>2</v>
      </c>
      <c r="B162" t="s">
        <v>735</v>
      </c>
      <c r="C162" s="251">
        <v>4426.8</v>
      </c>
      <c r="D162" s="251">
        <v>4426.8</v>
      </c>
    </row>
    <row r="163" spans="1:4" x14ac:dyDescent="0.25">
      <c r="A163" s="251">
        <v>55</v>
      </c>
      <c r="B163" t="s">
        <v>362</v>
      </c>
      <c r="C163" s="251">
        <v>3675.8249999999998</v>
      </c>
      <c r="D163" s="251">
        <v>3675.8249999999998</v>
      </c>
    </row>
    <row r="164" spans="1:4" x14ac:dyDescent="0.25">
      <c r="A164" s="251">
        <v>134</v>
      </c>
      <c r="B164" t="s">
        <v>147</v>
      </c>
      <c r="C164" s="251">
        <v>745.45679833333338</v>
      </c>
      <c r="D164" s="251">
        <v>745.45679833333338</v>
      </c>
    </row>
    <row r="165" spans="1:4" x14ac:dyDescent="0.25">
      <c r="A165" s="251">
        <v>7</v>
      </c>
      <c r="B165" t="s">
        <v>551</v>
      </c>
      <c r="C165" s="251">
        <v>5780.0534968750017</v>
      </c>
      <c r="D165" s="251">
        <v>5780.0534968750017</v>
      </c>
    </row>
    <row r="166" spans="1:4" x14ac:dyDescent="0.25">
      <c r="A166" s="251">
        <v>46</v>
      </c>
      <c r="B166" t="s">
        <v>354</v>
      </c>
      <c r="C166" s="251">
        <v>704.62379999999996</v>
      </c>
      <c r="D166" s="251">
        <v>704.62379999999996</v>
      </c>
    </row>
    <row r="167" spans="1:4" x14ac:dyDescent="0.25">
      <c r="A167" s="251">
        <v>54</v>
      </c>
      <c r="B167" t="s">
        <v>361</v>
      </c>
      <c r="C167" s="251">
        <v>1292.5800000000002</v>
      </c>
      <c r="D167" s="251">
        <v>1292.5800000000002</v>
      </c>
    </row>
    <row r="168" spans="1:4" x14ac:dyDescent="0.25">
      <c r="A168" s="251">
        <v>53</v>
      </c>
      <c r="B168" t="s">
        <v>360</v>
      </c>
      <c r="C168" s="251">
        <v>1305.48</v>
      </c>
      <c r="D168" s="251">
        <v>1305.48</v>
      </c>
    </row>
    <row r="169" spans="1:4" x14ac:dyDescent="0.25">
      <c r="A169" s="251">
        <v>52</v>
      </c>
      <c r="B169" t="s">
        <v>359</v>
      </c>
      <c r="C169" s="251">
        <v>1305.48</v>
      </c>
      <c r="D169" s="251">
        <v>1305.48</v>
      </c>
    </row>
    <row r="170" spans="1:4" x14ac:dyDescent="0.25">
      <c r="A170" s="251">
        <v>52</v>
      </c>
      <c r="B170" t="s">
        <v>389</v>
      </c>
      <c r="C170" s="251">
        <v>661.29699999999991</v>
      </c>
      <c r="D170" s="251">
        <v>661.29699999999991</v>
      </c>
    </row>
    <row r="171" spans="1:4" x14ac:dyDescent="0.25">
      <c r="A171" s="251">
        <v>15</v>
      </c>
      <c r="B171" t="s">
        <v>22</v>
      </c>
      <c r="C171" s="251">
        <v>7062.8060655737709</v>
      </c>
      <c r="D171" s="251">
        <v>7062.8060655737709</v>
      </c>
    </row>
    <row r="172" spans="1:4" x14ac:dyDescent="0.25">
      <c r="A172" s="251">
        <v>208</v>
      </c>
      <c r="B172" t="s">
        <v>434</v>
      </c>
      <c r="C172" s="251">
        <v>2050.8890333333334</v>
      </c>
      <c r="D172" s="251">
        <v>2050.8890333333334</v>
      </c>
    </row>
    <row r="173" spans="1:4" x14ac:dyDescent="0.25">
      <c r="A173" s="251">
        <v>71</v>
      </c>
      <c r="B173" t="s">
        <v>225</v>
      </c>
      <c r="C173" s="251">
        <v>638.72610374999999</v>
      </c>
      <c r="D173" s="251">
        <v>638.72610374999999</v>
      </c>
    </row>
    <row r="174" spans="1:4" x14ac:dyDescent="0.25">
      <c r="A174" s="251">
        <v>103690</v>
      </c>
      <c r="B174" t="s">
        <v>437</v>
      </c>
      <c r="C174" s="251">
        <v>1505.4041999999999</v>
      </c>
      <c r="D174" s="251">
        <v>841.05419999999992</v>
      </c>
    </row>
    <row r="175" spans="1:4" x14ac:dyDescent="0.25">
      <c r="A175" s="251">
        <v>177</v>
      </c>
      <c r="B175" t="s">
        <v>149</v>
      </c>
      <c r="C175" s="251">
        <v>1321.691</v>
      </c>
      <c r="D175" s="251">
        <v>1321.691</v>
      </c>
    </row>
    <row r="176" spans="1:4" x14ac:dyDescent="0.25">
      <c r="A176" s="251">
        <v>178</v>
      </c>
      <c r="B176" t="s">
        <v>150</v>
      </c>
      <c r="C176" s="251">
        <v>1075.473</v>
      </c>
      <c r="D176" s="251">
        <v>1075.473</v>
      </c>
    </row>
    <row r="177" spans="1:4" x14ac:dyDescent="0.25">
      <c r="A177" s="251">
        <v>173</v>
      </c>
      <c r="B177" t="s">
        <v>415</v>
      </c>
      <c r="C177" s="251">
        <v>1194.1199999999999</v>
      </c>
      <c r="D177" s="251">
        <v>1194.1199999999999</v>
      </c>
    </row>
    <row r="178" spans="1:4" x14ac:dyDescent="0.25">
      <c r="A178" s="251">
        <v>172</v>
      </c>
      <c r="B178" t="s">
        <v>414</v>
      </c>
      <c r="C178" s="251">
        <v>1237.365</v>
      </c>
      <c r="D178" s="251">
        <v>1237.365</v>
      </c>
    </row>
    <row r="179" spans="1:4" x14ac:dyDescent="0.25">
      <c r="A179" s="251">
        <v>174</v>
      </c>
      <c r="B179" t="s">
        <v>416</v>
      </c>
      <c r="C179" s="251">
        <v>1241.55</v>
      </c>
      <c r="D179" s="251">
        <v>1241.55</v>
      </c>
    </row>
    <row r="180" spans="1:4" x14ac:dyDescent="0.25">
      <c r="A180" s="251">
        <v>117</v>
      </c>
      <c r="B180" t="s">
        <v>386</v>
      </c>
      <c r="C180" s="251">
        <v>2383.69425</v>
      </c>
      <c r="D180" s="251">
        <v>2080.9312500000001</v>
      </c>
    </row>
    <row r="181" spans="1:4" x14ac:dyDescent="0.25">
      <c r="A181" s="251">
        <v>275</v>
      </c>
      <c r="B181" t="s">
        <v>591</v>
      </c>
      <c r="C181" s="251">
        <v>536.40037499999994</v>
      </c>
      <c r="D181" s="251">
        <v>536.40037499999994</v>
      </c>
    </row>
    <row r="182" spans="1:4" x14ac:dyDescent="0.25">
      <c r="A182" s="251">
        <v>276</v>
      </c>
      <c r="B182" t="s">
        <v>592</v>
      </c>
      <c r="C182" s="251">
        <v>557.9765625</v>
      </c>
      <c r="D182" s="251">
        <v>557.9765625</v>
      </c>
    </row>
    <row r="183" spans="1:4" x14ac:dyDescent="0.25">
      <c r="A183" s="251">
        <v>277</v>
      </c>
      <c r="B183" t="s">
        <v>593</v>
      </c>
      <c r="C183" s="251">
        <v>552.1753124999999</v>
      </c>
      <c r="D183" s="251">
        <v>552.1753124999999</v>
      </c>
    </row>
    <row r="184" spans="1:4" x14ac:dyDescent="0.25">
      <c r="A184" s="251">
        <v>278</v>
      </c>
      <c r="B184" t="s">
        <v>594</v>
      </c>
      <c r="C184" s="251">
        <v>560.41606249999995</v>
      </c>
      <c r="D184" s="251">
        <v>560.41606249999995</v>
      </c>
    </row>
    <row r="185" spans="1:4" x14ac:dyDescent="0.25">
      <c r="A185" s="251">
        <v>288</v>
      </c>
      <c r="B185" t="s">
        <v>595</v>
      </c>
      <c r="C185" s="251">
        <v>427.84008749999998</v>
      </c>
      <c r="D185" s="251">
        <v>427.84008749999998</v>
      </c>
    </row>
    <row r="186" spans="1:4" x14ac:dyDescent="0.25">
      <c r="A186" s="251">
        <v>280</v>
      </c>
      <c r="B186" t="s">
        <v>596</v>
      </c>
      <c r="C186" s="251">
        <v>573.38798125000005</v>
      </c>
      <c r="D186" s="251">
        <v>573.38798125000005</v>
      </c>
    </row>
    <row r="187" spans="1:4" x14ac:dyDescent="0.25">
      <c r="A187" s="251">
        <v>279</v>
      </c>
      <c r="B187" t="s">
        <v>597</v>
      </c>
      <c r="C187" s="251">
        <v>529.87860624999996</v>
      </c>
      <c r="D187" s="251">
        <v>529.87860624999996</v>
      </c>
    </row>
    <row r="188" spans="1:4" x14ac:dyDescent="0.25">
      <c r="A188" s="251">
        <v>281</v>
      </c>
      <c r="B188" t="s">
        <v>598</v>
      </c>
      <c r="C188" s="251">
        <v>591.68423125000004</v>
      </c>
      <c r="D188" s="251">
        <v>591.68423125000004</v>
      </c>
    </row>
    <row r="189" spans="1:4" x14ac:dyDescent="0.25">
      <c r="A189" s="251">
        <v>282</v>
      </c>
      <c r="B189" t="s">
        <v>599</v>
      </c>
      <c r="C189" s="251">
        <v>915.41563749999989</v>
      </c>
      <c r="D189" s="251">
        <v>915.41563749999989</v>
      </c>
    </row>
    <row r="190" spans="1:4" x14ac:dyDescent="0.25">
      <c r="A190" s="251">
        <v>285</v>
      </c>
      <c r="B190" t="s">
        <v>600</v>
      </c>
      <c r="C190" s="251">
        <v>1049.9626625000001</v>
      </c>
      <c r="D190" s="251">
        <v>1049.9626625000001</v>
      </c>
    </row>
    <row r="191" spans="1:4" x14ac:dyDescent="0.25">
      <c r="A191" s="251">
        <v>283</v>
      </c>
      <c r="B191" t="s">
        <v>601</v>
      </c>
      <c r="C191" s="251">
        <v>919.50254374999997</v>
      </c>
      <c r="D191" s="251">
        <v>919.50254374999997</v>
      </c>
    </row>
    <row r="192" spans="1:4" x14ac:dyDescent="0.25">
      <c r="A192" s="251">
        <v>284</v>
      </c>
      <c r="B192" t="s">
        <v>602</v>
      </c>
      <c r="C192" s="251">
        <v>868.31766874999994</v>
      </c>
      <c r="D192" s="251">
        <v>868.31766874999994</v>
      </c>
    </row>
    <row r="193" spans="1:4" x14ac:dyDescent="0.25">
      <c r="A193" s="251">
        <v>272</v>
      </c>
      <c r="B193" t="s">
        <v>317</v>
      </c>
      <c r="C193" s="251">
        <v>496.56381249999998</v>
      </c>
      <c r="D193" s="251">
        <v>496.56381249999998</v>
      </c>
    </row>
    <row r="194" spans="1:4" x14ac:dyDescent="0.25">
      <c r="A194" s="251">
        <v>274</v>
      </c>
      <c r="B194" t="s">
        <v>552</v>
      </c>
      <c r="C194" s="251">
        <v>1351.6988125</v>
      </c>
      <c r="D194" s="251">
        <v>1351.6988125</v>
      </c>
    </row>
    <row r="195" spans="1:4" x14ac:dyDescent="0.25">
      <c r="A195" s="251">
        <v>273</v>
      </c>
      <c r="B195" t="s">
        <v>318</v>
      </c>
      <c r="C195" s="251">
        <v>618.27850000000001</v>
      </c>
      <c r="D195" s="251">
        <v>618.27850000000001</v>
      </c>
    </row>
    <row r="196" spans="1:4" x14ac:dyDescent="0.25">
      <c r="A196" s="251">
        <v>287</v>
      </c>
      <c r="B196" t="s">
        <v>603</v>
      </c>
      <c r="C196" s="251">
        <v>627.93800999999996</v>
      </c>
      <c r="D196" s="251">
        <v>627.93800999999996</v>
      </c>
    </row>
    <row r="197" spans="1:4" x14ac:dyDescent="0.25">
      <c r="A197" s="251">
        <v>271</v>
      </c>
      <c r="B197" t="s">
        <v>223</v>
      </c>
      <c r="C197" s="251">
        <v>1674.93</v>
      </c>
      <c r="D197" s="251">
        <v>1674.93</v>
      </c>
    </row>
    <row r="198" spans="1:4" x14ac:dyDescent="0.25">
      <c r="A198" s="251">
        <v>86</v>
      </c>
      <c r="B198" t="s">
        <v>372</v>
      </c>
      <c r="C198" s="251">
        <v>2204.0295000000001</v>
      </c>
      <c r="D198" s="251">
        <v>1901.2665</v>
      </c>
    </row>
    <row r="199" spans="1:4" x14ac:dyDescent="0.25">
      <c r="A199" s="251">
        <v>88</v>
      </c>
      <c r="B199" t="s">
        <v>622</v>
      </c>
      <c r="C199" s="251">
        <v>2392.3049999999998</v>
      </c>
      <c r="D199" s="251">
        <v>2089.5419999999999</v>
      </c>
    </row>
    <row r="200" spans="1:4" x14ac:dyDescent="0.25">
      <c r="A200" s="251">
        <v>87</v>
      </c>
      <c r="B200" t="s">
        <v>373</v>
      </c>
      <c r="C200" s="251">
        <v>2392.3802500000002</v>
      </c>
      <c r="D200" s="251">
        <v>2089.6172500000002</v>
      </c>
    </row>
    <row r="201" spans="1:4" x14ac:dyDescent="0.25">
      <c r="A201" s="251">
        <v>99</v>
      </c>
      <c r="B201" t="s">
        <v>623</v>
      </c>
      <c r="C201" s="251">
        <v>1331.2800000000002</v>
      </c>
      <c r="D201" s="251">
        <v>1028.5170000000001</v>
      </c>
    </row>
    <row r="202" spans="1:4" x14ac:dyDescent="0.25">
      <c r="A202" s="251">
        <v>101</v>
      </c>
      <c r="B202" t="s">
        <v>380</v>
      </c>
      <c r="C202" s="251">
        <v>1358.70712</v>
      </c>
      <c r="D202" s="251">
        <v>1055.9441200000001</v>
      </c>
    </row>
    <row r="203" spans="1:4" x14ac:dyDescent="0.25">
      <c r="A203" s="251">
        <v>203</v>
      </c>
      <c r="B203" t="s">
        <v>429</v>
      </c>
      <c r="C203" s="251">
        <v>1163.4689039999998</v>
      </c>
      <c r="D203" s="251">
        <v>1163.4689039999998</v>
      </c>
    </row>
    <row r="204" spans="1:4" x14ac:dyDescent="0.25">
      <c r="A204" s="251">
        <v>91</v>
      </c>
      <c r="B204" t="s">
        <v>624</v>
      </c>
      <c r="C204" s="251">
        <v>2952.4660000000003</v>
      </c>
      <c r="D204" s="251">
        <v>2649.7030000000004</v>
      </c>
    </row>
    <row r="205" spans="1:4" x14ac:dyDescent="0.25">
      <c r="A205" s="251">
        <v>90</v>
      </c>
      <c r="B205" t="s">
        <v>625</v>
      </c>
      <c r="C205" s="251">
        <v>1280.8248749999998</v>
      </c>
      <c r="D205" s="251">
        <v>978.06187499999987</v>
      </c>
    </row>
    <row r="206" spans="1:4" x14ac:dyDescent="0.25">
      <c r="A206" s="251">
        <v>36</v>
      </c>
      <c r="B206" t="s">
        <v>345</v>
      </c>
      <c r="C206" s="251">
        <v>398.83593749999994</v>
      </c>
      <c r="D206" s="251">
        <v>398.83593749999994</v>
      </c>
    </row>
    <row r="207" spans="1:4" x14ac:dyDescent="0.25">
      <c r="A207" s="251">
        <v>38</v>
      </c>
      <c r="B207" t="s">
        <v>347</v>
      </c>
      <c r="C207" s="251">
        <v>356.00709375000002</v>
      </c>
      <c r="D207" s="251">
        <v>356.00709375000002</v>
      </c>
    </row>
    <row r="208" spans="1:4" x14ac:dyDescent="0.25">
      <c r="A208" s="251">
        <v>39</v>
      </c>
      <c r="B208" t="s">
        <v>348</v>
      </c>
      <c r="C208" s="251">
        <v>260.28646875000004</v>
      </c>
      <c r="D208" s="251">
        <v>260.28646875000004</v>
      </c>
    </row>
    <row r="209" spans="1:4" x14ac:dyDescent="0.25">
      <c r="A209" s="251">
        <v>37</v>
      </c>
      <c r="B209" t="s">
        <v>346</v>
      </c>
      <c r="C209" s="251">
        <v>396.25884374999998</v>
      </c>
      <c r="D209" s="251">
        <v>396.25884374999998</v>
      </c>
    </row>
    <row r="210" spans="1:4" x14ac:dyDescent="0.25">
      <c r="A210" s="251">
        <v>180</v>
      </c>
      <c r="B210" t="s">
        <v>152</v>
      </c>
      <c r="C210" s="251">
        <v>445.37771249999997</v>
      </c>
      <c r="D210" s="251">
        <v>445.37771249999997</v>
      </c>
    </row>
    <row r="211" spans="1:4" x14ac:dyDescent="0.25">
      <c r="A211" s="251">
        <v>73</v>
      </c>
      <c r="B211" t="s">
        <v>368</v>
      </c>
      <c r="C211" s="251">
        <v>842.58186666666666</v>
      </c>
      <c r="D211" s="251">
        <v>842.58186666666666</v>
      </c>
    </row>
    <row r="212" spans="1:4" x14ac:dyDescent="0.25">
      <c r="A212" s="251">
        <v>133</v>
      </c>
      <c r="B212" t="s">
        <v>146</v>
      </c>
      <c r="C212" s="251">
        <v>553.29974000000004</v>
      </c>
      <c r="D212" s="251">
        <v>553.29974000000004</v>
      </c>
    </row>
    <row r="213" spans="1:4" x14ac:dyDescent="0.25">
      <c r="A213" s="251">
        <v>40</v>
      </c>
      <c r="B213" t="s">
        <v>349</v>
      </c>
      <c r="C213" s="251">
        <v>466.57668750000005</v>
      </c>
      <c r="D213" s="251">
        <v>466.57668750000005</v>
      </c>
    </row>
    <row r="214" spans="1:4" x14ac:dyDescent="0.25">
      <c r="A214" s="251">
        <v>11</v>
      </c>
      <c r="B214" t="s">
        <v>332</v>
      </c>
      <c r="C214" s="251">
        <v>3360.56</v>
      </c>
      <c r="D214" s="251">
        <v>3360.56</v>
      </c>
    </row>
    <row r="215" spans="1:4" x14ac:dyDescent="0.25">
      <c r="A215" s="251">
        <v>139</v>
      </c>
      <c r="B215" t="s">
        <v>396</v>
      </c>
      <c r="C215" s="251">
        <v>2215.8185750000002</v>
      </c>
      <c r="D215" s="251">
        <v>2215.8185750000002</v>
      </c>
    </row>
    <row r="216" spans="1:4" x14ac:dyDescent="0.25">
      <c r="A216" s="251">
        <v>144</v>
      </c>
      <c r="B216" t="s">
        <v>211</v>
      </c>
      <c r="C216" s="251">
        <v>1235.3842666666667</v>
      </c>
      <c r="D216" s="251">
        <v>1235.3842666666667</v>
      </c>
    </row>
    <row r="217" spans="1:4" x14ac:dyDescent="0.25">
      <c r="A217" s="251">
        <v>132</v>
      </c>
      <c r="B217" t="s">
        <v>145</v>
      </c>
      <c r="C217" s="251">
        <v>475.18470374999993</v>
      </c>
      <c r="D217" s="251">
        <v>475.18470374999993</v>
      </c>
    </row>
    <row r="218" spans="1:4" x14ac:dyDescent="0.25">
      <c r="A218" s="251">
        <v>145</v>
      </c>
      <c r="B218" t="s">
        <v>398</v>
      </c>
      <c r="C218" s="251">
        <v>991.76869749999992</v>
      </c>
      <c r="D218" s="251">
        <v>991.76869749999992</v>
      </c>
    </row>
    <row r="219" spans="1:4" x14ac:dyDescent="0.25">
      <c r="A219" s="251">
        <v>131</v>
      </c>
      <c r="B219" t="s">
        <v>144</v>
      </c>
      <c r="C219" s="251">
        <v>806.65921874999992</v>
      </c>
      <c r="D219" s="251">
        <v>806.65921874999992</v>
      </c>
    </row>
    <row r="220" spans="1:4" x14ac:dyDescent="0.25">
      <c r="A220" s="251">
        <v>75</v>
      </c>
      <c r="B220" t="s">
        <v>138</v>
      </c>
      <c r="C220" s="251">
        <v>512.87973333333332</v>
      </c>
      <c r="D220" s="251">
        <v>512.87973333333332</v>
      </c>
    </row>
    <row r="221" spans="1:4" x14ac:dyDescent="0.25">
      <c r="A221" s="251">
        <v>126</v>
      </c>
      <c r="B221" t="s">
        <v>576</v>
      </c>
      <c r="C221" s="251">
        <v>915.41563749999989</v>
      </c>
      <c r="D221" s="251">
        <v>915.41563749999989</v>
      </c>
    </row>
    <row r="222" spans="1:4" x14ac:dyDescent="0.25">
      <c r="A222" s="251">
        <v>129</v>
      </c>
      <c r="B222" t="s">
        <v>655</v>
      </c>
      <c r="C222" s="251">
        <v>1049.9626625000001</v>
      </c>
      <c r="D222" s="251">
        <v>1049.9626625000001</v>
      </c>
    </row>
    <row r="223" spans="1:4" x14ac:dyDescent="0.25">
      <c r="A223" s="251">
        <v>128</v>
      </c>
      <c r="B223" t="s">
        <v>393</v>
      </c>
      <c r="C223" s="251">
        <v>919.50254374999997</v>
      </c>
      <c r="D223" s="251">
        <v>919.50254374999997</v>
      </c>
    </row>
    <row r="224" spans="1:4" x14ac:dyDescent="0.25">
      <c r="A224" s="251">
        <v>127</v>
      </c>
      <c r="B224" t="s">
        <v>392</v>
      </c>
      <c r="C224" s="251">
        <v>868.31766874999994</v>
      </c>
      <c r="D224" s="251">
        <v>868.31766874999994</v>
      </c>
    </row>
    <row r="225" spans="1:4" x14ac:dyDescent="0.25">
      <c r="A225" s="251">
        <v>196</v>
      </c>
      <c r="B225" t="s">
        <v>426</v>
      </c>
      <c r="C225" s="251">
        <v>2661.4147874999999</v>
      </c>
      <c r="D225" s="251">
        <v>2661.4147874999999</v>
      </c>
    </row>
    <row r="226" spans="1:4" x14ac:dyDescent="0.25">
      <c r="A226" s="251">
        <v>199</v>
      </c>
      <c r="B226" t="s">
        <v>553</v>
      </c>
      <c r="C226" s="251">
        <v>3149.8879874999998</v>
      </c>
      <c r="D226" s="251">
        <v>3149.8879874999998</v>
      </c>
    </row>
    <row r="227" spans="1:4" x14ac:dyDescent="0.25">
      <c r="A227" s="251">
        <v>198</v>
      </c>
      <c r="B227" t="s">
        <v>554</v>
      </c>
      <c r="C227" s="251">
        <v>2758.50763125</v>
      </c>
      <c r="D227" s="251">
        <v>2758.50763125</v>
      </c>
    </row>
    <row r="228" spans="1:4" x14ac:dyDescent="0.25">
      <c r="A228" s="251">
        <v>197</v>
      </c>
      <c r="B228" t="s">
        <v>427</v>
      </c>
      <c r="C228" s="251">
        <v>2732.4020062499999</v>
      </c>
      <c r="D228" s="251">
        <v>2732.4020062499999</v>
      </c>
    </row>
    <row r="229" spans="1:4" x14ac:dyDescent="0.25">
      <c r="A229" s="251">
        <v>74</v>
      </c>
      <c r="B229" t="s">
        <v>137</v>
      </c>
      <c r="C229" s="251">
        <v>704.66899999999998</v>
      </c>
      <c r="D229" s="251">
        <v>704.66899999999998</v>
      </c>
    </row>
    <row r="230" spans="1:4" x14ac:dyDescent="0.25">
      <c r="A230" s="251">
        <v>74</v>
      </c>
      <c r="B230" t="s">
        <v>641</v>
      </c>
      <c r="C230" s="251">
        <v>4995.4949999999999</v>
      </c>
      <c r="D230" s="251">
        <v>4995.4949999999999</v>
      </c>
    </row>
    <row r="231" spans="1:4" x14ac:dyDescent="0.25">
      <c r="A231" s="251">
        <v>452</v>
      </c>
      <c r="B231" t="s">
        <v>648</v>
      </c>
      <c r="C231" s="251">
        <v>3405.1949999999997</v>
      </c>
      <c r="D231" s="251">
        <v>3405.1949999999997</v>
      </c>
    </row>
    <row r="232" spans="1:4" x14ac:dyDescent="0.25">
      <c r="A232" s="251">
        <v>446</v>
      </c>
      <c r="B232" t="s">
        <v>645</v>
      </c>
      <c r="C232" s="251">
        <v>3405.1949999999997</v>
      </c>
      <c r="D232" s="251">
        <v>3405.1949999999997</v>
      </c>
    </row>
    <row r="233" spans="1:4" x14ac:dyDescent="0.25">
      <c r="A233" s="251">
        <v>447</v>
      </c>
      <c r="B233" t="s">
        <v>639</v>
      </c>
      <c r="C233" s="251">
        <v>808.16813999999999</v>
      </c>
      <c r="D233" s="251">
        <v>808.16813999999999</v>
      </c>
    </row>
    <row r="234" spans="1:4" x14ac:dyDescent="0.25">
      <c r="A234" s="251">
        <v>450</v>
      </c>
      <c r="B234" t="s">
        <v>732</v>
      </c>
      <c r="C234" s="251">
        <v>999.09900000000005</v>
      </c>
      <c r="D234" s="251">
        <v>999.09900000000005</v>
      </c>
    </row>
    <row r="235" spans="1:4" x14ac:dyDescent="0.25">
      <c r="A235" s="251">
        <v>450</v>
      </c>
      <c r="B235" t="s">
        <v>438</v>
      </c>
      <c r="C235" s="251">
        <v>0</v>
      </c>
      <c r="D235" s="251">
        <v>0</v>
      </c>
    </row>
    <row r="236" spans="1:4" x14ac:dyDescent="0.25">
      <c r="A236" s="251">
        <v>441</v>
      </c>
      <c r="B236" t="s">
        <v>236</v>
      </c>
      <c r="C236" s="251">
        <v>4148.67</v>
      </c>
      <c r="D236" s="251">
        <v>3484.3199999999997</v>
      </c>
    </row>
    <row r="237" spans="1:4" x14ac:dyDescent="0.25">
      <c r="A237" s="251">
        <v>211</v>
      </c>
      <c r="B237" t="s">
        <v>439</v>
      </c>
      <c r="C237" s="251">
        <v>2394.61</v>
      </c>
      <c r="D237" s="251">
        <v>1730.26</v>
      </c>
    </row>
    <row r="238" spans="1:4" x14ac:dyDescent="0.25">
      <c r="A238" s="251">
        <v>223</v>
      </c>
      <c r="B238" t="s">
        <v>448</v>
      </c>
      <c r="C238" s="251">
        <v>664.35</v>
      </c>
      <c r="D238" s="251">
        <v>664.35</v>
      </c>
    </row>
    <row r="239" spans="1:4" x14ac:dyDescent="0.25">
      <c r="A239" s="251">
        <v>225</v>
      </c>
      <c r="B239" t="s">
        <v>450</v>
      </c>
      <c r="C239" s="251">
        <v>664.24679999999989</v>
      </c>
      <c r="D239" s="251">
        <v>664.24679999999989</v>
      </c>
    </row>
    <row r="240" spans="1:4" x14ac:dyDescent="0.25">
      <c r="A240" s="251">
        <v>224</v>
      </c>
      <c r="B240" t="s">
        <v>449</v>
      </c>
      <c r="C240" s="251">
        <v>664.24679999999989</v>
      </c>
      <c r="D240" s="251">
        <v>664.24679999999989</v>
      </c>
    </row>
    <row r="241" spans="1:4" x14ac:dyDescent="0.25">
      <c r="A241" s="251">
        <v>234</v>
      </c>
      <c r="B241" t="s">
        <v>556</v>
      </c>
      <c r="C241" s="251">
        <v>0</v>
      </c>
      <c r="D241" s="251">
        <v>0</v>
      </c>
    </row>
    <row r="242" spans="1:4" x14ac:dyDescent="0.25">
      <c r="A242" s="251">
        <v>233</v>
      </c>
      <c r="B242" t="s">
        <v>557</v>
      </c>
      <c r="C242" s="251">
        <v>0</v>
      </c>
      <c r="D242" s="251">
        <v>0</v>
      </c>
    </row>
    <row r="243" spans="1:4" x14ac:dyDescent="0.25">
      <c r="A243" s="251">
        <v>421</v>
      </c>
      <c r="B243" t="s">
        <v>319</v>
      </c>
      <c r="C243" s="251">
        <v>4305.5216333333337</v>
      </c>
      <c r="D243" s="251">
        <v>3641.1716333333334</v>
      </c>
    </row>
    <row r="244" spans="1:4" x14ac:dyDescent="0.25">
      <c r="A244" s="251">
        <v>227</v>
      </c>
      <c r="B244" t="s">
        <v>452</v>
      </c>
      <c r="C244" s="251">
        <v>704.62379999999996</v>
      </c>
      <c r="D244" s="251">
        <v>704.62379999999996</v>
      </c>
    </row>
    <row r="245" spans="1:4" x14ac:dyDescent="0.25">
      <c r="A245" s="251">
        <v>214</v>
      </c>
      <c r="B245" t="s">
        <v>441</v>
      </c>
      <c r="C245" s="251">
        <v>3994.56</v>
      </c>
      <c r="D245" s="251">
        <v>3360.56</v>
      </c>
    </row>
    <row r="246" spans="1:4" x14ac:dyDescent="0.25">
      <c r="A246" s="251">
        <v>219</v>
      </c>
      <c r="B246" t="s">
        <v>446</v>
      </c>
      <c r="C246" s="251">
        <v>3662.6923076923072</v>
      </c>
      <c r="D246" s="251">
        <v>2998.3423076923073</v>
      </c>
    </row>
    <row r="247" spans="1:4" x14ac:dyDescent="0.25">
      <c r="A247" s="251">
        <v>232</v>
      </c>
      <c r="B247" t="s">
        <v>456</v>
      </c>
      <c r="C247" s="251">
        <v>349.86</v>
      </c>
      <c r="D247" s="251">
        <v>349.86</v>
      </c>
    </row>
    <row r="248" spans="1:4" x14ac:dyDescent="0.25">
      <c r="A248" s="251">
        <v>231</v>
      </c>
      <c r="B248" t="s">
        <v>457</v>
      </c>
      <c r="C248" s="251">
        <v>467.67</v>
      </c>
      <c r="D248" s="251">
        <v>467.67</v>
      </c>
    </row>
    <row r="249" spans="1:4" x14ac:dyDescent="0.25">
      <c r="A249" s="251">
        <v>220</v>
      </c>
      <c r="B249" t="s">
        <v>447</v>
      </c>
      <c r="C249" s="251">
        <v>4533.476333333334</v>
      </c>
      <c r="D249" s="251">
        <v>3869.1263333333336</v>
      </c>
    </row>
    <row r="250" spans="1:4" x14ac:dyDescent="0.25">
      <c r="A250" s="251">
        <v>215</v>
      </c>
      <c r="B250" t="s">
        <v>442</v>
      </c>
      <c r="C250" s="251">
        <v>2001.9100000000003</v>
      </c>
      <c r="D250" s="251">
        <v>1337.5600000000002</v>
      </c>
    </row>
    <row r="251" spans="1:4" x14ac:dyDescent="0.25">
      <c r="A251" s="251">
        <v>218</v>
      </c>
      <c r="B251" t="s">
        <v>445</v>
      </c>
      <c r="C251" s="251">
        <v>1942.4580576923076</v>
      </c>
      <c r="D251" s="251">
        <v>1278.1080576923077</v>
      </c>
    </row>
    <row r="252" spans="1:4" x14ac:dyDescent="0.25">
      <c r="A252" s="251">
        <v>217</v>
      </c>
      <c r="B252" t="s">
        <v>444</v>
      </c>
      <c r="C252" s="251">
        <v>2157.8183076923078</v>
      </c>
      <c r="D252" s="251">
        <v>1493.4683076923077</v>
      </c>
    </row>
    <row r="253" spans="1:4" x14ac:dyDescent="0.25">
      <c r="A253" s="251">
        <v>216</v>
      </c>
      <c r="B253" t="s">
        <v>443</v>
      </c>
      <c r="C253" s="251">
        <v>5087.5800000000008</v>
      </c>
      <c r="D253" s="251">
        <v>4423.2300000000005</v>
      </c>
    </row>
    <row r="254" spans="1:4" x14ac:dyDescent="0.25">
      <c r="A254" s="251">
        <v>213</v>
      </c>
      <c r="B254" t="s">
        <v>440</v>
      </c>
      <c r="C254" s="251">
        <v>5214.9100000000008</v>
      </c>
      <c r="D254" s="251">
        <v>4550.5600000000004</v>
      </c>
    </row>
    <row r="255" spans="1:4" x14ac:dyDescent="0.25">
      <c r="A255" s="251">
        <v>212</v>
      </c>
      <c r="B255" t="s">
        <v>555</v>
      </c>
      <c r="C255" s="251">
        <v>4473.9366666666674</v>
      </c>
      <c r="D255" s="251">
        <v>3809.586666666667</v>
      </c>
    </row>
    <row r="256" spans="1:4" x14ac:dyDescent="0.25">
      <c r="A256" s="251">
        <v>230</v>
      </c>
      <c r="B256" t="s">
        <v>455</v>
      </c>
      <c r="C256" s="251">
        <v>879.64050000000009</v>
      </c>
      <c r="D256" s="251">
        <v>879.64050000000009</v>
      </c>
    </row>
    <row r="257" spans="1:4" x14ac:dyDescent="0.25">
      <c r="A257" s="251">
        <v>226</v>
      </c>
      <c r="B257" t="s">
        <v>451</v>
      </c>
      <c r="C257" s="251">
        <v>704.62379999999996</v>
      </c>
      <c r="D257" s="251">
        <v>704.62379999999996</v>
      </c>
    </row>
    <row r="258" spans="1:4" x14ac:dyDescent="0.25">
      <c r="A258" s="251">
        <v>228</v>
      </c>
      <c r="B258" t="s">
        <v>453</v>
      </c>
      <c r="C258" s="251">
        <v>704.64960000000008</v>
      </c>
      <c r="D258" s="251">
        <v>704.64960000000008</v>
      </c>
    </row>
    <row r="259" spans="1:4" x14ac:dyDescent="0.25">
      <c r="A259" s="251">
        <v>229</v>
      </c>
      <c r="B259" t="s">
        <v>454</v>
      </c>
      <c r="C259" s="251">
        <v>704.62379999999996</v>
      </c>
      <c r="D259" s="251">
        <v>704.62379999999996</v>
      </c>
    </row>
    <row r="260" spans="1:4" x14ac:dyDescent="0.25">
      <c r="A260" s="251">
        <v>298</v>
      </c>
      <c r="B260" t="s">
        <v>626</v>
      </c>
      <c r="C260" s="251">
        <v>106.04015625000002</v>
      </c>
      <c r="D260" s="251">
        <v>106.04015625000002</v>
      </c>
    </row>
    <row r="261" spans="1:4" x14ac:dyDescent="0.25">
      <c r="A261" s="251">
        <v>299</v>
      </c>
      <c r="B261" t="s">
        <v>205</v>
      </c>
      <c r="C261" s="251">
        <v>106.04015625000002</v>
      </c>
      <c r="D261" s="251">
        <v>106.04015625000002</v>
      </c>
    </row>
    <row r="262" spans="1:4" x14ac:dyDescent="0.25">
      <c r="A262" s="251">
        <v>48</v>
      </c>
      <c r="B262" t="s">
        <v>356</v>
      </c>
      <c r="C262" s="251">
        <v>349.86</v>
      </c>
      <c r="D262" s="251">
        <v>349.86</v>
      </c>
    </row>
    <row r="263" spans="1:4" x14ac:dyDescent="0.25">
      <c r="A263" s="251">
        <v>47</v>
      </c>
      <c r="B263" t="s">
        <v>355</v>
      </c>
      <c r="C263" s="251">
        <v>467.67</v>
      </c>
      <c r="D263" s="251">
        <v>467.67</v>
      </c>
    </row>
    <row r="264" spans="1:4" x14ac:dyDescent="0.25">
      <c r="A264" s="251">
        <v>112</v>
      </c>
      <c r="B264" t="s">
        <v>558</v>
      </c>
      <c r="C264" s="251">
        <v>852.38900000000001</v>
      </c>
      <c r="D264" s="251">
        <v>549.62599999999998</v>
      </c>
    </row>
    <row r="265" spans="1:4" x14ac:dyDescent="0.25">
      <c r="A265" s="251">
        <v>113</v>
      </c>
      <c r="B265" t="s">
        <v>559</v>
      </c>
      <c r="C265" s="251">
        <v>1392.5335</v>
      </c>
      <c r="D265" s="251">
        <v>1089.7705000000001</v>
      </c>
    </row>
    <row r="266" spans="1:4" x14ac:dyDescent="0.25">
      <c r="A266" s="251">
        <v>149</v>
      </c>
      <c r="B266" t="s">
        <v>560</v>
      </c>
      <c r="C266" s="251">
        <v>1236.5723125000002</v>
      </c>
      <c r="D266" s="251">
        <v>1236.5723125000002</v>
      </c>
    </row>
    <row r="267" spans="1:4" x14ac:dyDescent="0.25">
      <c r="A267" s="251">
        <v>152</v>
      </c>
      <c r="B267" t="s">
        <v>402</v>
      </c>
      <c r="C267" s="251">
        <v>1025.4208125</v>
      </c>
      <c r="D267" s="251">
        <v>1025.4208125</v>
      </c>
    </row>
    <row r="268" spans="1:4" x14ac:dyDescent="0.25">
      <c r="A268" s="251">
        <v>150</v>
      </c>
      <c r="B268" t="s">
        <v>400</v>
      </c>
      <c r="C268" s="251">
        <v>1375.6343125000001</v>
      </c>
      <c r="D268" s="251">
        <v>1375.6343125000001</v>
      </c>
    </row>
    <row r="269" spans="1:4" x14ac:dyDescent="0.25">
      <c r="A269" s="251">
        <v>151</v>
      </c>
      <c r="B269" t="s">
        <v>401</v>
      </c>
      <c r="C269" s="251">
        <v>1137.0918125000001</v>
      </c>
      <c r="D269" s="251">
        <v>1137.0918125000001</v>
      </c>
    </row>
    <row r="270" spans="1:4" x14ac:dyDescent="0.25">
      <c r="A270" s="251">
        <v>147</v>
      </c>
      <c r="B270" t="s">
        <v>320</v>
      </c>
      <c r="C270" s="251">
        <v>496.56381249999998</v>
      </c>
      <c r="D270" s="251">
        <v>496.56381249999998</v>
      </c>
    </row>
    <row r="271" spans="1:4" x14ac:dyDescent="0.25">
      <c r="A271" s="251">
        <v>153</v>
      </c>
      <c r="B271" t="s">
        <v>403</v>
      </c>
      <c r="C271" s="251">
        <v>1560.506625</v>
      </c>
      <c r="D271" s="251">
        <v>1560.506625</v>
      </c>
    </row>
    <row r="272" spans="1:4" x14ac:dyDescent="0.25">
      <c r="A272" s="251">
        <v>146</v>
      </c>
      <c r="B272" t="s">
        <v>399</v>
      </c>
      <c r="C272" s="251">
        <v>2110.0743124999999</v>
      </c>
      <c r="D272" s="251">
        <v>2110.0743124999999</v>
      </c>
    </row>
    <row r="273" spans="1:4" x14ac:dyDescent="0.25">
      <c r="A273" s="251">
        <v>146</v>
      </c>
      <c r="B273" t="s">
        <v>733</v>
      </c>
      <c r="C273" s="251">
        <v>1237.3248125</v>
      </c>
      <c r="D273" s="251">
        <v>1237.3248125</v>
      </c>
    </row>
    <row r="274" spans="1:4" x14ac:dyDescent="0.25">
      <c r="A274" s="251">
        <v>148</v>
      </c>
      <c r="B274" t="s">
        <v>321</v>
      </c>
      <c r="C274" s="251">
        <v>618.27850000000001</v>
      </c>
      <c r="D274" s="251">
        <v>618.27850000000001</v>
      </c>
    </row>
    <row r="275" spans="1:4" x14ac:dyDescent="0.25">
      <c r="A275" s="251">
        <v>34</v>
      </c>
      <c r="B275" t="s">
        <v>343</v>
      </c>
      <c r="C275" s="251">
        <v>485.19437499999998</v>
      </c>
      <c r="D275" s="251">
        <v>485.19437499999998</v>
      </c>
    </row>
    <row r="276" spans="1:4" x14ac:dyDescent="0.25">
      <c r="A276" s="251">
        <v>195</v>
      </c>
      <c r="B276" t="s">
        <v>425</v>
      </c>
      <c r="C276" s="251">
        <v>1532.1075000000001</v>
      </c>
      <c r="D276" s="251">
        <v>1532.1075000000001</v>
      </c>
    </row>
    <row r="277" spans="1:4" x14ac:dyDescent="0.25">
      <c r="A277" s="251">
        <v>136</v>
      </c>
      <c r="B277" t="s">
        <v>224</v>
      </c>
      <c r="C277" s="251">
        <v>2252.9318750000002</v>
      </c>
      <c r="D277" s="251">
        <v>2252.9318750000002</v>
      </c>
    </row>
    <row r="278" spans="1:4" x14ac:dyDescent="0.25">
      <c r="A278" s="251">
        <v>209</v>
      </c>
      <c r="B278" t="s">
        <v>435</v>
      </c>
      <c r="C278" s="251">
        <v>1978.2297499999997</v>
      </c>
      <c r="D278" s="251">
        <v>1978.2297499999997</v>
      </c>
    </row>
    <row r="279" spans="1:4" x14ac:dyDescent="0.25">
      <c r="A279" s="251">
        <v>171</v>
      </c>
      <c r="B279" t="s">
        <v>413</v>
      </c>
      <c r="C279" s="251">
        <v>867.69</v>
      </c>
      <c r="D279" s="251">
        <v>867.69</v>
      </c>
    </row>
    <row r="280" spans="1:4" x14ac:dyDescent="0.25">
      <c r="A280" s="251">
        <v>210</v>
      </c>
      <c r="B280" t="s">
        <v>436</v>
      </c>
      <c r="C280" s="251">
        <v>2458.1767</v>
      </c>
      <c r="D280" s="251">
        <v>2458.1767</v>
      </c>
    </row>
    <row r="281" spans="1:4" x14ac:dyDescent="0.25">
      <c r="A281" s="251">
        <v>3</v>
      </c>
      <c r="B281" t="s">
        <v>327</v>
      </c>
      <c r="C281" s="251">
        <v>3146.3599999999997</v>
      </c>
      <c r="D281" s="251">
        <v>3146.3599999999997</v>
      </c>
    </row>
    <row r="282" spans="1:4" x14ac:dyDescent="0.25">
      <c r="A282" s="251">
        <v>104</v>
      </c>
      <c r="B282" t="s">
        <v>382</v>
      </c>
      <c r="C282" s="251">
        <v>2867.7345</v>
      </c>
      <c r="D282" s="251">
        <v>2564.9715000000001</v>
      </c>
    </row>
    <row r="283" spans="1:4" x14ac:dyDescent="0.25">
      <c r="A283" s="251">
        <v>103</v>
      </c>
      <c r="B283" t="s">
        <v>381</v>
      </c>
      <c r="C283" s="251">
        <v>1369.8509999999999</v>
      </c>
      <c r="D283" s="251">
        <v>1369.8509999999999</v>
      </c>
    </row>
    <row r="284" spans="1:4" x14ac:dyDescent="0.25">
      <c r="A284" s="251">
        <v>21</v>
      </c>
      <c r="B284" t="s">
        <v>337</v>
      </c>
      <c r="C284" s="251">
        <v>1037.68</v>
      </c>
      <c r="D284" s="251">
        <v>1037.68</v>
      </c>
    </row>
    <row r="285" spans="1:4" x14ac:dyDescent="0.25">
      <c r="A285" s="251">
        <v>14</v>
      </c>
      <c r="B285" t="s">
        <v>21</v>
      </c>
      <c r="C285" s="251">
        <v>7892.8534999999993</v>
      </c>
      <c r="D285" s="251">
        <v>7892.8534999999993</v>
      </c>
    </row>
    <row r="286" spans="1:4" x14ac:dyDescent="0.25">
      <c r="A286" s="251">
        <v>130</v>
      </c>
      <c r="B286" t="s">
        <v>322</v>
      </c>
      <c r="C286" s="251">
        <v>820.92109749999997</v>
      </c>
      <c r="D286" s="251">
        <v>820.92109749999997</v>
      </c>
    </row>
    <row r="287" spans="1:4" x14ac:dyDescent="0.25">
      <c r="A287" s="251">
        <v>35</v>
      </c>
      <c r="B287" t="s">
        <v>344</v>
      </c>
      <c r="C287" s="251">
        <v>664.11019499999998</v>
      </c>
      <c r="D287" s="251">
        <v>664.11019499999998</v>
      </c>
    </row>
    <row r="288" spans="1:4" x14ac:dyDescent="0.25">
      <c r="A288" s="251">
        <v>68</v>
      </c>
      <c r="B288" t="s">
        <v>237</v>
      </c>
      <c r="C288" s="251">
        <v>627.93800999999996</v>
      </c>
      <c r="D288" s="251">
        <v>627.93800999999996</v>
      </c>
    </row>
    <row r="289" spans="1:4" x14ac:dyDescent="0.25">
      <c r="A289" s="251">
        <v>69</v>
      </c>
      <c r="B289" t="s">
        <v>629</v>
      </c>
      <c r="C289" s="251">
        <v>528.25132500000007</v>
      </c>
      <c r="D289" s="251">
        <v>528.25132500000007</v>
      </c>
    </row>
    <row r="290" spans="1:4" x14ac:dyDescent="0.25">
      <c r="A290" s="251">
        <v>70</v>
      </c>
      <c r="B290" t="s">
        <v>630</v>
      </c>
      <c r="C290" s="251">
        <v>645.11457499999995</v>
      </c>
      <c r="D290" s="251">
        <v>645.11457499999995</v>
      </c>
    </row>
    <row r="291" spans="1:4" x14ac:dyDescent="0.25">
      <c r="A291" s="251">
        <v>407</v>
      </c>
      <c r="B291" t="s">
        <v>628</v>
      </c>
      <c r="C291" s="251">
        <v>1569.9075</v>
      </c>
      <c r="D291" s="251">
        <v>1569.9075</v>
      </c>
    </row>
    <row r="292" spans="1:4" x14ac:dyDescent="0.25">
      <c r="A292" s="251">
        <v>190</v>
      </c>
      <c r="B292" t="s">
        <v>323</v>
      </c>
      <c r="C292" s="251">
        <v>865.52550000000008</v>
      </c>
      <c r="D292" s="251">
        <v>865.52550000000008</v>
      </c>
    </row>
    <row r="293" spans="1:4" x14ac:dyDescent="0.25">
      <c r="A293" s="251">
        <v>187</v>
      </c>
      <c r="B293" t="s">
        <v>563</v>
      </c>
      <c r="C293" s="251">
        <v>2684.748</v>
      </c>
      <c r="D293" s="251">
        <v>2020.3980000000001</v>
      </c>
    </row>
    <row r="294" spans="1:4" x14ac:dyDescent="0.25">
      <c r="A294" s="251">
        <v>186</v>
      </c>
      <c r="B294" t="s">
        <v>564</v>
      </c>
      <c r="C294" s="251">
        <v>2572.4454999999998</v>
      </c>
      <c r="D294" s="251">
        <v>1908.0954999999999</v>
      </c>
    </row>
    <row r="295" spans="1:4" x14ac:dyDescent="0.25">
      <c r="A295" s="251">
        <v>191</v>
      </c>
      <c r="B295" t="s">
        <v>565</v>
      </c>
      <c r="C295" s="251">
        <v>1875.2730000000001</v>
      </c>
      <c r="D295" s="251">
        <v>1210.923</v>
      </c>
    </row>
    <row r="296" spans="1:4" x14ac:dyDescent="0.25">
      <c r="A296" s="251">
        <v>189</v>
      </c>
      <c r="B296" t="s">
        <v>663</v>
      </c>
      <c r="C296" s="251">
        <v>1729.2488699999999</v>
      </c>
      <c r="D296" s="251">
        <v>1064.89887</v>
      </c>
    </row>
    <row r="297" spans="1:4" x14ac:dyDescent="0.25">
      <c r="A297" s="251">
        <v>245</v>
      </c>
      <c r="B297" t="s">
        <v>468</v>
      </c>
      <c r="C297" s="251">
        <v>302.76300000000003</v>
      </c>
      <c r="D297" s="251">
        <v>302.76300000000003</v>
      </c>
    </row>
    <row r="298" spans="1:4" x14ac:dyDescent="0.25">
      <c r="A298" s="251">
        <v>235</v>
      </c>
      <c r="B298" t="s">
        <v>458</v>
      </c>
      <c r="C298" s="251">
        <v>664.35</v>
      </c>
      <c r="D298" s="251">
        <v>664.35</v>
      </c>
    </row>
    <row r="299" spans="1:4" x14ac:dyDescent="0.25">
      <c r="A299" s="251">
        <v>237</v>
      </c>
      <c r="B299" t="s">
        <v>460</v>
      </c>
      <c r="C299" s="251">
        <v>664.24679999999989</v>
      </c>
      <c r="D299" s="251">
        <v>664.24679999999989</v>
      </c>
    </row>
    <row r="300" spans="1:4" x14ac:dyDescent="0.25">
      <c r="A300" s="251">
        <v>246</v>
      </c>
      <c r="B300" t="s">
        <v>469</v>
      </c>
      <c r="C300" s="251">
        <v>317.40450000000004</v>
      </c>
      <c r="D300" s="251">
        <v>317.40450000000004</v>
      </c>
    </row>
    <row r="301" spans="1:4" x14ac:dyDescent="0.25">
      <c r="A301" s="251">
        <v>236</v>
      </c>
      <c r="B301" t="s">
        <v>459</v>
      </c>
      <c r="C301" s="251">
        <v>664.24679999999989</v>
      </c>
      <c r="D301" s="251">
        <v>664.24679999999989</v>
      </c>
    </row>
    <row r="302" spans="1:4" x14ac:dyDescent="0.25">
      <c r="A302" s="251">
        <v>239</v>
      </c>
      <c r="B302" t="s">
        <v>462</v>
      </c>
      <c r="C302" s="251">
        <v>704.62379999999996</v>
      </c>
      <c r="D302" s="251">
        <v>704.62379999999996</v>
      </c>
    </row>
    <row r="303" spans="1:4" x14ac:dyDescent="0.25">
      <c r="A303" s="251">
        <v>239</v>
      </c>
      <c r="B303" t="s">
        <v>467</v>
      </c>
      <c r="C303" s="251">
        <v>1305.48</v>
      </c>
      <c r="D303" s="251">
        <v>1305.48</v>
      </c>
    </row>
    <row r="304" spans="1:4" x14ac:dyDescent="0.25">
      <c r="A304" s="251">
        <v>239</v>
      </c>
      <c r="B304" t="s">
        <v>466</v>
      </c>
      <c r="C304" s="251">
        <v>1305.48</v>
      </c>
      <c r="D304" s="251">
        <v>1305.48</v>
      </c>
    </row>
    <row r="305" spans="1:4" x14ac:dyDescent="0.25">
      <c r="A305" s="251">
        <v>188</v>
      </c>
      <c r="B305" t="s">
        <v>566</v>
      </c>
      <c r="C305" s="251">
        <v>2806.172</v>
      </c>
      <c r="D305" s="251">
        <v>2141.8220000000001</v>
      </c>
    </row>
    <row r="306" spans="1:4" x14ac:dyDescent="0.25">
      <c r="A306" s="251">
        <v>193</v>
      </c>
      <c r="B306" t="s">
        <v>424</v>
      </c>
      <c r="C306" s="251">
        <v>1255.8760199999999</v>
      </c>
      <c r="D306" s="251">
        <v>1255.8760199999999</v>
      </c>
    </row>
    <row r="307" spans="1:4" x14ac:dyDescent="0.25">
      <c r="A307" s="251">
        <v>238</v>
      </c>
      <c r="B307" t="s">
        <v>461</v>
      </c>
      <c r="C307" s="251">
        <v>704.62379999999996</v>
      </c>
      <c r="D307" s="251">
        <v>704.62379999999996</v>
      </c>
    </row>
    <row r="308" spans="1:4" x14ac:dyDescent="0.25">
      <c r="A308" s="251">
        <v>242</v>
      </c>
      <c r="B308" t="s">
        <v>465</v>
      </c>
      <c r="C308" s="251">
        <v>665.51099999999997</v>
      </c>
      <c r="D308" s="251">
        <v>665.51099999999997</v>
      </c>
    </row>
    <row r="309" spans="1:4" x14ac:dyDescent="0.25">
      <c r="A309" s="251">
        <v>247</v>
      </c>
      <c r="B309" t="s">
        <v>470</v>
      </c>
      <c r="C309" s="251">
        <v>301.85999999999996</v>
      </c>
      <c r="D309" s="251">
        <v>301.85999999999996</v>
      </c>
    </row>
    <row r="310" spans="1:4" x14ac:dyDescent="0.25">
      <c r="A310" s="251">
        <v>240</v>
      </c>
      <c r="B310" t="s">
        <v>463</v>
      </c>
      <c r="C310" s="251">
        <v>704.64960000000008</v>
      </c>
      <c r="D310" s="251">
        <v>704.64960000000008</v>
      </c>
    </row>
    <row r="311" spans="1:4" x14ac:dyDescent="0.25">
      <c r="A311" s="251">
        <v>241</v>
      </c>
      <c r="B311" t="s">
        <v>464</v>
      </c>
      <c r="C311" s="251">
        <v>704.62379999999996</v>
      </c>
      <c r="D311" s="251">
        <v>704.62379999999996</v>
      </c>
    </row>
    <row r="312" spans="1:4" x14ac:dyDescent="0.25">
      <c r="A312" s="251">
        <v>192</v>
      </c>
      <c r="B312" t="s">
        <v>423</v>
      </c>
      <c r="C312" s="251">
        <v>2420.6849999999999</v>
      </c>
      <c r="D312" s="251">
        <v>1756.335</v>
      </c>
    </row>
    <row r="313" spans="1:4" x14ac:dyDescent="0.25">
      <c r="A313" s="251">
        <v>10</v>
      </c>
      <c r="B313" t="s">
        <v>331</v>
      </c>
      <c r="C313" s="251">
        <v>2202.8982500000002</v>
      </c>
      <c r="D313" s="251">
        <v>2202.8982500000002</v>
      </c>
    </row>
    <row r="314" spans="1:4" x14ac:dyDescent="0.25">
      <c r="A314" s="251">
        <v>9</v>
      </c>
      <c r="B314" t="s">
        <v>330</v>
      </c>
      <c r="C314" s="251">
        <v>1804.2482499999999</v>
      </c>
      <c r="D314" s="251">
        <v>1804.2482499999999</v>
      </c>
    </row>
    <row r="315" spans="1:4" x14ac:dyDescent="0.25">
      <c r="A315" s="251">
        <v>8</v>
      </c>
      <c r="B315" t="s">
        <v>324</v>
      </c>
      <c r="C315" s="251">
        <v>1744.7482500000001</v>
      </c>
      <c r="D315" s="251">
        <v>1744.7482500000001</v>
      </c>
    </row>
    <row r="316" spans="1:4" x14ac:dyDescent="0.25">
      <c r="A316" s="251">
        <v>84</v>
      </c>
      <c r="B316" t="s">
        <v>371</v>
      </c>
      <c r="C316" s="251">
        <v>1674.93</v>
      </c>
      <c r="D316" s="251">
        <v>1674.93</v>
      </c>
    </row>
    <row r="317" spans="1:4" x14ac:dyDescent="0.25">
      <c r="A317" s="251">
        <v>49</v>
      </c>
      <c r="B317" t="s">
        <v>357</v>
      </c>
      <c r="C317" s="251">
        <v>1042.57</v>
      </c>
      <c r="D317" s="251">
        <v>1042.57</v>
      </c>
    </row>
    <row r="318" spans="1:4" x14ac:dyDescent="0.25">
      <c r="A318" s="251">
        <v>50</v>
      </c>
      <c r="B318" t="s">
        <v>358</v>
      </c>
      <c r="C318" s="251">
        <v>1106.96</v>
      </c>
      <c r="D318" s="251">
        <v>1106.96</v>
      </c>
    </row>
    <row r="319" spans="1:4" x14ac:dyDescent="0.25">
      <c r="A319" s="251">
        <v>51</v>
      </c>
      <c r="B319" t="s">
        <v>739</v>
      </c>
      <c r="C319" s="251">
        <v>1046.6799999999998</v>
      </c>
      <c r="D319" s="251">
        <v>1046.6799999999998</v>
      </c>
    </row>
    <row r="320" spans="1:4" x14ac:dyDescent="0.25">
      <c r="A320" s="251">
        <v>58</v>
      </c>
      <c r="B320" t="s">
        <v>365</v>
      </c>
      <c r="C320" s="251">
        <v>11017.012499999999</v>
      </c>
      <c r="D320" s="251">
        <v>11017.012499999999</v>
      </c>
    </row>
    <row r="321" spans="1:4" x14ac:dyDescent="0.25">
      <c r="A321" s="251">
        <v>56</v>
      </c>
      <c r="B321" t="s">
        <v>363</v>
      </c>
      <c r="C321" s="251">
        <v>11017.012499999999</v>
      </c>
      <c r="D321" s="251">
        <v>11017.012499999999</v>
      </c>
    </row>
    <row r="322" spans="1:4" x14ac:dyDescent="0.25">
      <c r="A322" s="251">
        <v>57</v>
      </c>
      <c r="B322" t="s">
        <v>364</v>
      </c>
      <c r="C322" s="251">
        <v>11017.012499999999</v>
      </c>
      <c r="D322" s="251">
        <v>11017.012499999999</v>
      </c>
    </row>
    <row r="323" spans="1:4" x14ac:dyDescent="0.25">
      <c r="A323" s="251">
        <v>158</v>
      </c>
      <c r="B323" t="s">
        <v>405</v>
      </c>
      <c r="C323" s="251">
        <v>311.02222499999999</v>
      </c>
      <c r="D323" s="251">
        <v>311.02222499999999</v>
      </c>
    </row>
    <row r="324" spans="1:4" x14ac:dyDescent="0.25">
      <c r="A324" s="251">
        <v>442</v>
      </c>
      <c r="B324" t="s">
        <v>309</v>
      </c>
      <c r="C324" s="251">
        <v>595.20000000000005</v>
      </c>
      <c r="D324" s="251">
        <v>595.20000000000005</v>
      </c>
    </row>
    <row r="325" spans="1:4" x14ac:dyDescent="0.25">
      <c r="A325" s="251">
        <v>159</v>
      </c>
      <c r="B325" t="s">
        <v>406</v>
      </c>
      <c r="C325" s="251">
        <v>0</v>
      </c>
      <c r="D325" s="251">
        <v>0</v>
      </c>
    </row>
    <row r="326" spans="1:4" x14ac:dyDescent="0.25">
      <c r="A326" s="251">
        <v>160</v>
      </c>
      <c r="B326" t="s">
        <v>407</v>
      </c>
      <c r="C326" s="251">
        <v>1141.8772499999998</v>
      </c>
      <c r="D326" s="251">
        <v>1141.8772499999998</v>
      </c>
    </row>
    <row r="327" spans="1:4" x14ac:dyDescent="0.25">
      <c r="A327" s="251">
        <v>161</v>
      </c>
      <c r="B327" t="s">
        <v>408</v>
      </c>
      <c r="C327" s="251">
        <v>879.64050000000009</v>
      </c>
      <c r="D327" s="251">
        <v>879.64050000000009</v>
      </c>
    </row>
    <row r="328" spans="1:4" x14ac:dyDescent="0.25">
      <c r="A328" s="251">
        <v>155</v>
      </c>
      <c r="B328" t="s">
        <v>217</v>
      </c>
      <c r="C328" s="251">
        <v>576.65332750000005</v>
      </c>
      <c r="D328" s="251">
        <v>576.65332750000005</v>
      </c>
    </row>
    <row r="329" spans="1:4" x14ac:dyDescent="0.25">
      <c r="A329" s="251">
        <v>182</v>
      </c>
      <c r="B329" t="s">
        <v>419</v>
      </c>
      <c r="C329" s="251">
        <v>2089.5419999999999</v>
      </c>
      <c r="D329" s="251">
        <v>2089.5419999999999</v>
      </c>
    </row>
    <row r="330" spans="1:4" x14ac:dyDescent="0.25">
      <c r="A330" s="251">
        <v>184</v>
      </c>
      <c r="B330" t="s">
        <v>421</v>
      </c>
      <c r="C330" s="251">
        <v>1481.9132999999999</v>
      </c>
      <c r="D330" s="251">
        <v>1481.9132999999999</v>
      </c>
    </row>
    <row r="331" spans="1:4" x14ac:dyDescent="0.25">
      <c r="A331" s="251">
        <v>30</v>
      </c>
      <c r="B331" t="s">
        <v>339</v>
      </c>
      <c r="C331" s="251">
        <v>380.75699999999995</v>
      </c>
      <c r="D331" s="251">
        <v>380.75699999999995</v>
      </c>
    </row>
    <row r="332" spans="1:4" x14ac:dyDescent="0.25">
      <c r="A332" s="251">
        <v>93</v>
      </c>
      <c r="B332" t="s">
        <v>375</v>
      </c>
      <c r="C332" s="251">
        <v>1062.0355</v>
      </c>
      <c r="D332" s="251">
        <v>759.27250000000004</v>
      </c>
    </row>
    <row r="333" spans="1:4" x14ac:dyDescent="0.25">
      <c r="A333" s="251">
        <v>13</v>
      </c>
      <c r="B333" t="s">
        <v>20</v>
      </c>
      <c r="C333" s="251">
        <v>9038.2820499999998</v>
      </c>
      <c r="D333" s="251">
        <v>9038.2820499999998</v>
      </c>
    </row>
    <row r="334" spans="1:4" x14ac:dyDescent="0.25">
      <c r="A334" s="251">
        <v>4</v>
      </c>
      <c r="B334" t="s">
        <v>325</v>
      </c>
      <c r="C334" s="251">
        <v>778.26</v>
      </c>
      <c r="D334" s="251">
        <v>778.26</v>
      </c>
    </row>
    <row r="335" spans="1:4" x14ac:dyDescent="0.25">
      <c r="A335" s="251">
        <v>44</v>
      </c>
      <c r="B335" t="s">
        <v>352</v>
      </c>
      <c r="C335" s="251">
        <v>704.64960000000008</v>
      </c>
      <c r="D335" s="251">
        <v>704.64960000000008</v>
      </c>
    </row>
    <row r="336" spans="1:4" x14ac:dyDescent="0.25">
      <c r="A336" s="251">
        <v>45</v>
      </c>
      <c r="B336" t="s">
        <v>353</v>
      </c>
      <c r="C336" s="251">
        <v>704.62379999999996</v>
      </c>
      <c r="D336" s="251">
        <v>704.62379999999996</v>
      </c>
    </row>
    <row r="337" spans="1:4" x14ac:dyDescent="0.25">
      <c r="A337" s="251">
        <v>164</v>
      </c>
      <c r="B337" t="s">
        <v>410</v>
      </c>
      <c r="C337" s="251">
        <v>816.07499999999993</v>
      </c>
      <c r="D337" s="251">
        <v>816.07499999999993</v>
      </c>
    </row>
    <row r="338" spans="1:4" x14ac:dyDescent="0.25">
      <c r="A338" s="251">
        <v>175</v>
      </c>
      <c r="B338" t="s">
        <v>417</v>
      </c>
      <c r="C338" s="251">
        <v>802.1090999999999</v>
      </c>
      <c r="D338" s="251">
        <v>802.1090999999999</v>
      </c>
    </row>
    <row r="339" spans="1:4" x14ac:dyDescent="0.25">
      <c r="A339" s="251">
        <v>94</v>
      </c>
      <c r="B339" t="s">
        <v>567</v>
      </c>
      <c r="C339" s="251">
        <v>1180.9304999999999</v>
      </c>
      <c r="D339" s="251">
        <v>878.16750000000002</v>
      </c>
    </row>
    <row r="340" spans="1:4" x14ac:dyDescent="0.25">
      <c r="A340" s="251">
        <v>114</v>
      </c>
      <c r="B340" t="s">
        <v>383</v>
      </c>
      <c r="C340" s="251">
        <v>1629.7215000000001</v>
      </c>
      <c r="D340" s="251">
        <v>1326.9585</v>
      </c>
    </row>
    <row r="341" spans="1:4" x14ac:dyDescent="0.25">
      <c r="A341" s="251">
        <v>115</v>
      </c>
      <c r="B341" t="s">
        <v>384</v>
      </c>
      <c r="C341" s="251">
        <v>1861.9429999999998</v>
      </c>
      <c r="D341" s="251">
        <v>1559.1799999999998</v>
      </c>
    </row>
    <row r="342" spans="1:4" x14ac:dyDescent="0.25">
      <c r="A342" s="251">
        <v>116</v>
      </c>
      <c r="B342" t="s">
        <v>385</v>
      </c>
      <c r="C342" s="251">
        <v>3030.5755000000004</v>
      </c>
      <c r="D342" s="251">
        <v>2727.8125000000005</v>
      </c>
    </row>
    <row r="343" spans="1:4" x14ac:dyDescent="0.25">
      <c r="A343" s="251">
        <v>26</v>
      </c>
      <c r="B343" t="s">
        <v>326</v>
      </c>
      <c r="C343" s="251">
        <v>15478.01006557377</v>
      </c>
      <c r="D343" s="251">
        <v>15478.01006557377</v>
      </c>
    </row>
    <row r="344" spans="1:4" x14ac:dyDescent="0.25">
      <c r="A344" s="251">
        <v>24</v>
      </c>
      <c r="B344" t="s">
        <v>29</v>
      </c>
      <c r="C344" s="251">
        <v>4127.4879841666661</v>
      </c>
      <c r="D344" s="251">
        <v>4127.4879841666661</v>
      </c>
    </row>
    <row r="345" spans="1:4" x14ac:dyDescent="0.25">
      <c r="A345" s="251">
        <v>427</v>
      </c>
      <c r="B345" t="s">
        <v>675</v>
      </c>
      <c r="C345" s="251">
        <v>2331.10721375</v>
      </c>
      <c r="D345" s="251">
        <v>2331.10721375</v>
      </c>
    </row>
    <row r="346" spans="1:4" x14ac:dyDescent="0.25">
      <c r="A346" s="251">
        <v>137</v>
      </c>
      <c r="B346" t="s">
        <v>394</v>
      </c>
      <c r="C346" s="251">
        <v>3276.0308749999999</v>
      </c>
      <c r="D346" s="251">
        <v>3276.0308749999999</v>
      </c>
    </row>
    <row r="347" spans="1:4" x14ac:dyDescent="0.25">
      <c r="A347" s="251">
        <v>181</v>
      </c>
      <c r="B347" t="s">
        <v>153</v>
      </c>
      <c r="C347" s="251">
        <v>1068.6378275</v>
      </c>
      <c r="D347" s="251">
        <v>1068.6378275</v>
      </c>
    </row>
    <row r="348" spans="1:4" x14ac:dyDescent="0.25">
      <c r="A348" s="251">
        <v>92</v>
      </c>
      <c r="B348" t="s">
        <v>653</v>
      </c>
      <c r="C348" s="251">
        <v>3030.4249999999997</v>
      </c>
      <c r="D348" s="251">
        <v>2727.6619999999998</v>
      </c>
    </row>
    <row r="349" spans="1:4" x14ac:dyDescent="0.25">
      <c r="A349" s="251">
        <v>179</v>
      </c>
      <c r="B349" t="s">
        <v>151</v>
      </c>
      <c r="C349" s="251">
        <v>675.04281250000008</v>
      </c>
      <c r="D349" s="251">
        <v>675.04281250000008</v>
      </c>
    </row>
    <row r="350" spans="1:4" x14ac:dyDescent="0.25">
      <c r="A350" s="251">
        <v>5</v>
      </c>
      <c r="B350" t="s">
        <v>328</v>
      </c>
      <c r="C350" s="251">
        <v>4263.1154999999999</v>
      </c>
      <c r="D350" s="251">
        <v>4263.1154999999999</v>
      </c>
    </row>
    <row r="351" spans="1:4" x14ac:dyDescent="0.25">
      <c r="A351" s="251">
        <v>119</v>
      </c>
      <c r="B351" t="s">
        <v>388</v>
      </c>
      <c r="C351" s="251">
        <v>841.05419999999992</v>
      </c>
      <c r="D351" s="251">
        <v>841.05419999999992</v>
      </c>
    </row>
    <row r="352" spans="1:4" x14ac:dyDescent="0.25">
      <c r="A352" s="251">
        <v>156</v>
      </c>
      <c r="B352" t="s">
        <v>404</v>
      </c>
      <c r="C352" s="251">
        <v>1463.2379999999998</v>
      </c>
      <c r="D352" s="251">
        <v>1463.2379999999998</v>
      </c>
    </row>
    <row r="353" spans="1:4" x14ac:dyDescent="0.25">
      <c r="A353" s="251">
        <v>202</v>
      </c>
      <c r="B353" t="s">
        <v>428</v>
      </c>
      <c r="C353" s="251">
        <v>623.55092999999999</v>
      </c>
      <c r="D353" s="251">
        <v>623.55092999999999</v>
      </c>
    </row>
    <row r="354" spans="1:4" x14ac:dyDescent="0.25">
      <c r="A354" s="251">
        <v>89</v>
      </c>
      <c r="B354" t="s">
        <v>374</v>
      </c>
      <c r="C354" s="251">
        <v>888.20799999999997</v>
      </c>
      <c r="D354" s="251">
        <v>585.44499999999994</v>
      </c>
    </row>
    <row r="355" spans="1:4" x14ac:dyDescent="0.25">
      <c r="A355" s="251">
        <v>89</v>
      </c>
      <c r="B355" t="s">
        <v>338</v>
      </c>
      <c r="C355" s="251">
        <v>855.89262500000007</v>
      </c>
      <c r="D355" s="251">
        <v>855.89262500000007</v>
      </c>
    </row>
    <row r="356" spans="1:4" x14ac:dyDescent="0.25">
      <c r="A356" s="251">
        <v>72</v>
      </c>
      <c r="B356" t="s">
        <v>367</v>
      </c>
      <c r="C356" s="251">
        <v>598.91107499999998</v>
      </c>
      <c r="D356" s="251">
        <v>598.91107499999998</v>
      </c>
    </row>
    <row r="357" spans="1:4" x14ac:dyDescent="0.25">
      <c r="A357" s="251">
        <v>157</v>
      </c>
      <c r="B357" t="s">
        <v>155</v>
      </c>
      <c r="C357" s="251">
        <v>1011.9253666666666</v>
      </c>
      <c r="D357" s="251">
        <v>1011.9253666666666</v>
      </c>
    </row>
    <row r="358" spans="1:4" x14ac:dyDescent="0.25">
      <c r="A358" s="251">
        <v>105</v>
      </c>
      <c r="B358" t="s">
        <v>288</v>
      </c>
      <c r="C358" s="251">
        <v>2635.3624999999997</v>
      </c>
      <c r="D358" s="251">
        <v>2332.5994999999998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J3277"/>
  <sheetViews>
    <sheetView topLeftCell="A3" zoomScale="55" zoomScaleNormal="55" workbookViewId="0">
      <selection activeCell="D11" sqref="D11"/>
    </sheetView>
  </sheetViews>
  <sheetFormatPr baseColWidth="10" defaultRowHeight="15" x14ac:dyDescent="0.25"/>
  <cols>
    <col min="1" max="1" width="66.28515625" bestFit="1" customWidth="1"/>
    <col min="2" max="2" width="28.140625" bestFit="1" customWidth="1"/>
    <col min="3" max="3" width="20" bestFit="1" customWidth="1"/>
    <col min="4" max="4" width="42.5703125" bestFit="1" customWidth="1"/>
    <col min="5" max="6" width="12.140625" customWidth="1"/>
    <col min="7" max="7" width="18.42578125" bestFit="1" customWidth="1"/>
    <col min="8" max="8" width="12.140625" customWidth="1"/>
    <col min="9" max="9" width="64.85546875" style="7" bestFit="1" customWidth="1"/>
    <col min="10" max="10" width="12.140625" customWidth="1"/>
  </cols>
  <sheetData>
    <row r="1" spans="1:140" ht="15.75" thickBot="1" x14ac:dyDescent="0.3">
      <c r="B1" s="1"/>
    </row>
    <row r="2" spans="1:140" ht="15.75" thickBot="1" x14ac:dyDescent="0.3">
      <c r="B2" s="4"/>
      <c r="I2" s="5" t="s">
        <v>160</v>
      </c>
      <c r="J2" t="s">
        <v>161</v>
      </c>
      <c r="K2" t="s">
        <v>162</v>
      </c>
      <c r="L2" t="s">
        <v>163</v>
      </c>
      <c r="M2" t="s">
        <v>164</v>
      </c>
      <c r="N2" t="s">
        <v>165</v>
      </c>
      <c r="O2" t="s">
        <v>166</v>
      </c>
      <c r="P2" t="s">
        <v>167</v>
      </c>
      <c r="Q2" t="s">
        <v>168</v>
      </c>
      <c r="R2" t="s">
        <v>169</v>
      </c>
      <c r="S2" t="s">
        <v>170</v>
      </c>
      <c r="T2" t="s">
        <v>171</v>
      </c>
      <c r="U2" t="s">
        <v>172</v>
      </c>
      <c r="V2" t="s">
        <v>173</v>
      </c>
      <c r="W2" t="s">
        <v>174</v>
      </c>
      <c r="X2" t="s">
        <v>175</v>
      </c>
      <c r="Y2" t="s">
        <v>176</v>
      </c>
      <c r="Z2" t="s">
        <v>177</v>
      </c>
      <c r="AA2" t="s">
        <v>178</v>
      </c>
      <c r="AB2" t="s">
        <v>179</v>
      </c>
      <c r="AC2" t="s">
        <v>180</v>
      </c>
      <c r="AD2" t="s">
        <v>181</v>
      </c>
      <c r="AE2" t="s">
        <v>182</v>
      </c>
      <c r="AF2" t="s">
        <v>183</v>
      </c>
      <c r="AG2" t="s">
        <v>184</v>
      </c>
      <c r="AH2" t="s">
        <v>185</v>
      </c>
      <c r="AI2" t="s">
        <v>186</v>
      </c>
      <c r="AJ2" t="s">
        <v>187</v>
      </c>
      <c r="AK2" t="s">
        <v>188</v>
      </c>
      <c r="AL2" t="s">
        <v>189</v>
      </c>
      <c r="AM2" t="s">
        <v>190</v>
      </c>
      <c r="AN2" t="s">
        <v>191</v>
      </c>
      <c r="AO2" t="s">
        <v>192</v>
      </c>
      <c r="AP2" t="s">
        <v>193</v>
      </c>
      <c r="AQ2" t="s">
        <v>194</v>
      </c>
      <c r="AR2" t="s">
        <v>195</v>
      </c>
      <c r="AS2" t="s">
        <v>196</v>
      </c>
      <c r="AT2" t="s">
        <v>197</v>
      </c>
      <c r="AU2" t="s">
        <v>198</v>
      </c>
      <c r="AV2" t="s">
        <v>199</v>
      </c>
      <c r="AW2" t="s">
        <v>200</v>
      </c>
      <c r="AX2" t="s">
        <v>212</v>
      </c>
      <c r="AY2" t="s">
        <v>213</v>
      </c>
      <c r="AZ2" t="s">
        <v>214</v>
      </c>
      <c r="BA2" t="s">
        <v>215</v>
      </c>
      <c r="BB2" t="s">
        <v>216</v>
      </c>
      <c r="BC2" t="s">
        <v>226</v>
      </c>
      <c r="BD2" t="s">
        <v>227</v>
      </c>
      <c r="BE2" t="s">
        <v>228</v>
      </c>
      <c r="BF2" t="s">
        <v>229</v>
      </c>
      <c r="BG2" t="s">
        <v>230</v>
      </c>
      <c r="BH2" t="s">
        <v>231</v>
      </c>
      <c r="BI2" t="s">
        <v>232</v>
      </c>
      <c r="BJ2" t="s">
        <v>233</v>
      </c>
      <c r="BK2" t="s">
        <v>234</v>
      </c>
      <c r="BL2" t="s">
        <v>235</v>
      </c>
      <c r="BM2" t="s">
        <v>238</v>
      </c>
      <c r="BN2" t="s">
        <v>239</v>
      </c>
      <c r="BO2" t="s">
        <v>240</v>
      </c>
      <c r="BP2" t="s">
        <v>241</v>
      </c>
      <c r="BQ2" t="s">
        <v>242</v>
      </c>
      <c r="BR2" t="s">
        <v>243</v>
      </c>
      <c r="BS2" t="s">
        <v>244</v>
      </c>
      <c r="BT2" t="s">
        <v>245</v>
      </c>
      <c r="BU2" t="s">
        <v>246</v>
      </c>
      <c r="BV2" t="s">
        <v>247</v>
      </c>
      <c r="BW2" t="s">
        <v>248</v>
      </c>
      <c r="BX2" t="s">
        <v>249</v>
      </c>
      <c r="BY2" t="s">
        <v>250</v>
      </c>
      <c r="BZ2" t="s">
        <v>251</v>
      </c>
      <c r="CA2" t="s">
        <v>252</v>
      </c>
      <c r="CB2" t="s">
        <v>253</v>
      </c>
      <c r="CC2" t="s">
        <v>254</v>
      </c>
      <c r="CD2" t="s">
        <v>255</v>
      </c>
      <c r="CE2" t="s">
        <v>256</v>
      </c>
      <c r="CF2" t="s">
        <v>257</v>
      </c>
      <c r="CG2" t="s">
        <v>258</v>
      </c>
      <c r="CH2" t="s">
        <v>259</v>
      </c>
      <c r="CI2" t="s">
        <v>260</v>
      </c>
      <c r="CJ2" t="s">
        <v>261</v>
      </c>
      <c r="CK2" t="s">
        <v>262</v>
      </c>
      <c r="CL2" t="s">
        <v>263</v>
      </c>
      <c r="CM2" t="s">
        <v>264</v>
      </c>
      <c r="CN2" t="s">
        <v>265</v>
      </c>
      <c r="CO2" t="s">
        <v>266</v>
      </c>
      <c r="CP2" t="s">
        <v>267</v>
      </c>
      <c r="CQ2" t="s">
        <v>281</v>
      </c>
      <c r="CR2" t="s">
        <v>282</v>
      </c>
      <c r="CS2" t="s">
        <v>283</v>
      </c>
      <c r="CT2" t="s">
        <v>284</v>
      </c>
      <c r="CU2" t="s">
        <v>285</v>
      </c>
      <c r="CV2" t="s">
        <v>289</v>
      </c>
      <c r="CW2" t="s">
        <v>290</v>
      </c>
      <c r="CX2" t="s">
        <v>291</v>
      </c>
      <c r="CY2" t="s">
        <v>292</v>
      </c>
      <c r="CZ2" t="s">
        <v>293</v>
      </c>
      <c r="DA2" t="s">
        <v>294</v>
      </c>
      <c r="DB2" t="s">
        <v>295</v>
      </c>
      <c r="DC2" t="s">
        <v>296</v>
      </c>
      <c r="DD2" t="s">
        <v>297</v>
      </c>
      <c r="DE2" t="s">
        <v>298</v>
      </c>
      <c r="DF2" t="s">
        <v>299</v>
      </c>
      <c r="DG2" t="s">
        <v>300</v>
      </c>
      <c r="DH2" t="s">
        <v>301</v>
      </c>
      <c r="DI2" t="s">
        <v>302</v>
      </c>
      <c r="DJ2" t="s">
        <v>303</v>
      </c>
      <c r="DK2" t="s">
        <v>304</v>
      </c>
      <c r="DL2" t="s">
        <v>305</v>
      </c>
      <c r="DM2" t="s">
        <v>306</v>
      </c>
      <c r="DN2" t="s">
        <v>307</v>
      </c>
      <c r="DO2" t="s">
        <v>308</v>
      </c>
      <c r="DP2" t="s">
        <v>746</v>
      </c>
      <c r="DQ2" t="s">
        <v>747</v>
      </c>
      <c r="DR2" t="s">
        <v>748</v>
      </c>
      <c r="DS2" t="s">
        <v>749</v>
      </c>
      <c r="DT2" t="s">
        <v>750</v>
      </c>
      <c r="DU2" t="s">
        <v>751</v>
      </c>
      <c r="DV2" t="s">
        <v>752</v>
      </c>
      <c r="DW2" t="s">
        <v>753</v>
      </c>
      <c r="DX2" t="s">
        <v>754</v>
      </c>
      <c r="DY2" t="s">
        <v>755</v>
      </c>
      <c r="DZ2" t="s">
        <v>756</v>
      </c>
      <c r="EA2" t="s">
        <v>757</v>
      </c>
      <c r="EB2" t="s">
        <v>758</v>
      </c>
      <c r="EC2" t="s">
        <v>759</v>
      </c>
      <c r="ED2" t="s">
        <v>760</v>
      </c>
      <c r="EE2" t="s">
        <v>810</v>
      </c>
      <c r="EF2" t="s">
        <v>811</v>
      </c>
      <c r="EG2" t="s">
        <v>812</v>
      </c>
      <c r="EH2" t="s">
        <v>813</v>
      </c>
      <c r="EI2" t="s">
        <v>814</v>
      </c>
      <c r="EJ2" t="s">
        <v>201</v>
      </c>
    </row>
    <row r="3" spans="1:140" ht="15.75" thickBot="1" x14ac:dyDescent="0.3">
      <c r="A3" t="str">
        <f>B3&amp;"-"&amp;COUNTIF($B$2:B3,B3)</f>
        <v>I. CHICKEN FINGER-1</v>
      </c>
      <c r="B3" s="20" t="s">
        <v>522</v>
      </c>
      <c r="C3">
        <f>VLOOKUP(B3,RECETAS!D2:$E$1700,2,FALSE)</f>
        <v>11</v>
      </c>
      <c r="D3" s="17" t="s">
        <v>724</v>
      </c>
      <c r="G3" t="b">
        <f t="shared" ref="G3:G66" si="0">IFERROR(IF(MATCH(B3,I:I,0) &lt;&gt; "", TRUE,""),FALSE)</f>
        <v>1</v>
      </c>
      <c r="I3" s="48" t="s">
        <v>43</v>
      </c>
      <c r="J3">
        <f t="shared" ref="J3:S12" si="1">IFERROR(VLOOKUP($I3&amp;"-"&amp;J$2,$A$3:$C$1700,3,FALSE),0)</f>
        <v>75</v>
      </c>
      <c r="K3">
        <f t="shared" si="1"/>
        <v>75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  <c r="P3">
        <f t="shared" si="1"/>
        <v>0</v>
      </c>
      <c r="Q3">
        <f t="shared" si="1"/>
        <v>0</v>
      </c>
      <c r="R3">
        <f t="shared" si="1"/>
        <v>0</v>
      </c>
      <c r="S3">
        <f t="shared" si="1"/>
        <v>0</v>
      </c>
      <c r="T3">
        <f t="shared" ref="T3:AC12" si="2">IFERROR(VLOOKUP($I3&amp;"-"&amp;T$2,$A$3:$C$1700,3,FALSE),0)</f>
        <v>0</v>
      </c>
      <c r="U3">
        <f t="shared" si="2"/>
        <v>0</v>
      </c>
      <c r="V3">
        <f t="shared" si="2"/>
        <v>0</v>
      </c>
      <c r="W3">
        <f t="shared" si="2"/>
        <v>0</v>
      </c>
      <c r="X3">
        <f t="shared" si="2"/>
        <v>0</v>
      </c>
      <c r="Y3">
        <f t="shared" si="2"/>
        <v>0</v>
      </c>
      <c r="Z3">
        <f t="shared" si="2"/>
        <v>0</v>
      </c>
      <c r="AA3">
        <f t="shared" si="2"/>
        <v>0</v>
      </c>
      <c r="AB3">
        <f t="shared" si="2"/>
        <v>0</v>
      </c>
      <c r="AC3">
        <f t="shared" si="2"/>
        <v>0</v>
      </c>
      <c r="AD3">
        <f t="shared" ref="AD3:AM12" si="3">IFERROR(VLOOKUP($I3&amp;"-"&amp;AD$2,$A$3:$C$1700,3,FALSE),0)</f>
        <v>0</v>
      </c>
      <c r="AE3">
        <f t="shared" si="3"/>
        <v>0</v>
      </c>
      <c r="AF3">
        <f t="shared" si="3"/>
        <v>0</v>
      </c>
      <c r="AG3">
        <f t="shared" si="3"/>
        <v>0</v>
      </c>
      <c r="AH3">
        <f t="shared" si="3"/>
        <v>0</v>
      </c>
      <c r="AI3">
        <f t="shared" si="3"/>
        <v>0</v>
      </c>
      <c r="AJ3">
        <f t="shared" si="3"/>
        <v>0</v>
      </c>
      <c r="AK3">
        <f t="shared" si="3"/>
        <v>0</v>
      </c>
      <c r="AL3">
        <f t="shared" si="3"/>
        <v>0</v>
      </c>
      <c r="AM3">
        <f t="shared" si="3"/>
        <v>0</v>
      </c>
      <c r="AN3">
        <f t="shared" ref="AN3:AW12" si="4">IFERROR(VLOOKUP($I3&amp;"-"&amp;AN$2,$A$3:$C$1700,3,FALSE),0)</f>
        <v>0</v>
      </c>
      <c r="AO3">
        <f t="shared" si="4"/>
        <v>0</v>
      </c>
      <c r="AP3">
        <f t="shared" si="4"/>
        <v>0</v>
      </c>
      <c r="AQ3">
        <f t="shared" si="4"/>
        <v>0</v>
      </c>
      <c r="AR3">
        <f t="shared" si="4"/>
        <v>0</v>
      </c>
      <c r="AS3">
        <f t="shared" si="4"/>
        <v>0</v>
      </c>
      <c r="AT3">
        <f t="shared" si="4"/>
        <v>0</v>
      </c>
      <c r="AU3">
        <f t="shared" si="4"/>
        <v>0</v>
      </c>
      <c r="AV3">
        <f t="shared" si="4"/>
        <v>0</v>
      </c>
      <c r="AW3">
        <f t="shared" si="4"/>
        <v>0</v>
      </c>
      <c r="AX3">
        <f t="shared" ref="AX3:BG12" si="5">IFERROR(VLOOKUP($I3&amp;"-"&amp;AX$2,$A$3:$C$1700,3,FALSE),0)</f>
        <v>0</v>
      </c>
      <c r="AY3">
        <f t="shared" si="5"/>
        <v>0</v>
      </c>
      <c r="AZ3">
        <f t="shared" si="5"/>
        <v>0</v>
      </c>
      <c r="BA3">
        <f t="shared" si="5"/>
        <v>0</v>
      </c>
      <c r="BB3">
        <f t="shared" si="5"/>
        <v>0</v>
      </c>
      <c r="BC3">
        <f t="shared" si="5"/>
        <v>0</v>
      </c>
      <c r="BD3">
        <f t="shared" si="5"/>
        <v>0</v>
      </c>
      <c r="BE3">
        <f t="shared" si="5"/>
        <v>0</v>
      </c>
      <c r="BF3">
        <f t="shared" si="5"/>
        <v>0</v>
      </c>
      <c r="BG3">
        <f t="shared" si="5"/>
        <v>0</v>
      </c>
      <c r="BH3">
        <f t="shared" ref="BH3:BQ12" si="6">IFERROR(VLOOKUP($I3&amp;"-"&amp;BH$2,$A$3:$C$1700,3,FALSE),0)</f>
        <v>0</v>
      </c>
      <c r="BI3">
        <f t="shared" si="6"/>
        <v>0</v>
      </c>
      <c r="BJ3">
        <f t="shared" si="6"/>
        <v>0</v>
      </c>
      <c r="BK3">
        <f t="shared" si="6"/>
        <v>0</v>
      </c>
      <c r="BL3">
        <f t="shared" si="6"/>
        <v>0</v>
      </c>
      <c r="BM3">
        <f t="shared" si="6"/>
        <v>0</v>
      </c>
      <c r="BN3">
        <f t="shared" si="6"/>
        <v>0</v>
      </c>
      <c r="BO3">
        <f t="shared" si="6"/>
        <v>0</v>
      </c>
      <c r="BP3">
        <f t="shared" si="6"/>
        <v>0</v>
      </c>
      <c r="BQ3">
        <f t="shared" si="6"/>
        <v>0</v>
      </c>
      <c r="BR3">
        <f t="shared" ref="BR3:CA12" si="7">IFERROR(VLOOKUP($I3&amp;"-"&amp;BR$2,$A$3:$C$1700,3,FALSE),0)</f>
        <v>0</v>
      </c>
      <c r="BS3">
        <f t="shared" si="7"/>
        <v>0</v>
      </c>
      <c r="BT3">
        <f t="shared" si="7"/>
        <v>0</v>
      </c>
      <c r="BU3">
        <f t="shared" si="7"/>
        <v>0</v>
      </c>
      <c r="BV3">
        <f t="shared" si="7"/>
        <v>0</v>
      </c>
      <c r="BW3">
        <f t="shared" si="7"/>
        <v>0</v>
      </c>
      <c r="BX3">
        <f t="shared" si="7"/>
        <v>0</v>
      </c>
      <c r="BY3">
        <f t="shared" si="7"/>
        <v>0</v>
      </c>
      <c r="BZ3">
        <f t="shared" si="7"/>
        <v>0</v>
      </c>
      <c r="CA3">
        <f t="shared" si="7"/>
        <v>0</v>
      </c>
      <c r="CB3">
        <f t="shared" ref="CB3:CK12" si="8">IFERROR(VLOOKUP($I3&amp;"-"&amp;CB$2,$A$3:$C$1700,3,FALSE),0)</f>
        <v>0</v>
      </c>
      <c r="CC3">
        <f t="shared" si="8"/>
        <v>0</v>
      </c>
      <c r="CD3">
        <f t="shared" si="8"/>
        <v>0</v>
      </c>
      <c r="CE3">
        <f t="shared" si="8"/>
        <v>0</v>
      </c>
      <c r="CF3">
        <f t="shared" si="8"/>
        <v>0</v>
      </c>
      <c r="CG3">
        <f t="shared" si="8"/>
        <v>0</v>
      </c>
      <c r="CH3">
        <f t="shared" si="8"/>
        <v>0</v>
      </c>
      <c r="CI3">
        <f t="shared" si="8"/>
        <v>0</v>
      </c>
      <c r="CJ3">
        <f t="shared" si="8"/>
        <v>0</v>
      </c>
      <c r="CK3">
        <f t="shared" si="8"/>
        <v>0</v>
      </c>
      <c r="CL3">
        <f t="shared" ref="CL3:CU12" si="9">IFERROR(VLOOKUP($I3&amp;"-"&amp;CL$2,$A$3:$C$1700,3,FALSE),0)</f>
        <v>0</v>
      </c>
      <c r="CM3">
        <f t="shared" si="9"/>
        <v>0</v>
      </c>
      <c r="CN3">
        <f t="shared" si="9"/>
        <v>0</v>
      </c>
      <c r="CO3">
        <f t="shared" si="9"/>
        <v>0</v>
      </c>
      <c r="CP3">
        <f t="shared" si="9"/>
        <v>0</v>
      </c>
      <c r="CQ3">
        <f t="shared" si="9"/>
        <v>0</v>
      </c>
      <c r="CR3">
        <f t="shared" si="9"/>
        <v>0</v>
      </c>
      <c r="CS3">
        <f t="shared" si="9"/>
        <v>0</v>
      </c>
      <c r="CT3">
        <f t="shared" si="9"/>
        <v>0</v>
      </c>
      <c r="CU3">
        <f t="shared" si="9"/>
        <v>0</v>
      </c>
      <c r="CV3">
        <f t="shared" ref="CV3:DE12" si="10">IFERROR(VLOOKUP($I3&amp;"-"&amp;CV$2,$A$3:$C$1700,3,FALSE),0)</f>
        <v>0</v>
      </c>
      <c r="CW3">
        <f t="shared" si="10"/>
        <v>0</v>
      </c>
      <c r="CX3">
        <f t="shared" si="10"/>
        <v>0</v>
      </c>
      <c r="CY3">
        <f t="shared" si="10"/>
        <v>0</v>
      </c>
      <c r="CZ3">
        <f t="shared" si="10"/>
        <v>0</v>
      </c>
      <c r="DA3">
        <f t="shared" si="10"/>
        <v>0</v>
      </c>
      <c r="DB3">
        <f t="shared" si="10"/>
        <v>0</v>
      </c>
      <c r="DC3">
        <f t="shared" si="10"/>
        <v>0</v>
      </c>
      <c r="DD3">
        <f t="shared" si="10"/>
        <v>0</v>
      </c>
      <c r="DE3">
        <f t="shared" si="10"/>
        <v>0</v>
      </c>
      <c r="DF3">
        <f t="shared" ref="DF3:DO12" si="11">IFERROR(VLOOKUP($I3&amp;"-"&amp;DF$2,$A$3:$C$1700,3,FALSE),0)</f>
        <v>0</v>
      </c>
      <c r="DG3">
        <f t="shared" si="11"/>
        <v>0</v>
      </c>
      <c r="DH3">
        <f t="shared" si="11"/>
        <v>0</v>
      </c>
      <c r="DI3">
        <f t="shared" si="11"/>
        <v>0</v>
      </c>
      <c r="DJ3">
        <f t="shared" si="11"/>
        <v>0</v>
      </c>
      <c r="DK3">
        <f t="shared" si="11"/>
        <v>0</v>
      </c>
      <c r="DL3">
        <f t="shared" si="11"/>
        <v>0</v>
      </c>
      <c r="DM3">
        <f t="shared" si="11"/>
        <v>0</v>
      </c>
      <c r="DN3">
        <f t="shared" si="11"/>
        <v>0</v>
      </c>
      <c r="DO3">
        <f t="shared" si="11"/>
        <v>0</v>
      </c>
      <c r="DP3">
        <f t="shared" ref="DP3:DY12" si="12">IFERROR(VLOOKUP($I3&amp;"-"&amp;DP$2,$A$3:$C$1700,3,FALSE),0)</f>
        <v>0</v>
      </c>
      <c r="DQ3">
        <f t="shared" si="12"/>
        <v>0</v>
      </c>
      <c r="DR3">
        <f t="shared" si="12"/>
        <v>0</v>
      </c>
      <c r="DS3">
        <f t="shared" si="12"/>
        <v>0</v>
      </c>
      <c r="DT3">
        <f t="shared" si="12"/>
        <v>0</v>
      </c>
      <c r="DU3">
        <f t="shared" si="12"/>
        <v>0</v>
      </c>
      <c r="DV3">
        <f t="shared" si="12"/>
        <v>0</v>
      </c>
      <c r="DW3">
        <f t="shared" si="12"/>
        <v>0</v>
      </c>
      <c r="DX3">
        <f t="shared" si="12"/>
        <v>0</v>
      </c>
      <c r="DY3">
        <f t="shared" si="12"/>
        <v>0</v>
      </c>
      <c r="DZ3">
        <f t="shared" ref="DZ3:EI12" si="13">IFERROR(VLOOKUP($I3&amp;"-"&amp;DZ$2,$A$3:$C$1700,3,FALSE),0)</f>
        <v>0</v>
      </c>
      <c r="EA3">
        <f t="shared" si="13"/>
        <v>0</v>
      </c>
      <c r="EB3">
        <f t="shared" si="13"/>
        <v>0</v>
      </c>
      <c r="EC3">
        <f t="shared" si="13"/>
        <v>0</v>
      </c>
      <c r="ED3">
        <f t="shared" si="13"/>
        <v>0</v>
      </c>
      <c r="EE3">
        <f t="shared" si="13"/>
        <v>0</v>
      </c>
      <c r="EF3">
        <f t="shared" si="13"/>
        <v>0</v>
      </c>
      <c r="EG3">
        <f t="shared" si="13"/>
        <v>0</v>
      </c>
      <c r="EH3">
        <f t="shared" si="13"/>
        <v>0</v>
      </c>
      <c r="EI3">
        <f t="shared" si="13"/>
        <v>0</v>
      </c>
      <c r="EJ3">
        <f>SUM(Tabla1[[#This Row],[1]:[130]])</f>
        <v>150</v>
      </c>
    </row>
    <row r="4" spans="1:140" ht="15.75" thickBot="1" x14ac:dyDescent="0.3">
      <c r="A4" t="str">
        <f>B4&amp;"-"&amp;COUNTIF($B$2:B4,B4)</f>
        <v>I. EMPANADA PORC-1</v>
      </c>
      <c r="B4" s="23" t="s">
        <v>0</v>
      </c>
      <c r="C4">
        <f>VLOOKUP(B4,RECETAS!D3:$E$1700,2,FALSE)</f>
        <v>32</v>
      </c>
      <c r="D4" s="22" t="s">
        <v>735</v>
      </c>
      <c r="G4" t="b">
        <f t="shared" si="0"/>
        <v>1</v>
      </c>
      <c r="I4" s="42" t="s">
        <v>44</v>
      </c>
      <c r="J4">
        <f t="shared" si="1"/>
        <v>0</v>
      </c>
      <c r="K4">
        <f t="shared" si="1"/>
        <v>150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  <c r="P4">
        <f t="shared" si="1"/>
        <v>0</v>
      </c>
      <c r="Q4">
        <f t="shared" si="1"/>
        <v>0</v>
      </c>
      <c r="R4">
        <f t="shared" si="1"/>
        <v>0</v>
      </c>
      <c r="S4">
        <f t="shared" si="1"/>
        <v>0</v>
      </c>
      <c r="T4">
        <f t="shared" si="2"/>
        <v>0</v>
      </c>
      <c r="U4">
        <f t="shared" si="2"/>
        <v>0</v>
      </c>
      <c r="V4">
        <f t="shared" si="2"/>
        <v>0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  <c r="AA4">
        <f t="shared" si="2"/>
        <v>0</v>
      </c>
      <c r="AB4">
        <f t="shared" si="2"/>
        <v>0</v>
      </c>
      <c r="AC4">
        <f t="shared" si="2"/>
        <v>0</v>
      </c>
      <c r="AD4">
        <f t="shared" si="3"/>
        <v>0</v>
      </c>
      <c r="AE4">
        <f t="shared" si="3"/>
        <v>0</v>
      </c>
      <c r="AF4">
        <f t="shared" si="3"/>
        <v>0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4"/>
        <v>0</v>
      </c>
      <c r="AO4">
        <f t="shared" si="4"/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>
        <f t="shared" si="4"/>
        <v>0</v>
      </c>
      <c r="AU4">
        <f t="shared" si="4"/>
        <v>0</v>
      </c>
      <c r="AV4">
        <f t="shared" si="4"/>
        <v>0</v>
      </c>
      <c r="AW4">
        <f t="shared" si="4"/>
        <v>0</v>
      </c>
      <c r="AX4">
        <f t="shared" si="5"/>
        <v>0</v>
      </c>
      <c r="AY4">
        <f t="shared" si="5"/>
        <v>0</v>
      </c>
      <c r="AZ4">
        <f t="shared" si="5"/>
        <v>0</v>
      </c>
      <c r="BA4">
        <f t="shared" si="5"/>
        <v>0</v>
      </c>
      <c r="BB4">
        <f t="shared" si="5"/>
        <v>0</v>
      </c>
      <c r="BC4">
        <f t="shared" si="5"/>
        <v>0</v>
      </c>
      <c r="BD4">
        <f t="shared" si="5"/>
        <v>0</v>
      </c>
      <c r="BE4">
        <f t="shared" si="5"/>
        <v>0</v>
      </c>
      <c r="BF4">
        <f t="shared" si="5"/>
        <v>0</v>
      </c>
      <c r="BG4">
        <f t="shared" si="5"/>
        <v>0</v>
      </c>
      <c r="BH4">
        <f t="shared" si="6"/>
        <v>0</v>
      </c>
      <c r="BI4">
        <f t="shared" si="6"/>
        <v>0</v>
      </c>
      <c r="BJ4">
        <f t="shared" si="6"/>
        <v>0</v>
      </c>
      <c r="BK4">
        <f t="shared" si="6"/>
        <v>0</v>
      </c>
      <c r="BL4">
        <f t="shared" si="6"/>
        <v>0</v>
      </c>
      <c r="BM4">
        <f t="shared" si="6"/>
        <v>0</v>
      </c>
      <c r="BN4">
        <f t="shared" si="6"/>
        <v>0</v>
      </c>
      <c r="BO4">
        <f t="shared" si="6"/>
        <v>0</v>
      </c>
      <c r="BP4">
        <f t="shared" si="6"/>
        <v>0</v>
      </c>
      <c r="BQ4">
        <f t="shared" si="6"/>
        <v>0</v>
      </c>
      <c r="BR4">
        <f t="shared" si="7"/>
        <v>0</v>
      </c>
      <c r="BS4">
        <f t="shared" si="7"/>
        <v>0</v>
      </c>
      <c r="BT4">
        <f t="shared" si="7"/>
        <v>0</v>
      </c>
      <c r="BU4">
        <f t="shared" si="7"/>
        <v>0</v>
      </c>
      <c r="BV4">
        <f t="shared" si="7"/>
        <v>0</v>
      </c>
      <c r="BW4">
        <f t="shared" si="7"/>
        <v>0</v>
      </c>
      <c r="BX4">
        <f t="shared" si="7"/>
        <v>0</v>
      </c>
      <c r="BY4">
        <f t="shared" si="7"/>
        <v>0</v>
      </c>
      <c r="BZ4">
        <f t="shared" si="7"/>
        <v>0</v>
      </c>
      <c r="CA4">
        <f t="shared" si="7"/>
        <v>0</v>
      </c>
      <c r="CB4">
        <f t="shared" si="8"/>
        <v>0</v>
      </c>
      <c r="CC4">
        <f t="shared" si="8"/>
        <v>0</v>
      </c>
      <c r="CD4">
        <f t="shared" si="8"/>
        <v>0</v>
      </c>
      <c r="CE4">
        <f t="shared" si="8"/>
        <v>0</v>
      </c>
      <c r="CF4">
        <f t="shared" si="8"/>
        <v>0</v>
      </c>
      <c r="CG4">
        <f t="shared" si="8"/>
        <v>0</v>
      </c>
      <c r="CH4">
        <f t="shared" si="8"/>
        <v>0</v>
      </c>
      <c r="CI4">
        <f t="shared" si="8"/>
        <v>0</v>
      </c>
      <c r="CJ4">
        <f t="shared" si="8"/>
        <v>0</v>
      </c>
      <c r="CK4">
        <f t="shared" si="8"/>
        <v>0</v>
      </c>
      <c r="CL4">
        <f t="shared" si="9"/>
        <v>0</v>
      </c>
      <c r="CM4">
        <f t="shared" si="9"/>
        <v>0</v>
      </c>
      <c r="CN4">
        <f t="shared" si="9"/>
        <v>0</v>
      </c>
      <c r="CO4">
        <f t="shared" si="9"/>
        <v>0</v>
      </c>
      <c r="CP4">
        <f t="shared" si="9"/>
        <v>0</v>
      </c>
      <c r="CQ4">
        <f t="shared" si="9"/>
        <v>0</v>
      </c>
      <c r="CR4">
        <f t="shared" si="9"/>
        <v>0</v>
      </c>
      <c r="CS4">
        <f t="shared" si="9"/>
        <v>0</v>
      </c>
      <c r="CT4">
        <f t="shared" si="9"/>
        <v>0</v>
      </c>
      <c r="CU4">
        <f t="shared" si="9"/>
        <v>0</v>
      </c>
      <c r="CV4">
        <f t="shared" si="10"/>
        <v>0</v>
      </c>
      <c r="CW4">
        <f t="shared" si="10"/>
        <v>0</v>
      </c>
      <c r="CX4">
        <f t="shared" si="10"/>
        <v>0</v>
      </c>
      <c r="CY4">
        <f t="shared" si="10"/>
        <v>0</v>
      </c>
      <c r="CZ4">
        <f t="shared" si="10"/>
        <v>0</v>
      </c>
      <c r="DA4">
        <f t="shared" si="10"/>
        <v>0</v>
      </c>
      <c r="DB4">
        <f t="shared" si="10"/>
        <v>0</v>
      </c>
      <c r="DC4">
        <f t="shared" si="10"/>
        <v>0</v>
      </c>
      <c r="DD4">
        <f t="shared" si="10"/>
        <v>0</v>
      </c>
      <c r="DE4">
        <f t="shared" si="10"/>
        <v>0</v>
      </c>
      <c r="DF4">
        <f t="shared" si="11"/>
        <v>0</v>
      </c>
      <c r="DG4">
        <f t="shared" si="11"/>
        <v>0</v>
      </c>
      <c r="DH4">
        <f t="shared" si="11"/>
        <v>0</v>
      </c>
      <c r="DI4">
        <f t="shared" si="11"/>
        <v>0</v>
      </c>
      <c r="DJ4">
        <f t="shared" si="11"/>
        <v>0</v>
      </c>
      <c r="DK4">
        <f t="shared" si="11"/>
        <v>0</v>
      </c>
      <c r="DL4">
        <f t="shared" si="11"/>
        <v>0</v>
      </c>
      <c r="DM4">
        <f t="shared" si="11"/>
        <v>0</v>
      </c>
      <c r="DN4">
        <f t="shared" si="11"/>
        <v>0</v>
      </c>
      <c r="DO4">
        <f t="shared" si="11"/>
        <v>0</v>
      </c>
      <c r="DP4">
        <f t="shared" si="12"/>
        <v>0</v>
      </c>
      <c r="DQ4">
        <f t="shared" si="12"/>
        <v>0</v>
      </c>
      <c r="DR4">
        <f t="shared" si="12"/>
        <v>0</v>
      </c>
      <c r="DS4">
        <f t="shared" si="12"/>
        <v>0</v>
      </c>
      <c r="DT4">
        <f t="shared" si="12"/>
        <v>0</v>
      </c>
      <c r="DU4">
        <f t="shared" si="12"/>
        <v>0</v>
      </c>
      <c r="DV4">
        <f t="shared" si="12"/>
        <v>0</v>
      </c>
      <c r="DW4">
        <f t="shared" si="12"/>
        <v>0</v>
      </c>
      <c r="DX4">
        <f t="shared" si="12"/>
        <v>0</v>
      </c>
      <c r="DY4">
        <f t="shared" si="12"/>
        <v>0</v>
      </c>
      <c r="DZ4">
        <f t="shared" si="13"/>
        <v>0</v>
      </c>
      <c r="EA4">
        <f t="shared" si="13"/>
        <v>0</v>
      </c>
      <c r="EB4">
        <f t="shared" si="13"/>
        <v>0</v>
      </c>
      <c r="EC4">
        <f t="shared" si="13"/>
        <v>0</v>
      </c>
      <c r="ED4">
        <f t="shared" si="13"/>
        <v>0</v>
      </c>
      <c r="EE4">
        <f t="shared" si="13"/>
        <v>0</v>
      </c>
      <c r="EF4">
        <f t="shared" si="13"/>
        <v>0</v>
      </c>
      <c r="EG4">
        <f t="shared" si="13"/>
        <v>0</v>
      </c>
      <c r="EH4">
        <f t="shared" si="13"/>
        <v>0</v>
      </c>
      <c r="EI4">
        <f t="shared" si="13"/>
        <v>0</v>
      </c>
      <c r="EJ4">
        <f>SUM(Tabla1[[#This Row],[1]:[130]])</f>
        <v>150</v>
      </c>
    </row>
    <row r="5" spans="1:140" ht="15.75" customHeight="1" x14ac:dyDescent="0.25">
      <c r="A5" t="str">
        <f>B5&amp;"-"&amp;COUNTIF($B$2:B5,B5)</f>
        <v>I. CREMA ESPESA-1</v>
      </c>
      <c r="B5" s="26" t="s">
        <v>16</v>
      </c>
      <c r="C5">
        <f>VLOOKUP(B5,RECETAS!D4:$E$1700,2,FALSE)</f>
        <v>300</v>
      </c>
      <c r="D5" s="25" t="s">
        <v>327</v>
      </c>
      <c r="G5" t="b">
        <f t="shared" si="0"/>
        <v>1</v>
      </c>
      <c r="I5" s="37" t="s">
        <v>45</v>
      </c>
      <c r="J5">
        <f t="shared" si="1"/>
        <v>0</v>
      </c>
      <c r="K5">
        <f t="shared" si="1"/>
        <v>75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  <c r="P5">
        <f t="shared" si="1"/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2"/>
        <v>0</v>
      </c>
      <c r="U5">
        <f t="shared" si="2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>
        <f t="shared" si="2"/>
        <v>0</v>
      </c>
      <c r="AA5">
        <f t="shared" si="2"/>
        <v>0</v>
      </c>
      <c r="AB5">
        <f t="shared" si="2"/>
        <v>0</v>
      </c>
      <c r="AC5">
        <f t="shared" si="2"/>
        <v>0</v>
      </c>
      <c r="AD5">
        <f t="shared" si="3"/>
        <v>0</v>
      </c>
      <c r="AE5">
        <f t="shared" si="3"/>
        <v>0</v>
      </c>
      <c r="AF5">
        <f t="shared" si="3"/>
        <v>0</v>
      </c>
      <c r="AG5">
        <f t="shared" si="3"/>
        <v>0</v>
      </c>
      <c r="AH5">
        <f t="shared" si="3"/>
        <v>0</v>
      </c>
      <c r="AI5">
        <f t="shared" si="3"/>
        <v>0</v>
      </c>
      <c r="AJ5">
        <f t="shared" si="3"/>
        <v>0</v>
      </c>
      <c r="AK5">
        <f t="shared" si="3"/>
        <v>0</v>
      </c>
      <c r="AL5">
        <f t="shared" si="3"/>
        <v>0</v>
      </c>
      <c r="AM5">
        <f t="shared" si="3"/>
        <v>0</v>
      </c>
      <c r="AN5">
        <f t="shared" si="4"/>
        <v>0</v>
      </c>
      <c r="AO5">
        <f t="shared" si="4"/>
        <v>0</v>
      </c>
      <c r="AP5">
        <f t="shared" si="4"/>
        <v>0</v>
      </c>
      <c r="AQ5">
        <f t="shared" si="4"/>
        <v>0</v>
      </c>
      <c r="AR5">
        <f t="shared" si="4"/>
        <v>0</v>
      </c>
      <c r="AS5">
        <f t="shared" si="4"/>
        <v>0</v>
      </c>
      <c r="AT5">
        <f t="shared" si="4"/>
        <v>0</v>
      </c>
      <c r="AU5">
        <f t="shared" si="4"/>
        <v>0</v>
      </c>
      <c r="AV5">
        <f t="shared" si="4"/>
        <v>0</v>
      </c>
      <c r="AW5">
        <f t="shared" si="4"/>
        <v>0</v>
      </c>
      <c r="AX5">
        <f t="shared" si="5"/>
        <v>0</v>
      </c>
      <c r="AY5">
        <f t="shared" si="5"/>
        <v>0</v>
      </c>
      <c r="AZ5">
        <f t="shared" si="5"/>
        <v>0</v>
      </c>
      <c r="BA5">
        <f t="shared" si="5"/>
        <v>0</v>
      </c>
      <c r="BB5">
        <f t="shared" si="5"/>
        <v>0</v>
      </c>
      <c r="BC5">
        <f t="shared" si="5"/>
        <v>0</v>
      </c>
      <c r="BD5">
        <f t="shared" si="5"/>
        <v>0</v>
      </c>
      <c r="BE5">
        <f t="shared" si="5"/>
        <v>0</v>
      </c>
      <c r="BF5">
        <f t="shared" si="5"/>
        <v>0</v>
      </c>
      <c r="BG5">
        <f t="shared" si="5"/>
        <v>0</v>
      </c>
      <c r="BH5">
        <f t="shared" si="6"/>
        <v>0</v>
      </c>
      <c r="BI5">
        <f t="shared" si="6"/>
        <v>0</v>
      </c>
      <c r="BJ5">
        <f t="shared" si="6"/>
        <v>0</v>
      </c>
      <c r="BK5">
        <f t="shared" si="6"/>
        <v>0</v>
      </c>
      <c r="BL5">
        <f t="shared" si="6"/>
        <v>0</v>
      </c>
      <c r="BM5">
        <f t="shared" si="6"/>
        <v>0</v>
      </c>
      <c r="BN5">
        <f t="shared" si="6"/>
        <v>0</v>
      </c>
      <c r="BO5">
        <f t="shared" si="6"/>
        <v>0</v>
      </c>
      <c r="BP5">
        <f t="shared" si="6"/>
        <v>0</v>
      </c>
      <c r="BQ5">
        <f t="shared" si="6"/>
        <v>0</v>
      </c>
      <c r="BR5">
        <f t="shared" si="7"/>
        <v>0</v>
      </c>
      <c r="BS5">
        <f t="shared" si="7"/>
        <v>0</v>
      </c>
      <c r="BT5">
        <f t="shared" si="7"/>
        <v>0</v>
      </c>
      <c r="BU5">
        <f t="shared" si="7"/>
        <v>0</v>
      </c>
      <c r="BV5">
        <f t="shared" si="7"/>
        <v>0</v>
      </c>
      <c r="BW5">
        <f t="shared" si="7"/>
        <v>0</v>
      </c>
      <c r="BX5">
        <f t="shared" si="7"/>
        <v>0</v>
      </c>
      <c r="BY5">
        <f t="shared" si="7"/>
        <v>0</v>
      </c>
      <c r="BZ5">
        <f t="shared" si="7"/>
        <v>0</v>
      </c>
      <c r="CA5">
        <f t="shared" si="7"/>
        <v>0</v>
      </c>
      <c r="CB5">
        <f t="shared" si="8"/>
        <v>0</v>
      </c>
      <c r="CC5">
        <f t="shared" si="8"/>
        <v>0</v>
      </c>
      <c r="CD5">
        <f t="shared" si="8"/>
        <v>0</v>
      </c>
      <c r="CE5">
        <f t="shared" si="8"/>
        <v>0</v>
      </c>
      <c r="CF5">
        <f t="shared" si="8"/>
        <v>0</v>
      </c>
      <c r="CG5">
        <f t="shared" si="8"/>
        <v>0</v>
      </c>
      <c r="CH5">
        <f t="shared" si="8"/>
        <v>0</v>
      </c>
      <c r="CI5">
        <f t="shared" si="8"/>
        <v>0</v>
      </c>
      <c r="CJ5">
        <f t="shared" si="8"/>
        <v>0</v>
      </c>
      <c r="CK5">
        <f t="shared" si="8"/>
        <v>0</v>
      </c>
      <c r="CL5">
        <f t="shared" si="9"/>
        <v>0</v>
      </c>
      <c r="CM5">
        <f t="shared" si="9"/>
        <v>0</v>
      </c>
      <c r="CN5">
        <f t="shared" si="9"/>
        <v>0</v>
      </c>
      <c r="CO5">
        <f t="shared" si="9"/>
        <v>0</v>
      </c>
      <c r="CP5">
        <f t="shared" si="9"/>
        <v>0</v>
      </c>
      <c r="CQ5">
        <f t="shared" si="9"/>
        <v>0</v>
      </c>
      <c r="CR5">
        <f t="shared" si="9"/>
        <v>0</v>
      </c>
      <c r="CS5">
        <f t="shared" si="9"/>
        <v>0</v>
      </c>
      <c r="CT5">
        <f t="shared" si="9"/>
        <v>0</v>
      </c>
      <c r="CU5">
        <f t="shared" si="9"/>
        <v>0</v>
      </c>
      <c r="CV5">
        <f t="shared" si="10"/>
        <v>0</v>
      </c>
      <c r="CW5">
        <f t="shared" si="10"/>
        <v>0</v>
      </c>
      <c r="CX5">
        <f t="shared" si="10"/>
        <v>0</v>
      </c>
      <c r="CY5">
        <f t="shared" si="10"/>
        <v>0</v>
      </c>
      <c r="CZ5">
        <f t="shared" si="10"/>
        <v>0</v>
      </c>
      <c r="DA5">
        <f t="shared" si="10"/>
        <v>0</v>
      </c>
      <c r="DB5">
        <f t="shared" si="10"/>
        <v>0</v>
      </c>
      <c r="DC5">
        <f t="shared" si="10"/>
        <v>0</v>
      </c>
      <c r="DD5">
        <f t="shared" si="10"/>
        <v>0</v>
      </c>
      <c r="DE5">
        <f t="shared" si="10"/>
        <v>0</v>
      </c>
      <c r="DF5">
        <f t="shared" si="11"/>
        <v>0</v>
      </c>
      <c r="DG5">
        <f t="shared" si="11"/>
        <v>0</v>
      </c>
      <c r="DH5">
        <f t="shared" si="11"/>
        <v>0</v>
      </c>
      <c r="DI5">
        <f t="shared" si="11"/>
        <v>0</v>
      </c>
      <c r="DJ5">
        <f t="shared" si="11"/>
        <v>0</v>
      </c>
      <c r="DK5">
        <f t="shared" si="11"/>
        <v>0</v>
      </c>
      <c r="DL5">
        <f t="shared" si="11"/>
        <v>0</v>
      </c>
      <c r="DM5">
        <f t="shared" si="11"/>
        <v>0</v>
      </c>
      <c r="DN5">
        <f t="shared" si="11"/>
        <v>0</v>
      </c>
      <c r="DO5">
        <f t="shared" si="11"/>
        <v>0</v>
      </c>
      <c r="DP5">
        <f t="shared" si="12"/>
        <v>0</v>
      </c>
      <c r="DQ5">
        <f t="shared" si="12"/>
        <v>0</v>
      </c>
      <c r="DR5">
        <f t="shared" si="12"/>
        <v>0</v>
      </c>
      <c r="DS5">
        <f t="shared" si="12"/>
        <v>0</v>
      </c>
      <c r="DT5">
        <f t="shared" si="12"/>
        <v>0</v>
      </c>
      <c r="DU5">
        <f t="shared" si="12"/>
        <v>0</v>
      </c>
      <c r="DV5">
        <f t="shared" si="12"/>
        <v>0</v>
      </c>
      <c r="DW5">
        <f t="shared" si="12"/>
        <v>0</v>
      </c>
      <c r="DX5">
        <f t="shared" si="12"/>
        <v>0</v>
      </c>
      <c r="DY5">
        <f t="shared" si="12"/>
        <v>0</v>
      </c>
      <c r="DZ5">
        <f t="shared" si="13"/>
        <v>0</v>
      </c>
      <c r="EA5">
        <f t="shared" si="13"/>
        <v>0</v>
      </c>
      <c r="EB5">
        <f t="shared" si="13"/>
        <v>0</v>
      </c>
      <c r="EC5">
        <f t="shared" si="13"/>
        <v>0</v>
      </c>
      <c r="ED5">
        <f t="shared" si="13"/>
        <v>0</v>
      </c>
      <c r="EE5">
        <f t="shared" si="13"/>
        <v>0</v>
      </c>
      <c r="EF5">
        <f t="shared" si="13"/>
        <v>0</v>
      </c>
      <c r="EG5">
        <f t="shared" si="13"/>
        <v>0</v>
      </c>
      <c r="EH5">
        <f t="shared" si="13"/>
        <v>0</v>
      </c>
      <c r="EI5">
        <f t="shared" si="13"/>
        <v>0</v>
      </c>
      <c r="EJ5">
        <f>SUM(Tabla1[[#This Row],[1]:[130]])</f>
        <v>75</v>
      </c>
    </row>
    <row r="6" spans="1:140" ht="15.75" customHeight="1" thickBot="1" x14ac:dyDescent="0.3">
      <c r="A6" t="str">
        <f>B6&amp;"-"&amp;COUNTIF($B$2:B6,B6)</f>
        <v>I. PALOS QUESO-1</v>
      </c>
      <c r="B6" s="29" t="s">
        <v>1</v>
      </c>
      <c r="C6">
        <f>VLOOKUP(B6,RECETAS!D5:$E$1700,2,FALSE)</f>
        <v>12</v>
      </c>
      <c r="D6" s="27"/>
      <c r="G6" t="b">
        <f t="shared" si="0"/>
        <v>1</v>
      </c>
      <c r="I6" s="41" t="s">
        <v>46</v>
      </c>
      <c r="J6">
        <f t="shared" si="1"/>
        <v>0</v>
      </c>
      <c r="K6">
        <f t="shared" si="1"/>
        <v>75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  <c r="P6">
        <f t="shared" si="1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2"/>
        <v>0</v>
      </c>
      <c r="U6">
        <f t="shared" si="2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>
        <f t="shared" si="2"/>
        <v>0</v>
      </c>
      <c r="AA6">
        <f t="shared" si="2"/>
        <v>0</v>
      </c>
      <c r="AB6">
        <f t="shared" si="2"/>
        <v>0</v>
      </c>
      <c r="AC6">
        <f t="shared" si="2"/>
        <v>0</v>
      </c>
      <c r="AD6">
        <f t="shared" si="3"/>
        <v>0</v>
      </c>
      <c r="AE6">
        <f t="shared" si="3"/>
        <v>0</v>
      </c>
      <c r="AF6">
        <f t="shared" si="3"/>
        <v>0</v>
      </c>
      <c r="AG6">
        <f t="shared" si="3"/>
        <v>0</v>
      </c>
      <c r="AH6">
        <f t="shared" si="3"/>
        <v>0</v>
      </c>
      <c r="AI6">
        <f t="shared" si="3"/>
        <v>0</v>
      </c>
      <c r="AJ6">
        <f t="shared" si="3"/>
        <v>0</v>
      </c>
      <c r="AK6">
        <f t="shared" si="3"/>
        <v>0</v>
      </c>
      <c r="AL6">
        <f t="shared" si="3"/>
        <v>0</v>
      </c>
      <c r="AM6">
        <f t="shared" si="3"/>
        <v>0</v>
      </c>
      <c r="AN6">
        <f t="shared" si="4"/>
        <v>0</v>
      </c>
      <c r="AO6">
        <f t="shared" si="4"/>
        <v>0</v>
      </c>
      <c r="AP6">
        <f t="shared" si="4"/>
        <v>0</v>
      </c>
      <c r="AQ6">
        <f t="shared" si="4"/>
        <v>0</v>
      </c>
      <c r="AR6">
        <f t="shared" si="4"/>
        <v>0</v>
      </c>
      <c r="AS6">
        <f t="shared" si="4"/>
        <v>0</v>
      </c>
      <c r="AT6">
        <f t="shared" si="4"/>
        <v>0</v>
      </c>
      <c r="AU6">
        <f t="shared" si="4"/>
        <v>0</v>
      </c>
      <c r="AV6">
        <f t="shared" si="4"/>
        <v>0</v>
      </c>
      <c r="AW6">
        <f t="shared" si="4"/>
        <v>0</v>
      </c>
      <c r="AX6">
        <f t="shared" si="5"/>
        <v>0</v>
      </c>
      <c r="AY6">
        <f t="shared" si="5"/>
        <v>0</v>
      </c>
      <c r="AZ6">
        <f t="shared" si="5"/>
        <v>0</v>
      </c>
      <c r="BA6">
        <f t="shared" si="5"/>
        <v>0</v>
      </c>
      <c r="BB6">
        <f t="shared" si="5"/>
        <v>0</v>
      </c>
      <c r="BC6">
        <f t="shared" si="5"/>
        <v>0</v>
      </c>
      <c r="BD6">
        <f t="shared" si="5"/>
        <v>0</v>
      </c>
      <c r="BE6">
        <f t="shared" si="5"/>
        <v>0</v>
      </c>
      <c r="BF6">
        <f t="shared" si="5"/>
        <v>0</v>
      </c>
      <c r="BG6">
        <f t="shared" si="5"/>
        <v>0</v>
      </c>
      <c r="BH6">
        <f t="shared" si="6"/>
        <v>0</v>
      </c>
      <c r="BI6">
        <f t="shared" si="6"/>
        <v>0</v>
      </c>
      <c r="BJ6">
        <f t="shared" si="6"/>
        <v>0</v>
      </c>
      <c r="BK6">
        <f t="shared" si="6"/>
        <v>0</v>
      </c>
      <c r="BL6">
        <f t="shared" si="6"/>
        <v>0</v>
      </c>
      <c r="BM6">
        <f t="shared" si="6"/>
        <v>0</v>
      </c>
      <c r="BN6">
        <f t="shared" si="6"/>
        <v>0</v>
      </c>
      <c r="BO6">
        <f t="shared" si="6"/>
        <v>0</v>
      </c>
      <c r="BP6">
        <f t="shared" si="6"/>
        <v>0</v>
      </c>
      <c r="BQ6">
        <f t="shared" si="6"/>
        <v>0</v>
      </c>
      <c r="BR6">
        <f t="shared" si="7"/>
        <v>0</v>
      </c>
      <c r="BS6">
        <f t="shared" si="7"/>
        <v>0</v>
      </c>
      <c r="BT6">
        <f t="shared" si="7"/>
        <v>0</v>
      </c>
      <c r="BU6">
        <f t="shared" si="7"/>
        <v>0</v>
      </c>
      <c r="BV6">
        <f t="shared" si="7"/>
        <v>0</v>
      </c>
      <c r="BW6">
        <f t="shared" si="7"/>
        <v>0</v>
      </c>
      <c r="BX6">
        <f t="shared" si="7"/>
        <v>0</v>
      </c>
      <c r="BY6">
        <f t="shared" si="7"/>
        <v>0</v>
      </c>
      <c r="BZ6">
        <f t="shared" si="7"/>
        <v>0</v>
      </c>
      <c r="CA6">
        <f t="shared" si="7"/>
        <v>0</v>
      </c>
      <c r="CB6">
        <f t="shared" si="8"/>
        <v>0</v>
      </c>
      <c r="CC6">
        <f t="shared" si="8"/>
        <v>0</v>
      </c>
      <c r="CD6">
        <f t="shared" si="8"/>
        <v>0</v>
      </c>
      <c r="CE6">
        <f t="shared" si="8"/>
        <v>0</v>
      </c>
      <c r="CF6">
        <f t="shared" si="8"/>
        <v>0</v>
      </c>
      <c r="CG6">
        <f t="shared" si="8"/>
        <v>0</v>
      </c>
      <c r="CH6">
        <f t="shared" si="8"/>
        <v>0</v>
      </c>
      <c r="CI6">
        <f t="shared" si="8"/>
        <v>0</v>
      </c>
      <c r="CJ6">
        <f t="shared" si="8"/>
        <v>0</v>
      </c>
      <c r="CK6">
        <f t="shared" si="8"/>
        <v>0</v>
      </c>
      <c r="CL6">
        <f t="shared" si="9"/>
        <v>0</v>
      </c>
      <c r="CM6">
        <f t="shared" si="9"/>
        <v>0</v>
      </c>
      <c r="CN6">
        <f t="shared" si="9"/>
        <v>0</v>
      </c>
      <c r="CO6">
        <f t="shared" si="9"/>
        <v>0</v>
      </c>
      <c r="CP6">
        <f t="shared" si="9"/>
        <v>0</v>
      </c>
      <c r="CQ6">
        <f t="shared" si="9"/>
        <v>0</v>
      </c>
      <c r="CR6">
        <f t="shared" si="9"/>
        <v>0</v>
      </c>
      <c r="CS6">
        <f t="shared" si="9"/>
        <v>0</v>
      </c>
      <c r="CT6">
        <f t="shared" si="9"/>
        <v>0</v>
      </c>
      <c r="CU6">
        <f t="shared" si="9"/>
        <v>0</v>
      </c>
      <c r="CV6">
        <f t="shared" si="10"/>
        <v>0</v>
      </c>
      <c r="CW6">
        <f t="shared" si="10"/>
        <v>0</v>
      </c>
      <c r="CX6">
        <f t="shared" si="10"/>
        <v>0</v>
      </c>
      <c r="CY6">
        <f t="shared" si="10"/>
        <v>0</v>
      </c>
      <c r="CZ6">
        <f t="shared" si="10"/>
        <v>0</v>
      </c>
      <c r="DA6">
        <f t="shared" si="10"/>
        <v>0</v>
      </c>
      <c r="DB6">
        <f t="shared" si="10"/>
        <v>0</v>
      </c>
      <c r="DC6">
        <f t="shared" si="10"/>
        <v>0</v>
      </c>
      <c r="DD6">
        <f t="shared" si="10"/>
        <v>0</v>
      </c>
      <c r="DE6">
        <f t="shared" si="10"/>
        <v>0</v>
      </c>
      <c r="DF6">
        <f t="shared" si="11"/>
        <v>0</v>
      </c>
      <c r="DG6">
        <f t="shared" si="11"/>
        <v>0</v>
      </c>
      <c r="DH6">
        <f t="shared" si="11"/>
        <v>0</v>
      </c>
      <c r="DI6">
        <f t="shared" si="11"/>
        <v>0</v>
      </c>
      <c r="DJ6">
        <f t="shared" si="11"/>
        <v>0</v>
      </c>
      <c r="DK6">
        <f t="shared" si="11"/>
        <v>0</v>
      </c>
      <c r="DL6">
        <f t="shared" si="11"/>
        <v>0</v>
      </c>
      <c r="DM6">
        <f t="shared" si="11"/>
        <v>0</v>
      </c>
      <c r="DN6">
        <f t="shared" si="11"/>
        <v>0</v>
      </c>
      <c r="DO6">
        <f t="shared" si="11"/>
        <v>0</v>
      </c>
      <c r="DP6">
        <f t="shared" si="12"/>
        <v>0</v>
      </c>
      <c r="DQ6">
        <f t="shared" si="12"/>
        <v>0</v>
      </c>
      <c r="DR6">
        <f t="shared" si="12"/>
        <v>0</v>
      </c>
      <c r="DS6">
        <f t="shared" si="12"/>
        <v>0</v>
      </c>
      <c r="DT6">
        <f t="shared" si="12"/>
        <v>0</v>
      </c>
      <c r="DU6">
        <f t="shared" si="12"/>
        <v>0</v>
      </c>
      <c r="DV6">
        <f t="shared" si="12"/>
        <v>0</v>
      </c>
      <c r="DW6">
        <f t="shared" si="12"/>
        <v>0</v>
      </c>
      <c r="DX6">
        <f t="shared" si="12"/>
        <v>0</v>
      </c>
      <c r="DY6">
        <f t="shared" si="12"/>
        <v>0</v>
      </c>
      <c r="DZ6">
        <f t="shared" si="13"/>
        <v>0</v>
      </c>
      <c r="EA6">
        <f t="shared" si="13"/>
        <v>0</v>
      </c>
      <c r="EB6">
        <f t="shared" si="13"/>
        <v>0</v>
      </c>
      <c r="EC6">
        <f t="shared" si="13"/>
        <v>0</v>
      </c>
      <c r="ED6">
        <f t="shared" si="13"/>
        <v>0</v>
      </c>
      <c r="EE6">
        <f t="shared" si="13"/>
        <v>0</v>
      </c>
      <c r="EF6">
        <f t="shared" si="13"/>
        <v>0</v>
      </c>
      <c r="EG6">
        <f t="shared" si="13"/>
        <v>0</v>
      </c>
      <c r="EH6">
        <f t="shared" si="13"/>
        <v>0</v>
      </c>
      <c r="EI6">
        <f t="shared" si="13"/>
        <v>0</v>
      </c>
      <c r="EJ6">
        <f>SUM(Tabla1[[#This Row],[1]:[130]])</f>
        <v>75</v>
      </c>
    </row>
    <row r="7" spans="1:140" ht="15.75" customHeight="1" x14ac:dyDescent="0.25">
      <c r="A7" t="str">
        <f>B7&amp;"-"&amp;COUNTIF($B$2:B7,B7)</f>
        <v>I. MASITAS CASERAS-1</v>
      </c>
      <c r="B7" s="31" t="s">
        <v>2</v>
      </c>
      <c r="C7">
        <f>VLOOKUP(B7,RECETAS!D6:$E$1700,2,FALSE)</f>
        <v>2</v>
      </c>
      <c r="D7" s="30" t="s">
        <v>325</v>
      </c>
      <c r="G7" t="b">
        <f t="shared" si="0"/>
        <v>1</v>
      </c>
      <c r="I7" s="31" t="s">
        <v>47</v>
      </c>
      <c r="J7">
        <f t="shared" si="1"/>
        <v>900</v>
      </c>
      <c r="K7">
        <f t="shared" si="1"/>
        <v>1800</v>
      </c>
      <c r="L7">
        <f t="shared" si="1"/>
        <v>3000</v>
      </c>
      <c r="M7">
        <f t="shared" si="1"/>
        <v>0</v>
      </c>
      <c r="N7">
        <f t="shared" si="1"/>
        <v>7800</v>
      </c>
      <c r="O7">
        <f t="shared" si="1"/>
        <v>0</v>
      </c>
      <c r="P7">
        <f t="shared" si="1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2"/>
        <v>0</v>
      </c>
      <c r="U7">
        <f t="shared" si="2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>
        <f t="shared" si="2"/>
        <v>0</v>
      </c>
      <c r="AA7">
        <f t="shared" si="2"/>
        <v>0</v>
      </c>
      <c r="AB7">
        <f t="shared" si="2"/>
        <v>0</v>
      </c>
      <c r="AC7">
        <f t="shared" si="2"/>
        <v>0</v>
      </c>
      <c r="AD7">
        <f t="shared" si="3"/>
        <v>0</v>
      </c>
      <c r="AE7">
        <f t="shared" si="3"/>
        <v>0</v>
      </c>
      <c r="AF7">
        <f t="shared" si="3"/>
        <v>0</v>
      </c>
      <c r="AG7">
        <f t="shared" si="3"/>
        <v>0</v>
      </c>
      <c r="AH7">
        <f t="shared" si="3"/>
        <v>0</v>
      </c>
      <c r="AI7">
        <f t="shared" si="3"/>
        <v>0</v>
      </c>
      <c r="AJ7">
        <f t="shared" si="3"/>
        <v>0</v>
      </c>
      <c r="AK7">
        <f t="shared" si="3"/>
        <v>0</v>
      </c>
      <c r="AL7">
        <f t="shared" si="3"/>
        <v>0</v>
      </c>
      <c r="AM7">
        <f t="shared" si="3"/>
        <v>0</v>
      </c>
      <c r="AN7">
        <f t="shared" si="4"/>
        <v>0</v>
      </c>
      <c r="AO7">
        <f t="shared" si="4"/>
        <v>0</v>
      </c>
      <c r="AP7">
        <f t="shared" si="4"/>
        <v>0</v>
      </c>
      <c r="AQ7">
        <f t="shared" si="4"/>
        <v>0</v>
      </c>
      <c r="AR7">
        <f t="shared" si="4"/>
        <v>0</v>
      </c>
      <c r="AS7">
        <f t="shared" si="4"/>
        <v>0</v>
      </c>
      <c r="AT7">
        <f t="shared" si="4"/>
        <v>0</v>
      </c>
      <c r="AU7">
        <f t="shared" si="4"/>
        <v>0</v>
      </c>
      <c r="AV7">
        <f t="shared" si="4"/>
        <v>0</v>
      </c>
      <c r="AW7">
        <f t="shared" si="4"/>
        <v>0</v>
      </c>
      <c r="AX7">
        <f t="shared" si="5"/>
        <v>0</v>
      </c>
      <c r="AY7">
        <f t="shared" si="5"/>
        <v>0</v>
      </c>
      <c r="AZ7">
        <f t="shared" si="5"/>
        <v>0</v>
      </c>
      <c r="BA7">
        <f t="shared" si="5"/>
        <v>0</v>
      </c>
      <c r="BB7">
        <f t="shared" si="5"/>
        <v>0</v>
      </c>
      <c r="BC7">
        <f t="shared" si="5"/>
        <v>0</v>
      </c>
      <c r="BD7">
        <f t="shared" si="5"/>
        <v>0</v>
      </c>
      <c r="BE7">
        <f t="shared" si="5"/>
        <v>0</v>
      </c>
      <c r="BF7">
        <f t="shared" si="5"/>
        <v>0</v>
      </c>
      <c r="BG7">
        <f t="shared" si="5"/>
        <v>0</v>
      </c>
      <c r="BH7">
        <f t="shared" si="6"/>
        <v>0</v>
      </c>
      <c r="BI7">
        <f t="shared" si="6"/>
        <v>0</v>
      </c>
      <c r="BJ7">
        <f t="shared" si="6"/>
        <v>0</v>
      </c>
      <c r="BK7">
        <f t="shared" si="6"/>
        <v>0</v>
      </c>
      <c r="BL7">
        <f t="shared" si="6"/>
        <v>0</v>
      </c>
      <c r="BM7">
        <f t="shared" si="6"/>
        <v>0</v>
      </c>
      <c r="BN7">
        <f t="shared" si="6"/>
        <v>0</v>
      </c>
      <c r="BO7">
        <f t="shared" si="6"/>
        <v>0</v>
      </c>
      <c r="BP7">
        <f t="shared" si="6"/>
        <v>0</v>
      </c>
      <c r="BQ7">
        <f t="shared" si="6"/>
        <v>0</v>
      </c>
      <c r="BR7">
        <f t="shared" si="7"/>
        <v>0</v>
      </c>
      <c r="BS7">
        <f t="shared" si="7"/>
        <v>0</v>
      </c>
      <c r="BT7">
        <f t="shared" si="7"/>
        <v>0</v>
      </c>
      <c r="BU7">
        <f t="shared" si="7"/>
        <v>0</v>
      </c>
      <c r="BV7">
        <f t="shared" si="7"/>
        <v>0</v>
      </c>
      <c r="BW7">
        <f t="shared" si="7"/>
        <v>0</v>
      </c>
      <c r="BX7">
        <f t="shared" si="7"/>
        <v>0</v>
      </c>
      <c r="BY7">
        <f t="shared" si="7"/>
        <v>0</v>
      </c>
      <c r="BZ7">
        <f t="shared" si="7"/>
        <v>0</v>
      </c>
      <c r="CA7">
        <f t="shared" si="7"/>
        <v>0</v>
      </c>
      <c r="CB7">
        <f t="shared" si="8"/>
        <v>0</v>
      </c>
      <c r="CC7">
        <f t="shared" si="8"/>
        <v>0</v>
      </c>
      <c r="CD7">
        <f t="shared" si="8"/>
        <v>0</v>
      </c>
      <c r="CE7">
        <f t="shared" si="8"/>
        <v>0</v>
      </c>
      <c r="CF7">
        <f t="shared" si="8"/>
        <v>0</v>
      </c>
      <c r="CG7">
        <f t="shared" si="8"/>
        <v>0</v>
      </c>
      <c r="CH7">
        <f t="shared" si="8"/>
        <v>0</v>
      </c>
      <c r="CI7">
        <f t="shared" si="8"/>
        <v>0</v>
      </c>
      <c r="CJ7">
        <f t="shared" si="8"/>
        <v>0</v>
      </c>
      <c r="CK7">
        <f t="shared" si="8"/>
        <v>0</v>
      </c>
      <c r="CL7">
        <f t="shared" si="9"/>
        <v>0</v>
      </c>
      <c r="CM7">
        <f t="shared" si="9"/>
        <v>0</v>
      </c>
      <c r="CN7">
        <f t="shared" si="9"/>
        <v>0</v>
      </c>
      <c r="CO7">
        <f t="shared" si="9"/>
        <v>0</v>
      </c>
      <c r="CP7">
        <f t="shared" si="9"/>
        <v>0</v>
      </c>
      <c r="CQ7">
        <f t="shared" si="9"/>
        <v>0</v>
      </c>
      <c r="CR7">
        <f t="shared" si="9"/>
        <v>0</v>
      </c>
      <c r="CS7">
        <f t="shared" si="9"/>
        <v>0</v>
      </c>
      <c r="CT7">
        <f t="shared" si="9"/>
        <v>0</v>
      </c>
      <c r="CU7">
        <f t="shared" si="9"/>
        <v>0</v>
      </c>
      <c r="CV7">
        <f t="shared" si="10"/>
        <v>0</v>
      </c>
      <c r="CW7">
        <f t="shared" si="10"/>
        <v>0</v>
      </c>
      <c r="CX7">
        <f t="shared" si="10"/>
        <v>0</v>
      </c>
      <c r="CY7">
        <f t="shared" si="10"/>
        <v>0</v>
      </c>
      <c r="CZ7">
        <f t="shared" si="10"/>
        <v>0</v>
      </c>
      <c r="DA7">
        <f t="shared" si="10"/>
        <v>0</v>
      </c>
      <c r="DB7">
        <f t="shared" si="10"/>
        <v>0</v>
      </c>
      <c r="DC7">
        <f t="shared" si="10"/>
        <v>0</v>
      </c>
      <c r="DD7">
        <f t="shared" si="10"/>
        <v>0</v>
      </c>
      <c r="DE7">
        <f t="shared" si="10"/>
        <v>0</v>
      </c>
      <c r="DF7">
        <f t="shared" si="11"/>
        <v>0</v>
      </c>
      <c r="DG7">
        <f t="shared" si="11"/>
        <v>0</v>
      </c>
      <c r="DH7">
        <f t="shared" si="11"/>
        <v>0</v>
      </c>
      <c r="DI7">
        <f t="shared" si="11"/>
        <v>0</v>
      </c>
      <c r="DJ7">
        <f t="shared" si="11"/>
        <v>0</v>
      </c>
      <c r="DK7">
        <f t="shared" si="11"/>
        <v>0</v>
      </c>
      <c r="DL7">
        <f t="shared" si="11"/>
        <v>0</v>
      </c>
      <c r="DM7">
        <f t="shared" si="11"/>
        <v>0</v>
      </c>
      <c r="DN7">
        <f t="shared" si="11"/>
        <v>0</v>
      </c>
      <c r="DO7">
        <f t="shared" si="11"/>
        <v>0</v>
      </c>
      <c r="DP7">
        <f t="shared" si="12"/>
        <v>0</v>
      </c>
      <c r="DQ7">
        <f t="shared" si="12"/>
        <v>0</v>
      </c>
      <c r="DR7">
        <f t="shared" si="12"/>
        <v>0</v>
      </c>
      <c r="DS7">
        <f t="shared" si="12"/>
        <v>0</v>
      </c>
      <c r="DT7">
        <f t="shared" si="12"/>
        <v>0</v>
      </c>
      <c r="DU7">
        <f t="shared" si="12"/>
        <v>0</v>
      </c>
      <c r="DV7">
        <f t="shared" si="12"/>
        <v>0</v>
      </c>
      <c r="DW7">
        <f t="shared" si="12"/>
        <v>0</v>
      </c>
      <c r="DX7">
        <f t="shared" si="12"/>
        <v>0</v>
      </c>
      <c r="DY7">
        <f t="shared" si="12"/>
        <v>0</v>
      </c>
      <c r="DZ7">
        <f t="shared" si="13"/>
        <v>0</v>
      </c>
      <c r="EA7">
        <f t="shared" si="13"/>
        <v>0</v>
      </c>
      <c r="EB7">
        <f t="shared" si="13"/>
        <v>0</v>
      </c>
      <c r="EC7">
        <f t="shared" si="13"/>
        <v>0</v>
      </c>
      <c r="ED7">
        <f t="shared" si="13"/>
        <v>0</v>
      </c>
      <c r="EE7">
        <f t="shared" si="13"/>
        <v>0</v>
      </c>
      <c r="EF7">
        <f t="shared" si="13"/>
        <v>0</v>
      </c>
      <c r="EG7">
        <f t="shared" si="13"/>
        <v>0</v>
      </c>
      <c r="EH7">
        <f t="shared" si="13"/>
        <v>0</v>
      </c>
      <c r="EI7">
        <f t="shared" si="13"/>
        <v>0</v>
      </c>
      <c r="EJ7">
        <f>SUM(Tabla1[[#This Row],[1]:[130]])</f>
        <v>13500</v>
      </c>
    </row>
    <row r="8" spans="1:140" ht="15.75" customHeight="1" thickBot="1" x14ac:dyDescent="0.3">
      <c r="A8" t="str">
        <f>B8&amp;"-"&amp;COUNTIF($B$2:B8,B8)</f>
        <v>I. CREMA ESPESA-2</v>
      </c>
      <c r="B8" s="33" t="s">
        <v>16</v>
      </c>
      <c r="C8">
        <f>VLOOKUP(B8,RECETAS!D7:$E$1700,2,FALSE)</f>
        <v>50</v>
      </c>
      <c r="D8" s="32"/>
      <c r="G8" t="b">
        <f t="shared" si="0"/>
        <v>1</v>
      </c>
      <c r="I8" s="39" t="s">
        <v>48</v>
      </c>
      <c r="J8">
        <f t="shared" si="1"/>
        <v>75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P8">
        <f t="shared" si="1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2"/>
        <v>0</v>
      </c>
      <c r="U8">
        <f t="shared" si="2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>
        <f t="shared" si="2"/>
        <v>0</v>
      </c>
      <c r="AA8">
        <f t="shared" si="2"/>
        <v>0</v>
      </c>
      <c r="AB8">
        <f t="shared" si="2"/>
        <v>0</v>
      </c>
      <c r="AC8">
        <f t="shared" si="2"/>
        <v>0</v>
      </c>
      <c r="AD8">
        <f t="shared" si="3"/>
        <v>0</v>
      </c>
      <c r="AE8">
        <f t="shared" si="3"/>
        <v>0</v>
      </c>
      <c r="AF8">
        <f t="shared" si="3"/>
        <v>0</v>
      </c>
      <c r="AG8">
        <f t="shared" si="3"/>
        <v>0</v>
      </c>
      <c r="AH8">
        <f t="shared" si="3"/>
        <v>0</v>
      </c>
      <c r="AI8">
        <f t="shared" si="3"/>
        <v>0</v>
      </c>
      <c r="AJ8">
        <f t="shared" si="3"/>
        <v>0</v>
      </c>
      <c r="AK8">
        <f t="shared" si="3"/>
        <v>0</v>
      </c>
      <c r="AL8">
        <f t="shared" si="3"/>
        <v>0</v>
      </c>
      <c r="AM8">
        <f t="shared" si="3"/>
        <v>0</v>
      </c>
      <c r="AN8">
        <f t="shared" si="4"/>
        <v>0</v>
      </c>
      <c r="AO8">
        <f t="shared" si="4"/>
        <v>0</v>
      </c>
      <c r="AP8">
        <f t="shared" si="4"/>
        <v>0</v>
      </c>
      <c r="AQ8">
        <f t="shared" si="4"/>
        <v>0</v>
      </c>
      <c r="AR8">
        <f t="shared" si="4"/>
        <v>0</v>
      </c>
      <c r="AS8">
        <f t="shared" si="4"/>
        <v>0</v>
      </c>
      <c r="AT8">
        <f t="shared" si="4"/>
        <v>0</v>
      </c>
      <c r="AU8">
        <f t="shared" si="4"/>
        <v>0</v>
      </c>
      <c r="AV8">
        <f t="shared" si="4"/>
        <v>0</v>
      </c>
      <c r="AW8">
        <f t="shared" si="4"/>
        <v>0</v>
      </c>
      <c r="AX8">
        <f t="shared" si="5"/>
        <v>0</v>
      </c>
      <c r="AY8">
        <f t="shared" si="5"/>
        <v>0</v>
      </c>
      <c r="AZ8">
        <f t="shared" si="5"/>
        <v>0</v>
      </c>
      <c r="BA8">
        <f t="shared" si="5"/>
        <v>0</v>
      </c>
      <c r="BB8">
        <f t="shared" si="5"/>
        <v>0</v>
      </c>
      <c r="BC8">
        <f t="shared" si="5"/>
        <v>0</v>
      </c>
      <c r="BD8">
        <f t="shared" si="5"/>
        <v>0</v>
      </c>
      <c r="BE8">
        <f t="shared" si="5"/>
        <v>0</v>
      </c>
      <c r="BF8">
        <f t="shared" si="5"/>
        <v>0</v>
      </c>
      <c r="BG8">
        <f t="shared" si="5"/>
        <v>0</v>
      </c>
      <c r="BH8">
        <f t="shared" si="6"/>
        <v>0</v>
      </c>
      <c r="BI8">
        <f t="shared" si="6"/>
        <v>0</v>
      </c>
      <c r="BJ8">
        <f t="shared" si="6"/>
        <v>0</v>
      </c>
      <c r="BK8">
        <f t="shared" si="6"/>
        <v>0</v>
      </c>
      <c r="BL8">
        <f t="shared" si="6"/>
        <v>0</v>
      </c>
      <c r="BM8">
        <f t="shared" si="6"/>
        <v>0</v>
      </c>
      <c r="BN8">
        <f t="shared" si="6"/>
        <v>0</v>
      </c>
      <c r="BO8">
        <f t="shared" si="6"/>
        <v>0</v>
      </c>
      <c r="BP8">
        <f t="shared" si="6"/>
        <v>0</v>
      </c>
      <c r="BQ8">
        <f t="shared" si="6"/>
        <v>0</v>
      </c>
      <c r="BR8">
        <f t="shared" si="7"/>
        <v>0</v>
      </c>
      <c r="BS8">
        <f t="shared" si="7"/>
        <v>0</v>
      </c>
      <c r="BT8">
        <f t="shared" si="7"/>
        <v>0</v>
      </c>
      <c r="BU8">
        <f t="shared" si="7"/>
        <v>0</v>
      </c>
      <c r="BV8">
        <f t="shared" si="7"/>
        <v>0</v>
      </c>
      <c r="BW8">
        <f t="shared" si="7"/>
        <v>0</v>
      </c>
      <c r="BX8">
        <f t="shared" si="7"/>
        <v>0</v>
      </c>
      <c r="BY8">
        <f t="shared" si="7"/>
        <v>0</v>
      </c>
      <c r="BZ8">
        <f t="shared" si="7"/>
        <v>0</v>
      </c>
      <c r="CA8">
        <f t="shared" si="7"/>
        <v>0</v>
      </c>
      <c r="CB8">
        <f t="shared" si="8"/>
        <v>0</v>
      </c>
      <c r="CC8">
        <f t="shared" si="8"/>
        <v>0</v>
      </c>
      <c r="CD8">
        <f t="shared" si="8"/>
        <v>0</v>
      </c>
      <c r="CE8">
        <f t="shared" si="8"/>
        <v>0</v>
      </c>
      <c r="CF8">
        <f t="shared" si="8"/>
        <v>0</v>
      </c>
      <c r="CG8">
        <f t="shared" si="8"/>
        <v>0</v>
      </c>
      <c r="CH8">
        <f t="shared" si="8"/>
        <v>0</v>
      </c>
      <c r="CI8">
        <f t="shared" si="8"/>
        <v>0</v>
      </c>
      <c r="CJ8">
        <f t="shared" si="8"/>
        <v>0</v>
      </c>
      <c r="CK8">
        <f t="shared" si="8"/>
        <v>0</v>
      </c>
      <c r="CL8">
        <f t="shared" si="9"/>
        <v>0</v>
      </c>
      <c r="CM8">
        <f t="shared" si="9"/>
        <v>0</v>
      </c>
      <c r="CN8">
        <f t="shared" si="9"/>
        <v>0</v>
      </c>
      <c r="CO8">
        <f t="shared" si="9"/>
        <v>0</v>
      </c>
      <c r="CP8">
        <f t="shared" si="9"/>
        <v>0</v>
      </c>
      <c r="CQ8">
        <f t="shared" si="9"/>
        <v>0</v>
      </c>
      <c r="CR8">
        <f t="shared" si="9"/>
        <v>0</v>
      </c>
      <c r="CS8">
        <f t="shared" si="9"/>
        <v>0</v>
      </c>
      <c r="CT8">
        <f t="shared" si="9"/>
        <v>0</v>
      </c>
      <c r="CU8">
        <f t="shared" si="9"/>
        <v>0</v>
      </c>
      <c r="CV8">
        <f t="shared" si="10"/>
        <v>0</v>
      </c>
      <c r="CW8">
        <f t="shared" si="10"/>
        <v>0</v>
      </c>
      <c r="CX8">
        <f t="shared" si="10"/>
        <v>0</v>
      </c>
      <c r="CY8">
        <f t="shared" si="10"/>
        <v>0</v>
      </c>
      <c r="CZ8">
        <f t="shared" si="10"/>
        <v>0</v>
      </c>
      <c r="DA8">
        <f t="shared" si="10"/>
        <v>0</v>
      </c>
      <c r="DB8">
        <f t="shared" si="10"/>
        <v>0</v>
      </c>
      <c r="DC8">
        <f t="shared" si="10"/>
        <v>0</v>
      </c>
      <c r="DD8">
        <f t="shared" si="10"/>
        <v>0</v>
      </c>
      <c r="DE8">
        <f t="shared" si="10"/>
        <v>0</v>
      </c>
      <c r="DF8">
        <f t="shared" si="11"/>
        <v>0</v>
      </c>
      <c r="DG8">
        <f t="shared" si="11"/>
        <v>0</v>
      </c>
      <c r="DH8">
        <f t="shared" si="11"/>
        <v>0</v>
      </c>
      <c r="DI8">
        <f t="shared" si="11"/>
        <v>0</v>
      </c>
      <c r="DJ8">
        <f t="shared" si="11"/>
        <v>0</v>
      </c>
      <c r="DK8">
        <f t="shared" si="11"/>
        <v>0</v>
      </c>
      <c r="DL8">
        <f t="shared" si="11"/>
        <v>0</v>
      </c>
      <c r="DM8">
        <f t="shared" si="11"/>
        <v>0</v>
      </c>
      <c r="DN8">
        <f t="shared" si="11"/>
        <v>0</v>
      </c>
      <c r="DO8">
        <f t="shared" si="11"/>
        <v>0</v>
      </c>
      <c r="DP8">
        <f t="shared" si="12"/>
        <v>0</v>
      </c>
      <c r="DQ8">
        <f t="shared" si="12"/>
        <v>0</v>
      </c>
      <c r="DR8">
        <f t="shared" si="12"/>
        <v>0</v>
      </c>
      <c r="DS8">
        <f t="shared" si="12"/>
        <v>0</v>
      </c>
      <c r="DT8">
        <f t="shared" si="12"/>
        <v>0</v>
      </c>
      <c r="DU8">
        <f t="shared" si="12"/>
        <v>0</v>
      </c>
      <c r="DV8">
        <f t="shared" si="12"/>
        <v>0</v>
      </c>
      <c r="DW8">
        <f t="shared" si="12"/>
        <v>0</v>
      </c>
      <c r="DX8">
        <f t="shared" si="12"/>
        <v>0</v>
      </c>
      <c r="DY8">
        <f t="shared" si="12"/>
        <v>0</v>
      </c>
      <c r="DZ8">
        <f t="shared" si="13"/>
        <v>0</v>
      </c>
      <c r="EA8">
        <f t="shared" si="13"/>
        <v>0</v>
      </c>
      <c r="EB8">
        <f t="shared" si="13"/>
        <v>0</v>
      </c>
      <c r="EC8">
        <f t="shared" si="13"/>
        <v>0</v>
      </c>
      <c r="ED8">
        <f t="shared" si="13"/>
        <v>0</v>
      </c>
      <c r="EE8">
        <f t="shared" si="13"/>
        <v>0</v>
      </c>
      <c r="EF8">
        <f t="shared" si="13"/>
        <v>0</v>
      </c>
      <c r="EG8">
        <f t="shared" si="13"/>
        <v>0</v>
      </c>
      <c r="EH8">
        <f t="shared" si="13"/>
        <v>0</v>
      </c>
      <c r="EI8">
        <f t="shared" si="13"/>
        <v>0</v>
      </c>
      <c r="EJ8">
        <f>SUM(Tabla1[[#This Row],[1]:[130]])</f>
        <v>75</v>
      </c>
    </row>
    <row r="9" spans="1:140" x14ac:dyDescent="0.25">
      <c r="A9" t="str">
        <f>B9&amp;"-"&amp;COUNTIF($B$2:B9,B9)</f>
        <v>I. NACHOS-1</v>
      </c>
      <c r="B9" s="26" t="s">
        <v>3</v>
      </c>
      <c r="C9">
        <f>VLOOKUP(B9,RECETAS!D8:$E$1700,2,FALSE)</f>
        <v>11</v>
      </c>
      <c r="D9" s="25" t="s">
        <v>328</v>
      </c>
      <c r="G9" t="b">
        <f t="shared" si="0"/>
        <v>1</v>
      </c>
      <c r="I9" s="45" t="s">
        <v>287</v>
      </c>
      <c r="J9">
        <f t="shared" si="1"/>
        <v>525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2"/>
        <v>0</v>
      </c>
      <c r="U9">
        <f t="shared" si="2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>
        <f t="shared" si="2"/>
        <v>0</v>
      </c>
      <c r="AA9">
        <f t="shared" si="2"/>
        <v>0</v>
      </c>
      <c r="AB9">
        <f t="shared" si="2"/>
        <v>0</v>
      </c>
      <c r="AC9">
        <f t="shared" si="2"/>
        <v>0</v>
      </c>
      <c r="AD9">
        <f t="shared" si="3"/>
        <v>0</v>
      </c>
      <c r="AE9">
        <f t="shared" si="3"/>
        <v>0</v>
      </c>
      <c r="AF9">
        <f t="shared" si="3"/>
        <v>0</v>
      </c>
      <c r="AG9">
        <f t="shared" si="3"/>
        <v>0</v>
      </c>
      <c r="AH9">
        <f t="shared" si="3"/>
        <v>0</v>
      </c>
      <c r="AI9">
        <f t="shared" si="3"/>
        <v>0</v>
      </c>
      <c r="AJ9">
        <f t="shared" si="3"/>
        <v>0</v>
      </c>
      <c r="AK9">
        <f t="shared" si="3"/>
        <v>0</v>
      </c>
      <c r="AL9">
        <f t="shared" si="3"/>
        <v>0</v>
      </c>
      <c r="AM9">
        <f t="shared" si="3"/>
        <v>0</v>
      </c>
      <c r="AN9">
        <f t="shared" si="4"/>
        <v>0</v>
      </c>
      <c r="AO9">
        <f t="shared" si="4"/>
        <v>0</v>
      </c>
      <c r="AP9">
        <f t="shared" si="4"/>
        <v>0</v>
      </c>
      <c r="AQ9">
        <f t="shared" si="4"/>
        <v>0</v>
      </c>
      <c r="AR9">
        <f t="shared" si="4"/>
        <v>0</v>
      </c>
      <c r="AS9">
        <f t="shared" si="4"/>
        <v>0</v>
      </c>
      <c r="AT9">
        <f t="shared" si="4"/>
        <v>0</v>
      </c>
      <c r="AU9">
        <f t="shared" si="4"/>
        <v>0</v>
      </c>
      <c r="AV9">
        <f t="shared" si="4"/>
        <v>0</v>
      </c>
      <c r="AW9">
        <f t="shared" si="4"/>
        <v>0</v>
      </c>
      <c r="AX9">
        <f t="shared" si="5"/>
        <v>0</v>
      </c>
      <c r="AY9">
        <f t="shared" si="5"/>
        <v>0</v>
      </c>
      <c r="AZ9">
        <f t="shared" si="5"/>
        <v>0</v>
      </c>
      <c r="BA9">
        <f t="shared" si="5"/>
        <v>0</v>
      </c>
      <c r="BB9">
        <f t="shared" si="5"/>
        <v>0</v>
      </c>
      <c r="BC9">
        <f t="shared" si="5"/>
        <v>0</v>
      </c>
      <c r="BD9">
        <f t="shared" si="5"/>
        <v>0</v>
      </c>
      <c r="BE9">
        <f t="shared" si="5"/>
        <v>0</v>
      </c>
      <c r="BF9">
        <f t="shared" si="5"/>
        <v>0</v>
      </c>
      <c r="BG9">
        <f t="shared" si="5"/>
        <v>0</v>
      </c>
      <c r="BH9">
        <f t="shared" si="6"/>
        <v>0</v>
      </c>
      <c r="BI9">
        <f t="shared" si="6"/>
        <v>0</v>
      </c>
      <c r="BJ9">
        <f t="shared" si="6"/>
        <v>0</v>
      </c>
      <c r="BK9">
        <f t="shared" si="6"/>
        <v>0</v>
      </c>
      <c r="BL9">
        <f t="shared" si="6"/>
        <v>0</v>
      </c>
      <c r="BM9">
        <f t="shared" si="6"/>
        <v>0</v>
      </c>
      <c r="BN9">
        <f t="shared" si="6"/>
        <v>0</v>
      </c>
      <c r="BO9">
        <f t="shared" si="6"/>
        <v>0</v>
      </c>
      <c r="BP9">
        <f t="shared" si="6"/>
        <v>0</v>
      </c>
      <c r="BQ9">
        <f t="shared" si="6"/>
        <v>0</v>
      </c>
      <c r="BR9">
        <f t="shared" si="7"/>
        <v>0</v>
      </c>
      <c r="BS9">
        <f t="shared" si="7"/>
        <v>0</v>
      </c>
      <c r="BT9">
        <f t="shared" si="7"/>
        <v>0</v>
      </c>
      <c r="BU9">
        <f t="shared" si="7"/>
        <v>0</v>
      </c>
      <c r="BV9">
        <f t="shared" si="7"/>
        <v>0</v>
      </c>
      <c r="BW9">
        <f t="shared" si="7"/>
        <v>0</v>
      </c>
      <c r="BX9">
        <f t="shared" si="7"/>
        <v>0</v>
      </c>
      <c r="BY9">
        <f t="shared" si="7"/>
        <v>0</v>
      </c>
      <c r="BZ9">
        <f t="shared" si="7"/>
        <v>0</v>
      </c>
      <c r="CA9">
        <f t="shared" si="7"/>
        <v>0</v>
      </c>
      <c r="CB9">
        <f t="shared" si="8"/>
        <v>0</v>
      </c>
      <c r="CC9">
        <f t="shared" si="8"/>
        <v>0</v>
      </c>
      <c r="CD9">
        <f t="shared" si="8"/>
        <v>0</v>
      </c>
      <c r="CE9">
        <f t="shared" si="8"/>
        <v>0</v>
      </c>
      <c r="CF9">
        <f t="shared" si="8"/>
        <v>0</v>
      </c>
      <c r="CG9">
        <f t="shared" si="8"/>
        <v>0</v>
      </c>
      <c r="CH9">
        <f t="shared" si="8"/>
        <v>0</v>
      </c>
      <c r="CI9">
        <f t="shared" si="8"/>
        <v>0</v>
      </c>
      <c r="CJ9">
        <f t="shared" si="8"/>
        <v>0</v>
      </c>
      <c r="CK9">
        <f t="shared" si="8"/>
        <v>0</v>
      </c>
      <c r="CL9">
        <f t="shared" si="9"/>
        <v>0</v>
      </c>
      <c r="CM9">
        <f t="shared" si="9"/>
        <v>0</v>
      </c>
      <c r="CN9">
        <f t="shared" si="9"/>
        <v>0</v>
      </c>
      <c r="CO9">
        <f t="shared" si="9"/>
        <v>0</v>
      </c>
      <c r="CP9">
        <f t="shared" si="9"/>
        <v>0</v>
      </c>
      <c r="CQ9">
        <f t="shared" si="9"/>
        <v>0</v>
      </c>
      <c r="CR9">
        <f t="shared" si="9"/>
        <v>0</v>
      </c>
      <c r="CS9">
        <f t="shared" si="9"/>
        <v>0</v>
      </c>
      <c r="CT9">
        <f t="shared" si="9"/>
        <v>0</v>
      </c>
      <c r="CU9">
        <f t="shared" si="9"/>
        <v>0</v>
      </c>
      <c r="CV9">
        <f t="shared" si="10"/>
        <v>0</v>
      </c>
      <c r="CW9">
        <f t="shared" si="10"/>
        <v>0</v>
      </c>
      <c r="CX9">
        <f t="shared" si="10"/>
        <v>0</v>
      </c>
      <c r="CY9">
        <f t="shared" si="10"/>
        <v>0</v>
      </c>
      <c r="CZ9">
        <f t="shared" si="10"/>
        <v>0</v>
      </c>
      <c r="DA9">
        <f t="shared" si="10"/>
        <v>0</v>
      </c>
      <c r="DB9">
        <f t="shared" si="10"/>
        <v>0</v>
      </c>
      <c r="DC9">
        <f t="shared" si="10"/>
        <v>0</v>
      </c>
      <c r="DD9">
        <f t="shared" si="10"/>
        <v>0</v>
      </c>
      <c r="DE9">
        <f t="shared" si="10"/>
        <v>0</v>
      </c>
      <c r="DF9">
        <f t="shared" si="11"/>
        <v>0</v>
      </c>
      <c r="DG9">
        <f t="shared" si="11"/>
        <v>0</v>
      </c>
      <c r="DH9">
        <f t="shared" si="11"/>
        <v>0</v>
      </c>
      <c r="DI9">
        <f t="shared" si="11"/>
        <v>0</v>
      </c>
      <c r="DJ9">
        <f t="shared" si="11"/>
        <v>0</v>
      </c>
      <c r="DK9">
        <f t="shared" si="11"/>
        <v>0</v>
      </c>
      <c r="DL9">
        <f t="shared" si="11"/>
        <v>0</v>
      </c>
      <c r="DM9">
        <f t="shared" si="11"/>
        <v>0</v>
      </c>
      <c r="DN9">
        <f t="shared" si="11"/>
        <v>0</v>
      </c>
      <c r="DO9">
        <f t="shared" si="11"/>
        <v>0</v>
      </c>
      <c r="DP9">
        <f t="shared" si="12"/>
        <v>0</v>
      </c>
      <c r="DQ9">
        <f t="shared" si="12"/>
        <v>0</v>
      </c>
      <c r="DR9">
        <f t="shared" si="12"/>
        <v>0</v>
      </c>
      <c r="DS9">
        <f t="shared" si="12"/>
        <v>0</v>
      </c>
      <c r="DT9">
        <f t="shared" si="12"/>
        <v>0</v>
      </c>
      <c r="DU9">
        <f t="shared" si="12"/>
        <v>0</v>
      </c>
      <c r="DV9">
        <f t="shared" si="12"/>
        <v>0</v>
      </c>
      <c r="DW9">
        <f t="shared" si="12"/>
        <v>0</v>
      </c>
      <c r="DX9">
        <f t="shared" si="12"/>
        <v>0</v>
      </c>
      <c r="DY9">
        <f t="shared" si="12"/>
        <v>0</v>
      </c>
      <c r="DZ9">
        <f t="shared" si="13"/>
        <v>0</v>
      </c>
      <c r="EA9">
        <f t="shared" si="13"/>
        <v>0</v>
      </c>
      <c r="EB9">
        <f t="shared" si="13"/>
        <v>0</v>
      </c>
      <c r="EC9">
        <f t="shared" si="13"/>
        <v>0</v>
      </c>
      <c r="ED9">
        <f t="shared" si="13"/>
        <v>0</v>
      </c>
      <c r="EE9">
        <f t="shared" si="13"/>
        <v>0</v>
      </c>
      <c r="EF9">
        <f t="shared" si="13"/>
        <v>0</v>
      </c>
      <c r="EG9">
        <f t="shared" si="13"/>
        <v>0</v>
      </c>
      <c r="EH9">
        <f t="shared" si="13"/>
        <v>0</v>
      </c>
      <c r="EI9">
        <f t="shared" si="13"/>
        <v>0</v>
      </c>
      <c r="EJ9">
        <f>SUM(Tabla1[[#This Row],[1]:[130]])</f>
        <v>525</v>
      </c>
    </row>
    <row r="10" spans="1:140" x14ac:dyDescent="0.25">
      <c r="A10" t="str">
        <f>B10&amp;"-"&amp;COUNTIF($B$2:B10,B10)</f>
        <v>I. SALSA CHEDDAR-1</v>
      </c>
      <c r="B10" s="35" t="s">
        <v>521</v>
      </c>
      <c r="C10">
        <f>VLOOKUP(B10,RECETAS!D9:$E$1700,2,FALSE)</f>
        <v>1650</v>
      </c>
      <c r="D10" s="34"/>
      <c r="G10" t="b">
        <f t="shared" si="0"/>
        <v>1</v>
      </c>
      <c r="I10" s="36" t="s">
        <v>656</v>
      </c>
      <c r="J10">
        <f t="shared" si="1"/>
        <v>80</v>
      </c>
      <c r="K10">
        <f t="shared" si="1"/>
        <v>150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  <c r="P10">
        <f t="shared" si="1"/>
        <v>0</v>
      </c>
      <c r="Q10">
        <f t="shared" si="1"/>
        <v>0</v>
      </c>
      <c r="R10">
        <f t="shared" si="1"/>
        <v>0</v>
      </c>
      <c r="S10">
        <f t="shared" si="1"/>
        <v>0</v>
      </c>
      <c r="T10">
        <f t="shared" si="2"/>
        <v>0</v>
      </c>
      <c r="U10">
        <f t="shared" si="2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>
        <f t="shared" si="2"/>
        <v>0</v>
      </c>
      <c r="AA10">
        <f t="shared" si="2"/>
        <v>0</v>
      </c>
      <c r="AB10">
        <f t="shared" si="2"/>
        <v>0</v>
      </c>
      <c r="AC10">
        <f t="shared" si="2"/>
        <v>0</v>
      </c>
      <c r="AD10">
        <f t="shared" si="3"/>
        <v>0</v>
      </c>
      <c r="AE10">
        <f t="shared" si="3"/>
        <v>0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  <c r="AJ10">
        <f t="shared" si="3"/>
        <v>0</v>
      </c>
      <c r="AK10">
        <f t="shared" si="3"/>
        <v>0</v>
      </c>
      <c r="AL10">
        <f t="shared" si="3"/>
        <v>0</v>
      </c>
      <c r="AM10">
        <f t="shared" si="3"/>
        <v>0</v>
      </c>
      <c r="AN10">
        <f t="shared" si="4"/>
        <v>0</v>
      </c>
      <c r="AO10">
        <f t="shared" si="4"/>
        <v>0</v>
      </c>
      <c r="AP10">
        <f t="shared" si="4"/>
        <v>0</v>
      </c>
      <c r="AQ10">
        <f t="shared" si="4"/>
        <v>0</v>
      </c>
      <c r="AR10">
        <f t="shared" si="4"/>
        <v>0</v>
      </c>
      <c r="AS10">
        <f t="shared" si="4"/>
        <v>0</v>
      </c>
      <c r="AT10">
        <f t="shared" si="4"/>
        <v>0</v>
      </c>
      <c r="AU10">
        <f t="shared" si="4"/>
        <v>0</v>
      </c>
      <c r="AV10">
        <f t="shared" si="4"/>
        <v>0</v>
      </c>
      <c r="AW10">
        <f t="shared" si="4"/>
        <v>0</v>
      </c>
      <c r="AX10">
        <f t="shared" si="5"/>
        <v>0</v>
      </c>
      <c r="AY10">
        <f t="shared" si="5"/>
        <v>0</v>
      </c>
      <c r="AZ10">
        <f t="shared" si="5"/>
        <v>0</v>
      </c>
      <c r="BA10">
        <f t="shared" si="5"/>
        <v>0</v>
      </c>
      <c r="BB10">
        <f t="shared" si="5"/>
        <v>0</v>
      </c>
      <c r="BC10">
        <f t="shared" si="5"/>
        <v>0</v>
      </c>
      <c r="BD10">
        <f t="shared" si="5"/>
        <v>0</v>
      </c>
      <c r="BE10">
        <f t="shared" si="5"/>
        <v>0</v>
      </c>
      <c r="BF10">
        <f t="shared" si="5"/>
        <v>0</v>
      </c>
      <c r="BG10">
        <f t="shared" si="5"/>
        <v>0</v>
      </c>
      <c r="BH10">
        <f t="shared" si="6"/>
        <v>0</v>
      </c>
      <c r="BI10">
        <f t="shared" si="6"/>
        <v>0</v>
      </c>
      <c r="BJ10">
        <f t="shared" si="6"/>
        <v>0</v>
      </c>
      <c r="BK10">
        <f t="shared" si="6"/>
        <v>0</v>
      </c>
      <c r="BL10">
        <f t="shared" si="6"/>
        <v>0</v>
      </c>
      <c r="BM10">
        <f t="shared" si="6"/>
        <v>0</v>
      </c>
      <c r="BN10">
        <f t="shared" si="6"/>
        <v>0</v>
      </c>
      <c r="BO10">
        <f t="shared" si="6"/>
        <v>0</v>
      </c>
      <c r="BP10">
        <f t="shared" si="6"/>
        <v>0</v>
      </c>
      <c r="BQ10">
        <f t="shared" si="6"/>
        <v>0</v>
      </c>
      <c r="BR10">
        <f t="shared" si="7"/>
        <v>0</v>
      </c>
      <c r="BS10">
        <f t="shared" si="7"/>
        <v>0</v>
      </c>
      <c r="BT10">
        <f t="shared" si="7"/>
        <v>0</v>
      </c>
      <c r="BU10">
        <f t="shared" si="7"/>
        <v>0</v>
      </c>
      <c r="BV10">
        <f t="shared" si="7"/>
        <v>0</v>
      </c>
      <c r="BW10">
        <f t="shared" si="7"/>
        <v>0</v>
      </c>
      <c r="BX10">
        <f t="shared" si="7"/>
        <v>0</v>
      </c>
      <c r="BY10">
        <f t="shared" si="7"/>
        <v>0</v>
      </c>
      <c r="BZ10">
        <f t="shared" si="7"/>
        <v>0</v>
      </c>
      <c r="CA10">
        <f t="shared" si="7"/>
        <v>0</v>
      </c>
      <c r="CB10">
        <f t="shared" si="8"/>
        <v>0</v>
      </c>
      <c r="CC10">
        <f t="shared" si="8"/>
        <v>0</v>
      </c>
      <c r="CD10">
        <f t="shared" si="8"/>
        <v>0</v>
      </c>
      <c r="CE10">
        <f t="shared" si="8"/>
        <v>0</v>
      </c>
      <c r="CF10">
        <f t="shared" si="8"/>
        <v>0</v>
      </c>
      <c r="CG10">
        <f t="shared" si="8"/>
        <v>0</v>
      </c>
      <c r="CH10">
        <f t="shared" si="8"/>
        <v>0</v>
      </c>
      <c r="CI10">
        <f t="shared" si="8"/>
        <v>0</v>
      </c>
      <c r="CJ10">
        <f t="shared" si="8"/>
        <v>0</v>
      </c>
      <c r="CK10">
        <f t="shared" si="8"/>
        <v>0</v>
      </c>
      <c r="CL10">
        <f t="shared" si="9"/>
        <v>0</v>
      </c>
      <c r="CM10">
        <f t="shared" si="9"/>
        <v>0</v>
      </c>
      <c r="CN10">
        <f t="shared" si="9"/>
        <v>0</v>
      </c>
      <c r="CO10">
        <f t="shared" si="9"/>
        <v>0</v>
      </c>
      <c r="CP10">
        <f t="shared" si="9"/>
        <v>0</v>
      </c>
      <c r="CQ10">
        <f t="shared" si="9"/>
        <v>0</v>
      </c>
      <c r="CR10">
        <f t="shared" si="9"/>
        <v>0</v>
      </c>
      <c r="CS10">
        <f t="shared" si="9"/>
        <v>0</v>
      </c>
      <c r="CT10">
        <f t="shared" si="9"/>
        <v>0</v>
      </c>
      <c r="CU10">
        <f t="shared" si="9"/>
        <v>0</v>
      </c>
      <c r="CV10">
        <f t="shared" si="10"/>
        <v>0</v>
      </c>
      <c r="CW10">
        <f t="shared" si="10"/>
        <v>0</v>
      </c>
      <c r="CX10">
        <f t="shared" si="10"/>
        <v>0</v>
      </c>
      <c r="CY10">
        <f t="shared" si="10"/>
        <v>0</v>
      </c>
      <c r="CZ10">
        <f t="shared" si="10"/>
        <v>0</v>
      </c>
      <c r="DA10">
        <f t="shared" si="10"/>
        <v>0</v>
      </c>
      <c r="DB10">
        <f t="shared" si="10"/>
        <v>0</v>
      </c>
      <c r="DC10">
        <f t="shared" si="10"/>
        <v>0</v>
      </c>
      <c r="DD10">
        <f t="shared" si="10"/>
        <v>0</v>
      </c>
      <c r="DE10">
        <f t="shared" si="10"/>
        <v>0</v>
      </c>
      <c r="DF10">
        <f t="shared" si="11"/>
        <v>0</v>
      </c>
      <c r="DG10">
        <f t="shared" si="11"/>
        <v>0</v>
      </c>
      <c r="DH10">
        <f t="shared" si="11"/>
        <v>0</v>
      </c>
      <c r="DI10">
        <f t="shared" si="11"/>
        <v>0</v>
      </c>
      <c r="DJ10">
        <f t="shared" si="11"/>
        <v>0</v>
      </c>
      <c r="DK10">
        <f t="shared" si="11"/>
        <v>0</v>
      </c>
      <c r="DL10">
        <f t="shared" si="11"/>
        <v>0</v>
      </c>
      <c r="DM10">
        <f t="shared" si="11"/>
        <v>0</v>
      </c>
      <c r="DN10">
        <f t="shared" si="11"/>
        <v>0</v>
      </c>
      <c r="DO10">
        <f t="shared" si="11"/>
        <v>0</v>
      </c>
      <c r="DP10">
        <f t="shared" si="12"/>
        <v>0</v>
      </c>
      <c r="DQ10">
        <f t="shared" si="12"/>
        <v>0</v>
      </c>
      <c r="DR10">
        <f t="shared" si="12"/>
        <v>0</v>
      </c>
      <c r="DS10">
        <f t="shared" si="12"/>
        <v>0</v>
      </c>
      <c r="DT10">
        <f t="shared" si="12"/>
        <v>0</v>
      </c>
      <c r="DU10">
        <f t="shared" si="12"/>
        <v>0</v>
      </c>
      <c r="DV10">
        <f t="shared" si="12"/>
        <v>0</v>
      </c>
      <c r="DW10">
        <f t="shared" si="12"/>
        <v>0</v>
      </c>
      <c r="DX10">
        <f t="shared" si="12"/>
        <v>0</v>
      </c>
      <c r="DY10">
        <f t="shared" si="12"/>
        <v>0</v>
      </c>
      <c r="DZ10">
        <f t="shared" si="13"/>
        <v>0</v>
      </c>
      <c r="EA10">
        <f t="shared" si="13"/>
        <v>0</v>
      </c>
      <c r="EB10">
        <f t="shared" si="13"/>
        <v>0</v>
      </c>
      <c r="EC10">
        <f t="shared" si="13"/>
        <v>0</v>
      </c>
      <c r="ED10">
        <f t="shared" si="13"/>
        <v>0</v>
      </c>
      <c r="EE10">
        <f t="shared" si="13"/>
        <v>0</v>
      </c>
      <c r="EF10">
        <f t="shared" si="13"/>
        <v>0</v>
      </c>
      <c r="EG10">
        <f t="shared" si="13"/>
        <v>0</v>
      </c>
      <c r="EH10">
        <f t="shared" si="13"/>
        <v>0</v>
      </c>
      <c r="EI10">
        <f t="shared" si="13"/>
        <v>0</v>
      </c>
      <c r="EJ10">
        <f>SUM(Tabla1[[#This Row],[1]:[130]])</f>
        <v>230</v>
      </c>
    </row>
    <row r="11" spans="1:140" ht="15.75" thickBot="1" x14ac:dyDescent="0.3">
      <c r="A11" t="str">
        <f>B11&amp;"-"&amp;COUNTIF($B$2:B11,B11)</f>
        <v>I. PALTA-1</v>
      </c>
      <c r="B11" s="28" t="s">
        <v>35</v>
      </c>
      <c r="C11">
        <f>VLOOKUP(B11,RECETAS!D10:$E$1700,2,FALSE)</f>
        <v>1650</v>
      </c>
      <c r="D11" s="27"/>
      <c r="G11" t="b">
        <f t="shared" si="0"/>
        <v>1</v>
      </c>
      <c r="I11" s="28" t="s">
        <v>49</v>
      </c>
      <c r="J11">
        <f t="shared" si="1"/>
        <v>1350</v>
      </c>
      <c r="K11">
        <f t="shared" si="1"/>
        <v>0</v>
      </c>
      <c r="L11">
        <f t="shared" si="1"/>
        <v>0</v>
      </c>
      <c r="M11">
        <f t="shared" si="1"/>
        <v>0</v>
      </c>
      <c r="N11">
        <f t="shared" si="1"/>
        <v>0</v>
      </c>
      <c r="O11">
        <f t="shared" si="1"/>
        <v>0</v>
      </c>
      <c r="P11">
        <f t="shared" si="1"/>
        <v>0</v>
      </c>
      <c r="Q11">
        <f t="shared" si="1"/>
        <v>0</v>
      </c>
      <c r="R11">
        <f t="shared" si="1"/>
        <v>0</v>
      </c>
      <c r="S11">
        <f t="shared" si="1"/>
        <v>0</v>
      </c>
      <c r="T11">
        <f t="shared" si="2"/>
        <v>0</v>
      </c>
      <c r="U11">
        <f t="shared" si="2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3"/>
        <v>0</v>
      </c>
      <c r="AE11">
        <f t="shared" si="3"/>
        <v>0</v>
      </c>
      <c r="AF11">
        <f t="shared" si="3"/>
        <v>0</v>
      </c>
      <c r="AG11">
        <f t="shared" si="3"/>
        <v>0</v>
      </c>
      <c r="AH11">
        <f t="shared" si="3"/>
        <v>0</v>
      </c>
      <c r="AI11">
        <f t="shared" si="3"/>
        <v>0</v>
      </c>
      <c r="AJ11">
        <f t="shared" si="3"/>
        <v>0</v>
      </c>
      <c r="AK11">
        <f t="shared" si="3"/>
        <v>0</v>
      </c>
      <c r="AL11">
        <f t="shared" si="3"/>
        <v>0</v>
      </c>
      <c r="AM11">
        <f t="shared" si="3"/>
        <v>0</v>
      </c>
      <c r="AN11">
        <f t="shared" si="4"/>
        <v>0</v>
      </c>
      <c r="AO11">
        <f t="shared" si="4"/>
        <v>0</v>
      </c>
      <c r="AP11">
        <f t="shared" si="4"/>
        <v>0</v>
      </c>
      <c r="AQ11">
        <f t="shared" si="4"/>
        <v>0</v>
      </c>
      <c r="AR11">
        <f t="shared" si="4"/>
        <v>0</v>
      </c>
      <c r="AS11">
        <f t="shared" si="4"/>
        <v>0</v>
      </c>
      <c r="AT11">
        <f t="shared" si="4"/>
        <v>0</v>
      </c>
      <c r="AU11">
        <f t="shared" si="4"/>
        <v>0</v>
      </c>
      <c r="AV11">
        <f t="shared" si="4"/>
        <v>0</v>
      </c>
      <c r="AW11">
        <f t="shared" si="4"/>
        <v>0</v>
      </c>
      <c r="AX11">
        <f t="shared" si="5"/>
        <v>0</v>
      </c>
      <c r="AY11">
        <f t="shared" si="5"/>
        <v>0</v>
      </c>
      <c r="AZ11">
        <f t="shared" si="5"/>
        <v>0</v>
      </c>
      <c r="BA11">
        <f t="shared" si="5"/>
        <v>0</v>
      </c>
      <c r="BB11">
        <f t="shared" si="5"/>
        <v>0</v>
      </c>
      <c r="BC11">
        <f t="shared" si="5"/>
        <v>0</v>
      </c>
      <c r="BD11">
        <f t="shared" si="5"/>
        <v>0</v>
      </c>
      <c r="BE11">
        <f t="shared" si="5"/>
        <v>0</v>
      </c>
      <c r="BF11">
        <f t="shared" si="5"/>
        <v>0</v>
      </c>
      <c r="BG11">
        <f t="shared" si="5"/>
        <v>0</v>
      </c>
      <c r="BH11">
        <f t="shared" si="6"/>
        <v>0</v>
      </c>
      <c r="BI11">
        <f t="shared" si="6"/>
        <v>0</v>
      </c>
      <c r="BJ11">
        <f t="shared" si="6"/>
        <v>0</v>
      </c>
      <c r="BK11">
        <f t="shared" si="6"/>
        <v>0</v>
      </c>
      <c r="BL11">
        <f t="shared" si="6"/>
        <v>0</v>
      </c>
      <c r="BM11">
        <f t="shared" si="6"/>
        <v>0</v>
      </c>
      <c r="BN11">
        <f t="shared" si="6"/>
        <v>0</v>
      </c>
      <c r="BO11">
        <f t="shared" si="6"/>
        <v>0</v>
      </c>
      <c r="BP11">
        <f t="shared" si="6"/>
        <v>0</v>
      </c>
      <c r="BQ11">
        <f t="shared" si="6"/>
        <v>0</v>
      </c>
      <c r="BR11">
        <f t="shared" si="7"/>
        <v>0</v>
      </c>
      <c r="BS11">
        <f t="shared" si="7"/>
        <v>0</v>
      </c>
      <c r="BT11">
        <f t="shared" si="7"/>
        <v>0</v>
      </c>
      <c r="BU11">
        <f t="shared" si="7"/>
        <v>0</v>
      </c>
      <c r="BV11">
        <f t="shared" si="7"/>
        <v>0</v>
      </c>
      <c r="BW11">
        <f t="shared" si="7"/>
        <v>0</v>
      </c>
      <c r="BX11">
        <f t="shared" si="7"/>
        <v>0</v>
      </c>
      <c r="BY11">
        <f t="shared" si="7"/>
        <v>0</v>
      </c>
      <c r="BZ11">
        <f t="shared" si="7"/>
        <v>0</v>
      </c>
      <c r="CA11">
        <f t="shared" si="7"/>
        <v>0</v>
      </c>
      <c r="CB11">
        <f t="shared" si="8"/>
        <v>0</v>
      </c>
      <c r="CC11">
        <f t="shared" si="8"/>
        <v>0</v>
      </c>
      <c r="CD11">
        <f t="shared" si="8"/>
        <v>0</v>
      </c>
      <c r="CE11">
        <f t="shared" si="8"/>
        <v>0</v>
      </c>
      <c r="CF11">
        <f t="shared" si="8"/>
        <v>0</v>
      </c>
      <c r="CG11">
        <f t="shared" si="8"/>
        <v>0</v>
      </c>
      <c r="CH11">
        <f t="shared" si="8"/>
        <v>0</v>
      </c>
      <c r="CI11">
        <f t="shared" si="8"/>
        <v>0</v>
      </c>
      <c r="CJ11">
        <f t="shared" si="8"/>
        <v>0</v>
      </c>
      <c r="CK11">
        <f t="shared" si="8"/>
        <v>0</v>
      </c>
      <c r="CL11">
        <f t="shared" si="9"/>
        <v>0</v>
      </c>
      <c r="CM11">
        <f t="shared" si="9"/>
        <v>0</v>
      </c>
      <c r="CN11">
        <f t="shared" si="9"/>
        <v>0</v>
      </c>
      <c r="CO11">
        <f t="shared" si="9"/>
        <v>0</v>
      </c>
      <c r="CP11">
        <f t="shared" si="9"/>
        <v>0</v>
      </c>
      <c r="CQ11">
        <f t="shared" si="9"/>
        <v>0</v>
      </c>
      <c r="CR11">
        <f t="shared" si="9"/>
        <v>0</v>
      </c>
      <c r="CS11">
        <f t="shared" si="9"/>
        <v>0</v>
      </c>
      <c r="CT11">
        <f t="shared" si="9"/>
        <v>0</v>
      </c>
      <c r="CU11">
        <f t="shared" si="9"/>
        <v>0</v>
      </c>
      <c r="CV11">
        <f t="shared" si="10"/>
        <v>0</v>
      </c>
      <c r="CW11">
        <f t="shared" si="10"/>
        <v>0</v>
      </c>
      <c r="CX11">
        <f t="shared" si="10"/>
        <v>0</v>
      </c>
      <c r="CY11">
        <f t="shared" si="10"/>
        <v>0</v>
      </c>
      <c r="CZ11">
        <f t="shared" si="10"/>
        <v>0</v>
      </c>
      <c r="DA11">
        <f t="shared" si="10"/>
        <v>0</v>
      </c>
      <c r="DB11">
        <f t="shared" si="10"/>
        <v>0</v>
      </c>
      <c r="DC11">
        <f t="shared" si="10"/>
        <v>0</v>
      </c>
      <c r="DD11">
        <f t="shared" si="10"/>
        <v>0</v>
      </c>
      <c r="DE11">
        <f t="shared" si="10"/>
        <v>0</v>
      </c>
      <c r="DF11">
        <f t="shared" si="11"/>
        <v>0</v>
      </c>
      <c r="DG11">
        <f t="shared" si="11"/>
        <v>0</v>
      </c>
      <c r="DH11">
        <f t="shared" si="11"/>
        <v>0</v>
      </c>
      <c r="DI11">
        <f t="shared" si="11"/>
        <v>0</v>
      </c>
      <c r="DJ11">
        <f t="shared" si="11"/>
        <v>0</v>
      </c>
      <c r="DK11">
        <f t="shared" si="11"/>
        <v>0</v>
      </c>
      <c r="DL11">
        <f t="shared" si="11"/>
        <v>0</v>
      </c>
      <c r="DM11">
        <f t="shared" si="11"/>
        <v>0</v>
      </c>
      <c r="DN11">
        <f t="shared" si="11"/>
        <v>0</v>
      </c>
      <c r="DO11">
        <f t="shared" si="11"/>
        <v>0</v>
      </c>
      <c r="DP11">
        <f t="shared" si="12"/>
        <v>0</v>
      </c>
      <c r="DQ11">
        <f t="shared" si="12"/>
        <v>0</v>
      </c>
      <c r="DR11">
        <f t="shared" si="12"/>
        <v>0</v>
      </c>
      <c r="DS11">
        <f t="shared" si="12"/>
        <v>0</v>
      </c>
      <c r="DT11">
        <f t="shared" si="12"/>
        <v>0</v>
      </c>
      <c r="DU11">
        <f t="shared" si="12"/>
        <v>0</v>
      </c>
      <c r="DV11">
        <f t="shared" si="12"/>
        <v>0</v>
      </c>
      <c r="DW11">
        <f t="shared" si="12"/>
        <v>0</v>
      </c>
      <c r="DX11">
        <f t="shared" si="12"/>
        <v>0</v>
      </c>
      <c r="DY11">
        <f t="shared" si="12"/>
        <v>0</v>
      </c>
      <c r="DZ11">
        <f t="shared" si="13"/>
        <v>0</v>
      </c>
      <c r="EA11">
        <f t="shared" si="13"/>
        <v>0</v>
      </c>
      <c r="EB11">
        <f t="shared" si="13"/>
        <v>0</v>
      </c>
      <c r="EC11">
        <f t="shared" si="13"/>
        <v>0</v>
      </c>
      <c r="ED11">
        <f t="shared" si="13"/>
        <v>0</v>
      </c>
      <c r="EE11">
        <f t="shared" si="13"/>
        <v>0</v>
      </c>
      <c r="EF11">
        <f t="shared" si="13"/>
        <v>0</v>
      </c>
      <c r="EG11">
        <f t="shared" si="13"/>
        <v>0</v>
      </c>
      <c r="EH11">
        <f t="shared" si="13"/>
        <v>0</v>
      </c>
      <c r="EI11">
        <f t="shared" si="13"/>
        <v>0</v>
      </c>
      <c r="EJ11">
        <f>SUM(Tabla1[[#This Row],[1]:[130]])</f>
        <v>1350</v>
      </c>
    </row>
    <row r="12" spans="1:140" ht="15" customHeight="1" x14ac:dyDescent="0.25">
      <c r="A12" t="str">
        <f>B12&amp;"-"&amp;COUNTIF($B$2:B12,B12)</f>
        <v>I. CAMEMBERT-1</v>
      </c>
      <c r="B12" s="31" t="s">
        <v>520</v>
      </c>
      <c r="C12">
        <f>VLOOKUP(B12,RECETAS!D11:$E$1700,2,FALSE)</f>
        <v>0</v>
      </c>
      <c r="D12" s="30" t="s">
        <v>329</v>
      </c>
      <c r="G12" t="b">
        <f t="shared" si="0"/>
        <v>1</v>
      </c>
      <c r="I12" s="31" t="s">
        <v>12</v>
      </c>
      <c r="J12">
        <f t="shared" si="1"/>
        <v>4</v>
      </c>
      <c r="K12">
        <f t="shared" si="1"/>
        <v>3</v>
      </c>
      <c r="L12">
        <f t="shared" si="1"/>
        <v>12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  <c r="S12">
        <f t="shared" si="1"/>
        <v>0</v>
      </c>
      <c r="T12">
        <f t="shared" si="2"/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>
        <f t="shared" si="2"/>
        <v>0</v>
      </c>
      <c r="AA12">
        <f t="shared" si="2"/>
        <v>0</v>
      </c>
      <c r="AB12">
        <f t="shared" si="2"/>
        <v>0</v>
      </c>
      <c r="AC12">
        <f t="shared" si="2"/>
        <v>0</v>
      </c>
      <c r="AD12">
        <f t="shared" si="3"/>
        <v>0</v>
      </c>
      <c r="AE12">
        <f t="shared" si="3"/>
        <v>0</v>
      </c>
      <c r="AF12">
        <f t="shared" si="3"/>
        <v>0</v>
      </c>
      <c r="AG12">
        <f t="shared" si="3"/>
        <v>0</v>
      </c>
      <c r="AH12">
        <f t="shared" si="3"/>
        <v>0</v>
      </c>
      <c r="AI12">
        <f t="shared" si="3"/>
        <v>0</v>
      </c>
      <c r="AJ12">
        <f t="shared" si="3"/>
        <v>0</v>
      </c>
      <c r="AK12">
        <f t="shared" si="3"/>
        <v>0</v>
      </c>
      <c r="AL12">
        <f t="shared" si="3"/>
        <v>0</v>
      </c>
      <c r="AM12">
        <f t="shared" si="3"/>
        <v>0</v>
      </c>
      <c r="AN12">
        <f t="shared" si="4"/>
        <v>0</v>
      </c>
      <c r="AO12">
        <f t="shared" si="4"/>
        <v>0</v>
      </c>
      <c r="AP12">
        <f t="shared" si="4"/>
        <v>0</v>
      </c>
      <c r="AQ12">
        <f t="shared" si="4"/>
        <v>0</v>
      </c>
      <c r="AR12">
        <f t="shared" si="4"/>
        <v>0</v>
      </c>
      <c r="AS12">
        <f t="shared" si="4"/>
        <v>0</v>
      </c>
      <c r="AT12">
        <f t="shared" si="4"/>
        <v>0</v>
      </c>
      <c r="AU12">
        <f t="shared" si="4"/>
        <v>0</v>
      </c>
      <c r="AV12">
        <f t="shared" si="4"/>
        <v>0</v>
      </c>
      <c r="AW12">
        <f t="shared" si="4"/>
        <v>0</v>
      </c>
      <c r="AX12">
        <f t="shared" si="5"/>
        <v>0</v>
      </c>
      <c r="AY12">
        <f t="shared" si="5"/>
        <v>0</v>
      </c>
      <c r="AZ12">
        <f t="shared" si="5"/>
        <v>0</v>
      </c>
      <c r="BA12">
        <f t="shared" si="5"/>
        <v>0</v>
      </c>
      <c r="BB12">
        <f t="shared" si="5"/>
        <v>0</v>
      </c>
      <c r="BC12">
        <f t="shared" si="5"/>
        <v>0</v>
      </c>
      <c r="BD12">
        <f t="shared" si="5"/>
        <v>0</v>
      </c>
      <c r="BE12">
        <f t="shared" si="5"/>
        <v>0</v>
      </c>
      <c r="BF12">
        <f t="shared" si="5"/>
        <v>0</v>
      </c>
      <c r="BG12">
        <f t="shared" si="5"/>
        <v>0</v>
      </c>
      <c r="BH12">
        <f t="shared" si="6"/>
        <v>0</v>
      </c>
      <c r="BI12">
        <f t="shared" si="6"/>
        <v>0</v>
      </c>
      <c r="BJ12">
        <f t="shared" si="6"/>
        <v>0</v>
      </c>
      <c r="BK12">
        <f t="shared" si="6"/>
        <v>0</v>
      </c>
      <c r="BL12">
        <f t="shared" si="6"/>
        <v>0</v>
      </c>
      <c r="BM12">
        <f t="shared" si="6"/>
        <v>0</v>
      </c>
      <c r="BN12">
        <f t="shared" si="6"/>
        <v>0</v>
      </c>
      <c r="BO12">
        <f t="shared" si="6"/>
        <v>0</v>
      </c>
      <c r="BP12">
        <f t="shared" si="6"/>
        <v>0</v>
      </c>
      <c r="BQ12">
        <f t="shared" si="6"/>
        <v>0</v>
      </c>
      <c r="BR12">
        <f t="shared" si="7"/>
        <v>0</v>
      </c>
      <c r="BS12">
        <f t="shared" si="7"/>
        <v>0</v>
      </c>
      <c r="BT12">
        <f t="shared" si="7"/>
        <v>0</v>
      </c>
      <c r="BU12">
        <f t="shared" si="7"/>
        <v>0</v>
      </c>
      <c r="BV12">
        <f t="shared" si="7"/>
        <v>0</v>
      </c>
      <c r="BW12">
        <f t="shared" si="7"/>
        <v>0</v>
      </c>
      <c r="BX12">
        <f t="shared" si="7"/>
        <v>0</v>
      </c>
      <c r="BY12">
        <f t="shared" si="7"/>
        <v>0</v>
      </c>
      <c r="BZ12">
        <f t="shared" si="7"/>
        <v>0</v>
      </c>
      <c r="CA12">
        <f t="shared" si="7"/>
        <v>0</v>
      </c>
      <c r="CB12">
        <f t="shared" si="8"/>
        <v>0</v>
      </c>
      <c r="CC12">
        <f t="shared" si="8"/>
        <v>0</v>
      </c>
      <c r="CD12">
        <f t="shared" si="8"/>
        <v>0</v>
      </c>
      <c r="CE12">
        <f t="shared" si="8"/>
        <v>0</v>
      </c>
      <c r="CF12">
        <f t="shared" si="8"/>
        <v>0</v>
      </c>
      <c r="CG12">
        <f t="shared" si="8"/>
        <v>0</v>
      </c>
      <c r="CH12">
        <f t="shared" si="8"/>
        <v>0</v>
      </c>
      <c r="CI12">
        <f t="shared" si="8"/>
        <v>0</v>
      </c>
      <c r="CJ12">
        <f t="shared" si="8"/>
        <v>0</v>
      </c>
      <c r="CK12">
        <f t="shared" si="8"/>
        <v>0</v>
      </c>
      <c r="CL12">
        <f t="shared" si="9"/>
        <v>0</v>
      </c>
      <c r="CM12">
        <f t="shared" si="9"/>
        <v>0</v>
      </c>
      <c r="CN12">
        <f t="shared" si="9"/>
        <v>0</v>
      </c>
      <c r="CO12">
        <f t="shared" si="9"/>
        <v>0</v>
      </c>
      <c r="CP12">
        <f t="shared" si="9"/>
        <v>0</v>
      </c>
      <c r="CQ12">
        <f t="shared" si="9"/>
        <v>0</v>
      </c>
      <c r="CR12">
        <f t="shared" si="9"/>
        <v>0</v>
      </c>
      <c r="CS12">
        <f t="shared" si="9"/>
        <v>0</v>
      </c>
      <c r="CT12">
        <f t="shared" si="9"/>
        <v>0</v>
      </c>
      <c r="CU12">
        <f t="shared" si="9"/>
        <v>0</v>
      </c>
      <c r="CV12">
        <f t="shared" si="10"/>
        <v>0</v>
      </c>
      <c r="CW12">
        <f t="shared" si="10"/>
        <v>0</v>
      </c>
      <c r="CX12">
        <f t="shared" si="10"/>
        <v>0</v>
      </c>
      <c r="CY12">
        <f t="shared" si="10"/>
        <v>0</v>
      </c>
      <c r="CZ12">
        <f t="shared" si="10"/>
        <v>0</v>
      </c>
      <c r="DA12">
        <f t="shared" si="10"/>
        <v>0</v>
      </c>
      <c r="DB12">
        <f t="shared" si="10"/>
        <v>0</v>
      </c>
      <c r="DC12">
        <f t="shared" si="10"/>
        <v>0</v>
      </c>
      <c r="DD12">
        <f t="shared" si="10"/>
        <v>0</v>
      </c>
      <c r="DE12">
        <f t="shared" si="10"/>
        <v>0</v>
      </c>
      <c r="DF12">
        <f t="shared" si="11"/>
        <v>0</v>
      </c>
      <c r="DG12">
        <f t="shared" si="11"/>
        <v>0</v>
      </c>
      <c r="DH12">
        <f t="shared" si="11"/>
        <v>0</v>
      </c>
      <c r="DI12">
        <f t="shared" si="11"/>
        <v>0</v>
      </c>
      <c r="DJ12">
        <f t="shared" si="11"/>
        <v>0</v>
      </c>
      <c r="DK12">
        <f t="shared" si="11"/>
        <v>0</v>
      </c>
      <c r="DL12">
        <f t="shared" si="11"/>
        <v>0</v>
      </c>
      <c r="DM12">
        <f t="shared" si="11"/>
        <v>0</v>
      </c>
      <c r="DN12">
        <f t="shared" si="11"/>
        <v>0</v>
      </c>
      <c r="DO12">
        <f t="shared" si="11"/>
        <v>0</v>
      </c>
      <c r="DP12">
        <f t="shared" si="12"/>
        <v>0</v>
      </c>
      <c r="DQ12">
        <f t="shared" si="12"/>
        <v>0</v>
      </c>
      <c r="DR12">
        <f t="shared" si="12"/>
        <v>0</v>
      </c>
      <c r="DS12">
        <f t="shared" si="12"/>
        <v>0</v>
      </c>
      <c r="DT12">
        <f t="shared" si="12"/>
        <v>0</v>
      </c>
      <c r="DU12">
        <f t="shared" si="12"/>
        <v>0</v>
      </c>
      <c r="DV12">
        <f t="shared" si="12"/>
        <v>0</v>
      </c>
      <c r="DW12">
        <f t="shared" si="12"/>
        <v>0</v>
      </c>
      <c r="DX12">
        <f t="shared" si="12"/>
        <v>0</v>
      </c>
      <c r="DY12">
        <f t="shared" si="12"/>
        <v>0</v>
      </c>
      <c r="DZ12">
        <f t="shared" si="13"/>
        <v>0</v>
      </c>
      <c r="EA12">
        <f t="shared" si="13"/>
        <v>0</v>
      </c>
      <c r="EB12">
        <f t="shared" si="13"/>
        <v>0</v>
      </c>
      <c r="EC12">
        <f t="shared" si="13"/>
        <v>0</v>
      </c>
      <c r="ED12">
        <f t="shared" si="13"/>
        <v>0</v>
      </c>
      <c r="EE12">
        <f t="shared" si="13"/>
        <v>0</v>
      </c>
      <c r="EF12">
        <f t="shared" si="13"/>
        <v>0</v>
      </c>
      <c r="EG12">
        <f t="shared" si="13"/>
        <v>0</v>
      </c>
      <c r="EH12">
        <f t="shared" si="13"/>
        <v>0</v>
      </c>
      <c r="EI12">
        <f t="shared" si="13"/>
        <v>0</v>
      </c>
      <c r="EJ12">
        <f>SUM(Tabla1[[#This Row],[1]:[130]])</f>
        <v>19</v>
      </c>
    </row>
    <row r="13" spans="1:140" ht="15" customHeight="1" x14ac:dyDescent="0.25">
      <c r="A13" t="str">
        <f>B13&amp;"-"&amp;COUNTIF($B$2:B13,B13)</f>
        <v>I. BAGUETTE-1</v>
      </c>
      <c r="B13" s="35" t="s">
        <v>311</v>
      </c>
      <c r="C13">
        <f>VLOOKUP(B13,RECETAS!D12:$E$1700,2,FALSE)</f>
        <v>0</v>
      </c>
      <c r="D13" s="34"/>
      <c r="G13" t="b">
        <f t="shared" si="0"/>
        <v>1</v>
      </c>
      <c r="I13" s="35" t="s">
        <v>50</v>
      </c>
      <c r="J13">
        <f t="shared" ref="J13:S22" si="14">IFERROR(VLOOKUP($I13&amp;"-"&amp;J$2,$A$3:$C$1700,3,FALSE),0)</f>
        <v>0</v>
      </c>
      <c r="K13">
        <f t="shared" si="14"/>
        <v>0</v>
      </c>
      <c r="L13">
        <f t="shared" si="14"/>
        <v>0</v>
      </c>
      <c r="M13">
        <f t="shared" si="14"/>
        <v>0</v>
      </c>
      <c r="N13">
        <f t="shared" si="14"/>
        <v>0</v>
      </c>
      <c r="O13">
        <f t="shared" si="14"/>
        <v>0</v>
      </c>
      <c r="P13">
        <f t="shared" si="14"/>
        <v>0</v>
      </c>
      <c r="Q13">
        <f t="shared" si="14"/>
        <v>0</v>
      </c>
      <c r="R13">
        <f t="shared" si="14"/>
        <v>0</v>
      </c>
      <c r="S13">
        <f t="shared" si="14"/>
        <v>0</v>
      </c>
      <c r="T13">
        <f t="shared" ref="T13:AC22" si="15">IFERROR(VLOOKUP($I13&amp;"-"&amp;T$2,$A$3:$C$1700,3,FALSE),0)</f>
        <v>0</v>
      </c>
      <c r="U13">
        <f t="shared" si="15"/>
        <v>0</v>
      </c>
      <c r="V13">
        <f t="shared" si="15"/>
        <v>0</v>
      </c>
      <c r="W13">
        <f t="shared" si="15"/>
        <v>0</v>
      </c>
      <c r="X13">
        <f t="shared" si="15"/>
        <v>0</v>
      </c>
      <c r="Y13">
        <f t="shared" si="15"/>
        <v>0</v>
      </c>
      <c r="Z13">
        <f t="shared" si="15"/>
        <v>0</v>
      </c>
      <c r="AA13">
        <f t="shared" si="15"/>
        <v>0</v>
      </c>
      <c r="AB13">
        <f t="shared" si="15"/>
        <v>0</v>
      </c>
      <c r="AC13">
        <f t="shared" si="15"/>
        <v>0</v>
      </c>
      <c r="AD13">
        <f t="shared" ref="AD13:AM22" si="16">IFERROR(VLOOKUP($I13&amp;"-"&amp;AD$2,$A$3:$C$1700,3,FALSE),0)</f>
        <v>0</v>
      </c>
      <c r="AE13">
        <f t="shared" si="16"/>
        <v>0</v>
      </c>
      <c r="AF13">
        <f t="shared" si="16"/>
        <v>0</v>
      </c>
      <c r="AG13">
        <f t="shared" si="16"/>
        <v>0</v>
      </c>
      <c r="AH13">
        <f t="shared" si="16"/>
        <v>0</v>
      </c>
      <c r="AI13">
        <f t="shared" si="16"/>
        <v>0</v>
      </c>
      <c r="AJ13">
        <f t="shared" si="16"/>
        <v>0</v>
      </c>
      <c r="AK13">
        <f t="shared" si="16"/>
        <v>0</v>
      </c>
      <c r="AL13">
        <f t="shared" si="16"/>
        <v>0</v>
      </c>
      <c r="AM13">
        <f t="shared" si="16"/>
        <v>0</v>
      </c>
      <c r="AN13">
        <f t="shared" ref="AN13:AW22" si="17">IFERROR(VLOOKUP($I13&amp;"-"&amp;AN$2,$A$3:$C$1700,3,FALSE),0)</f>
        <v>0</v>
      </c>
      <c r="AO13">
        <f t="shared" si="17"/>
        <v>0</v>
      </c>
      <c r="AP13">
        <f t="shared" si="17"/>
        <v>0</v>
      </c>
      <c r="AQ13">
        <f t="shared" si="17"/>
        <v>0</v>
      </c>
      <c r="AR13">
        <f t="shared" si="17"/>
        <v>0</v>
      </c>
      <c r="AS13">
        <f t="shared" si="17"/>
        <v>0</v>
      </c>
      <c r="AT13">
        <f t="shared" si="17"/>
        <v>0</v>
      </c>
      <c r="AU13">
        <f t="shared" si="17"/>
        <v>0</v>
      </c>
      <c r="AV13">
        <f t="shared" si="17"/>
        <v>0</v>
      </c>
      <c r="AW13">
        <f t="shared" si="17"/>
        <v>0</v>
      </c>
      <c r="AX13">
        <f t="shared" ref="AX13:BG22" si="18">IFERROR(VLOOKUP($I13&amp;"-"&amp;AX$2,$A$3:$C$1700,3,FALSE),0)</f>
        <v>0</v>
      </c>
      <c r="AY13">
        <f t="shared" si="18"/>
        <v>0</v>
      </c>
      <c r="AZ13">
        <f t="shared" si="18"/>
        <v>0</v>
      </c>
      <c r="BA13">
        <f t="shared" si="18"/>
        <v>0</v>
      </c>
      <c r="BB13">
        <f t="shared" si="18"/>
        <v>0</v>
      </c>
      <c r="BC13">
        <f t="shared" si="18"/>
        <v>0</v>
      </c>
      <c r="BD13">
        <f t="shared" si="18"/>
        <v>0</v>
      </c>
      <c r="BE13">
        <f t="shared" si="18"/>
        <v>0</v>
      </c>
      <c r="BF13">
        <f t="shared" si="18"/>
        <v>0</v>
      </c>
      <c r="BG13">
        <f t="shared" si="18"/>
        <v>0</v>
      </c>
      <c r="BH13">
        <f t="shared" ref="BH13:BQ22" si="19">IFERROR(VLOOKUP($I13&amp;"-"&amp;BH$2,$A$3:$C$1700,3,FALSE),0)</f>
        <v>0</v>
      </c>
      <c r="BI13">
        <f t="shared" si="19"/>
        <v>0</v>
      </c>
      <c r="BJ13">
        <f t="shared" si="19"/>
        <v>0</v>
      </c>
      <c r="BK13">
        <f t="shared" si="19"/>
        <v>0</v>
      </c>
      <c r="BL13">
        <f t="shared" si="19"/>
        <v>0</v>
      </c>
      <c r="BM13">
        <f t="shared" si="19"/>
        <v>0</v>
      </c>
      <c r="BN13">
        <f t="shared" si="19"/>
        <v>0</v>
      </c>
      <c r="BO13">
        <f t="shared" si="19"/>
        <v>0</v>
      </c>
      <c r="BP13">
        <f t="shared" si="19"/>
        <v>0</v>
      </c>
      <c r="BQ13">
        <f t="shared" si="19"/>
        <v>0</v>
      </c>
      <c r="BR13">
        <f t="shared" ref="BR13:CA22" si="20">IFERROR(VLOOKUP($I13&amp;"-"&amp;BR$2,$A$3:$C$1700,3,FALSE),0)</f>
        <v>0</v>
      </c>
      <c r="BS13">
        <f t="shared" si="20"/>
        <v>0</v>
      </c>
      <c r="BT13">
        <f t="shared" si="20"/>
        <v>0</v>
      </c>
      <c r="BU13">
        <f t="shared" si="20"/>
        <v>0</v>
      </c>
      <c r="BV13">
        <f t="shared" si="20"/>
        <v>0</v>
      </c>
      <c r="BW13">
        <f t="shared" si="20"/>
        <v>0</v>
      </c>
      <c r="BX13">
        <f t="shared" si="20"/>
        <v>0</v>
      </c>
      <c r="BY13">
        <f t="shared" si="20"/>
        <v>0</v>
      </c>
      <c r="BZ13">
        <f t="shared" si="20"/>
        <v>0</v>
      </c>
      <c r="CA13">
        <f t="shared" si="20"/>
        <v>0</v>
      </c>
      <c r="CB13">
        <f t="shared" ref="CB13:CK22" si="21">IFERROR(VLOOKUP($I13&amp;"-"&amp;CB$2,$A$3:$C$1700,3,FALSE),0)</f>
        <v>0</v>
      </c>
      <c r="CC13">
        <f t="shared" si="21"/>
        <v>0</v>
      </c>
      <c r="CD13">
        <f t="shared" si="21"/>
        <v>0</v>
      </c>
      <c r="CE13">
        <f t="shared" si="21"/>
        <v>0</v>
      </c>
      <c r="CF13">
        <f t="shared" si="21"/>
        <v>0</v>
      </c>
      <c r="CG13">
        <f t="shared" si="21"/>
        <v>0</v>
      </c>
      <c r="CH13">
        <f t="shared" si="21"/>
        <v>0</v>
      </c>
      <c r="CI13">
        <f t="shared" si="21"/>
        <v>0</v>
      </c>
      <c r="CJ13">
        <f t="shared" si="21"/>
        <v>0</v>
      </c>
      <c r="CK13">
        <f t="shared" si="21"/>
        <v>0</v>
      </c>
      <c r="CL13">
        <f t="shared" ref="CL13:CU22" si="22">IFERROR(VLOOKUP($I13&amp;"-"&amp;CL$2,$A$3:$C$1700,3,FALSE),0)</f>
        <v>0</v>
      </c>
      <c r="CM13">
        <f t="shared" si="22"/>
        <v>0</v>
      </c>
      <c r="CN13">
        <f t="shared" si="22"/>
        <v>0</v>
      </c>
      <c r="CO13">
        <f t="shared" si="22"/>
        <v>0</v>
      </c>
      <c r="CP13">
        <f t="shared" si="22"/>
        <v>0</v>
      </c>
      <c r="CQ13">
        <f t="shared" si="22"/>
        <v>0</v>
      </c>
      <c r="CR13">
        <f t="shared" si="22"/>
        <v>0</v>
      </c>
      <c r="CS13">
        <f t="shared" si="22"/>
        <v>0</v>
      </c>
      <c r="CT13">
        <f t="shared" si="22"/>
        <v>0</v>
      </c>
      <c r="CU13">
        <f t="shared" si="22"/>
        <v>0</v>
      </c>
      <c r="CV13">
        <f t="shared" ref="CV13:DE22" si="23">IFERROR(VLOOKUP($I13&amp;"-"&amp;CV$2,$A$3:$C$1700,3,FALSE),0)</f>
        <v>0</v>
      </c>
      <c r="CW13">
        <f t="shared" si="23"/>
        <v>0</v>
      </c>
      <c r="CX13">
        <f t="shared" si="23"/>
        <v>0</v>
      </c>
      <c r="CY13">
        <f t="shared" si="23"/>
        <v>0</v>
      </c>
      <c r="CZ13">
        <f t="shared" si="23"/>
        <v>0</v>
      </c>
      <c r="DA13">
        <f t="shared" si="23"/>
        <v>0</v>
      </c>
      <c r="DB13">
        <f t="shared" si="23"/>
        <v>0</v>
      </c>
      <c r="DC13">
        <f t="shared" si="23"/>
        <v>0</v>
      </c>
      <c r="DD13">
        <f t="shared" si="23"/>
        <v>0</v>
      </c>
      <c r="DE13">
        <f t="shared" si="23"/>
        <v>0</v>
      </c>
      <c r="DF13">
        <f t="shared" ref="DF13:DO22" si="24">IFERROR(VLOOKUP($I13&amp;"-"&amp;DF$2,$A$3:$C$1700,3,FALSE),0)</f>
        <v>0</v>
      </c>
      <c r="DG13">
        <f t="shared" si="24"/>
        <v>0</v>
      </c>
      <c r="DH13">
        <f t="shared" si="24"/>
        <v>0</v>
      </c>
      <c r="DI13">
        <f t="shared" si="24"/>
        <v>0</v>
      </c>
      <c r="DJ13">
        <f t="shared" si="24"/>
        <v>0</v>
      </c>
      <c r="DK13">
        <f t="shared" si="24"/>
        <v>0</v>
      </c>
      <c r="DL13">
        <f t="shared" si="24"/>
        <v>0</v>
      </c>
      <c r="DM13">
        <f t="shared" si="24"/>
        <v>0</v>
      </c>
      <c r="DN13">
        <f t="shared" si="24"/>
        <v>0</v>
      </c>
      <c r="DO13">
        <f t="shared" si="24"/>
        <v>0</v>
      </c>
      <c r="DP13">
        <f t="shared" ref="DP13:DY22" si="25">IFERROR(VLOOKUP($I13&amp;"-"&amp;DP$2,$A$3:$C$1700,3,FALSE),0)</f>
        <v>0</v>
      </c>
      <c r="DQ13">
        <f t="shared" si="25"/>
        <v>0</v>
      </c>
      <c r="DR13">
        <f t="shared" si="25"/>
        <v>0</v>
      </c>
      <c r="DS13">
        <f t="shared" si="25"/>
        <v>0</v>
      </c>
      <c r="DT13">
        <f t="shared" si="25"/>
        <v>0</v>
      </c>
      <c r="DU13">
        <f t="shared" si="25"/>
        <v>0</v>
      </c>
      <c r="DV13">
        <f t="shared" si="25"/>
        <v>0</v>
      </c>
      <c r="DW13">
        <f t="shared" si="25"/>
        <v>0</v>
      </c>
      <c r="DX13">
        <f t="shared" si="25"/>
        <v>0</v>
      </c>
      <c r="DY13">
        <f t="shared" si="25"/>
        <v>0</v>
      </c>
      <c r="DZ13">
        <f t="shared" ref="DZ13:EI22" si="26">IFERROR(VLOOKUP($I13&amp;"-"&amp;DZ$2,$A$3:$C$1700,3,FALSE),0)</f>
        <v>0</v>
      </c>
      <c r="EA13">
        <f t="shared" si="26"/>
        <v>0</v>
      </c>
      <c r="EB13">
        <f t="shared" si="26"/>
        <v>0</v>
      </c>
      <c r="EC13">
        <f t="shared" si="26"/>
        <v>0</v>
      </c>
      <c r="ED13">
        <f t="shared" si="26"/>
        <v>0</v>
      </c>
      <c r="EE13">
        <f t="shared" si="26"/>
        <v>0</v>
      </c>
      <c r="EF13">
        <f t="shared" si="26"/>
        <v>0</v>
      </c>
      <c r="EG13">
        <f t="shared" si="26"/>
        <v>0</v>
      </c>
      <c r="EH13">
        <f t="shared" si="26"/>
        <v>0</v>
      </c>
      <c r="EI13">
        <f t="shared" si="26"/>
        <v>0</v>
      </c>
      <c r="EJ13">
        <f>SUM(Tabla1[[#This Row],[1]:[130]])</f>
        <v>0</v>
      </c>
    </row>
    <row r="14" spans="1:140" ht="15.75" customHeight="1" thickBot="1" x14ac:dyDescent="0.3">
      <c r="A14" t="str">
        <f>B14&amp;"-"&amp;COUNTIF($B$2:B14,B14)</f>
        <v>I. CREMA ESPESA-3</v>
      </c>
      <c r="B14" s="28" t="s">
        <v>16</v>
      </c>
      <c r="C14">
        <f>VLOOKUP(B14,RECETAS!D13:$E$1700,2,FALSE)</f>
        <v>0</v>
      </c>
      <c r="D14" s="27"/>
      <c r="G14" t="b">
        <f t="shared" si="0"/>
        <v>1</v>
      </c>
      <c r="I14" s="41" t="s">
        <v>635</v>
      </c>
      <c r="J14">
        <f t="shared" si="14"/>
        <v>0</v>
      </c>
      <c r="K14">
        <f t="shared" si="14"/>
        <v>0</v>
      </c>
      <c r="L14">
        <f t="shared" si="14"/>
        <v>0</v>
      </c>
      <c r="M14">
        <f t="shared" si="14"/>
        <v>0</v>
      </c>
      <c r="N14">
        <f t="shared" si="14"/>
        <v>0</v>
      </c>
      <c r="O14">
        <f t="shared" si="14"/>
        <v>0</v>
      </c>
      <c r="P14">
        <f t="shared" si="14"/>
        <v>0</v>
      </c>
      <c r="Q14">
        <f t="shared" si="14"/>
        <v>0</v>
      </c>
      <c r="R14">
        <f t="shared" si="14"/>
        <v>0</v>
      </c>
      <c r="S14">
        <f t="shared" si="14"/>
        <v>0</v>
      </c>
      <c r="T14">
        <f t="shared" si="15"/>
        <v>0</v>
      </c>
      <c r="U14">
        <f t="shared" si="15"/>
        <v>0</v>
      </c>
      <c r="V14">
        <f t="shared" si="15"/>
        <v>0</v>
      </c>
      <c r="W14">
        <f t="shared" si="15"/>
        <v>0</v>
      </c>
      <c r="X14">
        <f t="shared" si="15"/>
        <v>0</v>
      </c>
      <c r="Y14">
        <f t="shared" si="15"/>
        <v>0</v>
      </c>
      <c r="Z14">
        <f t="shared" si="15"/>
        <v>0</v>
      </c>
      <c r="AA14">
        <f t="shared" si="15"/>
        <v>0</v>
      </c>
      <c r="AB14">
        <f t="shared" si="15"/>
        <v>0</v>
      </c>
      <c r="AC14">
        <f t="shared" si="15"/>
        <v>0</v>
      </c>
      <c r="AD14">
        <f t="shared" si="16"/>
        <v>0</v>
      </c>
      <c r="AE14">
        <f t="shared" si="16"/>
        <v>0</v>
      </c>
      <c r="AF14">
        <f t="shared" si="16"/>
        <v>0</v>
      </c>
      <c r="AG14">
        <f t="shared" si="16"/>
        <v>0</v>
      </c>
      <c r="AH14">
        <f t="shared" si="16"/>
        <v>0</v>
      </c>
      <c r="AI14">
        <f t="shared" si="16"/>
        <v>0</v>
      </c>
      <c r="AJ14">
        <f t="shared" si="16"/>
        <v>0</v>
      </c>
      <c r="AK14">
        <f t="shared" si="16"/>
        <v>0</v>
      </c>
      <c r="AL14">
        <f t="shared" si="16"/>
        <v>0</v>
      </c>
      <c r="AM14">
        <f t="shared" si="16"/>
        <v>0</v>
      </c>
      <c r="AN14">
        <f t="shared" si="17"/>
        <v>0</v>
      </c>
      <c r="AO14">
        <f t="shared" si="17"/>
        <v>0</v>
      </c>
      <c r="AP14">
        <f t="shared" si="17"/>
        <v>0</v>
      </c>
      <c r="AQ14">
        <f t="shared" si="17"/>
        <v>0</v>
      </c>
      <c r="AR14">
        <f t="shared" si="17"/>
        <v>0</v>
      </c>
      <c r="AS14">
        <f t="shared" si="17"/>
        <v>0</v>
      </c>
      <c r="AT14">
        <f t="shared" si="17"/>
        <v>0</v>
      </c>
      <c r="AU14">
        <f t="shared" si="17"/>
        <v>0</v>
      </c>
      <c r="AV14">
        <f t="shared" si="17"/>
        <v>0</v>
      </c>
      <c r="AW14">
        <f t="shared" si="17"/>
        <v>0</v>
      </c>
      <c r="AX14">
        <f t="shared" si="18"/>
        <v>0</v>
      </c>
      <c r="AY14">
        <f t="shared" si="18"/>
        <v>0</v>
      </c>
      <c r="AZ14">
        <f t="shared" si="18"/>
        <v>0</v>
      </c>
      <c r="BA14">
        <f t="shared" si="18"/>
        <v>0</v>
      </c>
      <c r="BB14">
        <f t="shared" si="18"/>
        <v>0</v>
      </c>
      <c r="BC14">
        <f t="shared" si="18"/>
        <v>0</v>
      </c>
      <c r="BD14">
        <f t="shared" si="18"/>
        <v>0</v>
      </c>
      <c r="BE14">
        <f t="shared" si="18"/>
        <v>0</v>
      </c>
      <c r="BF14">
        <f t="shared" si="18"/>
        <v>0</v>
      </c>
      <c r="BG14">
        <f t="shared" si="18"/>
        <v>0</v>
      </c>
      <c r="BH14">
        <f t="shared" si="19"/>
        <v>0</v>
      </c>
      <c r="BI14">
        <f t="shared" si="19"/>
        <v>0</v>
      </c>
      <c r="BJ14">
        <f t="shared" si="19"/>
        <v>0</v>
      </c>
      <c r="BK14">
        <f t="shared" si="19"/>
        <v>0</v>
      </c>
      <c r="BL14">
        <f t="shared" si="19"/>
        <v>0</v>
      </c>
      <c r="BM14">
        <f t="shared" si="19"/>
        <v>0</v>
      </c>
      <c r="BN14">
        <f t="shared" si="19"/>
        <v>0</v>
      </c>
      <c r="BO14">
        <f t="shared" si="19"/>
        <v>0</v>
      </c>
      <c r="BP14">
        <f t="shared" si="19"/>
        <v>0</v>
      </c>
      <c r="BQ14">
        <f t="shared" si="19"/>
        <v>0</v>
      </c>
      <c r="BR14">
        <f t="shared" si="20"/>
        <v>0</v>
      </c>
      <c r="BS14">
        <f t="shared" si="20"/>
        <v>0</v>
      </c>
      <c r="BT14">
        <f t="shared" si="20"/>
        <v>0</v>
      </c>
      <c r="BU14">
        <f t="shared" si="20"/>
        <v>0</v>
      </c>
      <c r="BV14">
        <f t="shared" si="20"/>
        <v>0</v>
      </c>
      <c r="BW14">
        <f t="shared" si="20"/>
        <v>0</v>
      </c>
      <c r="BX14">
        <f t="shared" si="20"/>
        <v>0</v>
      </c>
      <c r="BY14">
        <f t="shared" si="20"/>
        <v>0</v>
      </c>
      <c r="BZ14">
        <f t="shared" si="20"/>
        <v>0</v>
      </c>
      <c r="CA14">
        <f t="shared" si="20"/>
        <v>0</v>
      </c>
      <c r="CB14">
        <f t="shared" si="21"/>
        <v>0</v>
      </c>
      <c r="CC14">
        <f t="shared" si="21"/>
        <v>0</v>
      </c>
      <c r="CD14">
        <f t="shared" si="21"/>
        <v>0</v>
      </c>
      <c r="CE14">
        <f t="shared" si="21"/>
        <v>0</v>
      </c>
      <c r="CF14">
        <f t="shared" si="21"/>
        <v>0</v>
      </c>
      <c r="CG14">
        <f t="shared" si="21"/>
        <v>0</v>
      </c>
      <c r="CH14">
        <f t="shared" si="21"/>
        <v>0</v>
      </c>
      <c r="CI14">
        <f t="shared" si="21"/>
        <v>0</v>
      </c>
      <c r="CJ14">
        <f t="shared" si="21"/>
        <v>0</v>
      </c>
      <c r="CK14">
        <f t="shared" si="21"/>
        <v>0</v>
      </c>
      <c r="CL14">
        <f t="shared" si="22"/>
        <v>0</v>
      </c>
      <c r="CM14">
        <f t="shared" si="22"/>
        <v>0</v>
      </c>
      <c r="CN14">
        <f t="shared" si="22"/>
        <v>0</v>
      </c>
      <c r="CO14">
        <f t="shared" si="22"/>
        <v>0</v>
      </c>
      <c r="CP14">
        <f t="shared" si="22"/>
        <v>0</v>
      </c>
      <c r="CQ14">
        <f t="shared" si="22"/>
        <v>0</v>
      </c>
      <c r="CR14">
        <f t="shared" si="22"/>
        <v>0</v>
      </c>
      <c r="CS14">
        <f t="shared" si="22"/>
        <v>0</v>
      </c>
      <c r="CT14">
        <f t="shared" si="22"/>
        <v>0</v>
      </c>
      <c r="CU14">
        <f t="shared" si="22"/>
        <v>0</v>
      </c>
      <c r="CV14">
        <f t="shared" si="23"/>
        <v>0</v>
      </c>
      <c r="CW14">
        <f t="shared" si="23"/>
        <v>0</v>
      </c>
      <c r="CX14">
        <f t="shared" si="23"/>
        <v>0</v>
      </c>
      <c r="CY14">
        <f t="shared" si="23"/>
        <v>0</v>
      </c>
      <c r="CZ14">
        <f t="shared" si="23"/>
        <v>0</v>
      </c>
      <c r="DA14">
        <f t="shared" si="23"/>
        <v>0</v>
      </c>
      <c r="DB14">
        <f t="shared" si="23"/>
        <v>0</v>
      </c>
      <c r="DC14">
        <f t="shared" si="23"/>
        <v>0</v>
      </c>
      <c r="DD14">
        <f t="shared" si="23"/>
        <v>0</v>
      </c>
      <c r="DE14">
        <f t="shared" si="23"/>
        <v>0</v>
      </c>
      <c r="DF14">
        <f t="shared" si="24"/>
        <v>0</v>
      </c>
      <c r="DG14">
        <f t="shared" si="24"/>
        <v>0</v>
      </c>
      <c r="DH14">
        <f t="shared" si="24"/>
        <v>0</v>
      </c>
      <c r="DI14">
        <f t="shared" si="24"/>
        <v>0</v>
      </c>
      <c r="DJ14">
        <f t="shared" si="24"/>
        <v>0</v>
      </c>
      <c r="DK14">
        <f t="shared" si="24"/>
        <v>0</v>
      </c>
      <c r="DL14">
        <f t="shared" si="24"/>
        <v>0</v>
      </c>
      <c r="DM14">
        <f t="shared" si="24"/>
        <v>0</v>
      </c>
      <c r="DN14">
        <f t="shared" si="24"/>
        <v>0</v>
      </c>
      <c r="DO14">
        <f t="shared" si="24"/>
        <v>0</v>
      </c>
      <c r="DP14">
        <f t="shared" si="25"/>
        <v>0</v>
      </c>
      <c r="DQ14">
        <f t="shared" si="25"/>
        <v>0</v>
      </c>
      <c r="DR14">
        <f t="shared" si="25"/>
        <v>0</v>
      </c>
      <c r="DS14">
        <f t="shared" si="25"/>
        <v>0</v>
      </c>
      <c r="DT14">
        <f t="shared" si="25"/>
        <v>0</v>
      </c>
      <c r="DU14">
        <f t="shared" si="25"/>
        <v>0</v>
      </c>
      <c r="DV14">
        <f t="shared" si="25"/>
        <v>0</v>
      </c>
      <c r="DW14">
        <f t="shared" si="25"/>
        <v>0</v>
      </c>
      <c r="DX14">
        <f t="shared" si="25"/>
        <v>0</v>
      </c>
      <c r="DY14">
        <f t="shared" si="25"/>
        <v>0</v>
      </c>
      <c r="DZ14">
        <f t="shared" si="26"/>
        <v>0</v>
      </c>
      <c r="EA14">
        <f t="shared" si="26"/>
        <v>0</v>
      </c>
      <c r="EB14">
        <f t="shared" si="26"/>
        <v>0</v>
      </c>
      <c r="EC14">
        <f t="shared" si="26"/>
        <v>0</v>
      </c>
      <c r="ED14">
        <f t="shared" si="26"/>
        <v>0</v>
      </c>
      <c r="EE14">
        <f t="shared" si="26"/>
        <v>0</v>
      </c>
      <c r="EF14">
        <f t="shared" si="26"/>
        <v>0</v>
      </c>
      <c r="EG14">
        <f t="shared" si="26"/>
        <v>0</v>
      </c>
      <c r="EH14">
        <f t="shared" si="26"/>
        <v>0</v>
      </c>
      <c r="EI14">
        <f t="shared" si="26"/>
        <v>0</v>
      </c>
      <c r="EJ14">
        <f>SUM(Tabla1[[#This Row],[1]:[130]])</f>
        <v>0</v>
      </c>
    </row>
    <row r="15" spans="1:140" ht="15" customHeight="1" x14ac:dyDescent="0.25">
      <c r="A15" t="str">
        <f>B15&amp;"-"&amp;COUNTIF($B$2:B15,B15)</f>
        <v>I. TORTILLAS CH-1</v>
      </c>
      <c r="B15" s="31" t="s">
        <v>4</v>
      </c>
      <c r="C15">
        <f>VLOOKUP(B15,RECETAS!D14:$E$1700,2,FALSE)</f>
        <v>0</v>
      </c>
      <c r="D15" s="30" t="s">
        <v>551</v>
      </c>
      <c r="G15" t="b">
        <f t="shared" si="0"/>
        <v>1</v>
      </c>
      <c r="I15" s="86" t="s">
        <v>51</v>
      </c>
      <c r="J15">
        <f t="shared" si="14"/>
        <v>0</v>
      </c>
      <c r="K15">
        <f t="shared" si="14"/>
        <v>0</v>
      </c>
      <c r="L15">
        <f t="shared" si="14"/>
        <v>0</v>
      </c>
      <c r="M15">
        <f t="shared" si="14"/>
        <v>0</v>
      </c>
      <c r="N15">
        <f t="shared" si="14"/>
        <v>600</v>
      </c>
      <c r="O15">
        <f t="shared" si="14"/>
        <v>480</v>
      </c>
      <c r="P15">
        <f t="shared" si="14"/>
        <v>480</v>
      </c>
      <c r="Q15">
        <f t="shared" si="14"/>
        <v>60</v>
      </c>
      <c r="R15">
        <f t="shared" si="14"/>
        <v>240</v>
      </c>
      <c r="S15">
        <f t="shared" si="14"/>
        <v>60</v>
      </c>
      <c r="T15">
        <f t="shared" si="15"/>
        <v>0</v>
      </c>
      <c r="U15">
        <f t="shared" si="15"/>
        <v>0</v>
      </c>
      <c r="V15">
        <f t="shared" si="15"/>
        <v>20</v>
      </c>
      <c r="W15">
        <f t="shared" si="15"/>
        <v>0</v>
      </c>
      <c r="X15">
        <f t="shared" si="15"/>
        <v>100</v>
      </c>
      <c r="Y15">
        <f t="shared" si="15"/>
        <v>0</v>
      </c>
      <c r="Z15">
        <f t="shared" si="15"/>
        <v>20</v>
      </c>
      <c r="AA15">
        <f t="shared" si="15"/>
        <v>0</v>
      </c>
      <c r="AB15">
        <f t="shared" si="15"/>
        <v>0</v>
      </c>
      <c r="AC15">
        <f t="shared" si="15"/>
        <v>0</v>
      </c>
      <c r="AD15">
        <f t="shared" si="16"/>
        <v>20</v>
      </c>
      <c r="AE15">
        <f t="shared" si="16"/>
        <v>0</v>
      </c>
      <c r="AF15">
        <f t="shared" si="16"/>
        <v>0</v>
      </c>
      <c r="AG15">
        <f t="shared" si="16"/>
        <v>10</v>
      </c>
      <c r="AH15">
        <f t="shared" si="16"/>
        <v>760</v>
      </c>
      <c r="AI15">
        <f t="shared" si="16"/>
        <v>480</v>
      </c>
      <c r="AJ15">
        <f t="shared" si="16"/>
        <v>240</v>
      </c>
      <c r="AK15">
        <f t="shared" si="16"/>
        <v>360</v>
      </c>
      <c r="AL15">
        <f t="shared" si="16"/>
        <v>30</v>
      </c>
      <c r="AM15">
        <f t="shared" si="16"/>
        <v>0</v>
      </c>
      <c r="AN15">
        <f t="shared" si="17"/>
        <v>160</v>
      </c>
      <c r="AO15">
        <f t="shared" si="17"/>
        <v>680</v>
      </c>
      <c r="AP15">
        <f t="shared" si="17"/>
        <v>120</v>
      </c>
      <c r="AQ15">
        <f t="shared" si="17"/>
        <v>40</v>
      </c>
      <c r="AR15">
        <f t="shared" si="17"/>
        <v>220</v>
      </c>
      <c r="AS15">
        <f t="shared" si="17"/>
        <v>200</v>
      </c>
      <c r="AT15">
        <f t="shared" si="17"/>
        <v>520</v>
      </c>
      <c r="AU15">
        <f t="shared" si="17"/>
        <v>20</v>
      </c>
      <c r="AV15">
        <f t="shared" si="17"/>
        <v>60</v>
      </c>
      <c r="AW15">
        <f t="shared" si="17"/>
        <v>260</v>
      </c>
      <c r="AX15">
        <f t="shared" si="18"/>
        <v>280</v>
      </c>
      <c r="AY15">
        <f t="shared" si="18"/>
        <v>40</v>
      </c>
      <c r="AZ15">
        <f t="shared" si="18"/>
        <v>720</v>
      </c>
      <c r="BA15">
        <f t="shared" si="18"/>
        <v>20</v>
      </c>
      <c r="BB15">
        <f t="shared" si="18"/>
        <v>20</v>
      </c>
      <c r="BC15">
        <f t="shared" si="18"/>
        <v>20</v>
      </c>
      <c r="BD15">
        <f t="shared" si="18"/>
        <v>40</v>
      </c>
      <c r="BE15">
        <f t="shared" si="18"/>
        <v>840</v>
      </c>
      <c r="BF15">
        <f t="shared" si="18"/>
        <v>0</v>
      </c>
      <c r="BG15">
        <f t="shared" si="18"/>
        <v>0</v>
      </c>
      <c r="BH15">
        <f t="shared" si="19"/>
        <v>40</v>
      </c>
      <c r="BI15">
        <f t="shared" si="19"/>
        <v>40</v>
      </c>
      <c r="BJ15">
        <f t="shared" si="19"/>
        <v>420</v>
      </c>
      <c r="BK15">
        <f t="shared" si="19"/>
        <v>0</v>
      </c>
      <c r="BL15">
        <f t="shared" si="19"/>
        <v>0</v>
      </c>
      <c r="BM15">
        <f t="shared" si="19"/>
        <v>0</v>
      </c>
      <c r="BN15">
        <f t="shared" si="19"/>
        <v>0</v>
      </c>
      <c r="BO15">
        <f t="shared" si="19"/>
        <v>0</v>
      </c>
      <c r="BP15">
        <f t="shared" si="19"/>
        <v>0</v>
      </c>
      <c r="BQ15">
        <f t="shared" si="19"/>
        <v>0</v>
      </c>
      <c r="BR15">
        <f t="shared" si="20"/>
        <v>60</v>
      </c>
      <c r="BS15">
        <f t="shared" si="20"/>
        <v>0</v>
      </c>
      <c r="BT15">
        <f t="shared" si="20"/>
        <v>0</v>
      </c>
      <c r="BU15">
        <f t="shared" si="20"/>
        <v>0</v>
      </c>
      <c r="BV15">
        <f t="shared" si="20"/>
        <v>0</v>
      </c>
      <c r="BW15">
        <f t="shared" si="20"/>
        <v>0</v>
      </c>
      <c r="BX15">
        <f t="shared" si="20"/>
        <v>0</v>
      </c>
      <c r="BY15">
        <f t="shared" si="20"/>
        <v>0</v>
      </c>
      <c r="BZ15">
        <f t="shared" si="20"/>
        <v>0</v>
      </c>
      <c r="CA15">
        <f t="shared" si="20"/>
        <v>0</v>
      </c>
      <c r="CB15">
        <f t="shared" si="21"/>
        <v>0</v>
      </c>
      <c r="CC15">
        <f t="shared" si="21"/>
        <v>0</v>
      </c>
      <c r="CD15">
        <f t="shared" si="21"/>
        <v>0</v>
      </c>
      <c r="CE15">
        <f t="shared" si="21"/>
        <v>0</v>
      </c>
      <c r="CF15">
        <f t="shared" si="21"/>
        <v>0</v>
      </c>
      <c r="CG15">
        <f t="shared" si="21"/>
        <v>0</v>
      </c>
      <c r="CH15">
        <f t="shared" si="21"/>
        <v>0</v>
      </c>
      <c r="CI15">
        <f t="shared" si="21"/>
        <v>0</v>
      </c>
      <c r="CJ15">
        <f t="shared" si="21"/>
        <v>0</v>
      </c>
      <c r="CK15">
        <f t="shared" si="21"/>
        <v>0</v>
      </c>
      <c r="CL15">
        <f t="shared" si="22"/>
        <v>120</v>
      </c>
      <c r="CM15">
        <f t="shared" si="22"/>
        <v>60</v>
      </c>
      <c r="CN15">
        <f t="shared" si="22"/>
        <v>0</v>
      </c>
      <c r="CO15">
        <f t="shared" si="22"/>
        <v>60</v>
      </c>
      <c r="CP15">
        <f t="shared" si="22"/>
        <v>120</v>
      </c>
      <c r="CQ15">
        <f t="shared" si="22"/>
        <v>0</v>
      </c>
      <c r="CR15">
        <f t="shared" si="22"/>
        <v>720</v>
      </c>
      <c r="CS15">
        <f t="shared" si="22"/>
        <v>40</v>
      </c>
      <c r="CT15">
        <f t="shared" si="22"/>
        <v>0</v>
      </c>
      <c r="CU15">
        <f t="shared" si="22"/>
        <v>20</v>
      </c>
      <c r="CV15">
        <f t="shared" si="23"/>
        <v>0</v>
      </c>
      <c r="CW15">
        <f t="shared" si="23"/>
        <v>0</v>
      </c>
      <c r="CX15">
        <f t="shared" si="23"/>
        <v>160</v>
      </c>
      <c r="CY15">
        <f t="shared" si="23"/>
        <v>280</v>
      </c>
      <c r="CZ15">
        <f t="shared" si="23"/>
        <v>120</v>
      </c>
      <c r="DA15">
        <f t="shared" si="23"/>
        <v>160</v>
      </c>
      <c r="DB15">
        <f t="shared" si="23"/>
        <v>80</v>
      </c>
      <c r="DC15">
        <f t="shared" si="23"/>
        <v>40</v>
      </c>
      <c r="DD15">
        <f t="shared" si="23"/>
        <v>0</v>
      </c>
      <c r="DE15">
        <f t="shared" si="23"/>
        <v>100</v>
      </c>
      <c r="DF15">
        <f t="shared" si="24"/>
        <v>140</v>
      </c>
      <c r="DG15">
        <f t="shared" si="24"/>
        <v>180</v>
      </c>
      <c r="DH15">
        <f t="shared" si="24"/>
        <v>80</v>
      </c>
      <c r="DI15">
        <f t="shared" si="24"/>
        <v>460</v>
      </c>
      <c r="DJ15">
        <f t="shared" si="24"/>
        <v>420</v>
      </c>
      <c r="DK15">
        <f t="shared" si="24"/>
        <v>3360</v>
      </c>
      <c r="DL15">
        <f t="shared" si="24"/>
        <v>60</v>
      </c>
      <c r="DM15">
        <f t="shared" si="24"/>
        <v>100</v>
      </c>
      <c r="DN15">
        <f t="shared" si="24"/>
        <v>80</v>
      </c>
      <c r="DO15">
        <f t="shared" si="24"/>
        <v>60</v>
      </c>
      <c r="DP15">
        <f t="shared" si="25"/>
        <v>0</v>
      </c>
      <c r="DQ15">
        <f t="shared" si="25"/>
        <v>0</v>
      </c>
      <c r="DR15">
        <f t="shared" si="25"/>
        <v>0</v>
      </c>
      <c r="DS15">
        <f t="shared" si="25"/>
        <v>0</v>
      </c>
      <c r="DT15">
        <f t="shared" si="25"/>
        <v>0</v>
      </c>
      <c r="DU15">
        <f t="shared" si="25"/>
        <v>0</v>
      </c>
      <c r="DV15">
        <f t="shared" si="25"/>
        <v>0</v>
      </c>
      <c r="DW15">
        <f t="shared" si="25"/>
        <v>0</v>
      </c>
      <c r="DX15">
        <f t="shared" si="25"/>
        <v>0</v>
      </c>
      <c r="DY15">
        <f t="shared" si="25"/>
        <v>0</v>
      </c>
      <c r="DZ15">
        <f t="shared" si="26"/>
        <v>0</v>
      </c>
      <c r="EA15">
        <f t="shared" si="26"/>
        <v>0</v>
      </c>
      <c r="EB15">
        <f t="shared" si="26"/>
        <v>0</v>
      </c>
      <c r="EC15">
        <f t="shared" si="26"/>
        <v>0</v>
      </c>
      <c r="ED15">
        <f t="shared" si="26"/>
        <v>0</v>
      </c>
      <c r="EE15">
        <f t="shared" si="26"/>
        <v>0</v>
      </c>
      <c r="EF15">
        <f t="shared" si="26"/>
        <v>0</v>
      </c>
      <c r="EG15">
        <f t="shared" si="26"/>
        <v>0</v>
      </c>
      <c r="EH15">
        <f t="shared" si="26"/>
        <v>0</v>
      </c>
      <c r="EI15">
        <f t="shared" si="26"/>
        <v>0</v>
      </c>
      <c r="EJ15">
        <f>SUM(Tabla1[[#This Row],[1]:[130]])</f>
        <v>15800</v>
      </c>
    </row>
    <row r="16" spans="1:140" ht="15" customHeight="1" x14ac:dyDescent="0.25">
      <c r="A16" t="str">
        <f>B16&amp;"-"&amp;COUNTIF($B$2:B16,B16)</f>
        <v>I. LOMO 250-1</v>
      </c>
      <c r="B16" s="35" t="s">
        <v>11</v>
      </c>
      <c r="C16">
        <f>VLOOKUP(B16,RECETAS!D15:$E$1700,2,FALSE)</f>
        <v>0</v>
      </c>
      <c r="D16" s="34"/>
      <c r="G16" t="b">
        <f t="shared" si="0"/>
        <v>1</v>
      </c>
      <c r="I16" s="35" t="s">
        <v>311</v>
      </c>
      <c r="J16">
        <f t="shared" si="14"/>
        <v>0</v>
      </c>
      <c r="K16">
        <f t="shared" si="14"/>
        <v>42</v>
      </c>
      <c r="L16">
        <f t="shared" si="14"/>
        <v>84</v>
      </c>
      <c r="M16">
        <f t="shared" si="14"/>
        <v>8</v>
      </c>
      <c r="N16">
        <f t="shared" si="14"/>
        <v>0</v>
      </c>
      <c r="O16">
        <f t="shared" si="14"/>
        <v>0</v>
      </c>
      <c r="P16">
        <f t="shared" si="14"/>
        <v>0</v>
      </c>
      <c r="Q16">
        <f t="shared" si="14"/>
        <v>0</v>
      </c>
      <c r="R16">
        <f t="shared" si="14"/>
        <v>4</v>
      </c>
      <c r="S16">
        <f t="shared" si="14"/>
        <v>17</v>
      </c>
      <c r="T16">
        <f t="shared" si="15"/>
        <v>0</v>
      </c>
      <c r="U16">
        <f t="shared" si="15"/>
        <v>3</v>
      </c>
      <c r="V16">
        <f t="shared" si="15"/>
        <v>4</v>
      </c>
      <c r="W16">
        <f t="shared" si="15"/>
        <v>1</v>
      </c>
      <c r="X16">
        <f t="shared" si="15"/>
        <v>0</v>
      </c>
      <c r="Y16">
        <f t="shared" si="15"/>
        <v>0</v>
      </c>
      <c r="Z16">
        <f t="shared" si="15"/>
        <v>0</v>
      </c>
      <c r="AA16">
        <f t="shared" si="15"/>
        <v>0</v>
      </c>
      <c r="AB16">
        <f t="shared" si="15"/>
        <v>0</v>
      </c>
      <c r="AC16">
        <f t="shared" si="15"/>
        <v>0</v>
      </c>
      <c r="AD16">
        <f t="shared" si="16"/>
        <v>0</v>
      </c>
      <c r="AE16">
        <f t="shared" si="16"/>
        <v>0</v>
      </c>
      <c r="AF16">
        <f t="shared" si="16"/>
        <v>0</v>
      </c>
      <c r="AG16">
        <f t="shared" si="16"/>
        <v>0</v>
      </c>
      <c r="AH16">
        <f t="shared" si="16"/>
        <v>0</v>
      </c>
      <c r="AI16">
        <f t="shared" si="16"/>
        <v>0</v>
      </c>
      <c r="AJ16">
        <f t="shared" si="16"/>
        <v>0</v>
      </c>
      <c r="AK16">
        <f t="shared" si="16"/>
        <v>0</v>
      </c>
      <c r="AL16">
        <f t="shared" si="16"/>
        <v>0</v>
      </c>
      <c r="AM16">
        <f t="shared" si="16"/>
        <v>0</v>
      </c>
      <c r="AN16">
        <f t="shared" si="17"/>
        <v>0</v>
      </c>
      <c r="AO16">
        <f t="shared" si="17"/>
        <v>0</v>
      </c>
      <c r="AP16">
        <f t="shared" si="17"/>
        <v>0</v>
      </c>
      <c r="AQ16">
        <f t="shared" si="17"/>
        <v>0</v>
      </c>
      <c r="AR16">
        <f t="shared" si="17"/>
        <v>0</v>
      </c>
      <c r="AS16">
        <f t="shared" si="17"/>
        <v>0</v>
      </c>
      <c r="AT16">
        <f t="shared" si="17"/>
        <v>0</v>
      </c>
      <c r="AU16">
        <f t="shared" si="17"/>
        <v>0</v>
      </c>
      <c r="AV16">
        <f t="shared" si="17"/>
        <v>0</v>
      </c>
      <c r="AW16">
        <f t="shared" si="17"/>
        <v>0</v>
      </c>
      <c r="AX16">
        <f t="shared" si="18"/>
        <v>0</v>
      </c>
      <c r="AY16">
        <f t="shared" si="18"/>
        <v>0</v>
      </c>
      <c r="AZ16">
        <f t="shared" si="18"/>
        <v>0</v>
      </c>
      <c r="BA16">
        <f t="shared" si="18"/>
        <v>0</v>
      </c>
      <c r="BB16">
        <f t="shared" si="18"/>
        <v>0</v>
      </c>
      <c r="BC16">
        <f t="shared" si="18"/>
        <v>0</v>
      </c>
      <c r="BD16">
        <f t="shared" si="18"/>
        <v>0</v>
      </c>
      <c r="BE16">
        <f t="shared" si="18"/>
        <v>0</v>
      </c>
      <c r="BF16">
        <f t="shared" si="18"/>
        <v>0</v>
      </c>
      <c r="BG16">
        <f t="shared" si="18"/>
        <v>0</v>
      </c>
      <c r="BH16">
        <f t="shared" si="19"/>
        <v>0</v>
      </c>
      <c r="BI16">
        <f t="shared" si="19"/>
        <v>0</v>
      </c>
      <c r="BJ16">
        <f t="shared" si="19"/>
        <v>0</v>
      </c>
      <c r="BK16">
        <f t="shared" si="19"/>
        <v>0</v>
      </c>
      <c r="BL16">
        <f t="shared" si="19"/>
        <v>0</v>
      </c>
      <c r="BM16">
        <f t="shared" si="19"/>
        <v>0</v>
      </c>
      <c r="BN16">
        <f t="shared" si="19"/>
        <v>0</v>
      </c>
      <c r="BO16">
        <f t="shared" si="19"/>
        <v>0</v>
      </c>
      <c r="BP16">
        <f t="shared" si="19"/>
        <v>0</v>
      </c>
      <c r="BQ16">
        <f t="shared" si="19"/>
        <v>0</v>
      </c>
      <c r="BR16">
        <f t="shared" si="20"/>
        <v>0</v>
      </c>
      <c r="BS16">
        <f t="shared" si="20"/>
        <v>0</v>
      </c>
      <c r="BT16">
        <f t="shared" si="20"/>
        <v>0</v>
      </c>
      <c r="BU16">
        <f t="shared" si="20"/>
        <v>0</v>
      </c>
      <c r="BV16">
        <f t="shared" si="20"/>
        <v>0</v>
      </c>
      <c r="BW16">
        <f t="shared" si="20"/>
        <v>0</v>
      </c>
      <c r="BX16">
        <f t="shared" si="20"/>
        <v>0</v>
      </c>
      <c r="BY16">
        <f t="shared" si="20"/>
        <v>0</v>
      </c>
      <c r="BZ16">
        <f t="shared" si="20"/>
        <v>0</v>
      </c>
      <c r="CA16">
        <f t="shared" si="20"/>
        <v>0</v>
      </c>
      <c r="CB16">
        <f t="shared" si="21"/>
        <v>0</v>
      </c>
      <c r="CC16">
        <f t="shared" si="21"/>
        <v>0</v>
      </c>
      <c r="CD16">
        <f t="shared" si="21"/>
        <v>0</v>
      </c>
      <c r="CE16">
        <f t="shared" si="21"/>
        <v>0</v>
      </c>
      <c r="CF16">
        <f t="shared" si="21"/>
        <v>0</v>
      </c>
      <c r="CG16">
        <f t="shared" si="21"/>
        <v>0</v>
      </c>
      <c r="CH16">
        <f t="shared" si="21"/>
        <v>0</v>
      </c>
      <c r="CI16">
        <f t="shared" si="21"/>
        <v>0</v>
      </c>
      <c r="CJ16">
        <f t="shared" si="21"/>
        <v>0</v>
      </c>
      <c r="CK16">
        <f t="shared" si="21"/>
        <v>0</v>
      </c>
      <c r="CL16">
        <f t="shared" si="22"/>
        <v>0</v>
      </c>
      <c r="CM16">
        <f t="shared" si="22"/>
        <v>0</v>
      </c>
      <c r="CN16">
        <f t="shared" si="22"/>
        <v>0</v>
      </c>
      <c r="CO16">
        <f t="shared" si="22"/>
        <v>0</v>
      </c>
      <c r="CP16">
        <f t="shared" si="22"/>
        <v>0</v>
      </c>
      <c r="CQ16">
        <f t="shared" si="22"/>
        <v>0</v>
      </c>
      <c r="CR16">
        <f t="shared" si="22"/>
        <v>0</v>
      </c>
      <c r="CS16">
        <f t="shared" si="22"/>
        <v>0</v>
      </c>
      <c r="CT16">
        <f t="shared" si="22"/>
        <v>0</v>
      </c>
      <c r="CU16">
        <f t="shared" si="22"/>
        <v>0</v>
      </c>
      <c r="CV16">
        <f t="shared" si="23"/>
        <v>0</v>
      </c>
      <c r="CW16">
        <f t="shared" si="23"/>
        <v>0</v>
      </c>
      <c r="CX16">
        <f t="shared" si="23"/>
        <v>0</v>
      </c>
      <c r="CY16">
        <f t="shared" si="23"/>
        <v>0</v>
      </c>
      <c r="CZ16">
        <f t="shared" si="23"/>
        <v>0</v>
      </c>
      <c r="DA16">
        <f t="shared" si="23"/>
        <v>0</v>
      </c>
      <c r="DB16">
        <f t="shared" si="23"/>
        <v>0</v>
      </c>
      <c r="DC16">
        <f t="shared" si="23"/>
        <v>0</v>
      </c>
      <c r="DD16">
        <f t="shared" si="23"/>
        <v>0</v>
      </c>
      <c r="DE16">
        <f t="shared" si="23"/>
        <v>0</v>
      </c>
      <c r="DF16">
        <f t="shared" si="24"/>
        <v>0</v>
      </c>
      <c r="DG16">
        <f t="shared" si="24"/>
        <v>0</v>
      </c>
      <c r="DH16">
        <f t="shared" si="24"/>
        <v>0</v>
      </c>
      <c r="DI16">
        <f t="shared" si="24"/>
        <v>0</v>
      </c>
      <c r="DJ16">
        <f t="shared" si="24"/>
        <v>0</v>
      </c>
      <c r="DK16">
        <f t="shared" si="24"/>
        <v>0</v>
      </c>
      <c r="DL16">
        <f t="shared" si="24"/>
        <v>0</v>
      </c>
      <c r="DM16">
        <f t="shared" si="24"/>
        <v>0</v>
      </c>
      <c r="DN16">
        <f t="shared" si="24"/>
        <v>0</v>
      </c>
      <c r="DO16">
        <f t="shared" si="24"/>
        <v>0</v>
      </c>
      <c r="DP16">
        <f t="shared" si="25"/>
        <v>0</v>
      </c>
      <c r="DQ16">
        <f t="shared" si="25"/>
        <v>0</v>
      </c>
      <c r="DR16">
        <f t="shared" si="25"/>
        <v>0</v>
      </c>
      <c r="DS16">
        <f t="shared" si="25"/>
        <v>0</v>
      </c>
      <c r="DT16">
        <f t="shared" si="25"/>
        <v>0</v>
      </c>
      <c r="DU16">
        <f t="shared" si="25"/>
        <v>0</v>
      </c>
      <c r="DV16">
        <f t="shared" si="25"/>
        <v>0</v>
      </c>
      <c r="DW16">
        <f t="shared" si="25"/>
        <v>0</v>
      </c>
      <c r="DX16">
        <f t="shared" si="25"/>
        <v>0</v>
      </c>
      <c r="DY16">
        <f t="shared" si="25"/>
        <v>0</v>
      </c>
      <c r="DZ16">
        <f t="shared" si="26"/>
        <v>0</v>
      </c>
      <c r="EA16">
        <f t="shared" si="26"/>
        <v>0</v>
      </c>
      <c r="EB16">
        <f t="shared" si="26"/>
        <v>0</v>
      </c>
      <c r="EC16">
        <f t="shared" si="26"/>
        <v>0</v>
      </c>
      <c r="ED16">
        <f t="shared" si="26"/>
        <v>0</v>
      </c>
      <c r="EE16">
        <f t="shared" si="26"/>
        <v>0</v>
      </c>
      <c r="EF16">
        <f t="shared" si="26"/>
        <v>0</v>
      </c>
      <c r="EG16">
        <f t="shared" si="26"/>
        <v>0</v>
      </c>
      <c r="EH16">
        <f t="shared" si="26"/>
        <v>0</v>
      </c>
      <c r="EI16">
        <f t="shared" si="26"/>
        <v>0</v>
      </c>
      <c r="EJ16">
        <f>SUM(Tabla1[[#This Row],[1]:[130]])</f>
        <v>163</v>
      </c>
    </row>
    <row r="17" spans="1:140" ht="15" customHeight="1" x14ac:dyDescent="0.25">
      <c r="A17" t="str">
        <f>B17&amp;"-"&amp;COUNTIF($B$2:B17,B17)</f>
        <v>I. FILETILLO POLLO-1</v>
      </c>
      <c r="B17" s="35" t="s">
        <v>5</v>
      </c>
      <c r="C17">
        <f>VLOOKUP(B17,RECETAS!D16:$E$1700,2,FALSE)</f>
        <v>0</v>
      </c>
      <c r="D17" s="34"/>
      <c r="G17" t="b">
        <f t="shared" si="0"/>
        <v>1</v>
      </c>
      <c r="I17" s="38" t="s">
        <v>269</v>
      </c>
      <c r="J17">
        <f t="shared" si="14"/>
        <v>0</v>
      </c>
      <c r="K17">
        <f t="shared" si="14"/>
        <v>0</v>
      </c>
      <c r="L17">
        <f t="shared" si="14"/>
        <v>0</v>
      </c>
      <c r="M17">
        <f t="shared" si="14"/>
        <v>0</v>
      </c>
      <c r="N17">
        <f t="shared" si="14"/>
        <v>0</v>
      </c>
      <c r="O17">
        <f t="shared" si="14"/>
        <v>0</v>
      </c>
      <c r="P17">
        <f t="shared" si="14"/>
        <v>0</v>
      </c>
      <c r="Q17">
        <f t="shared" si="14"/>
        <v>0</v>
      </c>
      <c r="R17">
        <f t="shared" si="14"/>
        <v>0</v>
      </c>
      <c r="S17">
        <f t="shared" si="14"/>
        <v>0</v>
      </c>
      <c r="T17">
        <f t="shared" si="15"/>
        <v>0</v>
      </c>
      <c r="U17">
        <f t="shared" si="15"/>
        <v>0</v>
      </c>
      <c r="V17">
        <f t="shared" si="15"/>
        <v>0</v>
      </c>
      <c r="W17">
        <f t="shared" si="15"/>
        <v>0</v>
      </c>
      <c r="X17">
        <f t="shared" si="15"/>
        <v>0</v>
      </c>
      <c r="Y17">
        <f t="shared" si="15"/>
        <v>0</v>
      </c>
      <c r="Z17">
        <f t="shared" si="15"/>
        <v>0</v>
      </c>
      <c r="AA17">
        <f t="shared" si="15"/>
        <v>0</v>
      </c>
      <c r="AB17">
        <f t="shared" si="15"/>
        <v>0</v>
      </c>
      <c r="AC17">
        <f t="shared" si="15"/>
        <v>0</v>
      </c>
      <c r="AD17">
        <f t="shared" si="16"/>
        <v>0</v>
      </c>
      <c r="AE17">
        <f t="shared" si="16"/>
        <v>0</v>
      </c>
      <c r="AF17">
        <f t="shared" si="16"/>
        <v>0</v>
      </c>
      <c r="AG17">
        <f t="shared" si="16"/>
        <v>0</v>
      </c>
      <c r="AH17">
        <f t="shared" si="16"/>
        <v>0</v>
      </c>
      <c r="AI17">
        <f t="shared" si="16"/>
        <v>0</v>
      </c>
      <c r="AJ17">
        <f t="shared" si="16"/>
        <v>0</v>
      </c>
      <c r="AK17">
        <f t="shared" si="16"/>
        <v>0</v>
      </c>
      <c r="AL17">
        <f t="shared" si="16"/>
        <v>0</v>
      </c>
      <c r="AM17">
        <f t="shared" si="16"/>
        <v>0</v>
      </c>
      <c r="AN17">
        <f t="shared" si="17"/>
        <v>0</v>
      </c>
      <c r="AO17">
        <f t="shared" si="17"/>
        <v>0</v>
      </c>
      <c r="AP17">
        <f t="shared" si="17"/>
        <v>0</v>
      </c>
      <c r="AQ17">
        <f t="shared" si="17"/>
        <v>0</v>
      </c>
      <c r="AR17">
        <f t="shared" si="17"/>
        <v>0</v>
      </c>
      <c r="AS17">
        <f t="shared" si="17"/>
        <v>0</v>
      </c>
      <c r="AT17">
        <f t="shared" si="17"/>
        <v>0</v>
      </c>
      <c r="AU17">
        <f t="shared" si="17"/>
        <v>0</v>
      </c>
      <c r="AV17">
        <f t="shared" si="17"/>
        <v>0</v>
      </c>
      <c r="AW17">
        <f t="shared" si="17"/>
        <v>0</v>
      </c>
      <c r="AX17">
        <f t="shared" si="18"/>
        <v>0</v>
      </c>
      <c r="AY17">
        <f t="shared" si="18"/>
        <v>0</v>
      </c>
      <c r="AZ17">
        <f t="shared" si="18"/>
        <v>0</v>
      </c>
      <c r="BA17">
        <f t="shared" si="18"/>
        <v>0</v>
      </c>
      <c r="BB17">
        <f t="shared" si="18"/>
        <v>0</v>
      </c>
      <c r="BC17">
        <f t="shared" si="18"/>
        <v>0</v>
      </c>
      <c r="BD17">
        <f t="shared" si="18"/>
        <v>0</v>
      </c>
      <c r="BE17">
        <f t="shared" si="18"/>
        <v>0</v>
      </c>
      <c r="BF17">
        <f t="shared" si="18"/>
        <v>0</v>
      </c>
      <c r="BG17">
        <f t="shared" si="18"/>
        <v>0</v>
      </c>
      <c r="BH17">
        <f t="shared" si="19"/>
        <v>0</v>
      </c>
      <c r="BI17">
        <f t="shared" si="19"/>
        <v>0</v>
      </c>
      <c r="BJ17">
        <f t="shared" si="19"/>
        <v>0</v>
      </c>
      <c r="BK17">
        <f t="shared" si="19"/>
        <v>0</v>
      </c>
      <c r="BL17">
        <f t="shared" si="19"/>
        <v>0</v>
      </c>
      <c r="BM17">
        <f t="shared" si="19"/>
        <v>0</v>
      </c>
      <c r="BN17">
        <f t="shared" si="19"/>
        <v>0</v>
      </c>
      <c r="BO17">
        <f t="shared" si="19"/>
        <v>0</v>
      </c>
      <c r="BP17">
        <f t="shared" si="19"/>
        <v>0</v>
      </c>
      <c r="BQ17">
        <f t="shared" si="19"/>
        <v>0</v>
      </c>
      <c r="BR17">
        <f t="shared" si="20"/>
        <v>0</v>
      </c>
      <c r="BS17">
        <f t="shared" si="20"/>
        <v>0</v>
      </c>
      <c r="BT17">
        <f t="shared" si="20"/>
        <v>0</v>
      </c>
      <c r="BU17">
        <f t="shared" si="20"/>
        <v>0</v>
      </c>
      <c r="BV17">
        <f t="shared" si="20"/>
        <v>0</v>
      </c>
      <c r="BW17">
        <f t="shared" si="20"/>
        <v>0</v>
      </c>
      <c r="BX17">
        <f t="shared" si="20"/>
        <v>0</v>
      </c>
      <c r="BY17">
        <f t="shared" si="20"/>
        <v>0</v>
      </c>
      <c r="BZ17">
        <f t="shared" si="20"/>
        <v>0</v>
      </c>
      <c r="CA17">
        <f t="shared" si="20"/>
        <v>0</v>
      </c>
      <c r="CB17">
        <f t="shared" si="21"/>
        <v>0</v>
      </c>
      <c r="CC17">
        <f t="shared" si="21"/>
        <v>0</v>
      </c>
      <c r="CD17">
        <f t="shared" si="21"/>
        <v>0</v>
      </c>
      <c r="CE17">
        <f t="shared" si="21"/>
        <v>0</v>
      </c>
      <c r="CF17">
        <f t="shared" si="21"/>
        <v>0</v>
      </c>
      <c r="CG17">
        <f t="shared" si="21"/>
        <v>0</v>
      </c>
      <c r="CH17">
        <f t="shared" si="21"/>
        <v>0</v>
      </c>
      <c r="CI17">
        <f t="shared" si="21"/>
        <v>0</v>
      </c>
      <c r="CJ17">
        <f t="shared" si="21"/>
        <v>0</v>
      </c>
      <c r="CK17">
        <f t="shared" si="21"/>
        <v>0</v>
      </c>
      <c r="CL17">
        <f t="shared" si="22"/>
        <v>0</v>
      </c>
      <c r="CM17">
        <f t="shared" si="22"/>
        <v>0</v>
      </c>
      <c r="CN17">
        <f t="shared" si="22"/>
        <v>0</v>
      </c>
      <c r="CO17">
        <f t="shared" si="22"/>
        <v>0</v>
      </c>
      <c r="CP17">
        <f t="shared" si="22"/>
        <v>0</v>
      </c>
      <c r="CQ17">
        <f t="shared" si="22"/>
        <v>0</v>
      </c>
      <c r="CR17">
        <f t="shared" si="22"/>
        <v>0</v>
      </c>
      <c r="CS17">
        <f t="shared" si="22"/>
        <v>0</v>
      </c>
      <c r="CT17">
        <f t="shared" si="22"/>
        <v>0</v>
      </c>
      <c r="CU17">
        <f t="shared" si="22"/>
        <v>0</v>
      </c>
      <c r="CV17">
        <f t="shared" si="23"/>
        <v>0</v>
      </c>
      <c r="CW17">
        <f t="shared" si="23"/>
        <v>0</v>
      </c>
      <c r="CX17">
        <f t="shared" si="23"/>
        <v>0</v>
      </c>
      <c r="CY17">
        <f t="shared" si="23"/>
        <v>0</v>
      </c>
      <c r="CZ17">
        <f t="shared" si="23"/>
        <v>0</v>
      </c>
      <c r="DA17">
        <f t="shared" si="23"/>
        <v>0</v>
      </c>
      <c r="DB17">
        <f t="shared" si="23"/>
        <v>0</v>
      </c>
      <c r="DC17">
        <f t="shared" si="23"/>
        <v>0</v>
      </c>
      <c r="DD17">
        <f t="shared" si="23"/>
        <v>0</v>
      </c>
      <c r="DE17">
        <f t="shared" si="23"/>
        <v>0</v>
      </c>
      <c r="DF17">
        <f t="shared" si="24"/>
        <v>0</v>
      </c>
      <c r="DG17">
        <f t="shared" si="24"/>
        <v>0</v>
      </c>
      <c r="DH17">
        <f t="shared" si="24"/>
        <v>0</v>
      </c>
      <c r="DI17">
        <f t="shared" si="24"/>
        <v>0</v>
      </c>
      <c r="DJ17">
        <f t="shared" si="24"/>
        <v>0</v>
      </c>
      <c r="DK17">
        <f t="shared" si="24"/>
        <v>0</v>
      </c>
      <c r="DL17">
        <f t="shared" si="24"/>
        <v>0</v>
      </c>
      <c r="DM17">
        <f t="shared" si="24"/>
        <v>0</v>
      </c>
      <c r="DN17">
        <f t="shared" si="24"/>
        <v>0</v>
      </c>
      <c r="DO17">
        <f t="shared" si="24"/>
        <v>0</v>
      </c>
      <c r="DP17">
        <f t="shared" si="25"/>
        <v>0</v>
      </c>
      <c r="DQ17">
        <f t="shared" si="25"/>
        <v>0</v>
      </c>
      <c r="DR17">
        <f t="shared" si="25"/>
        <v>0</v>
      </c>
      <c r="DS17">
        <f t="shared" si="25"/>
        <v>0</v>
      </c>
      <c r="DT17">
        <f t="shared" si="25"/>
        <v>0</v>
      </c>
      <c r="DU17">
        <f t="shared" si="25"/>
        <v>0</v>
      </c>
      <c r="DV17">
        <f t="shared" si="25"/>
        <v>0</v>
      </c>
      <c r="DW17">
        <f t="shared" si="25"/>
        <v>0</v>
      </c>
      <c r="DX17">
        <f t="shared" si="25"/>
        <v>0</v>
      </c>
      <c r="DY17">
        <f t="shared" si="25"/>
        <v>0</v>
      </c>
      <c r="DZ17">
        <f t="shared" si="26"/>
        <v>0</v>
      </c>
      <c r="EA17">
        <f t="shared" si="26"/>
        <v>0</v>
      </c>
      <c r="EB17">
        <f t="shared" si="26"/>
        <v>0</v>
      </c>
      <c r="EC17">
        <f t="shared" si="26"/>
        <v>0</v>
      </c>
      <c r="ED17">
        <f t="shared" si="26"/>
        <v>0</v>
      </c>
      <c r="EE17">
        <f t="shared" si="26"/>
        <v>0</v>
      </c>
      <c r="EF17">
        <f t="shared" si="26"/>
        <v>0</v>
      </c>
      <c r="EG17">
        <f t="shared" si="26"/>
        <v>0</v>
      </c>
      <c r="EH17">
        <f t="shared" si="26"/>
        <v>0</v>
      </c>
      <c r="EI17">
        <f t="shared" si="26"/>
        <v>0</v>
      </c>
      <c r="EJ17">
        <f>SUM(Tabla1[[#This Row],[1]:[130]])</f>
        <v>0</v>
      </c>
    </row>
    <row r="18" spans="1:140" ht="15" customHeight="1" x14ac:dyDescent="0.25">
      <c r="A18" t="str">
        <f>B18&amp;"-"&amp;COUNTIF($B$2:B18,B18)</f>
        <v>I. CHAMP. PORCION-1</v>
      </c>
      <c r="B18" s="35" t="s">
        <v>8</v>
      </c>
      <c r="C18">
        <f>VLOOKUP(B18,RECETAS!D17:$E$1700,2,FALSE)</f>
        <v>0</v>
      </c>
      <c r="D18" s="34"/>
      <c r="G18" t="b">
        <f t="shared" si="0"/>
        <v>1</v>
      </c>
      <c r="I18" s="36" t="s">
        <v>220</v>
      </c>
      <c r="J18">
        <f t="shared" si="14"/>
        <v>19500</v>
      </c>
      <c r="K18">
        <f t="shared" si="14"/>
        <v>0</v>
      </c>
      <c r="L18">
        <f t="shared" si="14"/>
        <v>0</v>
      </c>
      <c r="M18">
        <f t="shared" si="14"/>
        <v>0</v>
      </c>
      <c r="N18">
        <f t="shared" si="14"/>
        <v>0</v>
      </c>
      <c r="O18">
        <f t="shared" si="14"/>
        <v>0</v>
      </c>
      <c r="P18">
        <f t="shared" si="14"/>
        <v>0</v>
      </c>
      <c r="Q18">
        <f t="shared" si="14"/>
        <v>0</v>
      </c>
      <c r="R18">
        <f t="shared" si="14"/>
        <v>0</v>
      </c>
      <c r="S18">
        <f t="shared" si="14"/>
        <v>0</v>
      </c>
      <c r="T18">
        <f t="shared" si="15"/>
        <v>0</v>
      </c>
      <c r="U18">
        <f t="shared" si="15"/>
        <v>0</v>
      </c>
      <c r="V18">
        <f t="shared" si="15"/>
        <v>0</v>
      </c>
      <c r="W18">
        <f t="shared" si="15"/>
        <v>0</v>
      </c>
      <c r="X18">
        <f t="shared" si="15"/>
        <v>0</v>
      </c>
      <c r="Y18">
        <f t="shared" si="15"/>
        <v>0</v>
      </c>
      <c r="Z18">
        <f t="shared" si="15"/>
        <v>0</v>
      </c>
      <c r="AA18">
        <f t="shared" si="15"/>
        <v>0</v>
      </c>
      <c r="AB18">
        <f t="shared" si="15"/>
        <v>0</v>
      </c>
      <c r="AC18">
        <f t="shared" si="15"/>
        <v>0</v>
      </c>
      <c r="AD18">
        <f t="shared" si="16"/>
        <v>0</v>
      </c>
      <c r="AE18">
        <f t="shared" si="16"/>
        <v>0</v>
      </c>
      <c r="AF18">
        <f t="shared" si="16"/>
        <v>0</v>
      </c>
      <c r="AG18">
        <f t="shared" si="16"/>
        <v>0</v>
      </c>
      <c r="AH18">
        <f t="shared" si="16"/>
        <v>0</v>
      </c>
      <c r="AI18">
        <f t="shared" si="16"/>
        <v>0</v>
      </c>
      <c r="AJ18">
        <f t="shared" si="16"/>
        <v>0</v>
      </c>
      <c r="AK18">
        <f t="shared" si="16"/>
        <v>0</v>
      </c>
      <c r="AL18">
        <f t="shared" si="16"/>
        <v>0</v>
      </c>
      <c r="AM18">
        <f t="shared" si="16"/>
        <v>0</v>
      </c>
      <c r="AN18">
        <f t="shared" si="17"/>
        <v>0</v>
      </c>
      <c r="AO18">
        <f t="shared" si="17"/>
        <v>0</v>
      </c>
      <c r="AP18">
        <f t="shared" si="17"/>
        <v>0</v>
      </c>
      <c r="AQ18">
        <f t="shared" si="17"/>
        <v>0</v>
      </c>
      <c r="AR18">
        <f t="shared" si="17"/>
        <v>0</v>
      </c>
      <c r="AS18">
        <f t="shared" si="17"/>
        <v>0</v>
      </c>
      <c r="AT18">
        <f t="shared" si="17"/>
        <v>0</v>
      </c>
      <c r="AU18">
        <f t="shared" si="17"/>
        <v>0</v>
      </c>
      <c r="AV18">
        <f t="shared" si="17"/>
        <v>0</v>
      </c>
      <c r="AW18">
        <f t="shared" si="17"/>
        <v>0</v>
      </c>
      <c r="AX18">
        <f t="shared" si="18"/>
        <v>0</v>
      </c>
      <c r="AY18">
        <f t="shared" si="18"/>
        <v>0</v>
      </c>
      <c r="AZ18">
        <f t="shared" si="18"/>
        <v>0</v>
      </c>
      <c r="BA18">
        <f t="shared" si="18"/>
        <v>0</v>
      </c>
      <c r="BB18">
        <f t="shared" si="18"/>
        <v>0</v>
      </c>
      <c r="BC18">
        <f t="shared" si="18"/>
        <v>0</v>
      </c>
      <c r="BD18">
        <f t="shared" si="18"/>
        <v>0</v>
      </c>
      <c r="BE18">
        <f t="shared" si="18"/>
        <v>0</v>
      </c>
      <c r="BF18">
        <f t="shared" si="18"/>
        <v>0</v>
      </c>
      <c r="BG18">
        <f t="shared" si="18"/>
        <v>0</v>
      </c>
      <c r="BH18">
        <f t="shared" si="19"/>
        <v>0</v>
      </c>
      <c r="BI18">
        <f t="shared" si="19"/>
        <v>0</v>
      </c>
      <c r="BJ18">
        <f t="shared" si="19"/>
        <v>0</v>
      </c>
      <c r="BK18">
        <f t="shared" si="19"/>
        <v>0</v>
      </c>
      <c r="BL18">
        <f t="shared" si="19"/>
        <v>0</v>
      </c>
      <c r="BM18">
        <f t="shared" si="19"/>
        <v>0</v>
      </c>
      <c r="BN18">
        <f t="shared" si="19"/>
        <v>0</v>
      </c>
      <c r="BO18">
        <f t="shared" si="19"/>
        <v>0</v>
      </c>
      <c r="BP18">
        <f t="shared" si="19"/>
        <v>0</v>
      </c>
      <c r="BQ18">
        <f t="shared" si="19"/>
        <v>0</v>
      </c>
      <c r="BR18">
        <f t="shared" si="20"/>
        <v>0</v>
      </c>
      <c r="BS18">
        <f t="shared" si="20"/>
        <v>0</v>
      </c>
      <c r="BT18">
        <f t="shared" si="20"/>
        <v>0</v>
      </c>
      <c r="BU18">
        <f t="shared" si="20"/>
        <v>0</v>
      </c>
      <c r="BV18">
        <f t="shared" si="20"/>
        <v>0</v>
      </c>
      <c r="BW18">
        <f t="shared" si="20"/>
        <v>0</v>
      </c>
      <c r="BX18">
        <f t="shared" si="20"/>
        <v>0</v>
      </c>
      <c r="BY18">
        <f t="shared" si="20"/>
        <v>0</v>
      </c>
      <c r="BZ18">
        <f t="shared" si="20"/>
        <v>0</v>
      </c>
      <c r="CA18">
        <f t="shared" si="20"/>
        <v>0</v>
      </c>
      <c r="CB18">
        <f t="shared" si="21"/>
        <v>0</v>
      </c>
      <c r="CC18">
        <f t="shared" si="21"/>
        <v>0</v>
      </c>
      <c r="CD18">
        <f t="shared" si="21"/>
        <v>0</v>
      </c>
      <c r="CE18">
        <f t="shared" si="21"/>
        <v>0</v>
      </c>
      <c r="CF18">
        <f t="shared" si="21"/>
        <v>0</v>
      </c>
      <c r="CG18">
        <f t="shared" si="21"/>
        <v>0</v>
      </c>
      <c r="CH18">
        <f t="shared" si="21"/>
        <v>0</v>
      </c>
      <c r="CI18">
        <f t="shared" si="21"/>
        <v>0</v>
      </c>
      <c r="CJ18">
        <f t="shared" si="21"/>
        <v>0</v>
      </c>
      <c r="CK18">
        <f t="shared" si="21"/>
        <v>0</v>
      </c>
      <c r="CL18">
        <f t="shared" si="22"/>
        <v>0</v>
      </c>
      <c r="CM18">
        <f t="shared" si="22"/>
        <v>0</v>
      </c>
      <c r="CN18">
        <f t="shared" si="22"/>
        <v>0</v>
      </c>
      <c r="CO18">
        <f t="shared" si="22"/>
        <v>0</v>
      </c>
      <c r="CP18">
        <f t="shared" si="22"/>
        <v>0</v>
      </c>
      <c r="CQ18">
        <f t="shared" si="22"/>
        <v>0</v>
      </c>
      <c r="CR18">
        <f t="shared" si="22"/>
        <v>0</v>
      </c>
      <c r="CS18">
        <f t="shared" si="22"/>
        <v>0</v>
      </c>
      <c r="CT18">
        <f t="shared" si="22"/>
        <v>0</v>
      </c>
      <c r="CU18">
        <f t="shared" si="22"/>
        <v>0</v>
      </c>
      <c r="CV18">
        <f t="shared" si="23"/>
        <v>0</v>
      </c>
      <c r="CW18">
        <f t="shared" si="23"/>
        <v>0</v>
      </c>
      <c r="CX18">
        <f t="shared" si="23"/>
        <v>0</v>
      </c>
      <c r="CY18">
        <f t="shared" si="23"/>
        <v>0</v>
      </c>
      <c r="CZ18">
        <f t="shared" si="23"/>
        <v>0</v>
      </c>
      <c r="DA18">
        <f t="shared" si="23"/>
        <v>0</v>
      </c>
      <c r="DB18">
        <f t="shared" si="23"/>
        <v>0</v>
      </c>
      <c r="DC18">
        <f t="shared" si="23"/>
        <v>0</v>
      </c>
      <c r="DD18">
        <f t="shared" si="23"/>
        <v>0</v>
      </c>
      <c r="DE18">
        <f t="shared" si="23"/>
        <v>0</v>
      </c>
      <c r="DF18">
        <f t="shared" si="24"/>
        <v>0</v>
      </c>
      <c r="DG18">
        <f t="shared" si="24"/>
        <v>0</v>
      </c>
      <c r="DH18">
        <f t="shared" si="24"/>
        <v>0</v>
      </c>
      <c r="DI18">
        <f t="shared" si="24"/>
        <v>0</v>
      </c>
      <c r="DJ18">
        <f t="shared" si="24"/>
        <v>0</v>
      </c>
      <c r="DK18">
        <f t="shared" si="24"/>
        <v>0</v>
      </c>
      <c r="DL18">
        <f t="shared" si="24"/>
        <v>0</v>
      </c>
      <c r="DM18">
        <f t="shared" si="24"/>
        <v>0</v>
      </c>
      <c r="DN18">
        <f t="shared" si="24"/>
        <v>0</v>
      </c>
      <c r="DO18">
        <f t="shared" si="24"/>
        <v>0</v>
      </c>
      <c r="DP18">
        <f t="shared" si="25"/>
        <v>0</v>
      </c>
      <c r="DQ18">
        <f t="shared" si="25"/>
        <v>0</v>
      </c>
      <c r="DR18">
        <f t="shared" si="25"/>
        <v>0</v>
      </c>
      <c r="DS18">
        <f t="shared" si="25"/>
        <v>0</v>
      </c>
      <c r="DT18">
        <f t="shared" si="25"/>
        <v>0</v>
      </c>
      <c r="DU18">
        <f t="shared" si="25"/>
        <v>0</v>
      </c>
      <c r="DV18">
        <f t="shared" si="25"/>
        <v>0</v>
      </c>
      <c r="DW18">
        <f t="shared" si="25"/>
        <v>0</v>
      </c>
      <c r="DX18">
        <f t="shared" si="25"/>
        <v>0</v>
      </c>
      <c r="DY18">
        <f t="shared" si="25"/>
        <v>0</v>
      </c>
      <c r="DZ18">
        <f t="shared" si="26"/>
        <v>0</v>
      </c>
      <c r="EA18">
        <f t="shared" si="26"/>
        <v>0</v>
      </c>
      <c r="EB18">
        <f t="shared" si="26"/>
        <v>0</v>
      </c>
      <c r="EC18">
        <f t="shared" si="26"/>
        <v>0</v>
      </c>
      <c r="ED18">
        <f t="shared" si="26"/>
        <v>0</v>
      </c>
      <c r="EE18">
        <f t="shared" si="26"/>
        <v>0</v>
      </c>
      <c r="EF18">
        <f t="shared" si="26"/>
        <v>0</v>
      </c>
      <c r="EG18">
        <f t="shared" si="26"/>
        <v>0</v>
      </c>
      <c r="EH18">
        <f t="shared" si="26"/>
        <v>0</v>
      </c>
      <c r="EI18">
        <f t="shared" si="26"/>
        <v>0</v>
      </c>
      <c r="EJ18">
        <f>SUM(Tabla1[[#This Row],[1]:[130]])</f>
        <v>19500</v>
      </c>
    </row>
    <row r="19" spans="1:140" ht="15" customHeight="1" x14ac:dyDescent="0.25">
      <c r="A19" t="str">
        <f>B19&amp;"-"&amp;COUNTIF($B$2:B19,B19)</f>
        <v>I. PALTA-2</v>
      </c>
      <c r="B19" s="35" t="s">
        <v>35</v>
      </c>
      <c r="C19">
        <f>VLOOKUP(B19,RECETAS!D18:$E$1700,2,FALSE)</f>
        <v>0</v>
      </c>
      <c r="D19" s="34"/>
      <c r="G19" t="b">
        <f t="shared" si="0"/>
        <v>1</v>
      </c>
      <c r="I19" s="36" t="s">
        <v>706</v>
      </c>
      <c r="J19">
        <f t="shared" si="14"/>
        <v>0</v>
      </c>
      <c r="K19">
        <f t="shared" si="14"/>
        <v>0</v>
      </c>
      <c r="L19">
        <f t="shared" si="14"/>
        <v>0</v>
      </c>
      <c r="M19">
        <f t="shared" si="14"/>
        <v>0</v>
      </c>
      <c r="N19">
        <f t="shared" si="14"/>
        <v>0</v>
      </c>
      <c r="O19">
        <f t="shared" si="14"/>
        <v>0</v>
      </c>
      <c r="P19">
        <f t="shared" si="14"/>
        <v>0</v>
      </c>
      <c r="Q19">
        <f t="shared" si="14"/>
        <v>0</v>
      </c>
      <c r="R19">
        <f t="shared" si="14"/>
        <v>0</v>
      </c>
      <c r="S19">
        <f t="shared" si="14"/>
        <v>0</v>
      </c>
      <c r="T19">
        <f t="shared" si="15"/>
        <v>0</v>
      </c>
      <c r="U19">
        <f t="shared" si="15"/>
        <v>0</v>
      </c>
      <c r="V19">
        <f t="shared" si="15"/>
        <v>0</v>
      </c>
      <c r="W19">
        <f t="shared" si="15"/>
        <v>0</v>
      </c>
      <c r="X19">
        <f t="shared" si="15"/>
        <v>0</v>
      </c>
      <c r="Y19">
        <f t="shared" si="15"/>
        <v>0</v>
      </c>
      <c r="Z19">
        <f t="shared" si="15"/>
        <v>0</v>
      </c>
      <c r="AA19">
        <f t="shared" si="15"/>
        <v>0</v>
      </c>
      <c r="AB19">
        <f t="shared" si="15"/>
        <v>0</v>
      </c>
      <c r="AC19">
        <f t="shared" si="15"/>
        <v>0</v>
      </c>
      <c r="AD19">
        <f t="shared" si="16"/>
        <v>0</v>
      </c>
      <c r="AE19">
        <f t="shared" si="16"/>
        <v>0</v>
      </c>
      <c r="AF19">
        <f t="shared" si="16"/>
        <v>0</v>
      </c>
      <c r="AG19">
        <f t="shared" si="16"/>
        <v>0</v>
      </c>
      <c r="AH19">
        <f t="shared" si="16"/>
        <v>0</v>
      </c>
      <c r="AI19">
        <f t="shared" si="16"/>
        <v>0</v>
      </c>
      <c r="AJ19">
        <f t="shared" si="16"/>
        <v>0</v>
      </c>
      <c r="AK19">
        <f t="shared" si="16"/>
        <v>0</v>
      </c>
      <c r="AL19">
        <f t="shared" si="16"/>
        <v>0</v>
      </c>
      <c r="AM19">
        <f t="shared" si="16"/>
        <v>0</v>
      </c>
      <c r="AN19">
        <f t="shared" si="17"/>
        <v>0</v>
      </c>
      <c r="AO19">
        <f t="shared" si="17"/>
        <v>0</v>
      </c>
      <c r="AP19">
        <f t="shared" si="17"/>
        <v>0</v>
      </c>
      <c r="AQ19">
        <f t="shared" si="17"/>
        <v>0</v>
      </c>
      <c r="AR19">
        <f t="shared" si="17"/>
        <v>0</v>
      </c>
      <c r="AS19">
        <f t="shared" si="17"/>
        <v>0</v>
      </c>
      <c r="AT19">
        <f t="shared" si="17"/>
        <v>0</v>
      </c>
      <c r="AU19">
        <f t="shared" si="17"/>
        <v>0</v>
      </c>
      <c r="AV19">
        <f t="shared" si="17"/>
        <v>0</v>
      </c>
      <c r="AW19">
        <f t="shared" si="17"/>
        <v>0</v>
      </c>
      <c r="AX19">
        <f t="shared" si="18"/>
        <v>0</v>
      </c>
      <c r="AY19">
        <f t="shared" si="18"/>
        <v>0</v>
      </c>
      <c r="AZ19">
        <f t="shared" si="18"/>
        <v>0</v>
      </c>
      <c r="BA19">
        <f t="shared" si="18"/>
        <v>0</v>
      </c>
      <c r="BB19">
        <f t="shared" si="18"/>
        <v>0</v>
      </c>
      <c r="BC19">
        <f t="shared" si="18"/>
        <v>0</v>
      </c>
      <c r="BD19">
        <f t="shared" si="18"/>
        <v>0</v>
      </c>
      <c r="BE19">
        <f t="shared" si="18"/>
        <v>0</v>
      </c>
      <c r="BF19">
        <f t="shared" si="18"/>
        <v>0</v>
      </c>
      <c r="BG19">
        <f t="shared" si="18"/>
        <v>0</v>
      </c>
      <c r="BH19">
        <f t="shared" si="19"/>
        <v>0</v>
      </c>
      <c r="BI19">
        <f t="shared" si="19"/>
        <v>0</v>
      </c>
      <c r="BJ19">
        <f t="shared" si="19"/>
        <v>0</v>
      </c>
      <c r="BK19">
        <f t="shared" si="19"/>
        <v>0</v>
      </c>
      <c r="BL19">
        <f t="shared" si="19"/>
        <v>0</v>
      </c>
      <c r="BM19">
        <f t="shared" si="19"/>
        <v>0</v>
      </c>
      <c r="BN19">
        <f t="shared" si="19"/>
        <v>0</v>
      </c>
      <c r="BO19">
        <f t="shared" si="19"/>
        <v>0</v>
      </c>
      <c r="BP19">
        <f t="shared" si="19"/>
        <v>0</v>
      </c>
      <c r="BQ19">
        <f t="shared" si="19"/>
        <v>0</v>
      </c>
      <c r="BR19">
        <f t="shared" si="20"/>
        <v>0</v>
      </c>
      <c r="BS19">
        <f t="shared" si="20"/>
        <v>0</v>
      </c>
      <c r="BT19">
        <f t="shared" si="20"/>
        <v>0</v>
      </c>
      <c r="BU19">
        <f t="shared" si="20"/>
        <v>0</v>
      </c>
      <c r="BV19">
        <f t="shared" si="20"/>
        <v>0</v>
      </c>
      <c r="BW19">
        <f t="shared" si="20"/>
        <v>0</v>
      </c>
      <c r="BX19">
        <f t="shared" si="20"/>
        <v>0</v>
      </c>
      <c r="BY19">
        <f t="shared" si="20"/>
        <v>0</v>
      </c>
      <c r="BZ19">
        <f t="shared" si="20"/>
        <v>0</v>
      </c>
      <c r="CA19">
        <f t="shared" si="20"/>
        <v>0</v>
      </c>
      <c r="CB19">
        <f t="shared" si="21"/>
        <v>0</v>
      </c>
      <c r="CC19">
        <f t="shared" si="21"/>
        <v>0</v>
      </c>
      <c r="CD19">
        <f t="shared" si="21"/>
        <v>0</v>
      </c>
      <c r="CE19">
        <f t="shared" si="21"/>
        <v>0</v>
      </c>
      <c r="CF19">
        <f t="shared" si="21"/>
        <v>0</v>
      </c>
      <c r="CG19">
        <f t="shared" si="21"/>
        <v>0</v>
      </c>
      <c r="CH19">
        <f t="shared" si="21"/>
        <v>0</v>
      </c>
      <c r="CI19">
        <f t="shared" si="21"/>
        <v>0</v>
      </c>
      <c r="CJ19">
        <f t="shared" si="21"/>
        <v>0</v>
      </c>
      <c r="CK19">
        <f t="shared" si="21"/>
        <v>0</v>
      </c>
      <c r="CL19">
        <f t="shared" si="22"/>
        <v>0</v>
      </c>
      <c r="CM19">
        <f t="shared" si="22"/>
        <v>0</v>
      </c>
      <c r="CN19">
        <f t="shared" si="22"/>
        <v>0</v>
      </c>
      <c r="CO19">
        <f t="shared" si="22"/>
        <v>0</v>
      </c>
      <c r="CP19">
        <f t="shared" si="22"/>
        <v>0</v>
      </c>
      <c r="CQ19">
        <f t="shared" si="22"/>
        <v>0</v>
      </c>
      <c r="CR19">
        <f t="shared" si="22"/>
        <v>0</v>
      </c>
      <c r="CS19">
        <f t="shared" si="22"/>
        <v>0</v>
      </c>
      <c r="CT19">
        <f t="shared" si="22"/>
        <v>0</v>
      </c>
      <c r="CU19">
        <f t="shared" si="22"/>
        <v>0</v>
      </c>
      <c r="CV19">
        <f t="shared" si="23"/>
        <v>0</v>
      </c>
      <c r="CW19">
        <f t="shared" si="23"/>
        <v>0</v>
      </c>
      <c r="CX19">
        <f t="shared" si="23"/>
        <v>0</v>
      </c>
      <c r="CY19">
        <f t="shared" si="23"/>
        <v>0</v>
      </c>
      <c r="CZ19">
        <f t="shared" si="23"/>
        <v>0</v>
      </c>
      <c r="DA19">
        <f t="shared" si="23"/>
        <v>0</v>
      </c>
      <c r="DB19">
        <f t="shared" si="23"/>
        <v>0</v>
      </c>
      <c r="DC19">
        <f t="shared" si="23"/>
        <v>0</v>
      </c>
      <c r="DD19">
        <f t="shared" si="23"/>
        <v>0</v>
      </c>
      <c r="DE19">
        <f t="shared" si="23"/>
        <v>0</v>
      </c>
      <c r="DF19">
        <f t="shared" si="24"/>
        <v>0</v>
      </c>
      <c r="DG19">
        <f t="shared" si="24"/>
        <v>0</v>
      </c>
      <c r="DH19">
        <f t="shared" si="24"/>
        <v>0</v>
      </c>
      <c r="DI19">
        <f t="shared" si="24"/>
        <v>0</v>
      </c>
      <c r="DJ19">
        <f t="shared" si="24"/>
        <v>0</v>
      </c>
      <c r="DK19">
        <f t="shared" si="24"/>
        <v>0</v>
      </c>
      <c r="DL19">
        <f t="shared" si="24"/>
        <v>0</v>
      </c>
      <c r="DM19">
        <f t="shared" si="24"/>
        <v>0</v>
      </c>
      <c r="DN19">
        <f t="shared" si="24"/>
        <v>0</v>
      </c>
      <c r="DO19">
        <f t="shared" si="24"/>
        <v>0</v>
      </c>
      <c r="DP19">
        <f t="shared" si="25"/>
        <v>0</v>
      </c>
      <c r="DQ19">
        <f t="shared" si="25"/>
        <v>0</v>
      </c>
      <c r="DR19">
        <f t="shared" si="25"/>
        <v>0</v>
      </c>
      <c r="DS19">
        <f t="shared" si="25"/>
        <v>0</v>
      </c>
      <c r="DT19">
        <f t="shared" si="25"/>
        <v>0</v>
      </c>
      <c r="DU19">
        <f t="shared" si="25"/>
        <v>0</v>
      </c>
      <c r="DV19">
        <f t="shared" si="25"/>
        <v>0</v>
      </c>
      <c r="DW19">
        <f t="shared" si="25"/>
        <v>0</v>
      </c>
      <c r="DX19">
        <f t="shared" si="25"/>
        <v>0</v>
      </c>
      <c r="DY19">
        <f t="shared" si="25"/>
        <v>0</v>
      </c>
      <c r="DZ19">
        <f t="shared" si="26"/>
        <v>0</v>
      </c>
      <c r="EA19">
        <f t="shared" si="26"/>
        <v>0</v>
      </c>
      <c r="EB19">
        <f t="shared" si="26"/>
        <v>0</v>
      </c>
      <c r="EC19">
        <f t="shared" si="26"/>
        <v>0</v>
      </c>
      <c r="ED19">
        <f t="shared" si="26"/>
        <v>0</v>
      </c>
      <c r="EE19">
        <f t="shared" si="26"/>
        <v>0</v>
      </c>
      <c r="EF19">
        <f t="shared" si="26"/>
        <v>0</v>
      </c>
      <c r="EG19">
        <f t="shared" si="26"/>
        <v>0</v>
      </c>
      <c r="EH19">
        <f t="shared" si="26"/>
        <v>0</v>
      </c>
      <c r="EI19">
        <f t="shared" si="26"/>
        <v>0</v>
      </c>
      <c r="EJ19">
        <f>SUM(Tabla1[[#This Row],[1]:[130]])</f>
        <v>0</v>
      </c>
    </row>
    <row r="20" spans="1:140" ht="15.75" customHeight="1" x14ac:dyDescent="0.25">
      <c r="A20" t="str">
        <f>B20&amp;"-"&amp;COUNTIF($B$2:B20,B20)</f>
        <v>I. QUESO GRANULADO-1</v>
      </c>
      <c r="B20" s="35" t="s">
        <v>9</v>
      </c>
      <c r="C20">
        <f>VLOOKUP(B20,RECETAS!D19:$E$1700,2,FALSE)</f>
        <v>0</v>
      </c>
      <c r="D20" s="34"/>
      <c r="G20" t="b">
        <f t="shared" si="0"/>
        <v>1</v>
      </c>
      <c r="I20" s="38" t="s">
        <v>310</v>
      </c>
      <c r="J20">
        <f t="shared" si="14"/>
        <v>0</v>
      </c>
      <c r="K20">
        <f t="shared" si="14"/>
        <v>0</v>
      </c>
      <c r="L20">
        <f t="shared" si="14"/>
        <v>0</v>
      </c>
      <c r="M20">
        <f t="shared" si="14"/>
        <v>0</v>
      </c>
      <c r="N20">
        <f t="shared" si="14"/>
        <v>0</v>
      </c>
      <c r="O20">
        <f t="shared" si="14"/>
        <v>0</v>
      </c>
      <c r="P20">
        <f t="shared" si="14"/>
        <v>0</v>
      </c>
      <c r="Q20">
        <f t="shared" si="14"/>
        <v>0</v>
      </c>
      <c r="R20">
        <f t="shared" si="14"/>
        <v>0</v>
      </c>
      <c r="S20">
        <f t="shared" si="14"/>
        <v>0</v>
      </c>
      <c r="T20">
        <f t="shared" si="15"/>
        <v>0</v>
      </c>
      <c r="U20">
        <f t="shared" si="15"/>
        <v>0</v>
      </c>
      <c r="V20">
        <f t="shared" si="15"/>
        <v>0</v>
      </c>
      <c r="W20">
        <f t="shared" si="15"/>
        <v>0</v>
      </c>
      <c r="X20">
        <f t="shared" si="15"/>
        <v>0</v>
      </c>
      <c r="Y20">
        <f t="shared" si="15"/>
        <v>0</v>
      </c>
      <c r="Z20">
        <f t="shared" si="15"/>
        <v>0</v>
      </c>
      <c r="AA20">
        <f t="shared" si="15"/>
        <v>0</v>
      </c>
      <c r="AB20">
        <f t="shared" si="15"/>
        <v>0</v>
      </c>
      <c r="AC20">
        <f t="shared" si="15"/>
        <v>0</v>
      </c>
      <c r="AD20">
        <f t="shared" si="16"/>
        <v>0</v>
      </c>
      <c r="AE20">
        <f t="shared" si="16"/>
        <v>0</v>
      </c>
      <c r="AF20">
        <f t="shared" si="16"/>
        <v>0</v>
      </c>
      <c r="AG20">
        <f t="shared" si="16"/>
        <v>0</v>
      </c>
      <c r="AH20">
        <f t="shared" si="16"/>
        <v>0</v>
      </c>
      <c r="AI20">
        <f t="shared" si="16"/>
        <v>0</v>
      </c>
      <c r="AJ20">
        <f t="shared" si="16"/>
        <v>0</v>
      </c>
      <c r="AK20">
        <f t="shared" si="16"/>
        <v>0</v>
      </c>
      <c r="AL20">
        <f t="shared" si="16"/>
        <v>0</v>
      </c>
      <c r="AM20">
        <f t="shared" si="16"/>
        <v>0</v>
      </c>
      <c r="AN20">
        <f t="shared" si="17"/>
        <v>0</v>
      </c>
      <c r="AO20">
        <f t="shared" si="17"/>
        <v>0</v>
      </c>
      <c r="AP20">
        <f t="shared" si="17"/>
        <v>0</v>
      </c>
      <c r="AQ20">
        <f t="shared" si="17"/>
        <v>0</v>
      </c>
      <c r="AR20">
        <f t="shared" si="17"/>
        <v>0</v>
      </c>
      <c r="AS20">
        <f t="shared" si="17"/>
        <v>0</v>
      </c>
      <c r="AT20">
        <f t="shared" si="17"/>
        <v>0</v>
      </c>
      <c r="AU20">
        <f t="shared" si="17"/>
        <v>0</v>
      </c>
      <c r="AV20">
        <f t="shared" si="17"/>
        <v>0</v>
      </c>
      <c r="AW20">
        <f t="shared" si="17"/>
        <v>0</v>
      </c>
      <c r="AX20">
        <f t="shared" si="18"/>
        <v>0</v>
      </c>
      <c r="AY20">
        <f t="shared" si="18"/>
        <v>0</v>
      </c>
      <c r="AZ20">
        <f t="shared" si="18"/>
        <v>0</v>
      </c>
      <c r="BA20">
        <f t="shared" si="18"/>
        <v>0</v>
      </c>
      <c r="BB20">
        <f t="shared" si="18"/>
        <v>0</v>
      </c>
      <c r="BC20">
        <f t="shared" si="18"/>
        <v>0</v>
      </c>
      <c r="BD20">
        <f t="shared" si="18"/>
        <v>0</v>
      </c>
      <c r="BE20">
        <f t="shared" si="18"/>
        <v>0</v>
      </c>
      <c r="BF20">
        <f t="shared" si="18"/>
        <v>0</v>
      </c>
      <c r="BG20">
        <f t="shared" si="18"/>
        <v>0</v>
      </c>
      <c r="BH20">
        <f t="shared" si="19"/>
        <v>0</v>
      </c>
      <c r="BI20">
        <f t="shared" si="19"/>
        <v>0</v>
      </c>
      <c r="BJ20">
        <f t="shared" si="19"/>
        <v>0</v>
      </c>
      <c r="BK20">
        <f t="shared" si="19"/>
        <v>0</v>
      </c>
      <c r="BL20">
        <f t="shared" si="19"/>
        <v>0</v>
      </c>
      <c r="BM20">
        <f t="shared" si="19"/>
        <v>0</v>
      </c>
      <c r="BN20">
        <f t="shared" si="19"/>
        <v>0</v>
      </c>
      <c r="BO20">
        <f t="shared" si="19"/>
        <v>0</v>
      </c>
      <c r="BP20">
        <f t="shared" si="19"/>
        <v>0</v>
      </c>
      <c r="BQ20">
        <f t="shared" si="19"/>
        <v>0</v>
      </c>
      <c r="BR20">
        <f t="shared" si="20"/>
        <v>0</v>
      </c>
      <c r="BS20">
        <f t="shared" si="20"/>
        <v>0</v>
      </c>
      <c r="BT20">
        <f t="shared" si="20"/>
        <v>0</v>
      </c>
      <c r="BU20">
        <f t="shared" si="20"/>
        <v>0</v>
      </c>
      <c r="BV20">
        <f t="shared" si="20"/>
        <v>0</v>
      </c>
      <c r="BW20">
        <f t="shared" si="20"/>
        <v>0</v>
      </c>
      <c r="BX20">
        <f t="shared" si="20"/>
        <v>0</v>
      </c>
      <c r="BY20">
        <f t="shared" si="20"/>
        <v>0</v>
      </c>
      <c r="BZ20">
        <f t="shared" si="20"/>
        <v>0</v>
      </c>
      <c r="CA20">
        <f t="shared" si="20"/>
        <v>0</v>
      </c>
      <c r="CB20">
        <f t="shared" si="21"/>
        <v>0</v>
      </c>
      <c r="CC20">
        <f t="shared" si="21"/>
        <v>0</v>
      </c>
      <c r="CD20">
        <f t="shared" si="21"/>
        <v>0</v>
      </c>
      <c r="CE20">
        <f t="shared" si="21"/>
        <v>0</v>
      </c>
      <c r="CF20">
        <f t="shared" si="21"/>
        <v>0</v>
      </c>
      <c r="CG20">
        <f t="shared" si="21"/>
        <v>0</v>
      </c>
      <c r="CH20">
        <f t="shared" si="21"/>
        <v>0</v>
      </c>
      <c r="CI20">
        <f t="shared" si="21"/>
        <v>0</v>
      </c>
      <c r="CJ20">
        <f t="shared" si="21"/>
        <v>0</v>
      </c>
      <c r="CK20">
        <f t="shared" si="21"/>
        <v>0</v>
      </c>
      <c r="CL20">
        <f t="shared" si="22"/>
        <v>0</v>
      </c>
      <c r="CM20">
        <f t="shared" si="22"/>
        <v>0</v>
      </c>
      <c r="CN20">
        <f t="shared" si="22"/>
        <v>0</v>
      </c>
      <c r="CO20">
        <f t="shared" si="22"/>
        <v>0</v>
      </c>
      <c r="CP20">
        <f t="shared" si="22"/>
        <v>0</v>
      </c>
      <c r="CQ20">
        <f t="shared" si="22"/>
        <v>0</v>
      </c>
      <c r="CR20">
        <f t="shared" si="22"/>
        <v>0</v>
      </c>
      <c r="CS20">
        <f t="shared" si="22"/>
        <v>0</v>
      </c>
      <c r="CT20">
        <f t="shared" si="22"/>
        <v>0</v>
      </c>
      <c r="CU20">
        <f t="shared" si="22"/>
        <v>0</v>
      </c>
      <c r="CV20">
        <f t="shared" si="23"/>
        <v>0</v>
      </c>
      <c r="CW20">
        <f t="shared" si="23"/>
        <v>0</v>
      </c>
      <c r="CX20">
        <f t="shared" si="23"/>
        <v>0</v>
      </c>
      <c r="CY20">
        <f t="shared" si="23"/>
        <v>0</v>
      </c>
      <c r="CZ20">
        <f t="shared" si="23"/>
        <v>0</v>
      </c>
      <c r="DA20">
        <f t="shared" si="23"/>
        <v>0</v>
      </c>
      <c r="DB20">
        <f t="shared" si="23"/>
        <v>0</v>
      </c>
      <c r="DC20">
        <f t="shared" si="23"/>
        <v>0</v>
      </c>
      <c r="DD20">
        <f t="shared" si="23"/>
        <v>0</v>
      </c>
      <c r="DE20">
        <f t="shared" si="23"/>
        <v>0</v>
      </c>
      <c r="DF20">
        <f t="shared" si="24"/>
        <v>0</v>
      </c>
      <c r="DG20">
        <f t="shared" si="24"/>
        <v>0</v>
      </c>
      <c r="DH20">
        <f t="shared" si="24"/>
        <v>0</v>
      </c>
      <c r="DI20">
        <f t="shared" si="24"/>
        <v>0</v>
      </c>
      <c r="DJ20">
        <f t="shared" si="24"/>
        <v>0</v>
      </c>
      <c r="DK20">
        <f t="shared" si="24"/>
        <v>0</v>
      </c>
      <c r="DL20">
        <f t="shared" si="24"/>
        <v>0</v>
      </c>
      <c r="DM20">
        <f t="shared" si="24"/>
        <v>0</v>
      </c>
      <c r="DN20">
        <f t="shared" si="24"/>
        <v>0</v>
      </c>
      <c r="DO20">
        <f t="shared" si="24"/>
        <v>0</v>
      </c>
      <c r="DP20">
        <f t="shared" si="25"/>
        <v>0</v>
      </c>
      <c r="DQ20">
        <f t="shared" si="25"/>
        <v>0</v>
      </c>
      <c r="DR20">
        <f t="shared" si="25"/>
        <v>0</v>
      </c>
      <c r="DS20">
        <f t="shared" si="25"/>
        <v>0</v>
      </c>
      <c r="DT20">
        <f t="shared" si="25"/>
        <v>0</v>
      </c>
      <c r="DU20">
        <f t="shared" si="25"/>
        <v>0</v>
      </c>
      <c r="DV20">
        <f t="shared" si="25"/>
        <v>0</v>
      </c>
      <c r="DW20">
        <f t="shared" si="25"/>
        <v>0</v>
      </c>
      <c r="DX20">
        <f t="shared" si="25"/>
        <v>0</v>
      </c>
      <c r="DY20">
        <f t="shared" si="25"/>
        <v>0</v>
      </c>
      <c r="DZ20">
        <f t="shared" si="26"/>
        <v>0</v>
      </c>
      <c r="EA20">
        <f t="shared" si="26"/>
        <v>0</v>
      </c>
      <c r="EB20">
        <f t="shared" si="26"/>
        <v>0</v>
      </c>
      <c r="EC20">
        <f t="shared" si="26"/>
        <v>0</v>
      </c>
      <c r="ED20">
        <f t="shared" si="26"/>
        <v>0</v>
      </c>
      <c r="EE20">
        <f t="shared" si="26"/>
        <v>0</v>
      </c>
      <c r="EF20">
        <f t="shared" si="26"/>
        <v>0</v>
      </c>
      <c r="EG20">
        <f t="shared" si="26"/>
        <v>0</v>
      </c>
      <c r="EH20">
        <f t="shared" si="26"/>
        <v>0</v>
      </c>
      <c r="EI20">
        <f t="shared" si="26"/>
        <v>0</v>
      </c>
      <c r="EJ20">
        <f>SUM(Tabla1[[#This Row],[1]:[130]])</f>
        <v>0</v>
      </c>
    </row>
    <row r="21" spans="1:140" ht="15" customHeight="1" x14ac:dyDescent="0.25">
      <c r="A21" t="str">
        <f>B21&amp;"-"&amp;COUNTIF($B$2:B21,B21)</f>
        <v>I. TOMATE-1</v>
      </c>
      <c r="B21" s="35" t="s">
        <v>34</v>
      </c>
      <c r="C21">
        <f>VLOOKUP(B21,RECETAS!D20:$E$1700,2,FALSE)</f>
        <v>0</v>
      </c>
      <c r="D21" s="34"/>
      <c r="G21" t="b">
        <f t="shared" si="0"/>
        <v>1</v>
      </c>
      <c r="I21" s="36" t="s">
        <v>218</v>
      </c>
      <c r="J21">
        <f t="shared" si="14"/>
        <v>0</v>
      </c>
      <c r="K21">
        <f t="shared" si="14"/>
        <v>0</v>
      </c>
      <c r="L21">
        <f t="shared" si="14"/>
        <v>0</v>
      </c>
      <c r="M21">
        <f t="shared" si="14"/>
        <v>0</v>
      </c>
      <c r="N21">
        <f t="shared" si="14"/>
        <v>0</v>
      </c>
      <c r="O21">
        <f t="shared" si="14"/>
        <v>0</v>
      </c>
      <c r="P21">
        <f t="shared" si="14"/>
        <v>0</v>
      </c>
      <c r="Q21">
        <f t="shared" si="14"/>
        <v>0</v>
      </c>
      <c r="R21">
        <f t="shared" si="14"/>
        <v>0</v>
      </c>
      <c r="S21">
        <f t="shared" si="14"/>
        <v>0</v>
      </c>
      <c r="T21">
        <f t="shared" si="15"/>
        <v>0</v>
      </c>
      <c r="U21">
        <f t="shared" si="15"/>
        <v>0</v>
      </c>
      <c r="V21">
        <f t="shared" si="15"/>
        <v>0</v>
      </c>
      <c r="W21">
        <f t="shared" si="15"/>
        <v>0</v>
      </c>
      <c r="X21">
        <f t="shared" si="15"/>
        <v>0</v>
      </c>
      <c r="Y21">
        <f t="shared" si="15"/>
        <v>0</v>
      </c>
      <c r="Z21">
        <f t="shared" si="15"/>
        <v>0</v>
      </c>
      <c r="AA21">
        <f t="shared" si="15"/>
        <v>0</v>
      </c>
      <c r="AB21">
        <f t="shared" si="15"/>
        <v>0</v>
      </c>
      <c r="AC21">
        <f t="shared" si="15"/>
        <v>0</v>
      </c>
      <c r="AD21">
        <f t="shared" si="16"/>
        <v>0</v>
      </c>
      <c r="AE21">
        <f t="shared" si="16"/>
        <v>0</v>
      </c>
      <c r="AF21">
        <f t="shared" si="16"/>
        <v>0</v>
      </c>
      <c r="AG21">
        <f t="shared" si="16"/>
        <v>0</v>
      </c>
      <c r="AH21">
        <f t="shared" si="16"/>
        <v>0</v>
      </c>
      <c r="AI21">
        <f t="shared" si="16"/>
        <v>0</v>
      </c>
      <c r="AJ21">
        <f t="shared" si="16"/>
        <v>0</v>
      </c>
      <c r="AK21">
        <f t="shared" si="16"/>
        <v>0</v>
      </c>
      <c r="AL21">
        <f t="shared" si="16"/>
        <v>0</v>
      </c>
      <c r="AM21">
        <f t="shared" si="16"/>
        <v>0</v>
      </c>
      <c r="AN21">
        <f t="shared" si="17"/>
        <v>0</v>
      </c>
      <c r="AO21">
        <f t="shared" si="17"/>
        <v>0</v>
      </c>
      <c r="AP21">
        <f t="shared" si="17"/>
        <v>0</v>
      </c>
      <c r="AQ21">
        <f t="shared" si="17"/>
        <v>0</v>
      </c>
      <c r="AR21">
        <f t="shared" si="17"/>
        <v>0</v>
      </c>
      <c r="AS21">
        <f t="shared" si="17"/>
        <v>0</v>
      </c>
      <c r="AT21">
        <f t="shared" si="17"/>
        <v>0</v>
      </c>
      <c r="AU21">
        <f t="shared" si="17"/>
        <v>0</v>
      </c>
      <c r="AV21">
        <f t="shared" si="17"/>
        <v>0</v>
      </c>
      <c r="AW21">
        <f t="shared" si="17"/>
        <v>0</v>
      </c>
      <c r="AX21">
        <f t="shared" si="18"/>
        <v>0</v>
      </c>
      <c r="AY21">
        <f t="shared" si="18"/>
        <v>0</v>
      </c>
      <c r="AZ21">
        <f t="shared" si="18"/>
        <v>0</v>
      </c>
      <c r="BA21">
        <f t="shared" si="18"/>
        <v>0</v>
      </c>
      <c r="BB21">
        <f t="shared" si="18"/>
        <v>0</v>
      </c>
      <c r="BC21">
        <f t="shared" si="18"/>
        <v>0</v>
      </c>
      <c r="BD21">
        <f t="shared" si="18"/>
        <v>0</v>
      </c>
      <c r="BE21">
        <f t="shared" si="18"/>
        <v>0</v>
      </c>
      <c r="BF21">
        <f t="shared" si="18"/>
        <v>0</v>
      </c>
      <c r="BG21">
        <f t="shared" si="18"/>
        <v>0</v>
      </c>
      <c r="BH21">
        <f t="shared" si="19"/>
        <v>0</v>
      </c>
      <c r="BI21">
        <f t="shared" si="19"/>
        <v>0</v>
      </c>
      <c r="BJ21">
        <f t="shared" si="19"/>
        <v>0</v>
      </c>
      <c r="BK21">
        <f t="shared" si="19"/>
        <v>0</v>
      </c>
      <c r="BL21">
        <f t="shared" si="19"/>
        <v>0</v>
      </c>
      <c r="BM21">
        <f t="shared" si="19"/>
        <v>0</v>
      </c>
      <c r="BN21">
        <f t="shared" si="19"/>
        <v>0</v>
      </c>
      <c r="BO21">
        <f t="shared" si="19"/>
        <v>0</v>
      </c>
      <c r="BP21">
        <f t="shared" si="19"/>
        <v>0</v>
      </c>
      <c r="BQ21">
        <f t="shared" si="19"/>
        <v>0</v>
      </c>
      <c r="BR21">
        <f t="shared" si="20"/>
        <v>0</v>
      </c>
      <c r="BS21">
        <f t="shared" si="20"/>
        <v>0</v>
      </c>
      <c r="BT21">
        <f t="shared" si="20"/>
        <v>0</v>
      </c>
      <c r="BU21">
        <f t="shared" si="20"/>
        <v>0</v>
      </c>
      <c r="BV21">
        <f t="shared" si="20"/>
        <v>0</v>
      </c>
      <c r="BW21">
        <f t="shared" si="20"/>
        <v>0</v>
      </c>
      <c r="BX21">
        <f t="shared" si="20"/>
        <v>0</v>
      </c>
      <c r="BY21">
        <f t="shared" si="20"/>
        <v>0</v>
      </c>
      <c r="BZ21">
        <f t="shared" si="20"/>
        <v>0</v>
      </c>
      <c r="CA21">
        <f t="shared" si="20"/>
        <v>0</v>
      </c>
      <c r="CB21">
        <f t="shared" si="21"/>
        <v>0</v>
      </c>
      <c r="CC21">
        <f t="shared" si="21"/>
        <v>0</v>
      </c>
      <c r="CD21">
        <f t="shared" si="21"/>
        <v>0</v>
      </c>
      <c r="CE21">
        <f t="shared" si="21"/>
        <v>0</v>
      </c>
      <c r="CF21">
        <f t="shared" si="21"/>
        <v>0</v>
      </c>
      <c r="CG21">
        <f t="shared" si="21"/>
        <v>0</v>
      </c>
      <c r="CH21">
        <f t="shared" si="21"/>
        <v>0</v>
      </c>
      <c r="CI21">
        <f t="shared" si="21"/>
        <v>0</v>
      </c>
      <c r="CJ21">
        <f t="shared" si="21"/>
        <v>0</v>
      </c>
      <c r="CK21">
        <f t="shared" si="21"/>
        <v>0</v>
      </c>
      <c r="CL21">
        <f t="shared" si="22"/>
        <v>0</v>
      </c>
      <c r="CM21">
        <f t="shared" si="22"/>
        <v>0</v>
      </c>
      <c r="CN21">
        <f t="shared" si="22"/>
        <v>0</v>
      </c>
      <c r="CO21">
        <f t="shared" si="22"/>
        <v>0</v>
      </c>
      <c r="CP21">
        <f t="shared" si="22"/>
        <v>0</v>
      </c>
      <c r="CQ21">
        <f t="shared" si="22"/>
        <v>0</v>
      </c>
      <c r="CR21">
        <f t="shared" si="22"/>
        <v>0</v>
      </c>
      <c r="CS21">
        <f t="shared" si="22"/>
        <v>0</v>
      </c>
      <c r="CT21">
        <f t="shared" si="22"/>
        <v>0</v>
      </c>
      <c r="CU21">
        <f t="shared" si="22"/>
        <v>0</v>
      </c>
      <c r="CV21">
        <f t="shared" si="23"/>
        <v>0</v>
      </c>
      <c r="CW21">
        <f t="shared" si="23"/>
        <v>0</v>
      </c>
      <c r="CX21">
        <f t="shared" si="23"/>
        <v>0</v>
      </c>
      <c r="CY21">
        <f t="shared" si="23"/>
        <v>0</v>
      </c>
      <c r="CZ21">
        <f t="shared" si="23"/>
        <v>0</v>
      </c>
      <c r="DA21">
        <f t="shared" si="23"/>
        <v>0</v>
      </c>
      <c r="DB21">
        <f t="shared" si="23"/>
        <v>0</v>
      </c>
      <c r="DC21">
        <f t="shared" si="23"/>
        <v>0</v>
      </c>
      <c r="DD21">
        <f t="shared" si="23"/>
        <v>0</v>
      </c>
      <c r="DE21">
        <f t="shared" si="23"/>
        <v>0</v>
      </c>
      <c r="DF21">
        <f t="shared" si="24"/>
        <v>0</v>
      </c>
      <c r="DG21">
        <f t="shared" si="24"/>
        <v>0</v>
      </c>
      <c r="DH21">
        <f t="shared" si="24"/>
        <v>0</v>
      </c>
      <c r="DI21">
        <f t="shared" si="24"/>
        <v>0</v>
      </c>
      <c r="DJ21">
        <f t="shared" si="24"/>
        <v>0</v>
      </c>
      <c r="DK21">
        <f t="shared" si="24"/>
        <v>0</v>
      </c>
      <c r="DL21">
        <f t="shared" si="24"/>
        <v>0</v>
      </c>
      <c r="DM21">
        <f t="shared" si="24"/>
        <v>0</v>
      </c>
      <c r="DN21">
        <f t="shared" si="24"/>
        <v>0</v>
      </c>
      <c r="DO21">
        <f t="shared" si="24"/>
        <v>0</v>
      </c>
      <c r="DP21">
        <f t="shared" si="25"/>
        <v>0</v>
      </c>
      <c r="DQ21">
        <f t="shared" si="25"/>
        <v>0</v>
      </c>
      <c r="DR21">
        <f t="shared" si="25"/>
        <v>0</v>
      </c>
      <c r="DS21">
        <f t="shared" si="25"/>
        <v>0</v>
      </c>
      <c r="DT21">
        <f t="shared" si="25"/>
        <v>0</v>
      </c>
      <c r="DU21">
        <f t="shared" si="25"/>
        <v>0</v>
      </c>
      <c r="DV21">
        <f t="shared" si="25"/>
        <v>0</v>
      </c>
      <c r="DW21">
        <f t="shared" si="25"/>
        <v>0</v>
      </c>
      <c r="DX21">
        <f t="shared" si="25"/>
        <v>0</v>
      </c>
      <c r="DY21">
        <f t="shared" si="25"/>
        <v>0</v>
      </c>
      <c r="DZ21">
        <f t="shared" si="26"/>
        <v>0</v>
      </c>
      <c r="EA21">
        <f t="shared" si="26"/>
        <v>0</v>
      </c>
      <c r="EB21">
        <f t="shared" si="26"/>
        <v>0</v>
      </c>
      <c r="EC21">
        <f t="shared" si="26"/>
        <v>0</v>
      </c>
      <c r="ED21">
        <f t="shared" si="26"/>
        <v>0</v>
      </c>
      <c r="EE21">
        <f t="shared" si="26"/>
        <v>0</v>
      </c>
      <c r="EF21">
        <f t="shared" si="26"/>
        <v>0</v>
      </c>
      <c r="EG21">
        <f t="shared" si="26"/>
        <v>0</v>
      </c>
      <c r="EH21">
        <f t="shared" si="26"/>
        <v>0</v>
      </c>
      <c r="EI21">
        <f t="shared" si="26"/>
        <v>0</v>
      </c>
      <c r="EJ21">
        <f>SUM(Tabla1[[#This Row],[1]:[130]])</f>
        <v>0</v>
      </c>
    </row>
    <row r="22" spans="1:140" ht="15" customHeight="1" x14ac:dyDescent="0.25">
      <c r="A22" t="str">
        <f>B22&amp;"-"&amp;COUNTIF($B$2:B22,B22)</f>
        <v>I. CAMARON PORCION-1</v>
      </c>
      <c r="B22" s="36" t="s">
        <v>6</v>
      </c>
      <c r="C22">
        <f>VLOOKUP(B22,RECETAS!D21:$E$1700,2,FALSE)</f>
        <v>0</v>
      </c>
      <c r="D22" s="34"/>
      <c r="G22" t="b">
        <f t="shared" si="0"/>
        <v>1</v>
      </c>
      <c r="I22" s="36" t="s">
        <v>221</v>
      </c>
      <c r="J22">
        <f t="shared" si="14"/>
        <v>0</v>
      </c>
      <c r="K22">
        <f t="shared" si="14"/>
        <v>0</v>
      </c>
      <c r="L22">
        <f t="shared" si="14"/>
        <v>0</v>
      </c>
      <c r="M22">
        <f t="shared" si="14"/>
        <v>0</v>
      </c>
      <c r="N22">
        <f t="shared" si="14"/>
        <v>0</v>
      </c>
      <c r="O22">
        <f t="shared" si="14"/>
        <v>0</v>
      </c>
      <c r="P22">
        <f t="shared" si="14"/>
        <v>0</v>
      </c>
      <c r="Q22">
        <f t="shared" si="14"/>
        <v>0</v>
      </c>
      <c r="R22">
        <f t="shared" si="14"/>
        <v>0</v>
      </c>
      <c r="S22">
        <f t="shared" si="14"/>
        <v>0</v>
      </c>
      <c r="T22">
        <f t="shared" si="15"/>
        <v>0</v>
      </c>
      <c r="U22">
        <f t="shared" si="15"/>
        <v>0</v>
      </c>
      <c r="V22">
        <f t="shared" si="15"/>
        <v>0</v>
      </c>
      <c r="W22">
        <f t="shared" si="15"/>
        <v>0</v>
      </c>
      <c r="X22">
        <f t="shared" si="15"/>
        <v>0</v>
      </c>
      <c r="Y22">
        <f t="shared" si="15"/>
        <v>0</v>
      </c>
      <c r="Z22">
        <f t="shared" si="15"/>
        <v>0</v>
      </c>
      <c r="AA22">
        <f t="shared" si="15"/>
        <v>0</v>
      </c>
      <c r="AB22">
        <f t="shared" si="15"/>
        <v>0</v>
      </c>
      <c r="AC22">
        <f t="shared" si="15"/>
        <v>0</v>
      </c>
      <c r="AD22">
        <f t="shared" si="16"/>
        <v>0</v>
      </c>
      <c r="AE22">
        <f t="shared" si="16"/>
        <v>0</v>
      </c>
      <c r="AF22">
        <f t="shared" si="16"/>
        <v>0</v>
      </c>
      <c r="AG22">
        <f t="shared" si="16"/>
        <v>0</v>
      </c>
      <c r="AH22">
        <f t="shared" si="16"/>
        <v>0</v>
      </c>
      <c r="AI22">
        <f t="shared" si="16"/>
        <v>0</v>
      </c>
      <c r="AJ22">
        <f t="shared" si="16"/>
        <v>0</v>
      </c>
      <c r="AK22">
        <f t="shared" si="16"/>
        <v>0</v>
      </c>
      <c r="AL22">
        <f t="shared" si="16"/>
        <v>0</v>
      </c>
      <c r="AM22">
        <f t="shared" si="16"/>
        <v>0</v>
      </c>
      <c r="AN22">
        <f t="shared" si="17"/>
        <v>0</v>
      </c>
      <c r="AO22">
        <f t="shared" si="17"/>
        <v>0</v>
      </c>
      <c r="AP22">
        <f t="shared" si="17"/>
        <v>0</v>
      </c>
      <c r="AQ22">
        <f t="shared" si="17"/>
        <v>0</v>
      </c>
      <c r="AR22">
        <f t="shared" si="17"/>
        <v>0</v>
      </c>
      <c r="AS22">
        <f t="shared" si="17"/>
        <v>0</v>
      </c>
      <c r="AT22">
        <f t="shared" si="17"/>
        <v>0</v>
      </c>
      <c r="AU22">
        <f t="shared" si="17"/>
        <v>0</v>
      </c>
      <c r="AV22">
        <f t="shared" si="17"/>
        <v>0</v>
      </c>
      <c r="AW22">
        <f t="shared" si="17"/>
        <v>0</v>
      </c>
      <c r="AX22">
        <f t="shared" si="18"/>
        <v>0</v>
      </c>
      <c r="AY22">
        <f t="shared" si="18"/>
        <v>0</v>
      </c>
      <c r="AZ22">
        <f t="shared" si="18"/>
        <v>0</v>
      </c>
      <c r="BA22">
        <f t="shared" si="18"/>
        <v>0</v>
      </c>
      <c r="BB22">
        <f t="shared" si="18"/>
        <v>0</v>
      </c>
      <c r="BC22">
        <f t="shared" si="18"/>
        <v>0</v>
      </c>
      <c r="BD22">
        <f t="shared" si="18"/>
        <v>0</v>
      </c>
      <c r="BE22">
        <f t="shared" si="18"/>
        <v>0</v>
      </c>
      <c r="BF22">
        <f t="shared" si="18"/>
        <v>0</v>
      </c>
      <c r="BG22">
        <f t="shared" si="18"/>
        <v>0</v>
      </c>
      <c r="BH22">
        <f t="shared" si="19"/>
        <v>0</v>
      </c>
      <c r="BI22">
        <f t="shared" si="19"/>
        <v>0</v>
      </c>
      <c r="BJ22">
        <f t="shared" si="19"/>
        <v>0</v>
      </c>
      <c r="BK22">
        <f t="shared" si="19"/>
        <v>0</v>
      </c>
      <c r="BL22">
        <f t="shared" si="19"/>
        <v>0</v>
      </c>
      <c r="BM22">
        <f t="shared" si="19"/>
        <v>0</v>
      </c>
      <c r="BN22">
        <f t="shared" si="19"/>
        <v>0</v>
      </c>
      <c r="BO22">
        <f t="shared" si="19"/>
        <v>0</v>
      </c>
      <c r="BP22">
        <f t="shared" si="19"/>
        <v>0</v>
      </c>
      <c r="BQ22">
        <f t="shared" si="19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 t="shared" si="20"/>
        <v>0</v>
      </c>
      <c r="BW22">
        <f t="shared" si="20"/>
        <v>0</v>
      </c>
      <c r="BX22">
        <f t="shared" si="20"/>
        <v>0</v>
      </c>
      <c r="BY22">
        <f t="shared" si="20"/>
        <v>0</v>
      </c>
      <c r="BZ22">
        <f t="shared" si="20"/>
        <v>0</v>
      </c>
      <c r="CA22">
        <f t="shared" si="20"/>
        <v>0</v>
      </c>
      <c r="CB22">
        <f t="shared" si="21"/>
        <v>0</v>
      </c>
      <c r="CC22">
        <f t="shared" si="21"/>
        <v>0</v>
      </c>
      <c r="CD22">
        <f t="shared" si="21"/>
        <v>0</v>
      </c>
      <c r="CE22">
        <f t="shared" si="21"/>
        <v>0</v>
      </c>
      <c r="CF22">
        <f t="shared" si="21"/>
        <v>0</v>
      </c>
      <c r="CG22">
        <f t="shared" si="21"/>
        <v>0</v>
      </c>
      <c r="CH22">
        <f t="shared" si="21"/>
        <v>0</v>
      </c>
      <c r="CI22">
        <f t="shared" si="21"/>
        <v>0</v>
      </c>
      <c r="CJ22">
        <f t="shared" si="21"/>
        <v>0</v>
      </c>
      <c r="CK22">
        <f t="shared" si="21"/>
        <v>0</v>
      </c>
      <c r="CL22">
        <f t="shared" si="22"/>
        <v>0</v>
      </c>
      <c r="CM22">
        <f t="shared" si="22"/>
        <v>0</v>
      </c>
      <c r="CN22">
        <f t="shared" si="22"/>
        <v>0</v>
      </c>
      <c r="CO22">
        <f t="shared" si="22"/>
        <v>0</v>
      </c>
      <c r="CP22">
        <f t="shared" si="22"/>
        <v>0</v>
      </c>
      <c r="CQ22">
        <f t="shared" si="22"/>
        <v>0</v>
      </c>
      <c r="CR22">
        <f t="shared" si="22"/>
        <v>0</v>
      </c>
      <c r="CS22">
        <f t="shared" si="22"/>
        <v>0</v>
      </c>
      <c r="CT22">
        <f t="shared" si="22"/>
        <v>0</v>
      </c>
      <c r="CU22">
        <f t="shared" si="22"/>
        <v>0</v>
      </c>
      <c r="CV22">
        <f t="shared" si="23"/>
        <v>0</v>
      </c>
      <c r="CW22">
        <f t="shared" si="23"/>
        <v>0</v>
      </c>
      <c r="CX22">
        <f t="shared" si="23"/>
        <v>0</v>
      </c>
      <c r="CY22">
        <f t="shared" si="23"/>
        <v>0</v>
      </c>
      <c r="CZ22">
        <f t="shared" si="23"/>
        <v>0</v>
      </c>
      <c r="DA22">
        <f t="shared" si="23"/>
        <v>0</v>
      </c>
      <c r="DB22">
        <f t="shared" si="23"/>
        <v>0</v>
      </c>
      <c r="DC22">
        <f t="shared" si="23"/>
        <v>0</v>
      </c>
      <c r="DD22">
        <f t="shared" si="23"/>
        <v>0</v>
      </c>
      <c r="DE22">
        <f t="shared" si="23"/>
        <v>0</v>
      </c>
      <c r="DF22">
        <f t="shared" si="24"/>
        <v>0</v>
      </c>
      <c r="DG22">
        <f t="shared" si="24"/>
        <v>0</v>
      </c>
      <c r="DH22">
        <f t="shared" si="24"/>
        <v>0</v>
      </c>
      <c r="DI22">
        <f t="shared" si="24"/>
        <v>0</v>
      </c>
      <c r="DJ22">
        <f t="shared" si="24"/>
        <v>0</v>
      </c>
      <c r="DK22">
        <f t="shared" si="24"/>
        <v>0</v>
      </c>
      <c r="DL22">
        <f t="shared" si="24"/>
        <v>0</v>
      </c>
      <c r="DM22">
        <f t="shared" si="24"/>
        <v>0</v>
      </c>
      <c r="DN22">
        <f t="shared" si="24"/>
        <v>0</v>
      </c>
      <c r="DO22">
        <f t="shared" si="24"/>
        <v>0</v>
      </c>
      <c r="DP22">
        <f t="shared" si="25"/>
        <v>0</v>
      </c>
      <c r="DQ22">
        <f t="shared" si="25"/>
        <v>0</v>
      </c>
      <c r="DR22">
        <f t="shared" si="25"/>
        <v>0</v>
      </c>
      <c r="DS22">
        <f t="shared" si="25"/>
        <v>0</v>
      </c>
      <c r="DT22">
        <f t="shared" si="25"/>
        <v>0</v>
      </c>
      <c r="DU22">
        <f t="shared" si="25"/>
        <v>0</v>
      </c>
      <c r="DV22">
        <f t="shared" si="25"/>
        <v>0</v>
      </c>
      <c r="DW22">
        <f t="shared" si="25"/>
        <v>0</v>
      </c>
      <c r="DX22">
        <f t="shared" si="25"/>
        <v>0</v>
      </c>
      <c r="DY22">
        <f t="shared" si="25"/>
        <v>0</v>
      </c>
      <c r="DZ22">
        <f t="shared" si="26"/>
        <v>0</v>
      </c>
      <c r="EA22">
        <f t="shared" si="26"/>
        <v>0</v>
      </c>
      <c r="EB22">
        <f t="shared" si="26"/>
        <v>0</v>
      </c>
      <c r="EC22">
        <f t="shared" si="26"/>
        <v>0</v>
      </c>
      <c r="ED22">
        <f t="shared" si="26"/>
        <v>0</v>
      </c>
      <c r="EE22">
        <f t="shared" si="26"/>
        <v>0</v>
      </c>
      <c r="EF22">
        <f t="shared" si="26"/>
        <v>0</v>
      </c>
      <c r="EG22">
        <f t="shared" si="26"/>
        <v>0</v>
      </c>
      <c r="EH22">
        <f t="shared" si="26"/>
        <v>0</v>
      </c>
      <c r="EI22">
        <f t="shared" si="26"/>
        <v>0</v>
      </c>
      <c r="EJ22">
        <f>SUM(Tabla1[[#This Row],[1]:[130]])</f>
        <v>0</v>
      </c>
    </row>
    <row r="23" spans="1:140" ht="15.75" customHeight="1" thickBot="1" x14ac:dyDescent="0.3">
      <c r="A23" t="str">
        <f>B23&amp;"-"&amp;COUNTIF($B$2:B23,B23)</f>
        <v>I. CREMA ESPESA-4</v>
      </c>
      <c r="B23" s="28" t="s">
        <v>16</v>
      </c>
      <c r="C23">
        <f>VLOOKUP(B23,RECETAS!D22:$E$1700,2,FALSE)</f>
        <v>0</v>
      </c>
      <c r="D23" s="27"/>
      <c r="G23" t="b">
        <f t="shared" si="0"/>
        <v>1</v>
      </c>
      <c r="I23" s="173" t="s">
        <v>686</v>
      </c>
      <c r="J23">
        <f t="shared" ref="J23:S32" si="27">IFERROR(VLOOKUP($I23&amp;"-"&amp;J$2,$A$3:$C$1700,3,FALSE),0)</f>
        <v>0</v>
      </c>
      <c r="K23">
        <f t="shared" si="27"/>
        <v>0</v>
      </c>
      <c r="L23">
        <f t="shared" si="27"/>
        <v>0</v>
      </c>
      <c r="M23">
        <f t="shared" si="27"/>
        <v>0</v>
      </c>
      <c r="N23">
        <f t="shared" si="27"/>
        <v>0</v>
      </c>
      <c r="O23">
        <f t="shared" si="27"/>
        <v>0</v>
      </c>
      <c r="P23">
        <f t="shared" si="27"/>
        <v>0</v>
      </c>
      <c r="Q23">
        <f t="shared" si="27"/>
        <v>0</v>
      </c>
      <c r="R23">
        <f t="shared" si="27"/>
        <v>0</v>
      </c>
      <c r="S23">
        <f t="shared" si="27"/>
        <v>0</v>
      </c>
      <c r="T23">
        <f t="shared" ref="T23:AC32" si="28">IFERROR(VLOOKUP($I23&amp;"-"&amp;T$2,$A$3:$C$1700,3,FALSE),0)</f>
        <v>0</v>
      </c>
      <c r="U23">
        <f t="shared" si="28"/>
        <v>0</v>
      </c>
      <c r="V23">
        <f t="shared" si="28"/>
        <v>0</v>
      </c>
      <c r="W23">
        <f t="shared" si="28"/>
        <v>0</v>
      </c>
      <c r="X23">
        <f t="shared" si="28"/>
        <v>0</v>
      </c>
      <c r="Y23">
        <f t="shared" si="28"/>
        <v>0</v>
      </c>
      <c r="Z23">
        <f t="shared" si="28"/>
        <v>0</v>
      </c>
      <c r="AA23">
        <f t="shared" si="28"/>
        <v>0</v>
      </c>
      <c r="AB23">
        <f t="shared" si="28"/>
        <v>0</v>
      </c>
      <c r="AC23">
        <f t="shared" si="28"/>
        <v>0</v>
      </c>
      <c r="AD23">
        <f t="shared" ref="AD23:AM32" si="29">IFERROR(VLOOKUP($I23&amp;"-"&amp;AD$2,$A$3:$C$1700,3,FALSE),0)</f>
        <v>0</v>
      </c>
      <c r="AE23">
        <f t="shared" si="29"/>
        <v>0</v>
      </c>
      <c r="AF23">
        <f t="shared" si="29"/>
        <v>0</v>
      </c>
      <c r="AG23">
        <f t="shared" si="29"/>
        <v>0</v>
      </c>
      <c r="AH23">
        <f t="shared" si="29"/>
        <v>0</v>
      </c>
      <c r="AI23">
        <f t="shared" si="29"/>
        <v>0</v>
      </c>
      <c r="AJ23">
        <f t="shared" si="29"/>
        <v>0</v>
      </c>
      <c r="AK23">
        <f t="shared" si="29"/>
        <v>0</v>
      </c>
      <c r="AL23">
        <f t="shared" si="29"/>
        <v>0</v>
      </c>
      <c r="AM23">
        <f t="shared" si="29"/>
        <v>0</v>
      </c>
      <c r="AN23">
        <f t="shared" ref="AN23:AW32" si="30">IFERROR(VLOOKUP($I23&amp;"-"&amp;AN$2,$A$3:$C$1700,3,FALSE),0)</f>
        <v>0</v>
      </c>
      <c r="AO23">
        <f t="shared" si="30"/>
        <v>0</v>
      </c>
      <c r="AP23">
        <f t="shared" si="30"/>
        <v>0</v>
      </c>
      <c r="AQ23">
        <f t="shared" si="30"/>
        <v>0</v>
      </c>
      <c r="AR23">
        <f t="shared" si="30"/>
        <v>0</v>
      </c>
      <c r="AS23">
        <f t="shared" si="30"/>
        <v>0</v>
      </c>
      <c r="AT23">
        <f t="shared" si="30"/>
        <v>0</v>
      </c>
      <c r="AU23">
        <f t="shared" si="30"/>
        <v>0</v>
      </c>
      <c r="AV23">
        <f t="shared" si="30"/>
        <v>0</v>
      </c>
      <c r="AW23">
        <f t="shared" si="30"/>
        <v>0</v>
      </c>
      <c r="AX23">
        <f t="shared" ref="AX23:BG32" si="31">IFERROR(VLOOKUP($I23&amp;"-"&amp;AX$2,$A$3:$C$1700,3,FALSE),0)</f>
        <v>0</v>
      </c>
      <c r="AY23">
        <f t="shared" si="31"/>
        <v>0</v>
      </c>
      <c r="AZ23">
        <f t="shared" si="31"/>
        <v>0</v>
      </c>
      <c r="BA23">
        <f t="shared" si="31"/>
        <v>0</v>
      </c>
      <c r="BB23">
        <f t="shared" si="31"/>
        <v>0</v>
      </c>
      <c r="BC23">
        <f t="shared" si="31"/>
        <v>0</v>
      </c>
      <c r="BD23">
        <f t="shared" si="31"/>
        <v>0</v>
      </c>
      <c r="BE23">
        <f t="shared" si="31"/>
        <v>0</v>
      </c>
      <c r="BF23">
        <f t="shared" si="31"/>
        <v>0</v>
      </c>
      <c r="BG23">
        <f t="shared" si="31"/>
        <v>0</v>
      </c>
      <c r="BH23">
        <f t="shared" ref="BH23:BQ32" si="32">IFERROR(VLOOKUP($I23&amp;"-"&amp;BH$2,$A$3:$C$1700,3,FALSE),0)</f>
        <v>0</v>
      </c>
      <c r="BI23">
        <f t="shared" si="32"/>
        <v>0</v>
      </c>
      <c r="BJ23">
        <f t="shared" si="32"/>
        <v>0</v>
      </c>
      <c r="BK23">
        <f t="shared" si="32"/>
        <v>0</v>
      </c>
      <c r="BL23">
        <f t="shared" si="32"/>
        <v>0</v>
      </c>
      <c r="BM23">
        <f t="shared" si="32"/>
        <v>0</v>
      </c>
      <c r="BN23">
        <f t="shared" si="32"/>
        <v>0</v>
      </c>
      <c r="BO23">
        <f t="shared" si="32"/>
        <v>0</v>
      </c>
      <c r="BP23">
        <f t="shared" si="32"/>
        <v>0</v>
      </c>
      <c r="BQ23">
        <f t="shared" si="32"/>
        <v>0</v>
      </c>
      <c r="BR23">
        <f t="shared" ref="BR23:CA32" si="33">IFERROR(VLOOKUP($I23&amp;"-"&amp;BR$2,$A$3:$C$1700,3,FALSE),0)</f>
        <v>0</v>
      </c>
      <c r="BS23">
        <f t="shared" si="33"/>
        <v>0</v>
      </c>
      <c r="BT23">
        <f t="shared" si="33"/>
        <v>0</v>
      </c>
      <c r="BU23">
        <f t="shared" si="33"/>
        <v>0</v>
      </c>
      <c r="BV23">
        <f t="shared" si="33"/>
        <v>0</v>
      </c>
      <c r="BW23">
        <f t="shared" si="33"/>
        <v>0</v>
      </c>
      <c r="BX23">
        <f t="shared" si="33"/>
        <v>0</v>
      </c>
      <c r="BY23">
        <f t="shared" si="33"/>
        <v>0</v>
      </c>
      <c r="BZ23">
        <f t="shared" si="33"/>
        <v>0</v>
      </c>
      <c r="CA23">
        <f t="shared" si="33"/>
        <v>0</v>
      </c>
      <c r="CB23">
        <f t="shared" ref="CB23:CK32" si="34">IFERROR(VLOOKUP($I23&amp;"-"&amp;CB$2,$A$3:$C$1700,3,FALSE),0)</f>
        <v>0</v>
      </c>
      <c r="CC23">
        <f t="shared" si="34"/>
        <v>0</v>
      </c>
      <c r="CD23">
        <f t="shared" si="34"/>
        <v>0</v>
      </c>
      <c r="CE23">
        <f t="shared" si="34"/>
        <v>0</v>
      </c>
      <c r="CF23">
        <f t="shared" si="34"/>
        <v>0</v>
      </c>
      <c r="CG23">
        <f t="shared" si="34"/>
        <v>0</v>
      </c>
      <c r="CH23">
        <f t="shared" si="34"/>
        <v>0</v>
      </c>
      <c r="CI23">
        <f t="shared" si="34"/>
        <v>0</v>
      </c>
      <c r="CJ23">
        <f t="shared" si="34"/>
        <v>0</v>
      </c>
      <c r="CK23">
        <f t="shared" si="34"/>
        <v>0</v>
      </c>
      <c r="CL23">
        <f t="shared" ref="CL23:CU32" si="35">IFERROR(VLOOKUP($I23&amp;"-"&amp;CL$2,$A$3:$C$1700,3,FALSE),0)</f>
        <v>0</v>
      </c>
      <c r="CM23">
        <f t="shared" si="35"/>
        <v>0</v>
      </c>
      <c r="CN23">
        <f t="shared" si="35"/>
        <v>0</v>
      </c>
      <c r="CO23">
        <f t="shared" si="35"/>
        <v>0</v>
      </c>
      <c r="CP23">
        <f t="shared" si="35"/>
        <v>0</v>
      </c>
      <c r="CQ23">
        <f t="shared" si="35"/>
        <v>0</v>
      </c>
      <c r="CR23">
        <f t="shared" si="35"/>
        <v>0</v>
      </c>
      <c r="CS23">
        <f t="shared" si="35"/>
        <v>0</v>
      </c>
      <c r="CT23">
        <f t="shared" si="35"/>
        <v>0</v>
      </c>
      <c r="CU23">
        <f t="shared" si="35"/>
        <v>0</v>
      </c>
      <c r="CV23">
        <f t="shared" ref="CV23:DE32" si="36">IFERROR(VLOOKUP($I23&amp;"-"&amp;CV$2,$A$3:$C$1700,3,FALSE),0)</f>
        <v>0</v>
      </c>
      <c r="CW23">
        <f t="shared" si="36"/>
        <v>0</v>
      </c>
      <c r="CX23">
        <f t="shared" si="36"/>
        <v>0</v>
      </c>
      <c r="CY23">
        <f t="shared" si="36"/>
        <v>0</v>
      </c>
      <c r="CZ23">
        <f t="shared" si="36"/>
        <v>0</v>
      </c>
      <c r="DA23">
        <f t="shared" si="36"/>
        <v>0</v>
      </c>
      <c r="DB23">
        <f t="shared" si="36"/>
        <v>0</v>
      </c>
      <c r="DC23">
        <f t="shared" si="36"/>
        <v>0</v>
      </c>
      <c r="DD23">
        <f t="shared" si="36"/>
        <v>0</v>
      </c>
      <c r="DE23">
        <f t="shared" si="36"/>
        <v>0</v>
      </c>
      <c r="DF23">
        <f t="shared" ref="DF23:DO32" si="37">IFERROR(VLOOKUP($I23&amp;"-"&amp;DF$2,$A$3:$C$1700,3,FALSE),0)</f>
        <v>0</v>
      </c>
      <c r="DG23">
        <f t="shared" si="37"/>
        <v>0</v>
      </c>
      <c r="DH23">
        <f t="shared" si="37"/>
        <v>0</v>
      </c>
      <c r="DI23">
        <f t="shared" si="37"/>
        <v>0</v>
      </c>
      <c r="DJ23">
        <f t="shared" si="37"/>
        <v>0</v>
      </c>
      <c r="DK23">
        <f t="shared" si="37"/>
        <v>0</v>
      </c>
      <c r="DL23">
        <f t="shared" si="37"/>
        <v>0</v>
      </c>
      <c r="DM23">
        <f t="shared" si="37"/>
        <v>0</v>
      </c>
      <c r="DN23">
        <f t="shared" si="37"/>
        <v>0</v>
      </c>
      <c r="DO23">
        <f t="shared" si="37"/>
        <v>0</v>
      </c>
      <c r="DP23">
        <f t="shared" ref="DP23:DY32" si="38">IFERROR(VLOOKUP($I23&amp;"-"&amp;DP$2,$A$3:$C$1700,3,FALSE),0)</f>
        <v>0</v>
      </c>
      <c r="DQ23">
        <f t="shared" si="38"/>
        <v>0</v>
      </c>
      <c r="DR23">
        <f t="shared" si="38"/>
        <v>0</v>
      </c>
      <c r="DS23">
        <f t="shared" si="38"/>
        <v>0</v>
      </c>
      <c r="DT23">
        <f t="shared" si="38"/>
        <v>0</v>
      </c>
      <c r="DU23">
        <f t="shared" si="38"/>
        <v>0</v>
      </c>
      <c r="DV23">
        <f t="shared" si="38"/>
        <v>0</v>
      </c>
      <c r="DW23">
        <f t="shared" si="38"/>
        <v>0</v>
      </c>
      <c r="DX23">
        <f t="shared" si="38"/>
        <v>0</v>
      </c>
      <c r="DY23">
        <f t="shared" si="38"/>
        <v>0</v>
      </c>
      <c r="DZ23">
        <f t="shared" ref="DZ23:EI32" si="39">IFERROR(VLOOKUP($I23&amp;"-"&amp;DZ$2,$A$3:$C$1700,3,FALSE),0)</f>
        <v>0</v>
      </c>
      <c r="EA23">
        <f t="shared" si="39"/>
        <v>0</v>
      </c>
      <c r="EB23">
        <f t="shared" si="39"/>
        <v>0</v>
      </c>
      <c r="EC23">
        <f t="shared" si="39"/>
        <v>0</v>
      </c>
      <c r="ED23">
        <f t="shared" si="39"/>
        <v>0</v>
      </c>
      <c r="EE23">
        <f t="shared" si="39"/>
        <v>0</v>
      </c>
      <c r="EF23">
        <f t="shared" si="39"/>
        <v>0</v>
      </c>
      <c r="EG23">
        <f t="shared" si="39"/>
        <v>0</v>
      </c>
      <c r="EH23">
        <f t="shared" si="39"/>
        <v>0</v>
      </c>
      <c r="EI23">
        <f t="shared" si="39"/>
        <v>0</v>
      </c>
      <c r="EJ23">
        <f>SUM(Tabla1[[#This Row],[1]:[130]])</f>
        <v>0</v>
      </c>
    </row>
    <row r="24" spans="1:140" ht="15" customHeight="1" x14ac:dyDescent="0.25">
      <c r="A24" t="str">
        <f>B24&amp;"-"&amp;COUNTIF($B$2:B24,B24)</f>
        <v>I. TORTILLAS GR-1</v>
      </c>
      <c r="B24" s="31" t="s">
        <v>7</v>
      </c>
      <c r="C24">
        <f>VLOOKUP(B24,RECETAS!D23:$E$1700,2,FALSE)</f>
        <v>33</v>
      </c>
      <c r="D24" s="30" t="s">
        <v>324</v>
      </c>
      <c r="G24" t="b">
        <f t="shared" si="0"/>
        <v>1</v>
      </c>
      <c r="I24" s="174" t="s">
        <v>684</v>
      </c>
      <c r="J24">
        <f t="shared" si="27"/>
        <v>0</v>
      </c>
      <c r="K24">
        <f t="shared" si="27"/>
        <v>0</v>
      </c>
      <c r="L24">
        <f t="shared" si="27"/>
        <v>0</v>
      </c>
      <c r="M24">
        <f t="shared" si="27"/>
        <v>0</v>
      </c>
      <c r="N24">
        <f t="shared" si="27"/>
        <v>0</v>
      </c>
      <c r="O24">
        <f t="shared" si="27"/>
        <v>0</v>
      </c>
      <c r="P24">
        <f t="shared" si="27"/>
        <v>0</v>
      </c>
      <c r="Q24">
        <f t="shared" si="27"/>
        <v>0</v>
      </c>
      <c r="R24">
        <f t="shared" si="27"/>
        <v>0</v>
      </c>
      <c r="S24">
        <f t="shared" si="27"/>
        <v>0</v>
      </c>
      <c r="T24">
        <f t="shared" si="28"/>
        <v>0</v>
      </c>
      <c r="U24">
        <f t="shared" si="28"/>
        <v>0</v>
      </c>
      <c r="V24">
        <f t="shared" si="28"/>
        <v>0</v>
      </c>
      <c r="W24">
        <f t="shared" si="28"/>
        <v>0</v>
      </c>
      <c r="X24">
        <f t="shared" si="28"/>
        <v>0</v>
      </c>
      <c r="Y24">
        <f t="shared" si="28"/>
        <v>0</v>
      </c>
      <c r="Z24">
        <f t="shared" si="28"/>
        <v>0</v>
      </c>
      <c r="AA24">
        <f t="shared" si="28"/>
        <v>0</v>
      </c>
      <c r="AB24">
        <f t="shared" si="28"/>
        <v>0</v>
      </c>
      <c r="AC24">
        <f t="shared" si="28"/>
        <v>0</v>
      </c>
      <c r="AD24">
        <f t="shared" si="29"/>
        <v>0</v>
      </c>
      <c r="AE24">
        <f t="shared" si="29"/>
        <v>0</v>
      </c>
      <c r="AF24">
        <f t="shared" si="29"/>
        <v>0</v>
      </c>
      <c r="AG24">
        <f t="shared" si="29"/>
        <v>0</v>
      </c>
      <c r="AH24">
        <f t="shared" si="29"/>
        <v>0</v>
      </c>
      <c r="AI24">
        <f t="shared" si="29"/>
        <v>0</v>
      </c>
      <c r="AJ24">
        <f t="shared" si="29"/>
        <v>0</v>
      </c>
      <c r="AK24">
        <f t="shared" si="29"/>
        <v>0</v>
      </c>
      <c r="AL24">
        <f t="shared" si="29"/>
        <v>0</v>
      </c>
      <c r="AM24">
        <f t="shared" si="29"/>
        <v>0</v>
      </c>
      <c r="AN24">
        <f t="shared" si="30"/>
        <v>0</v>
      </c>
      <c r="AO24">
        <f t="shared" si="30"/>
        <v>0</v>
      </c>
      <c r="AP24">
        <f t="shared" si="30"/>
        <v>0</v>
      </c>
      <c r="AQ24">
        <f t="shared" si="30"/>
        <v>0</v>
      </c>
      <c r="AR24">
        <f t="shared" si="30"/>
        <v>0</v>
      </c>
      <c r="AS24">
        <f t="shared" si="30"/>
        <v>0</v>
      </c>
      <c r="AT24">
        <f t="shared" si="30"/>
        <v>0</v>
      </c>
      <c r="AU24">
        <f t="shared" si="30"/>
        <v>0</v>
      </c>
      <c r="AV24">
        <f t="shared" si="30"/>
        <v>0</v>
      </c>
      <c r="AW24">
        <f t="shared" si="30"/>
        <v>0</v>
      </c>
      <c r="AX24">
        <f t="shared" si="31"/>
        <v>0</v>
      </c>
      <c r="AY24">
        <f t="shared" si="31"/>
        <v>0</v>
      </c>
      <c r="AZ24">
        <f t="shared" si="31"/>
        <v>0</v>
      </c>
      <c r="BA24">
        <f t="shared" si="31"/>
        <v>0</v>
      </c>
      <c r="BB24">
        <f t="shared" si="31"/>
        <v>0</v>
      </c>
      <c r="BC24">
        <f t="shared" si="31"/>
        <v>0</v>
      </c>
      <c r="BD24">
        <f t="shared" si="31"/>
        <v>0</v>
      </c>
      <c r="BE24">
        <f t="shared" si="31"/>
        <v>0</v>
      </c>
      <c r="BF24">
        <f t="shared" si="31"/>
        <v>0</v>
      </c>
      <c r="BG24">
        <f t="shared" si="31"/>
        <v>0</v>
      </c>
      <c r="BH24">
        <f t="shared" si="32"/>
        <v>0</v>
      </c>
      <c r="BI24">
        <f t="shared" si="32"/>
        <v>0</v>
      </c>
      <c r="BJ24">
        <f t="shared" si="32"/>
        <v>0</v>
      </c>
      <c r="BK24">
        <f t="shared" si="32"/>
        <v>0</v>
      </c>
      <c r="BL24">
        <f t="shared" si="32"/>
        <v>0</v>
      </c>
      <c r="BM24">
        <f t="shared" si="32"/>
        <v>0</v>
      </c>
      <c r="BN24">
        <f t="shared" si="32"/>
        <v>0</v>
      </c>
      <c r="BO24">
        <f t="shared" si="32"/>
        <v>0</v>
      </c>
      <c r="BP24">
        <f t="shared" si="32"/>
        <v>0</v>
      </c>
      <c r="BQ24">
        <f t="shared" si="32"/>
        <v>0</v>
      </c>
      <c r="BR24">
        <f t="shared" si="33"/>
        <v>0</v>
      </c>
      <c r="BS24">
        <f t="shared" si="33"/>
        <v>0</v>
      </c>
      <c r="BT24">
        <f t="shared" si="33"/>
        <v>0</v>
      </c>
      <c r="BU24">
        <f t="shared" si="33"/>
        <v>0</v>
      </c>
      <c r="BV24">
        <f t="shared" si="33"/>
        <v>0</v>
      </c>
      <c r="BW24">
        <f t="shared" si="33"/>
        <v>0</v>
      </c>
      <c r="BX24">
        <f t="shared" si="33"/>
        <v>0</v>
      </c>
      <c r="BY24">
        <f t="shared" si="33"/>
        <v>0</v>
      </c>
      <c r="BZ24">
        <f t="shared" si="33"/>
        <v>0</v>
      </c>
      <c r="CA24">
        <f t="shared" si="33"/>
        <v>0</v>
      </c>
      <c r="CB24">
        <f t="shared" si="34"/>
        <v>0</v>
      </c>
      <c r="CC24">
        <f t="shared" si="34"/>
        <v>0</v>
      </c>
      <c r="CD24">
        <f t="shared" si="34"/>
        <v>0</v>
      </c>
      <c r="CE24">
        <f t="shared" si="34"/>
        <v>0</v>
      </c>
      <c r="CF24">
        <f t="shared" si="34"/>
        <v>0</v>
      </c>
      <c r="CG24">
        <f t="shared" si="34"/>
        <v>0</v>
      </c>
      <c r="CH24">
        <f t="shared" si="34"/>
        <v>0</v>
      </c>
      <c r="CI24">
        <f t="shared" si="34"/>
        <v>0</v>
      </c>
      <c r="CJ24">
        <f t="shared" si="34"/>
        <v>0</v>
      </c>
      <c r="CK24">
        <f t="shared" si="34"/>
        <v>0</v>
      </c>
      <c r="CL24">
        <f t="shared" si="35"/>
        <v>0</v>
      </c>
      <c r="CM24">
        <f t="shared" si="35"/>
        <v>0</v>
      </c>
      <c r="CN24">
        <f t="shared" si="35"/>
        <v>0</v>
      </c>
      <c r="CO24">
        <f t="shared" si="35"/>
        <v>0</v>
      </c>
      <c r="CP24">
        <f t="shared" si="35"/>
        <v>0</v>
      </c>
      <c r="CQ24">
        <f t="shared" si="35"/>
        <v>0</v>
      </c>
      <c r="CR24">
        <f t="shared" si="35"/>
        <v>0</v>
      </c>
      <c r="CS24">
        <f t="shared" si="35"/>
        <v>0</v>
      </c>
      <c r="CT24">
        <f t="shared" si="35"/>
        <v>0</v>
      </c>
      <c r="CU24">
        <f t="shared" si="35"/>
        <v>0</v>
      </c>
      <c r="CV24">
        <f t="shared" si="36"/>
        <v>0</v>
      </c>
      <c r="CW24">
        <f t="shared" si="36"/>
        <v>0</v>
      </c>
      <c r="CX24">
        <f t="shared" si="36"/>
        <v>0</v>
      </c>
      <c r="CY24">
        <f t="shared" si="36"/>
        <v>0</v>
      </c>
      <c r="CZ24">
        <f t="shared" si="36"/>
        <v>0</v>
      </c>
      <c r="DA24">
        <f t="shared" si="36"/>
        <v>0</v>
      </c>
      <c r="DB24">
        <f t="shared" si="36"/>
        <v>0</v>
      </c>
      <c r="DC24">
        <f t="shared" si="36"/>
        <v>0</v>
      </c>
      <c r="DD24">
        <f t="shared" si="36"/>
        <v>0</v>
      </c>
      <c r="DE24">
        <f t="shared" si="36"/>
        <v>0</v>
      </c>
      <c r="DF24">
        <f t="shared" si="37"/>
        <v>0</v>
      </c>
      <c r="DG24">
        <f t="shared" si="37"/>
        <v>0</v>
      </c>
      <c r="DH24">
        <f t="shared" si="37"/>
        <v>0</v>
      </c>
      <c r="DI24">
        <f t="shared" si="37"/>
        <v>0</v>
      </c>
      <c r="DJ24">
        <f t="shared" si="37"/>
        <v>0</v>
      </c>
      <c r="DK24">
        <f t="shared" si="37"/>
        <v>0</v>
      </c>
      <c r="DL24">
        <f t="shared" si="37"/>
        <v>0</v>
      </c>
      <c r="DM24">
        <f t="shared" si="37"/>
        <v>0</v>
      </c>
      <c r="DN24">
        <f t="shared" si="37"/>
        <v>0</v>
      </c>
      <c r="DO24">
        <f t="shared" si="37"/>
        <v>0</v>
      </c>
      <c r="DP24">
        <f t="shared" si="38"/>
        <v>0</v>
      </c>
      <c r="DQ24">
        <f t="shared" si="38"/>
        <v>0</v>
      </c>
      <c r="DR24">
        <f t="shared" si="38"/>
        <v>0</v>
      </c>
      <c r="DS24">
        <f t="shared" si="38"/>
        <v>0</v>
      </c>
      <c r="DT24">
        <f t="shared" si="38"/>
        <v>0</v>
      </c>
      <c r="DU24">
        <f t="shared" si="38"/>
        <v>0</v>
      </c>
      <c r="DV24">
        <f t="shared" si="38"/>
        <v>0</v>
      </c>
      <c r="DW24">
        <f t="shared" si="38"/>
        <v>0</v>
      </c>
      <c r="DX24">
        <f t="shared" si="38"/>
        <v>0</v>
      </c>
      <c r="DY24">
        <f t="shared" si="38"/>
        <v>0</v>
      </c>
      <c r="DZ24">
        <f t="shared" si="39"/>
        <v>0</v>
      </c>
      <c r="EA24">
        <f t="shared" si="39"/>
        <v>0</v>
      </c>
      <c r="EB24">
        <f t="shared" si="39"/>
        <v>0</v>
      </c>
      <c r="EC24">
        <f t="shared" si="39"/>
        <v>0</v>
      </c>
      <c r="ED24">
        <f t="shared" si="39"/>
        <v>0</v>
      </c>
      <c r="EE24">
        <f t="shared" si="39"/>
        <v>0</v>
      </c>
      <c r="EF24">
        <f t="shared" si="39"/>
        <v>0</v>
      </c>
      <c r="EG24">
        <f t="shared" si="39"/>
        <v>0</v>
      </c>
      <c r="EH24">
        <f t="shared" si="39"/>
        <v>0</v>
      </c>
      <c r="EI24">
        <f t="shared" si="39"/>
        <v>0</v>
      </c>
      <c r="EJ24">
        <f>SUM(Tabla1[[#This Row],[1]:[130]])</f>
        <v>0</v>
      </c>
    </row>
    <row r="25" spans="1:140" ht="15" customHeight="1" x14ac:dyDescent="0.25">
      <c r="A25" t="str">
        <f>B25&amp;"-"&amp;COUNTIF($B$2:B25,B25)</f>
        <v>I. fil. pollo ques-1</v>
      </c>
      <c r="B25" s="35" t="s">
        <v>74</v>
      </c>
      <c r="C25">
        <f>VLOOKUP(B25,RECETAS!D24:$E$1700,2,FALSE)</f>
        <v>33</v>
      </c>
      <c r="D25" s="34"/>
      <c r="G25" t="b">
        <f t="shared" si="0"/>
        <v>1</v>
      </c>
      <c r="I25" s="36" t="s">
        <v>219</v>
      </c>
      <c r="J25">
        <f t="shared" si="27"/>
        <v>63500</v>
      </c>
      <c r="K25">
        <f t="shared" si="27"/>
        <v>500</v>
      </c>
      <c r="L25">
        <f t="shared" si="27"/>
        <v>0</v>
      </c>
      <c r="M25">
        <f t="shared" si="27"/>
        <v>0</v>
      </c>
      <c r="N25">
        <f t="shared" si="27"/>
        <v>0</v>
      </c>
      <c r="O25">
        <f t="shared" si="27"/>
        <v>0</v>
      </c>
      <c r="P25">
        <f t="shared" si="27"/>
        <v>0</v>
      </c>
      <c r="Q25">
        <f t="shared" si="27"/>
        <v>0</v>
      </c>
      <c r="R25">
        <f t="shared" si="27"/>
        <v>0</v>
      </c>
      <c r="S25">
        <f t="shared" si="27"/>
        <v>0</v>
      </c>
      <c r="T25">
        <f t="shared" si="28"/>
        <v>0</v>
      </c>
      <c r="U25">
        <f t="shared" si="28"/>
        <v>0</v>
      </c>
      <c r="V25">
        <f t="shared" si="28"/>
        <v>0</v>
      </c>
      <c r="W25">
        <f t="shared" si="28"/>
        <v>0</v>
      </c>
      <c r="X25">
        <f t="shared" si="28"/>
        <v>0</v>
      </c>
      <c r="Y25">
        <f t="shared" si="28"/>
        <v>0</v>
      </c>
      <c r="Z25">
        <f t="shared" si="28"/>
        <v>0</v>
      </c>
      <c r="AA25">
        <f t="shared" si="28"/>
        <v>0</v>
      </c>
      <c r="AB25">
        <f t="shared" si="28"/>
        <v>0</v>
      </c>
      <c r="AC25">
        <f t="shared" si="28"/>
        <v>0</v>
      </c>
      <c r="AD25">
        <f t="shared" si="29"/>
        <v>0</v>
      </c>
      <c r="AE25">
        <f t="shared" si="29"/>
        <v>0</v>
      </c>
      <c r="AF25">
        <f t="shared" si="29"/>
        <v>0</v>
      </c>
      <c r="AG25">
        <f t="shared" si="29"/>
        <v>0</v>
      </c>
      <c r="AH25">
        <f t="shared" si="29"/>
        <v>0</v>
      </c>
      <c r="AI25">
        <f t="shared" si="29"/>
        <v>0</v>
      </c>
      <c r="AJ25">
        <f t="shared" si="29"/>
        <v>0</v>
      </c>
      <c r="AK25">
        <f t="shared" si="29"/>
        <v>0</v>
      </c>
      <c r="AL25">
        <f t="shared" si="29"/>
        <v>0</v>
      </c>
      <c r="AM25">
        <f t="shared" si="29"/>
        <v>0</v>
      </c>
      <c r="AN25">
        <f t="shared" si="30"/>
        <v>0</v>
      </c>
      <c r="AO25">
        <f t="shared" si="30"/>
        <v>0</v>
      </c>
      <c r="AP25">
        <f t="shared" si="30"/>
        <v>0</v>
      </c>
      <c r="AQ25">
        <f t="shared" si="30"/>
        <v>0</v>
      </c>
      <c r="AR25">
        <f t="shared" si="30"/>
        <v>0</v>
      </c>
      <c r="AS25">
        <f t="shared" si="30"/>
        <v>0</v>
      </c>
      <c r="AT25">
        <f t="shared" si="30"/>
        <v>0</v>
      </c>
      <c r="AU25">
        <f t="shared" si="30"/>
        <v>0</v>
      </c>
      <c r="AV25">
        <f t="shared" si="30"/>
        <v>0</v>
      </c>
      <c r="AW25">
        <f t="shared" si="30"/>
        <v>0</v>
      </c>
      <c r="AX25">
        <f t="shared" si="31"/>
        <v>0</v>
      </c>
      <c r="AY25">
        <f t="shared" si="31"/>
        <v>0</v>
      </c>
      <c r="AZ25">
        <f t="shared" si="31"/>
        <v>0</v>
      </c>
      <c r="BA25">
        <f t="shared" si="31"/>
        <v>0</v>
      </c>
      <c r="BB25">
        <f t="shared" si="31"/>
        <v>0</v>
      </c>
      <c r="BC25">
        <f t="shared" si="31"/>
        <v>0</v>
      </c>
      <c r="BD25">
        <f t="shared" si="31"/>
        <v>0</v>
      </c>
      <c r="BE25">
        <f t="shared" si="31"/>
        <v>0</v>
      </c>
      <c r="BF25">
        <f t="shared" si="31"/>
        <v>0</v>
      </c>
      <c r="BG25">
        <f t="shared" si="31"/>
        <v>0</v>
      </c>
      <c r="BH25">
        <f t="shared" si="32"/>
        <v>0</v>
      </c>
      <c r="BI25">
        <f t="shared" si="32"/>
        <v>0</v>
      </c>
      <c r="BJ25">
        <f t="shared" si="32"/>
        <v>0</v>
      </c>
      <c r="BK25">
        <f t="shared" si="32"/>
        <v>0</v>
      </c>
      <c r="BL25">
        <f t="shared" si="32"/>
        <v>0</v>
      </c>
      <c r="BM25">
        <f t="shared" si="32"/>
        <v>0</v>
      </c>
      <c r="BN25">
        <f t="shared" si="32"/>
        <v>0</v>
      </c>
      <c r="BO25">
        <f t="shared" si="32"/>
        <v>0</v>
      </c>
      <c r="BP25">
        <f t="shared" si="32"/>
        <v>0</v>
      </c>
      <c r="BQ25">
        <f t="shared" si="32"/>
        <v>0</v>
      </c>
      <c r="BR25">
        <f t="shared" si="33"/>
        <v>0</v>
      </c>
      <c r="BS25">
        <f t="shared" si="33"/>
        <v>0</v>
      </c>
      <c r="BT25">
        <f t="shared" si="33"/>
        <v>0</v>
      </c>
      <c r="BU25">
        <f t="shared" si="33"/>
        <v>0</v>
      </c>
      <c r="BV25">
        <f t="shared" si="33"/>
        <v>0</v>
      </c>
      <c r="BW25">
        <f t="shared" si="33"/>
        <v>0</v>
      </c>
      <c r="BX25">
        <f t="shared" si="33"/>
        <v>0</v>
      </c>
      <c r="BY25">
        <f t="shared" si="33"/>
        <v>0</v>
      </c>
      <c r="BZ25">
        <f t="shared" si="33"/>
        <v>0</v>
      </c>
      <c r="CA25">
        <f t="shared" si="33"/>
        <v>0</v>
      </c>
      <c r="CB25">
        <f t="shared" si="34"/>
        <v>0</v>
      </c>
      <c r="CC25">
        <f t="shared" si="34"/>
        <v>0</v>
      </c>
      <c r="CD25">
        <f t="shared" si="34"/>
        <v>0</v>
      </c>
      <c r="CE25">
        <f t="shared" si="34"/>
        <v>0</v>
      </c>
      <c r="CF25">
        <f t="shared" si="34"/>
        <v>0</v>
      </c>
      <c r="CG25">
        <f t="shared" si="34"/>
        <v>0</v>
      </c>
      <c r="CH25">
        <f t="shared" si="34"/>
        <v>0</v>
      </c>
      <c r="CI25">
        <f t="shared" si="34"/>
        <v>0</v>
      </c>
      <c r="CJ25">
        <f t="shared" si="34"/>
        <v>0</v>
      </c>
      <c r="CK25">
        <f t="shared" si="34"/>
        <v>0</v>
      </c>
      <c r="CL25">
        <f t="shared" si="35"/>
        <v>0</v>
      </c>
      <c r="CM25">
        <f t="shared" si="35"/>
        <v>0</v>
      </c>
      <c r="CN25">
        <f t="shared" si="35"/>
        <v>0</v>
      </c>
      <c r="CO25">
        <f t="shared" si="35"/>
        <v>0</v>
      </c>
      <c r="CP25">
        <f t="shared" si="35"/>
        <v>0</v>
      </c>
      <c r="CQ25">
        <f t="shared" si="35"/>
        <v>0</v>
      </c>
      <c r="CR25">
        <f t="shared" si="35"/>
        <v>0</v>
      </c>
      <c r="CS25">
        <f t="shared" si="35"/>
        <v>0</v>
      </c>
      <c r="CT25">
        <f t="shared" si="35"/>
        <v>0</v>
      </c>
      <c r="CU25">
        <f t="shared" si="35"/>
        <v>0</v>
      </c>
      <c r="CV25">
        <f t="shared" si="36"/>
        <v>0</v>
      </c>
      <c r="CW25">
        <f t="shared" si="36"/>
        <v>0</v>
      </c>
      <c r="CX25">
        <f t="shared" si="36"/>
        <v>0</v>
      </c>
      <c r="CY25">
        <f t="shared" si="36"/>
        <v>0</v>
      </c>
      <c r="CZ25">
        <f t="shared" si="36"/>
        <v>0</v>
      </c>
      <c r="DA25">
        <f t="shared" si="36"/>
        <v>0</v>
      </c>
      <c r="DB25">
        <f t="shared" si="36"/>
        <v>0</v>
      </c>
      <c r="DC25">
        <f t="shared" si="36"/>
        <v>0</v>
      </c>
      <c r="DD25">
        <f t="shared" si="36"/>
        <v>0</v>
      </c>
      <c r="DE25">
        <f t="shared" si="36"/>
        <v>0</v>
      </c>
      <c r="DF25">
        <f t="shared" si="37"/>
        <v>0</v>
      </c>
      <c r="DG25">
        <f t="shared" si="37"/>
        <v>0</v>
      </c>
      <c r="DH25">
        <f t="shared" si="37"/>
        <v>0</v>
      </c>
      <c r="DI25">
        <f t="shared" si="37"/>
        <v>0</v>
      </c>
      <c r="DJ25">
        <f t="shared" si="37"/>
        <v>0</v>
      </c>
      <c r="DK25">
        <f t="shared" si="37"/>
        <v>0</v>
      </c>
      <c r="DL25">
        <f t="shared" si="37"/>
        <v>0</v>
      </c>
      <c r="DM25">
        <f t="shared" si="37"/>
        <v>0</v>
      </c>
      <c r="DN25">
        <f t="shared" si="37"/>
        <v>0</v>
      </c>
      <c r="DO25">
        <f t="shared" si="37"/>
        <v>0</v>
      </c>
      <c r="DP25">
        <f t="shared" si="38"/>
        <v>0</v>
      </c>
      <c r="DQ25">
        <f t="shared" si="38"/>
        <v>0</v>
      </c>
      <c r="DR25">
        <f t="shared" si="38"/>
        <v>0</v>
      </c>
      <c r="DS25">
        <f t="shared" si="38"/>
        <v>0</v>
      </c>
      <c r="DT25">
        <f t="shared" si="38"/>
        <v>0</v>
      </c>
      <c r="DU25">
        <f t="shared" si="38"/>
        <v>0</v>
      </c>
      <c r="DV25">
        <f t="shared" si="38"/>
        <v>0</v>
      </c>
      <c r="DW25">
        <f t="shared" si="38"/>
        <v>0</v>
      </c>
      <c r="DX25">
        <f t="shared" si="38"/>
        <v>0</v>
      </c>
      <c r="DY25">
        <f t="shared" si="38"/>
        <v>0</v>
      </c>
      <c r="DZ25">
        <f t="shared" si="39"/>
        <v>0</v>
      </c>
      <c r="EA25">
        <f t="shared" si="39"/>
        <v>0</v>
      </c>
      <c r="EB25">
        <f t="shared" si="39"/>
        <v>0</v>
      </c>
      <c r="EC25">
        <f t="shared" si="39"/>
        <v>0</v>
      </c>
      <c r="ED25">
        <f t="shared" si="39"/>
        <v>0</v>
      </c>
      <c r="EE25">
        <f t="shared" si="39"/>
        <v>0</v>
      </c>
      <c r="EF25">
        <f t="shared" si="39"/>
        <v>0</v>
      </c>
      <c r="EG25">
        <f t="shared" si="39"/>
        <v>0</v>
      </c>
      <c r="EH25">
        <f t="shared" si="39"/>
        <v>0</v>
      </c>
      <c r="EI25">
        <f t="shared" si="39"/>
        <v>0</v>
      </c>
      <c r="EJ25">
        <f>SUM(Tabla1[[#This Row],[1]:[130]])</f>
        <v>64000</v>
      </c>
    </row>
    <row r="26" spans="1:140" ht="15" customHeight="1" x14ac:dyDescent="0.25">
      <c r="A26" t="str">
        <f>B26&amp;"-"&amp;COUNTIF($B$2:B26,B26)</f>
        <v>I. PALTA-3</v>
      </c>
      <c r="B26" s="35" t="s">
        <v>35</v>
      </c>
      <c r="C26">
        <f>VLOOKUP(B26,RECETAS!D25:$E$1700,2,FALSE)</f>
        <v>1650</v>
      </c>
      <c r="D26" s="34"/>
      <c r="G26" t="b">
        <f t="shared" si="0"/>
        <v>1</v>
      </c>
      <c r="I26" s="36" t="s">
        <v>52</v>
      </c>
      <c r="J26">
        <f t="shared" si="27"/>
        <v>0</v>
      </c>
      <c r="K26">
        <f t="shared" si="27"/>
        <v>0</v>
      </c>
      <c r="L26">
        <f t="shared" si="27"/>
        <v>0</v>
      </c>
      <c r="M26">
        <f t="shared" si="27"/>
        <v>0</v>
      </c>
      <c r="N26">
        <f t="shared" si="27"/>
        <v>0</v>
      </c>
      <c r="O26">
        <f t="shared" si="27"/>
        <v>0</v>
      </c>
      <c r="P26">
        <f t="shared" si="27"/>
        <v>0</v>
      </c>
      <c r="Q26">
        <f t="shared" si="27"/>
        <v>0</v>
      </c>
      <c r="R26">
        <f t="shared" si="27"/>
        <v>0</v>
      </c>
      <c r="S26">
        <f t="shared" si="27"/>
        <v>0</v>
      </c>
      <c r="T26">
        <f t="shared" si="28"/>
        <v>0</v>
      </c>
      <c r="U26">
        <f t="shared" si="28"/>
        <v>0</v>
      </c>
      <c r="V26">
        <f t="shared" si="28"/>
        <v>0</v>
      </c>
      <c r="W26">
        <f t="shared" si="28"/>
        <v>0</v>
      </c>
      <c r="X26">
        <f t="shared" si="28"/>
        <v>0</v>
      </c>
      <c r="Y26">
        <f t="shared" si="28"/>
        <v>0</v>
      </c>
      <c r="Z26">
        <f t="shared" si="28"/>
        <v>0</v>
      </c>
      <c r="AA26">
        <f t="shared" si="28"/>
        <v>0</v>
      </c>
      <c r="AB26">
        <f t="shared" si="28"/>
        <v>0</v>
      </c>
      <c r="AC26">
        <f t="shared" si="28"/>
        <v>0</v>
      </c>
      <c r="AD26">
        <f t="shared" si="29"/>
        <v>0</v>
      </c>
      <c r="AE26">
        <f t="shared" si="29"/>
        <v>0</v>
      </c>
      <c r="AF26">
        <f t="shared" si="29"/>
        <v>0</v>
      </c>
      <c r="AG26">
        <f t="shared" si="29"/>
        <v>0</v>
      </c>
      <c r="AH26">
        <f t="shared" si="29"/>
        <v>0</v>
      </c>
      <c r="AI26">
        <f t="shared" si="29"/>
        <v>0</v>
      </c>
      <c r="AJ26">
        <f t="shared" si="29"/>
        <v>0</v>
      </c>
      <c r="AK26">
        <f t="shared" si="29"/>
        <v>0</v>
      </c>
      <c r="AL26">
        <f t="shared" si="29"/>
        <v>0</v>
      </c>
      <c r="AM26">
        <f t="shared" si="29"/>
        <v>0</v>
      </c>
      <c r="AN26">
        <f t="shared" si="30"/>
        <v>0</v>
      </c>
      <c r="AO26">
        <f t="shared" si="30"/>
        <v>0</v>
      </c>
      <c r="AP26">
        <f t="shared" si="30"/>
        <v>0</v>
      </c>
      <c r="AQ26">
        <f t="shared" si="30"/>
        <v>0</v>
      </c>
      <c r="AR26">
        <f t="shared" si="30"/>
        <v>0</v>
      </c>
      <c r="AS26">
        <f t="shared" si="30"/>
        <v>0</v>
      </c>
      <c r="AT26">
        <f t="shared" si="30"/>
        <v>0</v>
      </c>
      <c r="AU26">
        <f t="shared" si="30"/>
        <v>0</v>
      </c>
      <c r="AV26">
        <f t="shared" si="30"/>
        <v>0</v>
      </c>
      <c r="AW26">
        <f t="shared" si="30"/>
        <v>0</v>
      </c>
      <c r="AX26">
        <f t="shared" si="31"/>
        <v>0</v>
      </c>
      <c r="AY26">
        <f t="shared" si="31"/>
        <v>0</v>
      </c>
      <c r="AZ26">
        <f t="shared" si="31"/>
        <v>0</v>
      </c>
      <c r="BA26">
        <f t="shared" si="31"/>
        <v>0</v>
      </c>
      <c r="BB26">
        <f t="shared" si="31"/>
        <v>0</v>
      </c>
      <c r="BC26">
        <f t="shared" si="31"/>
        <v>0</v>
      </c>
      <c r="BD26">
        <f t="shared" si="31"/>
        <v>0</v>
      </c>
      <c r="BE26">
        <f t="shared" si="31"/>
        <v>0</v>
      </c>
      <c r="BF26">
        <f t="shared" si="31"/>
        <v>0</v>
      </c>
      <c r="BG26">
        <f t="shared" si="31"/>
        <v>0</v>
      </c>
      <c r="BH26">
        <f t="shared" si="32"/>
        <v>0</v>
      </c>
      <c r="BI26">
        <f t="shared" si="32"/>
        <v>0</v>
      </c>
      <c r="BJ26">
        <f t="shared" si="32"/>
        <v>0</v>
      </c>
      <c r="BK26">
        <f t="shared" si="32"/>
        <v>0</v>
      </c>
      <c r="BL26">
        <f t="shared" si="32"/>
        <v>0</v>
      </c>
      <c r="BM26">
        <f t="shared" si="32"/>
        <v>0</v>
      </c>
      <c r="BN26">
        <f t="shared" si="32"/>
        <v>0</v>
      </c>
      <c r="BO26">
        <f t="shared" si="32"/>
        <v>0</v>
      </c>
      <c r="BP26">
        <f t="shared" si="32"/>
        <v>0</v>
      </c>
      <c r="BQ26">
        <f t="shared" si="32"/>
        <v>0</v>
      </c>
      <c r="BR26">
        <f t="shared" si="33"/>
        <v>0</v>
      </c>
      <c r="BS26">
        <f t="shared" si="33"/>
        <v>0</v>
      </c>
      <c r="BT26">
        <f t="shared" si="33"/>
        <v>0</v>
      </c>
      <c r="BU26">
        <f t="shared" si="33"/>
        <v>0</v>
      </c>
      <c r="BV26">
        <f t="shared" si="33"/>
        <v>0</v>
      </c>
      <c r="BW26">
        <f t="shared" si="33"/>
        <v>0</v>
      </c>
      <c r="BX26">
        <f t="shared" si="33"/>
        <v>0</v>
      </c>
      <c r="BY26">
        <f t="shared" si="33"/>
        <v>0</v>
      </c>
      <c r="BZ26">
        <f t="shared" si="33"/>
        <v>0</v>
      </c>
      <c r="CA26">
        <f t="shared" si="33"/>
        <v>0</v>
      </c>
      <c r="CB26">
        <f t="shared" si="34"/>
        <v>0</v>
      </c>
      <c r="CC26">
        <f t="shared" si="34"/>
        <v>0</v>
      </c>
      <c r="CD26">
        <f t="shared" si="34"/>
        <v>0</v>
      </c>
      <c r="CE26">
        <f t="shared" si="34"/>
        <v>0</v>
      </c>
      <c r="CF26">
        <f t="shared" si="34"/>
        <v>0</v>
      </c>
      <c r="CG26">
        <f t="shared" si="34"/>
        <v>0</v>
      </c>
      <c r="CH26">
        <f t="shared" si="34"/>
        <v>0</v>
      </c>
      <c r="CI26">
        <f t="shared" si="34"/>
        <v>0</v>
      </c>
      <c r="CJ26">
        <f t="shared" si="34"/>
        <v>0</v>
      </c>
      <c r="CK26">
        <f t="shared" si="34"/>
        <v>0</v>
      </c>
      <c r="CL26">
        <f t="shared" si="35"/>
        <v>0</v>
      </c>
      <c r="CM26">
        <f t="shared" si="35"/>
        <v>0</v>
      </c>
      <c r="CN26">
        <f t="shared" si="35"/>
        <v>0</v>
      </c>
      <c r="CO26">
        <f t="shared" si="35"/>
        <v>0</v>
      </c>
      <c r="CP26">
        <f t="shared" si="35"/>
        <v>0</v>
      </c>
      <c r="CQ26">
        <f t="shared" si="35"/>
        <v>0</v>
      </c>
      <c r="CR26">
        <f t="shared" si="35"/>
        <v>0</v>
      </c>
      <c r="CS26">
        <f t="shared" si="35"/>
        <v>0</v>
      </c>
      <c r="CT26">
        <f t="shared" si="35"/>
        <v>0</v>
      </c>
      <c r="CU26">
        <f t="shared" si="35"/>
        <v>0</v>
      </c>
      <c r="CV26">
        <f t="shared" si="36"/>
        <v>0</v>
      </c>
      <c r="CW26">
        <f t="shared" si="36"/>
        <v>0</v>
      </c>
      <c r="CX26">
        <f t="shared" si="36"/>
        <v>0</v>
      </c>
      <c r="CY26">
        <f t="shared" si="36"/>
        <v>0</v>
      </c>
      <c r="CZ26">
        <f t="shared" si="36"/>
        <v>0</v>
      </c>
      <c r="DA26">
        <f t="shared" si="36"/>
        <v>0</v>
      </c>
      <c r="DB26">
        <f t="shared" si="36"/>
        <v>0</v>
      </c>
      <c r="DC26">
        <f t="shared" si="36"/>
        <v>0</v>
      </c>
      <c r="DD26">
        <f t="shared" si="36"/>
        <v>0</v>
      </c>
      <c r="DE26">
        <f t="shared" si="36"/>
        <v>0</v>
      </c>
      <c r="DF26">
        <f t="shared" si="37"/>
        <v>0</v>
      </c>
      <c r="DG26">
        <f t="shared" si="37"/>
        <v>0</v>
      </c>
      <c r="DH26">
        <f t="shared" si="37"/>
        <v>0</v>
      </c>
      <c r="DI26">
        <f t="shared" si="37"/>
        <v>0</v>
      </c>
      <c r="DJ26">
        <f t="shared" si="37"/>
        <v>0</v>
      </c>
      <c r="DK26">
        <f t="shared" si="37"/>
        <v>0</v>
      </c>
      <c r="DL26">
        <f t="shared" si="37"/>
        <v>0</v>
      </c>
      <c r="DM26">
        <f t="shared" si="37"/>
        <v>0</v>
      </c>
      <c r="DN26">
        <f t="shared" si="37"/>
        <v>0</v>
      </c>
      <c r="DO26">
        <f t="shared" si="37"/>
        <v>0</v>
      </c>
      <c r="DP26">
        <f t="shared" si="38"/>
        <v>0</v>
      </c>
      <c r="DQ26">
        <f t="shared" si="38"/>
        <v>0</v>
      </c>
      <c r="DR26">
        <f t="shared" si="38"/>
        <v>0</v>
      </c>
      <c r="DS26">
        <f t="shared" si="38"/>
        <v>0</v>
      </c>
      <c r="DT26">
        <f t="shared" si="38"/>
        <v>0</v>
      </c>
      <c r="DU26">
        <f t="shared" si="38"/>
        <v>0</v>
      </c>
      <c r="DV26">
        <f t="shared" si="38"/>
        <v>0</v>
      </c>
      <c r="DW26">
        <f t="shared" si="38"/>
        <v>0</v>
      </c>
      <c r="DX26">
        <f t="shared" si="38"/>
        <v>0</v>
      </c>
      <c r="DY26">
        <f t="shared" si="38"/>
        <v>0</v>
      </c>
      <c r="DZ26">
        <f t="shared" si="39"/>
        <v>0</v>
      </c>
      <c r="EA26">
        <f t="shared" si="39"/>
        <v>0</v>
      </c>
      <c r="EB26">
        <f t="shared" si="39"/>
        <v>0</v>
      </c>
      <c r="EC26">
        <f t="shared" si="39"/>
        <v>0</v>
      </c>
      <c r="ED26">
        <f t="shared" si="39"/>
        <v>0</v>
      </c>
      <c r="EE26">
        <f t="shared" si="39"/>
        <v>0</v>
      </c>
      <c r="EF26">
        <f t="shared" si="39"/>
        <v>0</v>
      </c>
      <c r="EG26">
        <f t="shared" si="39"/>
        <v>0</v>
      </c>
      <c r="EH26">
        <f t="shared" si="39"/>
        <v>0</v>
      </c>
      <c r="EI26">
        <f t="shared" si="39"/>
        <v>0</v>
      </c>
      <c r="EJ26">
        <f>SUM(Tabla1[[#This Row],[1]:[130]])</f>
        <v>0</v>
      </c>
    </row>
    <row r="27" spans="1:140" ht="15" customHeight="1" x14ac:dyDescent="0.25">
      <c r="A27" t="str">
        <f>B27&amp;"-"&amp;COUNTIF($B$2:B27,B27)</f>
        <v>I. CHAMP. PORCION-2</v>
      </c>
      <c r="B27" s="35" t="s">
        <v>8</v>
      </c>
      <c r="C27">
        <f>VLOOKUP(B27,RECETAS!D26:$E$1700,2,FALSE)</f>
        <v>33</v>
      </c>
      <c r="D27" s="34"/>
      <c r="G27" t="b">
        <f t="shared" si="0"/>
        <v>1</v>
      </c>
      <c r="I27" s="36" t="s">
        <v>53</v>
      </c>
      <c r="J27">
        <f t="shared" si="27"/>
        <v>25</v>
      </c>
      <c r="K27">
        <f t="shared" si="27"/>
        <v>0</v>
      </c>
      <c r="L27">
        <f t="shared" si="27"/>
        <v>0</v>
      </c>
      <c r="M27">
        <f t="shared" si="27"/>
        <v>0</v>
      </c>
      <c r="N27">
        <f t="shared" si="27"/>
        <v>0</v>
      </c>
      <c r="O27">
        <f t="shared" si="27"/>
        <v>0</v>
      </c>
      <c r="P27">
        <f t="shared" si="27"/>
        <v>0</v>
      </c>
      <c r="Q27">
        <f t="shared" si="27"/>
        <v>0</v>
      </c>
      <c r="R27">
        <f t="shared" si="27"/>
        <v>0</v>
      </c>
      <c r="S27">
        <f t="shared" si="27"/>
        <v>0</v>
      </c>
      <c r="T27">
        <f t="shared" si="28"/>
        <v>0</v>
      </c>
      <c r="U27">
        <f t="shared" si="28"/>
        <v>0</v>
      </c>
      <c r="V27">
        <f t="shared" si="28"/>
        <v>0</v>
      </c>
      <c r="W27">
        <f t="shared" si="28"/>
        <v>0</v>
      </c>
      <c r="X27">
        <f t="shared" si="28"/>
        <v>0</v>
      </c>
      <c r="Y27">
        <f t="shared" si="28"/>
        <v>0</v>
      </c>
      <c r="Z27">
        <f t="shared" si="28"/>
        <v>0</v>
      </c>
      <c r="AA27">
        <f t="shared" si="28"/>
        <v>0</v>
      </c>
      <c r="AB27">
        <f t="shared" si="28"/>
        <v>0</v>
      </c>
      <c r="AC27">
        <f t="shared" si="28"/>
        <v>0</v>
      </c>
      <c r="AD27">
        <f t="shared" si="29"/>
        <v>0</v>
      </c>
      <c r="AE27">
        <f t="shared" si="29"/>
        <v>0</v>
      </c>
      <c r="AF27">
        <f t="shared" si="29"/>
        <v>0</v>
      </c>
      <c r="AG27">
        <f t="shared" si="29"/>
        <v>0</v>
      </c>
      <c r="AH27">
        <f t="shared" si="29"/>
        <v>0</v>
      </c>
      <c r="AI27">
        <f t="shared" si="29"/>
        <v>0</v>
      </c>
      <c r="AJ27">
        <f t="shared" si="29"/>
        <v>0</v>
      </c>
      <c r="AK27">
        <f t="shared" si="29"/>
        <v>0</v>
      </c>
      <c r="AL27">
        <f t="shared" si="29"/>
        <v>0</v>
      </c>
      <c r="AM27">
        <f t="shared" si="29"/>
        <v>0</v>
      </c>
      <c r="AN27">
        <f t="shared" si="30"/>
        <v>0</v>
      </c>
      <c r="AO27">
        <f t="shared" si="30"/>
        <v>0</v>
      </c>
      <c r="AP27">
        <f t="shared" si="30"/>
        <v>0</v>
      </c>
      <c r="AQ27">
        <f t="shared" si="30"/>
        <v>0</v>
      </c>
      <c r="AR27">
        <f t="shared" si="30"/>
        <v>0</v>
      </c>
      <c r="AS27">
        <f t="shared" si="30"/>
        <v>0</v>
      </c>
      <c r="AT27">
        <f t="shared" si="30"/>
        <v>0</v>
      </c>
      <c r="AU27">
        <f t="shared" si="30"/>
        <v>0</v>
      </c>
      <c r="AV27">
        <f t="shared" si="30"/>
        <v>0</v>
      </c>
      <c r="AW27">
        <f t="shared" si="30"/>
        <v>0</v>
      </c>
      <c r="AX27">
        <f t="shared" si="31"/>
        <v>0</v>
      </c>
      <c r="AY27">
        <f t="shared" si="31"/>
        <v>0</v>
      </c>
      <c r="AZ27">
        <f t="shared" si="31"/>
        <v>0</v>
      </c>
      <c r="BA27">
        <f t="shared" si="31"/>
        <v>0</v>
      </c>
      <c r="BB27">
        <f t="shared" si="31"/>
        <v>0</v>
      </c>
      <c r="BC27">
        <f t="shared" si="31"/>
        <v>0</v>
      </c>
      <c r="BD27">
        <f t="shared" si="31"/>
        <v>0</v>
      </c>
      <c r="BE27">
        <f t="shared" si="31"/>
        <v>0</v>
      </c>
      <c r="BF27">
        <f t="shared" si="31"/>
        <v>0</v>
      </c>
      <c r="BG27">
        <f t="shared" si="31"/>
        <v>0</v>
      </c>
      <c r="BH27">
        <f t="shared" si="32"/>
        <v>0</v>
      </c>
      <c r="BI27">
        <f t="shared" si="32"/>
        <v>0</v>
      </c>
      <c r="BJ27">
        <f t="shared" si="32"/>
        <v>0</v>
      </c>
      <c r="BK27">
        <f t="shared" si="32"/>
        <v>0</v>
      </c>
      <c r="BL27">
        <f t="shared" si="32"/>
        <v>0</v>
      </c>
      <c r="BM27">
        <f t="shared" si="32"/>
        <v>0</v>
      </c>
      <c r="BN27">
        <f t="shared" si="32"/>
        <v>0</v>
      </c>
      <c r="BO27">
        <f t="shared" si="32"/>
        <v>0</v>
      </c>
      <c r="BP27">
        <f t="shared" si="32"/>
        <v>0</v>
      </c>
      <c r="BQ27">
        <f t="shared" si="32"/>
        <v>0</v>
      </c>
      <c r="BR27">
        <f t="shared" si="33"/>
        <v>0</v>
      </c>
      <c r="BS27">
        <f t="shared" si="33"/>
        <v>0</v>
      </c>
      <c r="BT27">
        <f t="shared" si="33"/>
        <v>0</v>
      </c>
      <c r="BU27">
        <f t="shared" si="33"/>
        <v>0</v>
      </c>
      <c r="BV27">
        <f t="shared" si="33"/>
        <v>0</v>
      </c>
      <c r="BW27">
        <f t="shared" si="33"/>
        <v>0</v>
      </c>
      <c r="BX27">
        <f t="shared" si="33"/>
        <v>0</v>
      </c>
      <c r="BY27">
        <f t="shared" si="33"/>
        <v>0</v>
      </c>
      <c r="BZ27">
        <f t="shared" si="33"/>
        <v>0</v>
      </c>
      <c r="CA27">
        <f t="shared" si="33"/>
        <v>0</v>
      </c>
      <c r="CB27">
        <f t="shared" si="34"/>
        <v>0</v>
      </c>
      <c r="CC27">
        <f t="shared" si="34"/>
        <v>0</v>
      </c>
      <c r="CD27">
        <f t="shared" si="34"/>
        <v>0</v>
      </c>
      <c r="CE27">
        <f t="shared" si="34"/>
        <v>0</v>
      </c>
      <c r="CF27">
        <f t="shared" si="34"/>
        <v>0</v>
      </c>
      <c r="CG27">
        <f t="shared" si="34"/>
        <v>0</v>
      </c>
      <c r="CH27">
        <f t="shared" si="34"/>
        <v>0</v>
      </c>
      <c r="CI27">
        <f t="shared" si="34"/>
        <v>0</v>
      </c>
      <c r="CJ27">
        <f t="shared" si="34"/>
        <v>0</v>
      </c>
      <c r="CK27">
        <f t="shared" si="34"/>
        <v>0</v>
      </c>
      <c r="CL27">
        <f t="shared" si="35"/>
        <v>0</v>
      </c>
      <c r="CM27">
        <f t="shared" si="35"/>
        <v>0</v>
      </c>
      <c r="CN27">
        <f t="shared" si="35"/>
        <v>0</v>
      </c>
      <c r="CO27">
        <f t="shared" si="35"/>
        <v>0</v>
      </c>
      <c r="CP27">
        <f t="shared" si="35"/>
        <v>0</v>
      </c>
      <c r="CQ27">
        <f t="shared" si="35"/>
        <v>0</v>
      </c>
      <c r="CR27">
        <f t="shared" si="35"/>
        <v>0</v>
      </c>
      <c r="CS27">
        <f t="shared" si="35"/>
        <v>0</v>
      </c>
      <c r="CT27">
        <f t="shared" si="35"/>
        <v>0</v>
      </c>
      <c r="CU27">
        <f t="shared" si="35"/>
        <v>0</v>
      </c>
      <c r="CV27">
        <f t="shared" si="36"/>
        <v>0</v>
      </c>
      <c r="CW27">
        <f t="shared" si="36"/>
        <v>0</v>
      </c>
      <c r="CX27">
        <f t="shared" si="36"/>
        <v>0</v>
      </c>
      <c r="CY27">
        <f t="shared" si="36"/>
        <v>0</v>
      </c>
      <c r="CZ27">
        <f t="shared" si="36"/>
        <v>0</v>
      </c>
      <c r="DA27">
        <f t="shared" si="36"/>
        <v>0</v>
      </c>
      <c r="DB27">
        <f t="shared" si="36"/>
        <v>0</v>
      </c>
      <c r="DC27">
        <f t="shared" si="36"/>
        <v>0</v>
      </c>
      <c r="DD27">
        <f t="shared" si="36"/>
        <v>0</v>
      </c>
      <c r="DE27">
        <f t="shared" si="36"/>
        <v>0</v>
      </c>
      <c r="DF27">
        <f t="shared" si="37"/>
        <v>0</v>
      </c>
      <c r="DG27">
        <f t="shared" si="37"/>
        <v>0</v>
      </c>
      <c r="DH27">
        <f t="shared" si="37"/>
        <v>0</v>
      </c>
      <c r="DI27">
        <f t="shared" si="37"/>
        <v>0</v>
      </c>
      <c r="DJ27">
        <f t="shared" si="37"/>
        <v>0</v>
      </c>
      <c r="DK27">
        <f t="shared" si="37"/>
        <v>0</v>
      </c>
      <c r="DL27">
        <f t="shared" si="37"/>
        <v>0</v>
      </c>
      <c r="DM27">
        <f t="shared" si="37"/>
        <v>0</v>
      </c>
      <c r="DN27">
        <f t="shared" si="37"/>
        <v>0</v>
      </c>
      <c r="DO27">
        <f t="shared" si="37"/>
        <v>0</v>
      </c>
      <c r="DP27">
        <f t="shared" si="38"/>
        <v>0</v>
      </c>
      <c r="DQ27">
        <f t="shared" si="38"/>
        <v>0</v>
      </c>
      <c r="DR27">
        <f t="shared" si="38"/>
        <v>0</v>
      </c>
      <c r="DS27">
        <f t="shared" si="38"/>
        <v>0</v>
      </c>
      <c r="DT27">
        <f t="shared" si="38"/>
        <v>0</v>
      </c>
      <c r="DU27">
        <f t="shared" si="38"/>
        <v>0</v>
      </c>
      <c r="DV27">
        <f t="shared" si="38"/>
        <v>0</v>
      </c>
      <c r="DW27">
        <f t="shared" si="38"/>
        <v>0</v>
      </c>
      <c r="DX27">
        <f t="shared" si="38"/>
        <v>0</v>
      </c>
      <c r="DY27">
        <f t="shared" si="38"/>
        <v>0</v>
      </c>
      <c r="DZ27">
        <f t="shared" si="39"/>
        <v>0</v>
      </c>
      <c r="EA27">
        <f t="shared" si="39"/>
        <v>0</v>
      </c>
      <c r="EB27">
        <f t="shared" si="39"/>
        <v>0</v>
      </c>
      <c r="EC27">
        <f t="shared" si="39"/>
        <v>0</v>
      </c>
      <c r="ED27">
        <f t="shared" si="39"/>
        <v>0</v>
      </c>
      <c r="EE27">
        <f t="shared" si="39"/>
        <v>0</v>
      </c>
      <c r="EF27">
        <f t="shared" si="39"/>
        <v>0</v>
      </c>
      <c r="EG27">
        <f t="shared" si="39"/>
        <v>0</v>
      </c>
      <c r="EH27">
        <f t="shared" si="39"/>
        <v>0</v>
      </c>
      <c r="EI27">
        <f t="shared" si="39"/>
        <v>0</v>
      </c>
      <c r="EJ27">
        <f>SUM(Tabla1[[#This Row],[1]:[130]])</f>
        <v>25</v>
      </c>
    </row>
    <row r="28" spans="1:140" ht="15" customHeight="1" x14ac:dyDescent="0.25">
      <c r="A28" t="str">
        <f>B28&amp;"-"&amp;COUNTIF($B$2:B28,B28)</f>
        <v>I. QUESO GRANULADO-2</v>
      </c>
      <c r="B28" s="36" t="s">
        <v>9</v>
      </c>
      <c r="C28">
        <f>VLOOKUP(B28,RECETAS!D27:$E$1700,2,FALSE)</f>
        <v>2970</v>
      </c>
      <c r="D28" s="34"/>
      <c r="G28" t="b">
        <f t="shared" si="0"/>
        <v>1</v>
      </c>
      <c r="I28" s="38" t="s">
        <v>54</v>
      </c>
      <c r="J28">
        <f t="shared" si="27"/>
        <v>75</v>
      </c>
      <c r="K28">
        <f t="shared" si="27"/>
        <v>3750</v>
      </c>
      <c r="L28">
        <f t="shared" si="27"/>
        <v>975</v>
      </c>
      <c r="M28">
        <f t="shared" si="27"/>
        <v>225</v>
      </c>
      <c r="N28">
        <f t="shared" si="27"/>
        <v>0</v>
      </c>
      <c r="O28">
        <f t="shared" si="27"/>
        <v>0</v>
      </c>
      <c r="P28">
        <f t="shared" si="27"/>
        <v>0</v>
      </c>
      <c r="Q28">
        <f t="shared" si="27"/>
        <v>0</v>
      </c>
      <c r="R28">
        <f t="shared" si="27"/>
        <v>0</v>
      </c>
      <c r="S28">
        <f t="shared" si="27"/>
        <v>0</v>
      </c>
      <c r="T28">
        <f t="shared" si="28"/>
        <v>0</v>
      </c>
      <c r="U28">
        <f t="shared" si="28"/>
        <v>0</v>
      </c>
      <c r="V28">
        <f t="shared" si="28"/>
        <v>0</v>
      </c>
      <c r="W28">
        <f t="shared" si="28"/>
        <v>0</v>
      </c>
      <c r="X28">
        <f t="shared" si="28"/>
        <v>0</v>
      </c>
      <c r="Y28">
        <f t="shared" si="28"/>
        <v>0</v>
      </c>
      <c r="Z28">
        <f t="shared" si="28"/>
        <v>0</v>
      </c>
      <c r="AA28">
        <f t="shared" si="28"/>
        <v>0</v>
      </c>
      <c r="AB28">
        <f t="shared" si="28"/>
        <v>0</v>
      </c>
      <c r="AC28">
        <f t="shared" si="28"/>
        <v>0</v>
      </c>
      <c r="AD28">
        <f t="shared" si="29"/>
        <v>0</v>
      </c>
      <c r="AE28">
        <f t="shared" si="29"/>
        <v>0</v>
      </c>
      <c r="AF28">
        <f t="shared" si="29"/>
        <v>0</v>
      </c>
      <c r="AG28">
        <f t="shared" si="29"/>
        <v>0</v>
      </c>
      <c r="AH28">
        <f t="shared" si="29"/>
        <v>0</v>
      </c>
      <c r="AI28">
        <f t="shared" si="29"/>
        <v>0</v>
      </c>
      <c r="AJ28">
        <f t="shared" si="29"/>
        <v>0</v>
      </c>
      <c r="AK28">
        <f t="shared" si="29"/>
        <v>0</v>
      </c>
      <c r="AL28">
        <f t="shared" si="29"/>
        <v>0</v>
      </c>
      <c r="AM28">
        <f t="shared" si="29"/>
        <v>0</v>
      </c>
      <c r="AN28">
        <f t="shared" si="30"/>
        <v>0</v>
      </c>
      <c r="AO28">
        <f t="shared" si="30"/>
        <v>0</v>
      </c>
      <c r="AP28">
        <f t="shared" si="30"/>
        <v>0</v>
      </c>
      <c r="AQ28">
        <f t="shared" si="30"/>
        <v>0</v>
      </c>
      <c r="AR28">
        <f t="shared" si="30"/>
        <v>0</v>
      </c>
      <c r="AS28">
        <f t="shared" si="30"/>
        <v>0</v>
      </c>
      <c r="AT28">
        <f t="shared" si="30"/>
        <v>0</v>
      </c>
      <c r="AU28">
        <f t="shared" si="30"/>
        <v>0</v>
      </c>
      <c r="AV28">
        <f t="shared" si="30"/>
        <v>0</v>
      </c>
      <c r="AW28">
        <f t="shared" si="30"/>
        <v>0</v>
      </c>
      <c r="AX28">
        <f t="shared" si="31"/>
        <v>0</v>
      </c>
      <c r="AY28">
        <f t="shared" si="31"/>
        <v>0</v>
      </c>
      <c r="AZ28">
        <f t="shared" si="31"/>
        <v>0</v>
      </c>
      <c r="BA28">
        <f t="shared" si="31"/>
        <v>0</v>
      </c>
      <c r="BB28">
        <f t="shared" si="31"/>
        <v>0</v>
      </c>
      <c r="BC28">
        <f t="shared" si="31"/>
        <v>0</v>
      </c>
      <c r="BD28">
        <f t="shared" si="31"/>
        <v>0</v>
      </c>
      <c r="BE28">
        <f t="shared" si="31"/>
        <v>0</v>
      </c>
      <c r="BF28">
        <f t="shared" si="31"/>
        <v>0</v>
      </c>
      <c r="BG28">
        <f t="shared" si="31"/>
        <v>0</v>
      </c>
      <c r="BH28">
        <f t="shared" si="32"/>
        <v>0</v>
      </c>
      <c r="BI28">
        <f t="shared" si="32"/>
        <v>0</v>
      </c>
      <c r="BJ28">
        <f t="shared" si="32"/>
        <v>0</v>
      </c>
      <c r="BK28">
        <f t="shared" si="32"/>
        <v>0</v>
      </c>
      <c r="BL28">
        <f t="shared" si="32"/>
        <v>0</v>
      </c>
      <c r="BM28">
        <f t="shared" si="32"/>
        <v>0</v>
      </c>
      <c r="BN28">
        <f t="shared" si="32"/>
        <v>0</v>
      </c>
      <c r="BO28">
        <f t="shared" si="32"/>
        <v>0</v>
      </c>
      <c r="BP28">
        <f t="shared" si="32"/>
        <v>0</v>
      </c>
      <c r="BQ28">
        <f t="shared" si="32"/>
        <v>0</v>
      </c>
      <c r="BR28">
        <f t="shared" si="33"/>
        <v>0</v>
      </c>
      <c r="BS28">
        <f t="shared" si="33"/>
        <v>0</v>
      </c>
      <c r="BT28">
        <f t="shared" si="33"/>
        <v>0</v>
      </c>
      <c r="BU28">
        <f t="shared" si="33"/>
        <v>0</v>
      </c>
      <c r="BV28">
        <f t="shared" si="33"/>
        <v>0</v>
      </c>
      <c r="BW28">
        <f t="shared" si="33"/>
        <v>0</v>
      </c>
      <c r="BX28">
        <f t="shared" si="33"/>
        <v>0</v>
      </c>
      <c r="BY28">
        <f t="shared" si="33"/>
        <v>0</v>
      </c>
      <c r="BZ28">
        <f t="shared" si="33"/>
        <v>0</v>
      </c>
      <c r="CA28">
        <f t="shared" si="33"/>
        <v>0</v>
      </c>
      <c r="CB28">
        <f t="shared" si="34"/>
        <v>0</v>
      </c>
      <c r="CC28">
        <f t="shared" si="34"/>
        <v>0</v>
      </c>
      <c r="CD28">
        <f t="shared" si="34"/>
        <v>0</v>
      </c>
      <c r="CE28">
        <f t="shared" si="34"/>
        <v>0</v>
      </c>
      <c r="CF28">
        <f t="shared" si="34"/>
        <v>0</v>
      </c>
      <c r="CG28">
        <f t="shared" si="34"/>
        <v>0</v>
      </c>
      <c r="CH28">
        <f t="shared" si="34"/>
        <v>0</v>
      </c>
      <c r="CI28">
        <f t="shared" si="34"/>
        <v>0</v>
      </c>
      <c r="CJ28">
        <f t="shared" si="34"/>
        <v>0</v>
      </c>
      <c r="CK28">
        <f t="shared" si="34"/>
        <v>0</v>
      </c>
      <c r="CL28">
        <f t="shared" si="35"/>
        <v>0</v>
      </c>
      <c r="CM28">
        <f t="shared" si="35"/>
        <v>0</v>
      </c>
      <c r="CN28">
        <f t="shared" si="35"/>
        <v>0</v>
      </c>
      <c r="CO28">
        <f t="shared" si="35"/>
        <v>0</v>
      </c>
      <c r="CP28">
        <f t="shared" si="35"/>
        <v>0</v>
      </c>
      <c r="CQ28">
        <f t="shared" si="35"/>
        <v>0</v>
      </c>
      <c r="CR28">
        <f t="shared" si="35"/>
        <v>0</v>
      </c>
      <c r="CS28">
        <f t="shared" si="35"/>
        <v>0</v>
      </c>
      <c r="CT28">
        <f t="shared" si="35"/>
        <v>0</v>
      </c>
      <c r="CU28">
        <f t="shared" si="35"/>
        <v>0</v>
      </c>
      <c r="CV28">
        <f t="shared" si="36"/>
        <v>0</v>
      </c>
      <c r="CW28">
        <f t="shared" si="36"/>
        <v>0</v>
      </c>
      <c r="CX28">
        <f t="shared" si="36"/>
        <v>0</v>
      </c>
      <c r="CY28">
        <f t="shared" si="36"/>
        <v>0</v>
      </c>
      <c r="CZ28">
        <f t="shared" si="36"/>
        <v>0</v>
      </c>
      <c r="DA28">
        <f t="shared" si="36"/>
        <v>0</v>
      </c>
      <c r="DB28">
        <f t="shared" si="36"/>
        <v>0</v>
      </c>
      <c r="DC28">
        <f t="shared" si="36"/>
        <v>0</v>
      </c>
      <c r="DD28">
        <f t="shared" si="36"/>
        <v>0</v>
      </c>
      <c r="DE28">
        <f t="shared" si="36"/>
        <v>0</v>
      </c>
      <c r="DF28">
        <f t="shared" si="37"/>
        <v>0</v>
      </c>
      <c r="DG28">
        <f t="shared" si="37"/>
        <v>0</v>
      </c>
      <c r="DH28">
        <f t="shared" si="37"/>
        <v>0</v>
      </c>
      <c r="DI28">
        <f t="shared" si="37"/>
        <v>0</v>
      </c>
      <c r="DJ28">
        <f t="shared" si="37"/>
        <v>0</v>
      </c>
      <c r="DK28">
        <f t="shared" si="37"/>
        <v>0</v>
      </c>
      <c r="DL28">
        <f t="shared" si="37"/>
        <v>0</v>
      </c>
      <c r="DM28">
        <f t="shared" si="37"/>
        <v>0</v>
      </c>
      <c r="DN28">
        <f t="shared" si="37"/>
        <v>0</v>
      </c>
      <c r="DO28">
        <f t="shared" si="37"/>
        <v>0</v>
      </c>
      <c r="DP28">
        <f t="shared" si="38"/>
        <v>0</v>
      </c>
      <c r="DQ28">
        <f t="shared" si="38"/>
        <v>0</v>
      </c>
      <c r="DR28">
        <f t="shared" si="38"/>
        <v>0</v>
      </c>
      <c r="DS28">
        <f t="shared" si="38"/>
        <v>0</v>
      </c>
      <c r="DT28">
        <f t="shared" si="38"/>
        <v>0</v>
      </c>
      <c r="DU28">
        <f t="shared" si="38"/>
        <v>0</v>
      </c>
      <c r="DV28">
        <f t="shared" si="38"/>
        <v>0</v>
      </c>
      <c r="DW28">
        <f t="shared" si="38"/>
        <v>0</v>
      </c>
      <c r="DX28">
        <f t="shared" si="38"/>
        <v>0</v>
      </c>
      <c r="DY28">
        <f t="shared" si="38"/>
        <v>0</v>
      </c>
      <c r="DZ28">
        <f t="shared" si="39"/>
        <v>0</v>
      </c>
      <c r="EA28">
        <f t="shared" si="39"/>
        <v>0</v>
      </c>
      <c r="EB28">
        <f t="shared" si="39"/>
        <v>0</v>
      </c>
      <c r="EC28">
        <f t="shared" si="39"/>
        <v>0</v>
      </c>
      <c r="ED28">
        <f t="shared" si="39"/>
        <v>0</v>
      </c>
      <c r="EE28">
        <f t="shared" si="39"/>
        <v>0</v>
      </c>
      <c r="EF28">
        <f t="shared" si="39"/>
        <v>0</v>
      </c>
      <c r="EG28">
        <f t="shared" si="39"/>
        <v>0</v>
      </c>
      <c r="EH28">
        <f t="shared" si="39"/>
        <v>0</v>
      </c>
      <c r="EI28">
        <f t="shared" si="39"/>
        <v>0</v>
      </c>
      <c r="EJ28">
        <f>SUM(Tabla1[[#This Row],[1]:[130]])</f>
        <v>5025</v>
      </c>
    </row>
    <row r="29" spans="1:140" ht="15.75" customHeight="1" thickBot="1" x14ac:dyDescent="0.3">
      <c r="A29" t="str">
        <f>B29&amp;"-"&amp;COUNTIF($B$2:B29,B29)</f>
        <v>I. CREMA ESPESA-5</v>
      </c>
      <c r="B29" s="33" t="s">
        <v>16</v>
      </c>
      <c r="C29">
        <f>VLOOKUP(B29,RECETAS!D28:$E$1700,2,FALSE)</f>
        <v>1650</v>
      </c>
      <c r="D29" s="32"/>
      <c r="G29" t="b">
        <f t="shared" si="0"/>
        <v>1</v>
      </c>
      <c r="I29" s="33" t="s">
        <v>55</v>
      </c>
      <c r="J29">
        <f t="shared" si="27"/>
        <v>1750</v>
      </c>
      <c r="K29">
        <f t="shared" si="27"/>
        <v>9800</v>
      </c>
      <c r="L29">
        <f t="shared" si="27"/>
        <v>700</v>
      </c>
      <c r="M29">
        <f t="shared" si="27"/>
        <v>0</v>
      </c>
      <c r="N29">
        <f t="shared" si="27"/>
        <v>0</v>
      </c>
      <c r="O29">
        <f t="shared" si="27"/>
        <v>0</v>
      </c>
      <c r="P29">
        <f t="shared" si="27"/>
        <v>0</v>
      </c>
      <c r="Q29">
        <f t="shared" si="27"/>
        <v>0</v>
      </c>
      <c r="R29">
        <f t="shared" si="27"/>
        <v>0</v>
      </c>
      <c r="S29">
        <f t="shared" si="27"/>
        <v>0</v>
      </c>
      <c r="T29">
        <f t="shared" si="28"/>
        <v>0</v>
      </c>
      <c r="U29">
        <f t="shared" si="28"/>
        <v>0</v>
      </c>
      <c r="V29">
        <f t="shared" si="28"/>
        <v>0</v>
      </c>
      <c r="W29">
        <f t="shared" si="28"/>
        <v>0</v>
      </c>
      <c r="X29">
        <f t="shared" si="28"/>
        <v>0</v>
      </c>
      <c r="Y29">
        <f t="shared" si="28"/>
        <v>0</v>
      </c>
      <c r="Z29">
        <f t="shared" si="28"/>
        <v>0</v>
      </c>
      <c r="AA29">
        <f t="shared" si="28"/>
        <v>0</v>
      </c>
      <c r="AB29">
        <f t="shared" si="28"/>
        <v>0</v>
      </c>
      <c r="AC29">
        <f t="shared" si="28"/>
        <v>0</v>
      </c>
      <c r="AD29">
        <f t="shared" si="29"/>
        <v>0</v>
      </c>
      <c r="AE29">
        <f t="shared" si="29"/>
        <v>0</v>
      </c>
      <c r="AF29">
        <f t="shared" si="29"/>
        <v>0</v>
      </c>
      <c r="AG29">
        <f t="shared" si="29"/>
        <v>0</v>
      </c>
      <c r="AH29">
        <f t="shared" si="29"/>
        <v>0</v>
      </c>
      <c r="AI29">
        <f t="shared" si="29"/>
        <v>0</v>
      </c>
      <c r="AJ29">
        <f t="shared" si="29"/>
        <v>0</v>
      </c>
      <c r="AK29">
        <f t="shared" si="29"/>
        <v>0</v>
      </c>
      <c r="AL29">
        <f t="shared" si="29"/>
        <v>0</v>
      </c>
      <c r="AM29">
        <f t="shared" si="29"/>
        <v>0</v>
      </c>
      <c r="AN29">
        <f t="shared" si="30"/>
        <v>0</v>
      </c>
      <c r="AO29">
        <f t="shared" si="30"/>
        <v>0</v>
      </c>
      <c r="AP29">
        <f t="shared" si="30"/>
        <v>0</v>
      </c>
      <c r="AQ29">
        <f t="shared" si="30"/>
        <v>0</v>
      </c>
      <c r="AR29">
        <f t="shared" si="30"/>
        <v>0</v>
      </c>
      <c r="AS29">
        <f t="shared" si="30"/>
        <v>0</v>
      </c>
      <c r="AT29">
        <f t="shared" si="30"/>
        <v>0</v>
      </c>
      <c r="AU29">
        <f t="shared" si="30"/>
        <v>0</v>
      </c>
      <c r="AV29">
        <f t="shared" si="30"/>
        <v>0</v>
      </c>
      <c r="AW29">
        <f t="shared" si="30"/>
        <v>0</v>
      </c>
      <c r="AX29">
        <f t="shared" si="31"/>
        <v>0</v>
      </c>
      <c r="AY29">
        <f t="shared" si="31"/>
        <v>0</v>
      </c>
      <c r="AZ29">
        <f t="shared" si="31"/>
        <v>0</v>
      </c>
      <c r="BA29">
        <f t="shared" si="31"/>
        <v>0</v>
      </c>
      <c r="BB29">
        <f t="shared" si="31"/>
        <v>0</v>
      </c>
      <c r="BC29">
        <f t="shared" si="31"/>
        <v>0</v>
      </c>
      <c r="BD29">
        <f t="shared" si="31"/>
        <v>0</v>
      </c>
      <c r="BE29">
        <f t="shared" si="31"/>
        <v>0</v>
      </c>
      <c r="BF29">
        <f t="shared" si="31"/>
        <v>0</v>
      </c>
      <c r="BG29">
        <f t="shared" si="31"/>
        <v>0</v>
      </c>
      <c r="BH29">
        <f t="shared" si="32"/>
        <v>0</v>
      </c>
      <c r="BI29">
        <f t="shared" si="32"/>
        <v>0</v>
      </c>
      <c r="BJ29">
        <f t="shared" si="32"/>
        <v>0</v>
      </c>
      <c r="BK29">
        <f t="shared" si="32"/>
        <v>0</v>
      </c>
      <c r="BL29">
        <f t="shared" si="32"/>
        <v>0</v>
      </c>
      <c r="BM29">
        <f t="shared" si="32"/>
        <v>0</v>
      </c>
      <c r="BN29">
        <f t="shared" si="32"/>
        <v>0</v>
      </c>
      <c r="BO29">
        <f t="shared" si="32"/>
        <v>0</v>
      </c>
      <c r="BP29">
        <f t="shared" si="32"/>
        <v>0</v>
      </c>
      <c r="BQ29">
        <f t="shared" si="32"/>
        <v>0</v>
      </c>
      <c r="BR29">
        <f t="shared" si="33"/>
        <v>0</v>
      </c>
      <c r="BS29">
        <f t="shared" si="33"/>
        <v>0</v>
      </c>
      <c r="BT29">
        <f t="shared" si="33"/>
        <v>0</v>
      </c>
      <c r="BU29">
        <f t="shared" si="33"/>
        <v>0</v>
      </c>
      <c r="BV29">
        <f t="shared" si="33"/>
        <v>0</v>
      </c>
      <c r="BW29">
        <f t="shared" si="33"/>
        <v>0</v>
      </c>
      <c r="BX29">
        <f t="shared" si="33"/>
        <v>0</v>
      </c>
      <c r="BY29">
        <f t="shared" si="33"/>
        <v>0</v>
      </c>
      <c r="BZ29">
        <f t="shared" si="33"/>
        <v>0</v>
      </c>
      <c r="CA29">
        <f t="shared" si="33"/>
        <v>0</v>
      </c>
      <c r="CB29">
        <f t="shared" si="34"/>
        <v>0</v>
      </c>
      <c r="CC29">
        <f t="shared" si="34"/>
        <v>0</v>
      </c>
      <c r="CD29">
        <f t="shared" si="34"/>
        <v>0</v>
      </c>
      <c r="CE29">
        <f t="shared" si="34"/>
        <v>0</v>
      </c>
      <c r="CF29">
        <f t="shared" si="34"/>
        <v>0</v>
      </c>
      <c r="CG29">
        <f t="shared" si="34"/>
        <v>0</v>
      </c>
      <c r="CH29">
        <f t="shared" si="34"/>
        <v>0</v>
      </c>
      <c r="CI29">
        <f t="shared" si="34"/>
        <v>0</v>
      </c>
      <c r="CJ29">
        <f t="shared" si="34"/>
        <v>0</v>
      </c>
      <c r="CK29">
        <f t="shared" si="34"/>
        <v>0</v>
      </c>
      <c r="CL29">
        <f t="shared" si="35"/>
        <v>0</v>
      </c>
      <c r="CM29">
        <f t="shared" si="35"/>
        <v>0</v>
      </c>
      <c r="CN29">
        <f t="shared" si="35"/>
        <v>0</v>
      </c>
      <c r="CO29">
        <f t="shared" si="35"/>
        <v>0</v>
      </c>
      <c r="CP29">
        <f t="shared" si="35"/>
        <v>0</v>
      </c>
      <c r="CQ29">
        <f t="shared" si="35"/>
        <v>0</v>
      </c>
      <c r="CR29">
        <f t="shared" si="35"/>
        <v>0</v>
      </c>
      <c r="CS29">
        <f t="shared" si="35"/>
        <v>0</v>
      </c>
      <c r="CT29">
        <f t="shared" si="35"/>
        <v>0</v>
      </c>
      <c r="CU29">
        <f t="shared" si="35"/>
        <v>0</v>
      </c>
      <c r="CV29">
        <f t="shared" si="36"/>
        <v>0</v>
      </c>
      <c r="CW29">
        <f t="shared" si="36"/>
        <v>0</v>
      </c>
      <c r="CX29">
        <f t="shared" si="36"/>
        <v>0</v>
      </c>
      <c r="CY29">
        <f t="shared" si="36"/>
        <v>0</v>
      </c>
      <c r="CZ29">
        <f t="shared" si="36"/>
        <v>0</v>
      </c>
      <c r="DA29">
        <f t="shared" si="36"/>
        <v>0</v>
      </c>
      <c r="DB29">
        <f t="shared" si="36"/>
        <v>0</v>
      </c>
      <c r="DC29">
        <f t="shared" si="36"/>
        <v>0</v>
      </c>
      <c r="DD29">
        <f t="shared" si="36"/>
        <v>0</v>
      </c>
      <c r="DE29">
        <f t="shared" si="36"/>
        <v>0</v>
      </c>
      <c r="DF29">
        <f t="shared" si="37"/>
        <v>0</v>
      </c>
      <c r="DG29">
        <f t="shared" si="37"/>
        <v>0</v>
      </c>
      <c r="DH29">
        <f t="shared" si="37"/>
        <v>0</v>
      </c>
      <c r="DI29">
        <f t="shared" si="37"/>
        <v>0</v>
      </c>
      <c r="DJ29">
        <f t="shared" si="37"/>
        <v>0</v>
      </c>
      <c r="DK29">
        <f t="shared" si="37"/>
        <v>0</v>
      </c>
      <c r="DL29">
        <f t="shared" si="37"/>
        <v>0</v>
      </c>
      <c r="DM29">
        <f t="shared" si="37"/>
        <v>0</v>
      </c>
      <c r="DN29">
        <f t="shared" si="37"/>
        <v>0</v>
      </c>
      <c r="DO29">
        <f t="shared" si="37"/>
        <v>0</v>
      </c>
      <c r="DP29">
        <f t="shared" si="38"/>
        <v>0</v>
      </c>
      <c r="DQ29">
        <f t="shared" si="38"/>
        <v>0</v>
      </c>
      <c r="DR29">
        <f t="shared" si="38"/>
        <v>0</v>
      </c>
      <c r="DS29">
        <f t="shared" si="38"/>
        <v>0</v>
      </c>
      <c r="DT29">
        <f t="shared" si="38"/>
        <v>0</v>
      </c>
      <c r="DU29">
        <f t="shared" si="38"/>
        <v>0</v>
      </c>
      <c r="DV29">
        <f t="shared" si="38"/>
        <v>0</v>
      </c>
      <c r="DW29">
        <f t="shared" si="38"/>
        <v>0</v>
      </c>
      <c r="DX29">
        <f t="shared" si="38"/>
        <v>0</v>
      </c>
      <c r="DY29">
        <f t="shared" si="38"/>
        <v>0</v>
      </c>
      <c r="DZ29">
        <f t="shared" si="39"/>
        <v>0</v>
      </c>
      <c r="EA29">
        <f t="shared" si="39"/>
        <v>0</v>
      </c>
      <c r="EB29">
        <f t="shared" si="39"/>
        <v>0</v>
      </c>
      <c r="EC29">
        <f t="shared" si="39"/>
        <v>0</v>
      </c>
      <c r="ED29">
        <f t="shared" si="39"/>
        <v>0</v>
      </c>
      <c r="EE29">
        <f t="shared" si="39"/>
        <v>0</v>
      </c>
      <c r="EF29">
        <f t="shared" si="39"/>
        <v>0</v>
      </c>
      <c r="EG29">
        <f t="shared" si="39"/>
        <v>0</v>
      </c>
      <c r="EH29">
        <f t="shared" si="39"/>
        <v>0</v>
      </c>
      <c r="EI29">
        <f t="shared" si="39"/>
        <v>0</v>
      </c>
      <c r="EJ29">
        <f>SUM(Tabla1[[#This Row],[1]:[130]])</f>
        <v>12250</v>
      </c>
    </row>
    <row r="30" spans="1:140" ht="15" customHeight="1" x14ac:dyDescent="0.25">
      <c r="A30" t="str">
        <f>B30&amp;"-"&amp;COUNTIF($B$2:B30,B30)</f>
        <v>I. TORTILLAS GR-2</v>
      </c>
      <c r="B30" s="26" t="s">
        <v>7</v>
      </c>
      <c r="C30">
        <f>VLOOKUP(B30,RECETAS!D29:$E$1700,2,FALSE)</f>
        <v>20</v>
      </c>
      <c r="D30" s="25" t="s">
        <v>330</v>
      </c>
      <c r="G30" t="b">
        <f t="shared" si="0"/>
        <v>1</v>
      </c>
      <c r="I30" s="46" t="s">
        <v>18</v>
      </c>
      <c r="J30">
        <f t="shared" si="27"/>
        <v>40</v>
      </c>
      <c r="K30">
        <f t="shared" si="27"/>
        <v>4</v>
      </c>
      <c r="L30">
        <f t="shared" si="27"/>
        <v>0</v>
      </c>
      <c r="M30">
        <f t="shared" si="27"/>
        <v>0</v>
      </c>
      <c r="N30">
        <f t="shared" si="27"/>
        <v>0</v>
      </c>
      <c r="O30">
        <f t="shared" si="27"/>
        <v>0</v>
      </c>
      <c r="P30">
        <f t="shared" si="27"/>
        <v>0</v>
      </c>
      <c r="Q30">
        <f t="shared" si="27"/>
        <v>0</v>
      </c>
      <c r="R30">
        <f t="shared" si="27"/>
        <v>0</v>
      </c>
      <c r="S30">
        <f t="shared" si="27"/>
        <v>0</v>
      </c>
      <c r="T30">
        <f t="shared" si="28"/>
        <v>0</v>
      </c>
      <c r="U30">
        <f t="shared" si="28"/>
        <v>0</v>
      </c>
      <c r="V30">
        <f t="shared" si="28"/>
        <v>0</v>
      </c>
      <c r="W30">
        <f t="shared" si="28"/>
        <v>0</v>
      </c>
      <c r="X30">
        <f t="shared" si="28"/>
        <v>0</v>
      </c>
      <c r="Y30">
        <f t="shared" si="28"/>
        <v>0</v>
      </c>
      <c r="Z30">
        <f t="shared" si="28"/>
        <v>0</v>
      </c>
      <c r="AA30">
        <f t="shared" si="28"/>
        <v>0</v>
      </c>
      <c r="AB30">
        <f t="shared" si="28"/>
        <v>0</v>
      </c>
      <c r="AC30">
        <f t="shared" si="28"/>
        <v>0</v>
      </c>
      <c r="AD30">
        <f t="shared" si="29"/>
        <v>0</v>
      </c>
      <c r="AE30">
        <f t="shared" si="29"/>
        <v>0</v>
      </c>
      <c r="AF30">
        <f t="shared" si="29"/>
        <v>0</v>
      </c>
      <c r="AG30">
        <f t="shared" si="29"/>
        <v>0</v>
      </c>
      <c r="AH30">
        <f t="shared" si="29"/>
        <v>0</v>
      </c>
      <c r="AI30">
        <f t="shared" si="29"/>
        <v>0</v>
      </c>
      <c r="AJ30">
        <f t="shared" si="29"/>
        <v>0</v>
      </c>
      <c r="AK30">
        <f t="shared" si="29"/>
        <v>0</v>
      </c>
      <c r="AL30">
        <f t="shared" si="29"/>
        <v>0</v>
      </c>
      <c r="AM30">
        <f t="shared" si="29"/>
        <v>0</v>
      </c>
      <c r="AN30">
        <f t="shared" si="30"/>
        <v>0</v>
      </c>
      <c r="AO30">
        <f t="shared" si="30"/>
        <v>0</v>
      </c>
      <c r="AP30">
        <f t="shared" si="30"/>
        <v>0</v>
      </c>
      <c r="AQ30">
        <f t="shared" si="30"/>
        <v>0</v>
      </c>
      <c r="AR30">
        <f t="shared" si="30"/>
        <v>0</v>
      </c>
      <c r="AS30">
        <f t="shared" si="30"/>
        <v>0</v>
      </c>
      <c r="AT30">
        <f t="shared" si="30"/>
        <v>0</v>
      </c>
      <c r="AU30">
        <f t="shared" si="30"/>
        <v>0</v>
      </c>
      <c r="AV30">
        <f t="shared" si="30"/>
        <v>0</v>
      </c>
      <c r="AW30">
        <f t="shared" si="30"/>
        <v>0</v>
      </c>
      <c r="AX30">
        <f t="shared" si="31"/>
        <v>0</v>
      </c>
      <c r="AY30">
        <f t="shared" si="31"/>
        <v>0</v>
      </c>
      <c r="AZ30">
        <f t="shared" si="31"/>
        <v>0</v>
      </c>
      <c r="BA30">
        <f t="shared" si="31"/>
        <v>0</v>
      </c>
      <c r="BB30">
        <f t="shared" si="31"/>
        <v>0</v>
      </c>
      <c r="BC30">
        <f t="shared" si="31"/>
        <v>0</v>
      </c>
      <c r="BD30">
        <f t="shared" si="31"/>
        <v>0</v>
      </c>
      <c r="BE30">
        <f t="shared" si="31"/>
        <v>0</v>
      </c>
      <c r="BF30">
        <f t="shared" si="31"/>
        <v>0</v>
      </c>
      <c r="BG30">
        <f t="shared" si="31"/>
        <v>0</v>
      </c>
      <c r="BH30">
        <f t="shared" si="32"/>
        <v>0</v>
      </c>
      <c r="BI30">
        <f t="shared" si="32"/>
        <v>0</v>
      </c>
      <c r="BJ30">
        <f t="shared" si="32"/>
        <v>0</v>
      </c>
      <c r="BK30">
        <f t="shared" si="32"/>
        <v>0</v>
      </c>
      <c r="BL30">
        <f t="shared" si="32"/>
        <v>0</v>
      </c>
      <c r="BM30">
        <f t="shared" si="32"/>
        <v>0</v>
      </c>
      <c r="BN30">
        <f t="shared" si="32"/>
        <v>0</v>
      </c>
      <c r="BO30">
        <f t="shared" si="32"/>
        <v>0</v>
      </c>
      <c r="BP30">
        <f t="shared" si="32"/>
        <v>0</v>
      </c>
      <c r="BQ30">
        <f t="shared" si="32"/>
        <v>0</v>
      </c>
      <c r="BR30">
        <f t="shared" si="33"/>
        <v>0</v>
      </c>
      <c r="BS30">
        <f t="shared" si="33"/>
        <v>0</v>
      </c>
      <c r="BT30">
        <f t="shared" si="33"/>
        <v>0</v>
      </c>
      <c r="BU30">
        <f t="shared" si="33"/>
        <v>0</v>
      </c>
      <c r="BV30">
        <f t="shared" si="33"/>
        <v>0</v>
      </c>
      <c r="BW30">
        <f t="shared" si="33"/>
        <v>0</v>
      </c>
      <c r="BX30">
        <f t="shared" si="33"/>
        <v>0</v>
      </c>
      <c r="BY30">
        <f t="shared" si="33"/>
        <v>0</v>
      </c>
      <c r="BZ30">
        <f t="shared" si="33"/>
        <v>0</v>
      </c>
      <c r="CA30">
        <f t="shared" si="33"/>
        <v>0</v>
      </c>
      <c r="CB30">
        <f t="shared" si="34"/>
        <v>0</v>
      </c>
      <c r="CC30">
        <f t="shared" si="34"/>
        <v>0</v>
      </c>
      <c r="CD30">
        <f t="shared" si="34"/>
        <v>0</v>
      </c>
      <c r="CE30">
        <f t="shared" si="34"/>
        <v>0</v>
      </c>
      <c r="CF30">
        <f t="shared" si="34"/>
        <v>0</v>
      </c>
      <c r="CG30">
        <f t="shared" si="34"/>
        <v>0</v>
      </c>
      <c r="CH30">
        <f t="shared" si="34"/>
        <v>0</v>
      </c>
      <c r="CI30">
        <f t="shared" si="34"/>
        <v>0</v>
      </c>
      <c r="CJ30">
        <f t="shared" si="34"/>
        <v>0</v>
      </c>
      <c r="CK30">
        <f t="shared" si="34"/>
        <v>0</v>
      </c>
      <c r="CL30">
        <f t="shared" si="35"/>
        <v>0</v>
      </c>
      <c r="CM30">
        <f t="shared" si="35"/>
        <v>0</v>
      </c>
      <c r="CN30">
        <f t="shared" si="35"/>
        <v>0</v>
      </c>
      <c r="CO30">
        <f t="shared" si="35"/>
        <v>0</v>
      </c>
      <c r="CP30">
        <f t="shared" si="35"/>
        <v>0</v>
      </c>
      <c r="CQ30">
        <f t="shared" si="35"/>
        <v>0</v>
      </c>
      <c r="CR30">
        <f t="shared" si="35"/>
        <v>0</v>
      </c>
      <c r="CS30">
        <f t="shared" si="35"/>
        <v>0</v>
      </c>
      <c r="CT30">
        <f t="shared" si="35"/>
        <v>0</v>
      </c>
      <c r="CU30">
        <f t="shared" si="35"/>
        <v>0</v>
      </c>
      <c r="CV30">
        <f t="shared" si="36"/>
        <v>0</v>
      </c>
      <c r="CW30">
        <f t="shared" si="36"/>
        <v>0</v>
      </c>
      <c r="CX30">
        <f t="shared" si="36"/>
        <v>0</v>
      </c>
      <c r="CY30">
        <f t="shared" si="36"/>
        <v>0</v>
      </c>
      <c r="CZ30">
        <f t="shared" si="36"/>
        <v>0</v>
      </c>
      <c r="DA30">
        <f t="shared" si="36"/>
        <v>0</v>
      </c>
      <c r="DB30">
        <f t="shared" si="36"/>
        <v>0</v>
      </c>
      <c r="DC30">
        <f t="shared" si="36"/>
        <v>0</v>
      </c>
      <c r="DD30">
        <f t="shared" si="36"/>
        <v>0</v>
      </c>
      <c r="DE30">
        <f t="shared" si="36"/>
        <v>0</v>
      </c>
      <c r="DF30">
        <f t="shared" si="37"/>
        <v>0</v>
      </c>
      <c r="DG30">
        <f t="shared" si="37"/>
        <v>0</v>
      </c>
      <c r="DH30">
        <f t="shared" si="37"/>
        <v>0</v>
      </c>
      <c r="DI30">
        <f t="shared" si="37"/>
        <v>0</v>
      </c>
      <c r="DJ30">
        <f t="shared" si="37"/>
        <v>0</v>
      </c>
      <c r="DK30">
        <f t="shared" si="37"/>
        <v>0</v>
      </c>
      <c r="DL30">
        <f t="shared" si="37"/>
        <v>0</v>
      </c>
      <c r="DM30">
        <f t="shared" si="37"/>
        <v>0</v>
      </c>
      <c r="DN30">
        <f t="shared" si="37"/>
        <v>0</v>
      </c>
      <c r="DO30">
        <f t="shared" si="37"/>
        <v>0</v>
      </c>
      <c r="DP30">
        <f t="shared" si="38"/>
        <v>0</v>
      </c>
      <c r="DQ30">
        <f t="shared" si="38"/>
        <v>0</v>
      </c>
      <c r="DR30">
        <f t="shared" si="38"/>
        <v>0</v>
      </c>
      <c r="DS30">
        <f t="shared" si="38"/>
        <v>0</v>
      </c>
      <c r="DT30">
        <f t="shared" si="38"/>
        <v>0</v>
      </c>
      <c r="DU30">
        <f t="shared" si="38"/>
        <v>0</v>
      </c>
      <c r="DV30">
        <f t="shared" si="38"/>
        <v>0</v>
      </c>
      <c r="DW30">
        <f t="shared" si="38"/>
        <v>0</v>
      </c>
      <c r="DX30">
        <f t="shared" si="38"/>
        <v>0</v>
      </c>
      <c r="DY30">
        <f t="shared" si="38"/>
        <v>0</v>
      </c>
      <c r="DZ30">
        <f t="shared" si="39"/>
        <v>0</v>
      </c>
      <c r="EA30">
        <f t="shared" si="39"/>
        <v>0</v>
      </c>
      <c r="EB30">
        <f t="shared" si="39"/>
        <v>0</v>
      </c>
      <c r="EC30">
        <f t="shared" si="39"/>
        <v>0</v>
      </c>
      <c r="ED30">
        <f t="shared" si="39"/>
        <v>0</v>
      </c>
      <c r="EE30">
        <f t="shared" si="39"/>
        <v>0</v>
      </c>
      <c r="EF30">
        <f t="shared" si="39"/>
        <v>0</v>
      </c>
      <c r="EG30">
        <f t="shared" si="39"/>
        <v>0</v>
      </c>
      <c r="EH30">
        <f t="shared" si="39"/>
        <v>0</v>
      </c>
      <c r="EI30">
        <f t="shared" si="39"/>
        <v>0</v>
      </c>
      <c r="EJ30">
        <f>SUM(Tabla1[[#This Row],[1]:[130]])</f>
        <v>44</v>
      </c>
    </row>
    <row r="31" spans="1:140" ht="15" customHeight="1" x14ac:dyDescent="0.25">
      <c r="A31" t="str">
        <f>B31&amp;"-"&amp;COUNTIF($B$2:B31,B31)</f>
        <v>I. PALTA-4</v>
      </c>
      <c r="B31" s="35" t="s">
        <v>35</v>
      </c>
      <c r="C31">
        <f>VLOOKUP(B31,RECETAS!D30:$E$1700,2,FALSE)</f>
        <v>1000</v>
      </c>
      <c r="D31" s="34"/>
      <c r="G31" t="b">
        <f t="shared" si="0"/>
        <v>1</v>
      </c>
      <c r="I31" s="36" t="s">
        <v>19</v>
      </c>
      <c r="J31">
        <f t="shared" si="27"/>
        <v>9</v>
      </c>
      <c r="K31">
        <f t="shared" si="27"/>
        <v>9</v>
      </c>
      <c r="L31">
        <f t="shared" si="27"/>
        <v>0</v>
      </c>
      <c r="M31">
        <f t="shared" si="27"/>
        <v>0</v>
      </c>
      <c r="N31">
        <f t="shared" si="27"/>
        <v>0</v>
      </c>
      <c r="O31">
        <f t="shared" si="27"/>
        <v>0</v>
      </c>
      <c r="P31">
        <f t="shared" si="27"/>
        <v>0</v>
      </c>
      <c r="Q31">
        <f t="shared" si="27"/>
        <v>0</v>
      </c>
      <c r="R31">
        <f t="shared" si="27"/>
        <v>0</v>
      </c>
      <c r="S31">
        <f t="shared" si="27"/>
        <v>0</v>
      </c>
      <c r="T31">
        <f t="shared" si="28"/>
        <v>0</v>
      </c>
      <c r="U31">
        <f t="shared" si="28"/>
        <v>0</v>
      </c>
      <c r="V31">
        <f t="shared" si="28"/>
        <v>0</v>
      </c>
      <c r="W31">
        <f t="shared" si="28"/>
        <v>0</v>
      </c>
      <c r="X31">
        <f t="shared" si="28"/>
        <v>0</v>
      </c>
      <c r="Y31">
        <f t="shared" si="28"/>
        <v>0</v>
      </c>
      <c r="Z31">
        <f t="shared" si="28"/>
        <v>0</v>
      </c>
      <c r="AA31">
        <f t="shared" si="28"/>
        <v>0</v>
      </c>
      <c r="AB31">
        <f t="shared" si="28"/>
        <v>0</v>
      </c>
      <c r="AC31">
        <f t="shared" si="28"/>
        <v>0</v>
      </c>
      <c r="AD31">
        <f t="shared" si="29"/>
        <v>0</v>
      </c>
      <c r="AE31">
        <f t="shared" si="29"/>
        <v>0</v>
      </c>
      <c r="AF31">
        <f t="shared" si="29"/>
        <v>0</v>
      </c>
      <c r="AG31">
        <f t="shared" si="29"/>
        <v>0</v>
      </c>
      <c r="AH31">
        <f t="shared" si="29"/>
        <v>0</v>
      </c>
      <c r="AI31">
        <f t="shared" si="29"/>
        <v>0</v>
      </c>
      <c r="AJ31">
        <f t="shared" si="29"/>
        <v>0</v>
      </c>
      <c r="AK31">
        <f t="shared" si="29"/>
        <v>0</v>
      </c>
      <c r="AL31">
        <f t="shared" si="29"/>
        <v>0</v>
      </c>
      <c r="AM31">
        <f t="shared" si="29"/>
        <v>0</v>
      </c>
      <c r="AN31">
        <f t="shared" si="30"/>
        <v>0</v>
      </c>
      <c r="AO31">
        <f t="shared" si="30"/>
        <v>0</v>
      </c>
      <c r="AP31">
        <f t="shared" si="30"/>
        <v>0</v>
      </c>
      <c r="AQ31">
        <f t="shared" si="30"/>
        <v>0</v>
      </c>
      <c r="AR31">
        <f t="shared" si="30"/>
        <v>0</v>
      </c>
      <c r="AS31">
        <f t="shared" si="30"/>
        <v>0</v>
      </c>
      <c r="AT31">
        <f t="shared" si="30"/>
        <v>0</v>
      </c>
      <c r="AU31">
        <f t="shared" si="30"/>
        <v>0</v>
      </c>
      <c r="AV31">
        <f t="shared" si="30"/>
        <v>0</v>
      </c>
      <c r="AW31">
        <f t="shared" si="30"/>
        <v>0</v>
      </c>
      <c r="AX31">
        <f t="shared" si="31"/>
        <v>0</v>
      </c>
      <c r="AY31">
        <f t="shared" si="31"/>
        <v>0</v>
      </c>
      <c r="AZ31">
        <f t="shared" si="31"/>
        <v>0</v>
      </c>
      <c r="BA31">
        <f t="shared" si="31"/>
        <v>0</v>
      </c>
      <c r="BB31">
        <f t="shared" si="31"/>
        <v>0</v>
      </c>
      <c r="BC31">
        <f t="shared" si="31"/>
        <v>0</v>
      </c>
      <c r="BD31">
        <f t="shared" si="31"/>
        <v>0</v>
      </c>
      <c r="BE31">
        <f t="shared" si="31"/>
        <v>0</v>
      </c>
      <c r="BF31">
        <f t="shared" si="31"/>
        <v>0</v>
      </c>
      <c r="BG31">
        <f t="shared" si="31"/>
        <v>0</v>
      </c>
      <c r="BH31">
        <f t="shared" si="32"/>
        <v>0</v>
      </c>
      <c r="BI31">
        <f t="shared" si="32"/>
        <v>0</v>
      </c>
      <c r="BJ31">
        <f t="shared" si="32"/>
        <v>0</v>
      </c>
      <c r="BK31">
        <f t="shared" si="32"/>
        <v>0</v>
      </c>
      <c r="BL31">
        <f t="shared" si="32"/>
        <v>0</v>
      </c>
      <c r="BM31">
        <f t="shared" si="32"/>
        <v>0</v>
      </c>
      <c r="BN31">
        <f t="shared" si="32"/>
        <v>0</v>
      </c>
      <c r="BO31">
        <f t="shared" si="32"/>
        <v>0</v>
      </c>
      <c r="BP31">
        <f t="shared" si="32"/>
        <v>0</v>
      </c>
      <c r="BQ31">
        <f t="shared" si="32"/>
        <v>0</v>
      </c>
      <c r="BR31">
        <f t="shared" si="33"/>
        <v>0</v>
      </c>
      <c r="BS31">
        <f t="shared" si="33"/>
        <v>0</v>
      </c>
      <c r="BT31">
        <f t="shared" si="33"/>
        <v>0</v>
      </c>
      <c r="BU31">
        <f t="shared" si="33"/>
        <v>0</v>
      </c>
      <c r="BV31">
        <f t="shared" si="33"/>
        <v>0</v>
      </c>
      <c r="BW31">
        <f t="shared" si="33"/>
        <v>0</v>
      </c>
      <c r="BX31">
        <f t="shared" si="33"/>
        <v>0</v>
      </c>
      <c r="BY31">
        <f t="shared" si="33"/>
        <v>0</v>
      </c>
      <c r="BZ31">
        <f t="shared" si="33"/>
        <v>0</v>
      </c>
      <c r="CA31">
        <f t="shared" si="33"/>
        <v>0</v>
      </c>
      <c r="CB31">
        <f t="shared" si="34"/>
        <v>0</v>
      </c>
      <c r="CC31">
        <f t="shared" si="34"/>
        <v>0</v>
      </c>
      <c r="CD31">
        <f t="shared" si="34"/>
        <v>0</v>
      </c>
      <c r="CE31">
        <f t="shared" si="34"/>
        <v>0</v>
      </c>
      <c r="CF31">
        <f t="shared" si="34"/>
        <v>0</v>
      </c>
      <c r="CG31">
        <f t="shared" si="34"/>
        <v>0</v>
      </c>
      <c r="CH31">
        <f t="shared" si="34"/>
        <v>0</v>
      </c>
      <c r="CI31">
        <f t="shared" si="34"/>
        <v>0</v>
      </c>
      <c r="CJ31">
        <f t="shared" si="34"/>
        <v>0</v>
      </c>
      <c r="CK31">
        <f t="shared" si="34"/>
        <v>0</v>
      </c>
      <c r="CL31">
        <f t="shared" si="35"/>
        <v>0</v>
      </c>
      <c r="CM31">
        <f t="shared" si="35"/>
        <v>0</v>
      </c>
      <c r="CN31">
        <f t="shared" si="35"/>
        <v>0</v>
      </c>
      <c r="CO31">
        <f t="shared" si="35"/>
        <v>0</v>
      </c>
      <c r="CP31">
        <f t="shared" si="35"/>
        <v>0</v>
      </c>
      <c r="CQ31">
        <f t="shared" si="35"/>
        <v>0</v>
      </c>
      <c r="CR31">
        <f t="shared" si="35"/>
        <v>0</v>
      </c>
      <c r="CS31">
        <f t="shared" si="35"/>
        <v>0</v>
      </c>
      <c r="CT31">
        <f t="shared" si="35"/>
        <v>0</v>
      </c>
      <c r="CU31">
        <f t="shared" si="35"/>
        <v>0</v>
      </c>
      <c r="CV31">
        <f t="shared" si="36"/>
        <v>0</v>
      </c>
      <c r="CW31">
        <f t="shared" si="36"/>
        <v>0</v>
      </c>
      <c r="CX31">
        <f t="shared" si="36"/>
        <v>0</v>
      </c>
      <c r="CY31">
        <f t="shared" si="36"/>
        <v>0</v>
      </c>
      <c r="CZ31">
        <f t="shared" si="36"/>
        <v>0</v>
      </c>
      <c r="DA31">
        <f t="shared" si="36"/>
        <v>0</v>
      </c>
      <c r="DB31">
        <f t="shared" si="36"/>
        <v>0</v>
      </c>
      <c r="DC31">
        <f t="shared" si="36"/>
        <v>0</v>
      </c>
      <c r="DD31">
        <f t="shared" si="36"/>
        <v>0</v>
      </c>
      <c r="DE31">
        <f t="shared" si="36"/>
        <v>0</v>
      </c>
      <c r="DF31">
        <f t="shared" si="37"/>
        <v>0</v>
      </c>
      <c r="DG31">
        <f t="shared" si="37"/>
        <v>0</v>
      </c>
      <c r="DH31">
        <f t="shared" si="37"/>
        <v>0</v>
      </c>
      <c r="DI31">
        <f t="shared" si="37"/>
        <v>0</v>
      </c>
      <c r="DJ31">
        <f t="shared" si="37"/>
        <v>0</v>
      </c>
      <c r="DK31">
        <f t="shared" si="37"/>
        <v>0</v>
      </c>
      <c r="DL31">
        <f t="shared" si="37"/>
        <v>0</v>
      </c>
      <c r="DM31">
        <f t="shared" si="37"/>
        <v>0</v>
      </c>
      <c r="DN31">
        <f t="shared" si="37"/>
        <v>0</v>
      </c>
      <c r="DO31">
        <f t="shared" si="37"/>
        <v>0</v>
      </c>
      <c r="DP31">
        <f t="shared" si="38"/>
        <v>0</v>
      </c>
      <c r="DQ31">
        <f t="shared" si="38"/>
        <v>0</v>
      </c>
      <c r="DR31">
        <f t="shared" si="38"/>
        <v>0</v>
      </c>
      <c r="DS31">
        <f t="shared" si="38"/>
        <v>0</v>
      </c>
      <c r="DT31">
        <f t="shared" si="38"/>
        <v>0</v>
      </c>
      <c r="DU31">
        <f t="shared" si="38"/>
        <v>0</v>
      </c>
      <c r="DV31">
        <f t="shared" si="38"/>
        <v>0</v>
      </c>
      <c r="DW31">
        <f t="shared" si="38"/>
        <v>0</v>
      </c>
      <c r="DX31">
        <f t="shared" si="38"/>
        <v>0</v>
      </c>
      <c r="DY31">
        <f t="shared" si="38"/>
        <v>0</v>
      </c>
      <c r="DZ31">
        <f t="shared" si="39"/>
        <v>0</v>
      </c>
      <c r="EA31">
        <f t="shared" si="39"/>
        <v>0</v>
      </c>
      <c r="EB31">
        <f t="shared" si="39"/>
        <v>0</v>
      </c>
      <c r="EC31">
        <f t="shared" si="39"/>
        <v>0</v>
      </c>
      <c r="ED31">
        <f t="shared" si="39"/>
        <v>0</v>
      </c>
      <c r="EE31">
        <f t="shared" si="39"/>
        <v>0</v>
      </c>
      <c r="EF31">
        <f t="shared" si="39"/>
        <v>0</v>
      </c>
      <c r="EG31">
        <f t="shared" si="39"/>
        <v>0</v>
      </c>
      <c r="EH31">
        <f t="shared" si="39"/>
        <v>0</v>
      </c>
      <c r="EI31">
        <f t="shared" si="39"/>
        <v>0</v>
      </c>
      <c r="EJ31">
        <f>SUM(Tabla1[[#This Row],[1]:[130]])</f>
        <v>18</v>
      </c>
    </row>
    <row r="32" spans="1:140" ht="15" customHeight="1" x14ac:dyDescent="0.25">
      <c r="A32" t="str">
        <f>B32&amp;"-"&amp;COUNTIF($B$2:B32,B32)</f>
        <v>I. CHURRA QUES.-1</v>
      </c>
      <c r="B32" s="35" t="s">
        <v>10</v>
      </c>
      <c r="C32">
        <f>VLOOKUP(B32,RECETAS!D31:$E$1700,2,FALSE)</f>
        <v>20</v>
      </c>
      <c r="D32" s="34"/>
      <c r="G32" t="b">
        <f t="shared" si="0"/>
        <v>1</v>
      </c>
      <c r="I32" s="35" t="s">
        <v>270</v>
      </c>
      <c r="J32">
        <f t="shared" si="27"/>
        <v>225</v>
      </c>
      <c r="K32">
        <f t="shared" si="27"/>
        <v>0</v>
      </c>
      <c r="L32">
        <f t="shared" si="27"/>
        <v>0</v>
      </c>
      <c r="M32">
        <f t="shared" si="27"/>
        <v>750</v>
      </c>
      <c r="N32">
        <f t="shared" si="27"/>
        <v>150</v>
      </c>
      <c r="O32">
        <f t="shared" si="27"/>
        <v>0</v>
      </c>
      <c r="P32">
        <f t="shared" si="27"/>
        <v>0</v>
      </c>
      <c r="Q32">
        <f t="shared" si="27"/>
        <v>300</v>
      </c>
      <c r="R32">
        <f t="shared" si="27"/>
        <v>0</v>
      </c>
      <c r="S32">
        <f t="shared" si="27"/>
        <v>0</v>
      </c>
      <c r="T32">
        <f t="shared" si="28"/>
        <v>0</v>
      </c>
      <c r="U32">
        <f t="shared" si="28"/>
        <v>0</v>
      </c>
      <c r="V32">
        <f t="shared" si="28"/>
        <v>0</v>
      </c>
      <c r="W32">
        <f t="shared" si="28"/>
        <v>0</v>
      </c>
      <c r="X32">
        <f t="shared" si="28"/>
        <v>0</v>
      </c>
      <c r="Y32">
        <f t="shared" si="28"/>
        <v>0</v>
      </c>
      <c r="Z32">
        <f t="shared" si="28"/>
        <v>0</v>
      </c>
      <c r="AA32">
        <f t="shared" si="28"/>
        <v>0</v>
      </c>
      <c r="AB32">
        <f t="shared" si="28"/>
        <v>0</v>
      </c>
      <c r="AC32">
        <f t="shared" si="28"/>
        <v>0</v>
      </c>
      <c r="AD32">
        <f t="shared" si="29"/>
        <v>0</v>
      </c>
      <c r="AE32">
        <f t="shared" si="29"/>
        <v>0</v>
      </c>
      <c r="AF32">
        <f t="shared" si="29"/>
        <v>0</v>
      </c>
      <c r="AG32">
        <f t="shared" si="29"/>
        <v>0</v>
      </c>
      <c r="AH32">
        <f t="shared" si="29"/>
        <v>0</v>
      </c>
      <c r="AI32">
        <f t="shared" si="29"/>
        <v>0</v>
      </c>
      <c r="AJ32">
        <f t="shared" si="29"/>
        <v>0</v>
      </c>
      <c r="AK32">
        <f t="shared" si="29"/>
        <v>0</v>
      </c>
      <c r="AL32">
        <f t="shared" si="29"/>
        <v>0</v>
      </c>
      <c r="AM32">
        <f t="shared" si="29"/>
        <v>0</v>
      </c>
      <c r="AN32">
        <f t="shared" si="30"/>
        <v>0</v>
      </c>
      <c r="AO32">
        <f t="shared" si="30"/>
        <v>0</v>
      </c>
      <c r="AP32">
        <f t="shared" si="30"/>
        <v>0</v>
      </c>
      <c r="AQ32">
        <f t="shared" si="30"/>
        <v>0</v>
      </c>
      <c r="AR32">
        <f t="shared" si="30"/>
        <v>0</v>
      </c>
      <c r="AS32">
        <f t="shared" si="30"/>
        <v>0</v>
      </c>
      <c r="AT32">
        <f t="shared" si="30"/>
        <v>0</v>
      </c>
      <c r="AU32">
        <f t="shared" si="30"/>
        <v>0</v>
      </c>
      <c r="AV32">
        <f t="shared" si="30"/>
        <v>0</v>
      </c>
      <c r="AW32">
        <f t="shared" si="30"/>
        <v>0</v>
      </c>
      <c r="AX32">
        <f t="shared" si="31"/>
        <v>0</v>
      </c>
      <c r="AY32">
        <f t="shared" si="31"/>
        <v>0</v>
      </c>
      <c r="AZ32">
        <f t="shared" si="31"/>
        <v>0</v>
      </c>
      <c r="BA32">
        <f t="shared" si="31"/>
        <v>0</v>
      </c>
      <c r="BB32">
        <f t="shared" si="31"/>
        <v>0</v>
      </c>
      <c r="BC32">
        <f t="shared" si="31"/>
        <v>0</v>
      </c>
      <c r="BD32">
        <f t="shared" si="31"/>
        <v>0</v>
      </c>
      <c r="BE32">
        <f t="shared" si="31"/>
        <v>0</v>
      </c>
      <c r="BF32">
        <f t="shared" si="31"/>
        <v>0</v>
      </c>
      <c r="BG32">
        <f t="shared" si="31"/>
        <v>0</v>
      </c>
      <c r="BH32">
        <f t="shared" si="32"/>
        <v>0</v>
      </c>
      <c r="BI32">
        <f t="shared" si="32"/>
        <v>0</v>
      </c>
      <c r="BJ32">
        <f t="shared" si="32"/>
        <v>0</v>
      </c>
      <c r="BK32">
        <f t="shared" si="32"/>
        <v>0</v>
      </c>
      <c r="BL32">
        <f t="shared" si="32"/>
        <v>0</v>
      </c>
      <c r="BM32">
        <f t="shared" si="32"/>
        <v>0</v>
      </c>
      <c r="BN32">
        <f t="shared" si="32"/>
        <v>0</v>
      </c>
      <c r="BO32">
        <f t="shared" si="32"/>
        <v>0</v>
      </c>
      <c r="BP32">
        <f t="shared" si="32"/>
        <v>0</v>
      </c>
      <c r="BQ32">
        <f t="shared" si="32"/>
        <v>0</v>
      </c>
      <c r="BR32">
        <f t="shared" si="33"/>
        <v>0</v>
      </c>
      <c r="BS32">
        <f t="shared" si="33"/>
        <v>0</v>
      </c>
      <c r="BT32">
        <f t="shared" si="33"/>
        <v>0</v>
      </c>
      <c r="BU32">
        <f t="shared" si="33"/>
        <v>0</v>
      </c>
      <c r="BV32">
        <f t="shared" si="33"/>
        <v>0</v>
      </c>
      <c r="BW32">
        <f t="shared" si="33"/>
        <v>0</v>
      </c>
      <c r="BX32">
        <f t="shared" si="33"/>
        <v>0</v>
      </c>
      <c r="BY32">
        <f t="shared" si="33"/>
        <v>0</v>
      </c>
      <c r="BZ32">
        <f t="shared" si="33"/>
        <v>0</v>
      </c>
      <c r="CA32">
        <f t="shared" si="33"/>
        <v>0</v>
      </c>
      <c r="CB32">
        <f t="shared" si="34"/>
        <v>0</v>
      </c>
      <c r="CC32">
        <f t="shared" si="34"/>
        <v>0</v>
      </c>
      <c r="CD32">
        <f t="shared" si="34"/>
        <v>0</v>
      </c>
      <c r="CE32">
        <f t="shared" si="34"/>
        <v>0</v>
      </c>
      <c r="CF32">
        <f t="shared" si="34"/>
        <v>0</v>
      </c>
      <c r="CG32">
        <f t="shared" si="34"/>
        <v>0</v>
      </c>
      <c r="CH32">
        <f t="shared" si="34"/>
        <v>0</v>
      </c>
      <c r="CI32">
        <f t="shared" si="34"/>
        <v>0</v>
      </c>
      <c r="CJ32">
        <f t="shared" si="34"/>
        <v>0</v>
      </c>
      <c r="CK32">
        <f t="shared" si="34"/>
        <v>0</v>
      </c>
      <c r="CL32">
        <f t="shared" si="35"/>
        <v>0</v>
      </c>
      <c r="CM32">
        <f t="shared" si="35"/>
        <v>0</v>
      </c>
      <c r="CN32">
        <f t="shared" si="35"/>
        <v>0</v>
      </c>
      <c r="CO32">
        <f t="shared" si="35"/>
        <v>0</v>
      </c>
      <c r="CP32">
        <f t="shared" si="35"/>
        <v>0</v>
      </c>
      <c r="CQ32">
        <f t="shared" si="35"/>
        <v>0</v>
      </c>
      <c r="CR32">
        <f t="shared" si="35"/>
        <v>0</v>
      </c>
      <c r="CS32">
        <f t="shared" si="35"/>
        <v>0</v>
      </c>
      <c r="CT32">
        <f t="shared" si="35"/>
        <v>0</v>
      </c>
      <c r="CU32">
        <f t="shared" si="35"/>
        <v>0</v>
      </c>
      <c r="CV32">
        <f t="shared" si="36"/>
        <v>0</v>
      </c>
      <c r="CW32">
        <f t="shared" si="36"/>
        <v>0</v>
      </c>
      <c r="CX32">
        <f t="shared" si="36"/>
        <v>0</v>
      </c>
      <c r="CY32">
        <f t="shared" si="36"/>
        <v>0</v>
      </c>
      <c r="CZ32">
        <f t="shared" si="36"/>
        <v>0</v>
      </c>
      <c r="DA32">
        <f t="shared" si="36"/>
        <v>0</v>
      </c>
      <c r="DB32">
        <f t="shared" si="36"/>
        <v>0</v>
      </c>
      <c r="DC32">
        <f t="shared" si="36"/>
        <v>0</v>
      </c>
      <c r="DD32">
        <f t="shared" si="36"/>
        <v>0</v>
      </c>
      <c r="DE32">
        <f t="shared" si="36"/>
        <v>0</v>
      </c>
      <c r="DF32">
        <f t="shared" si="37"/>
        <v>0</v>
      </c>
      <c r="DG32">
        <f t="shared" si="37"/>
        <v>0</v>
      </c>
      <c r="DH32">
        <f t="shared" si="37"/>
        <v>0</v>
      </c>
      <c r="DI32">
        <f t="shared" si="37"/>
        <v>0</v>
      </c>
      <c r="DJ32">
        <f t="shared" si="37"/>
        <v>0</v>
      </c>
      <c r="DK32">
        <f t="shared" si="37"/>
        <v>0</v>
      </c>
      <c r="DL32">
        <f t="shared" si="37"/>
        <v>0</v>
      </c>
      <c r="DM32">
        <f t="shared" si="37"/>
        <v>0</v>
      </c>
      <c r="DN32">
        <f t="shared" si="37"/>
        <v>0</v>
      </c>
      <c r="DO32">
        <f t="shared" si="37"/>
        <v>0</v>
      </c>
      <c r="DP32">
        <f t="shared" si="38"/>
        <v>0</v>
      </c>
      <c r="DQ32">
        <f t="shared" si="38"/>
        <v>0</v>
      </c>
      <c r="DR32">
        <f t="shared" si="38"/>
        <v>0</v>
      </c>
      <c r="DS32">
        <f t="shared" si="38"/>
        <v>0</v>
      </c>
      <c r="DT32">
        <f t="shared" si="38"/>
        <v>0</v>
      </c>
      <c r="DU32">
        <f t="shared" si="38"/>
        <v>0</v>
      </c>
      <c r="DV32">
        <f t="shared" si="38"/>
        <v>0</v>
      </c>
      <c r="DW32">
        <f t="shared" si="38"/>
        <v>0</v>
      </c>
      <c r="DX32">
        <f t="shared" si="38"/>
        <v>0</v>
      </c>
      <c r="DY32">
        <f t="shared" si="38"/>
        <v>0</v>
      </c>
      <c r="DZ32">
        <f t="shared" si="39"/>
        <v>0</v>
      </c>
      <c r="EA32">
        <f t="shared" si="39"/>
        <v>0</v>
      </c>
      <c r="EB32">
        <f t="shared" si="39"/>
        <v>0</v>
      </c>
      <c r="EC32">
        <f t="shared" si="39"/>
        <v>0</v>
      </c>
      <c r="ED32">
        <f t="shared" si="39"/>
        <v>0</v>
      </c>
      <c r="EE32">
        <f t="shared" si="39"/>
        <v>0</v>
      </c>
      <c r="EF32">
        <f t="shared" si="39"/>
        <v>0</v>
      </c>
      <c r="EG32">
        <f t="shared" si="39"/>
        <v>0</v>
      </c>
      <c r="EH32">
        <f t="shared" si="39"/>
        <v>0</v>
      </c>
      <c r="EI32">
        <f t="shared" si="39"/>
        <v>0</v>
      </c>
      <c r="EJ32">
        <f>SUM(Tabla1[[#This Row],[1]:[130]])</f>
        <v>1425</v>
      </c>
    </row>
    <row r="33" spans="1:140" ht="15" customHeight="1" x14ac:dyDescent="0.25">
      <c r="A33" t="str">
        <f>B33&amp;"-"&amp;COUNTIF($B$2:B33,B33)</f>
        <v>I. QUESO GRANULADO-3</v>
      </c>
      <c r="B33" s="36" t="s">
        <v>9</v>
      </c>
      <c r="C33">
        <f>VLOOKUP(B33,RECETAS!D32:$E$1700,2,FALSE)</f>
        <v>1800</v>
      </c>
      <c r="D33" s="34"/>
      <c r="G33" t="b">
        <f t="shared" si="0"/>
        <v>1</v>
      </c>
      <c r="I33" s="38" t="s">
        <v>271</v>
      </c>
      <c r="J33">
        <f t="shared" ref="J33:S42" si="40">IFERROR(VLOOKUP($I33&amp;"-"&amp;J$2,$A$3:$C$1700,3,FALSE),0)</f>
        <v>75</v>
      </c>
      <c r="K33">
        <f t="shared" si="40"/>
        <v>0</v>
      </c>
      <c r="L33">
        <f t="shared" si="40"/>
        <v>0</v>
      </c>
      <c r="M33">
        <f t="shared" si="40"/>
        <v>0</v>
      </c>
      <c r="N33">
        <f t="shared" si="40"/>
        <v>0</v>
      </c>
      <c r="O33">
        <f t="shared" si="40"/>
        <v>0</v>
      </c>
      <c r="P33">
        <f t="shared" si="40"/>
        <v>0</v>
      </c>
      <c r="Q33">
        <f t="shared" si="40"/>
        <v>0</v>
      </c>
      <c r="R33">
        <f t="shared" si="40"/>
        <v>0</v>
      </c>
      <c r="S33">
        <f t="shared" si="40"/>
        <v>0</v>
      </c>
      <c r="T33">
        <f t="shared" ref="T33:AC42" si="41">IFERROR(VLOOKUP($I33&amp;"-"&amp;T$2,$A$3:$C$1700,3,FALSE),0)</f>
        <v>0</v>
      </c>
      <c r="U33">
        <f t="shared" si="41"/>
        <v>0</v>
      </c>
      <c r="V33">
        <f t="shared" si="41"/>
        <v>0</v>
      </c>
      <c r="W33">
        <f t="shared" si="41"/>
        <v>0</v>
      </c>
      <c r="X33">
        <f t="shared" si="41"/>
        <v>0</v>
      </c>
      <c r="Y33">
        <f t="shared" si="41"/>
        <v>0</v>
      </c>
      <c r="Z33">
        <f t="shared" si="41"/>
        <v>0</v>
      </c>
      <c r="AA33">
        <f t="shared" si="41"/>
        <v>0</v>
      </c>
      <c r="AB33">
        <f t="shared" si="41"/>
        <v>0</v>
      </c>
      <c r="AC33">
        <f t="shared" si="41"/>
        <v>0</v>
      </c>
      <c r="AD33">
        <f t="shared" ref="AD33:AM42" si="42">IFERROR(VLOOKUP($I33&amp;"-"&amp;AD$2,$A$3:$C$1700,3,FALSE),0)</f>
        <v>0</v>
      </c>
      <c r="AE33">
        <f t="shared" si="42"/>
        <v>0</v>
      </c>
      <c r="AF33">
        <f t="shared" si="42"/>
        <v>0</v>
      </c>
      <c r="AG33">
        <f t="shared" si="42"/>
        <v>0</v>
      </c>
      <c r="AH33">
        <f t="shared" si="42"/>
        <v>0</v>
      </c>
      <c r="AI33">
        <f t="shared" si="42"/>
        <v>0</v>
      </c>
      <c r="AJ33">
        <f t="shared" si="42"/>
        <v>0</v>
      </c>
      <c r="AK33">
        <f t="shared" si="42"/>
        <v>0</v>
      </c>
      <c r="AL33">
        <f t="shared" si="42"/>
        <v>0</v>
      </c>
      <c r="AM33">
        <f t="shared" si="42"/>
        <v>0</v>
      </c>
      <c r="AN33">
        <f t="shared" ref="AN33:AW42" si="43">IFERROR(VLOOKUP($I33&amp;"-"&amp;AN$2,$A$3:$C$1700,3,FALSE),0)</f>
        <v>0</v>
      </c>
      <c r="AO33">
        <f t="shared" si="43"/>
        <v>0</v>
      </c>
      <c r="AP33">
        <f t="shared" si="43"/>
        <v>0</v>
      </c>
      <c r="AQ33">
        <f t="shared" si="43"/>
        <v>0</v>
      </c>
      <c r="AR33">
        <f t="shared" si="43"/>
        <v>0</v>
      </c>
      <c r="AS33">
        <f t="shared" si="43"/>
        <v>0</v>
      </c>
      <c r="AT33">
        <f t="shared" si="43"/>
        <v>0</v>
      </c>
      <c r="AU33">
        <f t="shared" si="43"/>
        <v>0</v>
      </c>
      <c r="AV33">
        <f t="shared" si="43"/>
        <v>0</v>
      </c>
      <c r="AW33">
        <f t="shared" si="43"/>
        <v>0</v>
      </c>
      <c r="AX33">
        <f t="shared" ref="AX33:BG42" si="44">IFERROR(VLOOKUP($I33&amp;"-"&amp;AX$2,$A$3:$C$1700,3,FALSE),0)</f>
        <v>0</v>
      </c>
      <c r="AY33">
        <f t="shared" si="44"/>
        <v>0</v>
      </c>
      <c r="AZ33">
        <f t="shared" si="44"/>
        <v>0</v>
      </c>
      <c r="BA33">
        <f t="shared" si="44"/>
        <v>0</v>
      </c>
      <c r="BB33">
        <f t="shared" si="44"/>
        <v>0</v>
      </c>
      <c r="BC33">
        <f t="shared" si="44"/>
        <v>0</v>
      </c>
      <c r="BD33">
        <f t="shared" si="44"/>
        <v>0</v>
      </c>
      <c r="BE33">
        <f t="shared" si="44"/>
        <v>0</v>
      </c>
      <c r="BF33">
        <f t="shared" si="44"/>
        <v>0</v>
      </c>
      <c r="BG33">
        <f t="shared" si="44"/>
        <v>0</v>
      </c>
      <c r="BH33">
        <f t="shared" ref="BH33:BQ42" si="45">IFERROR(VLOOKUP($I33&amp;"-"&amp;BH$2,$A$3:$C$1700,3,FALSE),0)</f>
        <v>0</v>
      </c>
      <c r="BI33">
        <f t="shared" si="45"/>
        <v>0</v>
      </c>
      <c r="BJ33">
        <f t="shared" si="45"/>
        <v>0</v>
      </c>
      <c r="BK33">
        <f t="shared" si="45"/>
        <v>0</v>
      </c>
      <c r="BL33">
        <f t="shared" si="45"/>
        <v>0</v>
      </c>
      <c r="BM33">
        <f t="shared" si="45"/>
        <v>0</v>
      </c>
      <c r="BN33">
        <f t="shared" si="45"/>
        <v>0</v>
      </c>
      <c r="BO33">
        <f t="shared" si="45"/>
        <v>0</v>
      </c>
      <c r="BP33">
        <f t="shared" si="45"/>
        <v>0</v>
      </c>
      <c r="BQ33">
        <f t="shared" si="45"/>
        <v>0</v>
      </c>
      <c r="BR33">
        <f t="shared" ref="BR33:CA42" si="46">IFERROR(VLOOKUP($I33&amp;"-"&amp;BR$2,$A$3:$C$1700,3,FALSE),0)</f>
        <v>0</v>
      </c>
      <c r="BS33">
        <f t="shared" si="46"/>
        <v>0</v>
      </c>
      <c r="BT33">
        <f t="shared" si="46"/>
        <v>0</v>
      </c>
      <c r="BU33">
        <f t="shared" si="46"/>
        <v>0</v>
      </c>
      <c r="BV33">
        <f t="shared" si="46"/>
        <v>0</v>
      </c>
      <c r="BW33">
        <f t="shared" si="46"/>
        <v>0</v>
      </c>
      <c r="BX33">
        <f t="shared" si="46"/>
        <v>0</v>
      </c>
      <c r="BY33">
        <f t="shared" si="46"/>
        <v>0</v>
      </c>
      <c r="BZ33">
        <f t="shared" si="46"/>
        <v>0</v>
      </c>
      <c r="CA33">
        <f t="shared" si="46"/>
        <v>0</v>
      </c>
      <c r="CB33">
        <f t="shared" ref="CB33:CK42" si="47">IFERROR(VLOOKUP($I33&amp;"-"&amp;CB$2,$A$3:$C$1700,3,FALSE),0)</f>
        <v>0</v>
      </c>
      <c r="CC33">
        <f t="shared" si="47"/>
        <v>0</v>
      </c>
      <c r="CD33">
        <f t="shared" si="47"/>
        <v>0</v>
      </c>
      <c r="CE33">
        <f t="shared" si="47"/>
        <v>0</v>
      </c>
      <c r="CF33">
        <f t="shared" si="47"/>
        <v>0</v>
      </c>
      <c r="CG33">
        <f t="shared" si="47"/>
        <v>0</v>
      </c>
      <c r="CH33">
        <f t="shared" si="47"/>
        <v>0</v>
      </c>
      <c r="CI33">
        <f t="shared" si="47"/>
        <v>0</v>
      </c>
      <c r="CJ33">
        <f t="shared" si="47"/>
        <v>0</v>
      </c>
      <c r="CK33">
        <f t="shared" si="47"/>
        <v>0</v>
      </c>
      <c r="CL33">
        <f t="shared" ref="CL33:CU42" si="48">IFERROR(VLOOKUP($I33&amp;"-"&amp;CL$2,$A$3:$C$1700,3,FALSE),0)</f>
        <v>0</v>
      </c>
      <c r="CM33">
        <f t="shared" si="48"/>
        <v>0</v>
      </c>
      <c r="CN33">
        <f t="shared" si="48"/>
        <v>0</v>
      </c>
      <c r="CO33">
        <f t="shared" si="48"/>
        <v>0</v>
      </c>
      <c r="CP33">
        <f t="shared" si="48"/>
        <v>0</v>
      </c>
      <c r="CQ33">
        <f t="shared" si="48"/>
        <v>0</v>
      </c>
      <c r="CR33">
        <f t="shared" si="48"/>
        <v>0</v>
      </c>
      <c r="CS33">
        <f t="shared" si="48"/>
        <v>0</v>
      </c>
      <c r="CT33">
        <f t="shared" si="48"/>
        <v>0</v>
      </c>
      <c r="CU33">
        <f t="shared" si="48"/>
        <v>0</v>
      </c>
      <c r="CV33">
        <f t="shared" ref="CV33:DE42" si="49">IFERROR(VLOOKUP($I33&amp;"-"&amp;CV$2,$A$3:$C$1700,3,FALSE),0)</f>
        <v>0</v>
      </c>
      <c r="CW33">
        <f t="shared" si="49"/>
        <v>0</v>
      </c>
      <c r="CX33">
        <f t="shared" si="49"/>
        <v>0</v>
      </c>
      <c r="CY33">
        <f t="shared" si="49"/>
        <v>0</v>
      </c>
      <c r="CZ33">
        <f t="shared" si="49"/>
        <v>0</v>
      </c>
      <c r="DA33">
        <f t="shared" si="49"/>
        <v>0</v>
      </c>
      <c r="DB33">
        <f t="shared" si="49"/>
        <v>0</v>
      </c>
      <c r="DC33">
        <f t="shared" si="49"/>
        <v>0</v>
      </c>
      <c r="DD33">
        <f t="shared" si="49"/>
        <v>0</v>
      </c>
      <c r="DE33">
        <f t="shared" si="49"/>
        <v>0</v>
      </c>
      <c r="DF33">
        <f t="shared" ref="DF33:DO42" si="50">IFERROR(VLOOKUP($I33&amp;"-"&amp;DF$2,$A$3:$C$1700,3,FALSE),0)</f>
        <v>0</v>
      </c>
      <c r="DG33">
        <f t="shared" si="50"/>
        <v>0</v>
      </c>
      <c r="DH33">
        <f t="shared" si="50"/>
        <v>0</v>
      </c>
      <c r="DI33">
        <f t="shared" si="50"/>
        <v>0</v>
      </c>
      <c r="DJ33">
        <f t="shared" si="50"/>
        <v>0</v>
      </c>
      <c r="DK33">
        <f t="shared" si="50"/>
        <v>0</v>
      </c>
      <c r="DL33">
        <f t="shared" si="50"/>
        <v>0</v>
      </c>
      <c r="DM33">
        <f t="shared" si="50"/>
        <v>0</v>
      </c>
      <c r="DN33">
        <f t="shared" si="50"/>
        <v>0</v>
      </c>
      <c r="DO33">
        <f t="shared" si="50"/>
        <v>0</v>
      </c>
      <c r="DP33">
        <f t="shared" ref="DP33:DY42" si="51">IFERROR(VLOOKUP($I33&amp;"-"&amp;DP$2,$A$3:$C$1700,3,FALSE),0)</f>
        <v>0</v>
      </c>
      <c r="DQ33">
        <f t="shared" si="51"/>
        <v>0</v>
      </c>
      <c r="DR33">
        <f t="shared" si="51"/>
        <v>0</v>
      </c>
      <c r="DS33">
        <f t="shared" si="51"/>
        <v>0</v>
      </c>
      <c r="DT33">
        <f t="shared" si="51"/>
        <v>0</v>
      </c>
      <c r="DU33">
        <f t="shared" si="51"/>
        <v>0</v>
      </c>
      <c r="DV33">
        <f t="shared" si="51"/>
        <v>0</v>
      </c>
      <c r="DW33">
        <f t="shared" si="51"/>
        <v>0</v>
      </c>
      <c r="DX33">
        <f t="shared" si="51"/>
        <v>0</v>
      </c>
      <c r="DY33">
        <f t="shared" si="51"/>
        <v>0</v>
      </c>
      <c r="DZ33">
        <f t="shared" ref="DZ33:EI42" si="52">IFERROR(VLOOKUP($I33&amp;"-"&amp;DZ$2,$A$3:$C$1700,3,FALSE),0)</f>
        <v>0</v>
      </c>
      <c r="EA33">
        <f t="shared" si="52"/>
        <v>0</v>
      </c>
      <c r="EB33">
        <f t="shared" si="52"/>
        <v>0</v>
      </c>
      <c r="EC33">
        <f t="shared" si="52"/>
        <v>0</v>
      </c>
      <c r="ED33">
        <f t="shared" si="52"/>
        <v>0</v>
      </c>
      <c r="EE33">
        <f t="shared" si="52"/>
        <v>0</v>
      </c>
      <c r="EF33">
        <f t="shared" si="52"/>
        <v>0</v>
      </c>
      <c r="EG33">
        <f t="shared" si="52"/>
        <v>0</v>
      </c>
      <c r="EH33">
        <f t="shared" si="52"/>
        <v>0</v>
      </c>
      <c r="EI33">
        <f t="shared" si="52"/>
        <v>0</v>
      </c>
      <c r="EJ33">
        <f>SUM(Tabla1[[#This Row],[1]:[130]])</f>
        <v>75</v>
      </c>
    </row>
    <row r="34" spans="1:140" ht="15.75" customHeight="1" thickBot="1" x14ac:dyDescent="0.3">
      <c r="A34" t="str">
        <f>B34&amp;"-"&amp;COUNTIF($B$2:B34,B34)</f>
        <v>I. CREMA ESPESA-6</v>
      </c>
      <c r="B34" s="33" t="s">
        <v>16</v>
      </c>
      <c r="C34">
        <f>VLOOKUP(B34,RECETAS!D33:$E$1700,2,FALSE)</f>
        <v>1000</v>
      </c>
      <c r="D34" s="32"/>
      <c r="G34" t="b">
        <f t="shared" si="0"/>
        <v>1</v>
      </c>
      <c r="I34" s="40" t="s">
        <v>56</v>
      </c>
      <c r="J34">
        <f t="shared" si="40"/>
        <v>2</v>
      </c>
      <c r="K34">
        <f t="shared" si="40"/>
        <v>0</v>
      </c>
      <c r="L34">
        <f t="shared" si="40"/>
        <v>0</v>
      </c>
      <c r="M34">
        <f t="shared" si="40"/>
        <v>0</v>
      </c>
      <c r="N34">
        <f t="shared" si="40"/>
        <v>0</v>
      </c>
      <c r="O34">
        <f t="shared" si="40"/>
        <v>0</v>
      </c>
      <c r="P34">
        <f t="shared" si="40"/>
        <v>0</v>
      </c>
      <c r="Q34">
        <f t="shared" si="40"/>
        <v>0</v>
      </c>
      <c r="R34">
        <f t="shared" si="40"/>
        <v>0</v>
      </c>
      <c r="S34">
        <f t="shared" si="40"/>
        <v>0</v>
      </c>
      <c r="T34">
        <f t="shared" si="41"/>
        <v>0</v>
      </c>
      <c r="U34">
        <f t="shared" si="41"/>
        <v>0</v>
      </c>
      <c r="V34">
        <f t="shared" si="41"/>
        <v>0</v>
      </c>
      <c r="W34">
        <f t="shared" si="41"/>
        <v>0</v>
      </c>
      <c r="X34">
        <f t="shared" si="41"/>
        <v>0</v>
      </c>
      <c r="Y34">
        <f t="shared" si="41"/>
        <v>0</v>
      </c>
      <c r="Z34">
        <f t="shared" si="41"/>
        <v>0</v>
      </c>
      <c r="AA34">
        <f t="shared" si="41"/>
        <v>0</v>
      </c>
      <c r="AB34">
        <f t="shared" si="41"/>
        <v>0</v>
      </c>
      <c r="AC34">
        <f t="shared" si="41"/>
        <v>0</v>
      </c>
      <c r="AD34">
        <f t="shared" si="42"/>
        <v>0</v>
      </c>
      <c r="AE34">
        <f t="shared" si="42"/>
        <v>0</v>
      </c>
      <c r="AF34">
        <f t="shared" si="42"/>
        <v>0</v>
      </c>
      <c r="AG34">
        <f t="shared" si="42"/>
        <v>0</v>
      </c>
      <c r="AH34">
        <f t="shared" si="42"/>
        <v>0</v>
      </c>
      <c r="AI34">
        <f t="shared" si="42"/>
        <v>0</v>
      </c>
      <c r="AJ34">
        <f t="shared" si="42"/>
        <v>0</v>
      </c>
      <c r="AK34">
        <f t="shared" si="42"/>
        <v>0</v>
      </c>
      <c r="AL34">
        <f t="shared" si="42"/>
        <v>0</v>
      </c>
      <c r="AM34">
        <f t="shared" si="42"/>
        <v>0</v>
      </c>
      <c r="AN34">
        <f t="shared" si="43"/>
        <v>0</v>
      </c>
      <c r="AO34">
        <f t="shared" si="43"/>
        <v>0</v>
      </c>
      <c r="AP34">
        <f t="shared" si="43"/>
        <v>0</v>
      </c>
      <c r="AQ34">
        <f t="shared" si="43"/>
        <v>0</v>
      </c>
      <c r="AR34">
        <f t="shared" si="43"/>
        <v>0</v>
      </c>
      <c r="AS34">
        <f t="shared" si="43"/>
        <v>0</v>
      </c>
      <c r="AT34">
        <f t="shared" si="43"/>
        <v>0</v>
      </c>
      <c r="AU34">
        <f t="shared" si="43"/>
        <v>0</v>
      </c>
      <c r="AV34">
        <f t="shared" si="43"/>
        <v>0</v>
      </c>
      <c r="AW34">
        <f t="shared" si="43"/>
        <v>0</v>
      </c>
      <c r="AX34">
        <f t="shared" si="44"/>
        <v>0</v>
      </c>
      <c r="AY34">
        <f t="shared" si="44"/>
        <v>0</v>
      </c>
      <c r="AZ34">
        <f t="shared" si="44"/>
        <v>0</v>
      </c>
      <c r="BA34">
        <f t="shared" si="44"/>
        <v>0</v>
      </c>
      <c r="BB34">
        <f t="shared" si="44"/>
        <v>0</v>
      </c>
      <c r="BC34">
        <f t="shared" si="44"/>
        <v>0</v>
      </c>
      <c r="BD34">
        <f t="shared" si="44"/>
        <v>0</v>
      </c>
      <c r="BE34">
        <f t="shared" si="44"/>
        <v>0</v>
      </c>
      <c r="BF34">
        <f t="shared" si="44"/>
        <v>0</v>
      </c>
      <c r="BG34">
        <f t="shared" si="44"/>
        <v>0</v>
      </c>
      <c r="BH34">
        <f t="shared" si="45"/>
        <v>0</v>
      </c>
      <c r="BI34">
        <f t="shared" si="45"/>
        <v>0</v>
      </c>
      <c r="BJ34">
        <f t="shared" si="45"/>
        <v>0</v>
      </c>
      <c r="BK34">
        <f t="shared" si="45"/>
        <v>0</v>
      </c>
      <c r="BL34">
        <f t="shared" si="45"/>
        <v>0</v>
      </c>
      <c r="BM34">
        <f t="shared" si="45"/>
        <v>0</v>
      </c>
      <c r="BN34">
        <f t="shared" si="45"/>
        <v>0</v>
      </c>
      <c r="BO34">
        <f t="shared" si="45"/>
        <v>0</v>
      </c>
      <c r="BP34">
        <f t="shared" si="45"/>
        <v>0</v>
      </c>
      <c r="BQ34">
        <f t="shared" si="45"/>
        <v>0</v>
      </c>
      <c r="BR34">
        <f t="shared" si="46"/>
        <v>0</v>
      </c>
      <c r="BS34">
        <f t="shared" si="46"/>
        <v>0</v>
      </c>
      <c r="BT34">
        <f t="shared" si="46"/>
        <v>0</v>
      </c>
      <c r="BU34">
        <f t="shared" si="46"/>
        <v>0</v>
      </c>
      <c r="BV34">
        <f t="shared" si="46"/>
        <v>0</v>
      </c>
      <c r="BW34">
        <f t="shared" si="46"/>
        <v>0</v>
      </c>
      <c r="BX34">
        <f t="shared" si="46"/>
        <v>0</v>
      </c>
      <c r="BY34">
        <f t="shared" si="46"/>
        <v>0</v>
      </c>
      <c r="BZ34">
        <f t="shared" si="46"/>
        <v>0</v>
      </c>
      <c r="CA34">
        <f t="shared" si="46"/>
        <v>0</v>
      </c>
      <c r="CB34">
        <f t="shared" si="47"/>
        <v>0</v>
      </c>
      <c r="CC34">
        <f t="shared" si="47"/>
        <v>0</v>
      </c>
      <c r="CD34">
        <f t="shared" si="47"/>
        <v>0</v>
      </c>
      <c r="CE34">
        <f t="shared" si="47"/>
        <v>0</v>
      </c>
      <c r="CF34">
        <f t="shared" si="47"/>
        <v>0</v>
      </c>
      <c r="CG34">
        <f t="shared" si="47"/>
        <v>0</v>
      </c>
      <c r="CH34">
        <f t="shared" si="47"/>
        <v>0</v>
      </c>
      <c r="CI34">
        <f t="shared" si="47"/>
        <v>0</v>
      </c>
      <c r="CJ34">
        <f t="shared" si="47"/>
        <v>0</v>
      </c>
      <c r="CK34">
        <f t="shared" si="47"/>
        <v>0</v>
      </c>
      <c r="CL34">
        <f t="shared" si="48"/>
        <v>0</v>
      </c>
      <c r="CM34">
        <f t="shared" si="48"/>
        <v>0</v>
      </c>
      <c r="CN34">
        <f t="shared" si="48"/>
        <v>0</v>
      </c>
      <c r="CO34">
        <f t="shared" si="48"/>
        <v>0</v>
      </c>
      <c r="CP34">
        <f t="shared" si="48"/>
        <v>0</v>
      </c>
      <c r="CQ34">
        <f t="shared" si="48"/>
        <v>0</v>
      </c>
      <c r="CR34">
        <f t="shared" si="48"/>
        <v>0</v>
      </c>
      <c r="CS34">
        <f t="shared" si="48"/>
        <v>0</v>
      </c>
      <c r="CT34">
        <f t="shared" si="48"/>
        <v>0</v>
      </c>
      <c r="CU34">
        <f t="shared" si="48"/>
        <v>0</v>
      </c>
      <c r="CV34">
        <f t="shared" si="49"/>
        <v>0</v>
      </c>
      <c r="CW34">
        <f t="shared" si="49"/>
        <v>0</v>
      </c>
      <c r="CX34">
        <f t="shared" si="49"/>
        <v>0</v>
      </c>
      <c r="CY34">
        <f t="shared" si="49"/>
        <v>0</v>
      </c>
      <c r="CZ34">
        <f t="shared" si="49"/>
        <v>0</v>
      </c>
      <c r="DA34">
        <f t="shared" si="49"/>
        <v>0</v>
      </c>
      <c r="DB34">
        <f t="shared" si="49"/>
        <v>0</v>
      </c>
      <c r="DC34">
        <f t="shared" si="49"/>
        <v>0</v>
      </c>
      <c r="DD34">
        <f t="shared" si="49"/>
        <v>0</v>
      </c>
      <c r="DE34">
        <f t="shared" si="49"/>
        <v>0</v>
      </c>
      <c r="DF34">
        <f t="shared" si="50"/>
        <v>0</v>
      </c>
      <c r="DG34">
        <f t="shared" si="50"/>
        <v>0</v>
      </c>
      <c r="DH34">
        <f t="shared" si="50"/>
        <v>0</v>
      </c>
      <c r="DI34">
        <f t="shared" si="50"/>
        <v>0</v>
      </c>
      <c r="DJ34">
        <f t="shared" si="50"/>
        <v>0</v>
      </c>
      <c r="DK34">
        <f t="shared" si="50"/>
        <v>0</v>
      </c>
      <c r="DL34">
        <f t="shared" si="50"/>
        <v>0</v>
      </c>
      <c r="DM34">
        <f t="shared" si="50"/>
        <v>0</v>
      </c>
      <c r="DN34">
        <f t="shared" si="50"/>
        <v>0</v>
      </c>
      <c r="DO34">
        <f t="shared" si="50"/>
        <v>0</v>
      </c>
      <c r="DP34">
        <f t="shared" si="51"/>
        <v>0</v>
      </c>
      <c r="DQ34">
        <f t="shared" si="51"/>
        <v>0</v>
      </c>
      <c r="DR34">
        <f t="shared" si="51"/>
        <v>0</v>
      </c>
      <c r="DS34">
        <f t="shared" si="51"/>
        <v>0</v>
      </c>
      <c r="DT34">
        <f t="shared" si="51"/>
        <v>0</v>
      </c>
      <c r="DU34">
        <f t="shared" si="51"/>
        <v>0</v>
      </c>
      <c r="DV34">
        <f t="shared" si="51"/>
        <v>0</v>
      </c>
      <c r="DW34">
        <f t="shared" si="51"/>
        <v>0</v>
      </c>
      <c r="DX34">
        <f t="shared" si="51"/>
        <v>0</v>
      </c>
      <c r="DY34">
        <f t="shared" si="51"/>
        <v>0</v>
      </c>
      <c r="DZ34">
        <f t="shared" si="52"/>
        <v>0</v>
      </c>
      <c r="EA34">
        <f t="shared" si="52"/>
        <v>0</v>
      </c>
      <c r="EB34">
        <f t="shared" si="52"/>
        <v>0</v>
      </c>
      <c r="EC34">
        <f t="shared" si="52"/>
        <v>0</v>
      </c>
      <c r="ED34">
        <f t="shared" si="52"/>
        <v>0</v>
      </c>
      <c r="EE34">
        <f t="shared" si="52"/>
        <v>0</v>
      </c>
      <c r="EF34">
        <f t="shared" si="52"/>
        <v>0</v>
      </c>
      <c r="EG34">
        <f t="shared" si="52"/>
        <v>0</v>
      </c>
      <c r="EH34">
        <f t="shared" si="52"/>
        <v>0</v>
      </c>
      <c r="EI34">
        <f t="shared" si="52"/>
        <v>0</v>
      </c>
      <c r="EJ34">
        <f>SUM(Tabla1[[#This Row],[1]:[130]])</f>
        <v>2</v>
      </c>
    </row>
    <row r="35" spans="1:140" ht="15.75" customHeight="1" x14ac:dyDescent="0.25">
      <c r="A35" t="str">
        <f>B35&amp;"-"&amp;COUNTIF($B$2:B35,B35)</f>
        <v>I. TORTILLAS GR-3</v>
      </c>
      <c r="B35" s="26" t="s">
        <v>7</v>
      </c>
      <c r="C35">
        <f>VLOOKUP(B35,RECETAS!D34:$E$1700,2,FALSE)</f>
        <v>19</v>
      </c>
      <c r="D35" s="25" t="s">
        <v>331</v>
      </c>
      <c r="G35" t="b">
        <f t="shared" si="0"/>
        <v>1</v>
      </c>
      <c r="I35" s="119" t="s">
        <v>678</v>
      </c>
      <c r="J35">
        <f t="shared" si="40"/>
        <v>0</v>
      </c>
      <c r="K35">
        <f t="shared" si="40"/>
        <v>0</v>
      </c>
      <c r="L35">
        <f t="shared" si="40"/>
        <v>0</v>
      </c>
      <c r="M35">
        <f t="shared" si="40"/>
        <v>0</v>
      </c>
      <c r="N35">
        <f t="shared" si="40"/>
        <v>0</v>
      </c>
      <c r="O35">
        <f t="shared" si="40"/>
        <v>0</v>
      </c>
      <c r="P35">
        <f t="shared" si="40"/>
        <v>0</v>
      </c>
      <c r="Q35">
        <f t="shared" si="40"/>
        <v>0</v>
      </c>
      <c r="R35">
        <f t="shared" si="40"/>
        <v>0</v>
      </c>
      <c r="S35">
        <f t="shared" si="40"/>
        <v>0</v>
      </c>
      <c r="T35">
        <f t="shared" si="41"/>
        <v>0</v>
      </c>
      <c r="U35">
        <f t="shared" si="41"/>
        <v>0</v>
      </c>
      <c r="V35">
        <f t="shared" si="41"/>
        <v>0</v>
      </c>
      <c r="W35">
        <f t="shared" si="41"/>
        <v>0</v>
      </c>
      <c r="X35">
        <f t="shared" si="41"/>
        <v>0</v>
      </c>
      <c r="Y35">
        <f t="shared" si="41"/>
        <v>0</v>
      </c>
      <c r="Z35">
        <f t="shared" si="41"/>
        <v>0</v>
      </c>
      <c r="AA35">
        <f t="shared" si="41"/>
        <v>0</v>
      </c>
      <c r="AB35">
        <f t="shared" si="41"/>
        <v>0</v>
      </c>
      <c r="AC35">
        <f t="shared" si="41"/>
        <v>0</v>
      </c>
      <c r="AD35">
        <f t="shared" si="42"/>
        <v>0</v>
      </c>
      <c r="AE35">
        <f t="shared" si="42"/>
        <v>0</v>
      </c>
      <c r="AF35">
        <f t="shared" si="42"/>
        <v>0</v>
      </c>
      <c r="AG35">
        <f t="shared" si="42"/>
        <v>0</v>
      </c>
      <c r="AH35">
        <f t="shared" si="42"/>
        <v>0</v>
      </c>
      <c r="AI35">
        <f t="shared" si="42"/>
        <v>0</v>
      </c>
      <c r="AJ35">
        <f t="shared" si="42"/>
        <v>0</v>
      </c>
      <c r="AK35">
        <f t="shared" si="42"/>
        <v>0</v>
      </c>
      <c r="AL35">
        <f t="shared" si="42"/>
        <v>0</v>
      </c>
      <c r="AM35">
        <f t="shared" si="42"/>
        <v>0</v>
      </c>
      <c r="AN35">
        <f t="shared" si="43"/>
        <v>0</v>
      </c>
      <c r="AO35">
        <f t="shared" si="43"/>
        <v>0</v>
      </c>
      <c r="AP35">
        <f t="shared" si="43"/>
        <v>0</v>
      </c>
      <c r="AQ35">
        <f t="shared" si="43"/>
        <v>0</v>
      </c>
      <c r="AR35">
        <f t="shared" si="43"/>
        <v>0</v>
      </c>
      <c r="AS35">
        <f t="shared" si="43"/>
        <v>0</v>
      </c>
      <c r="AT35">
        <f t="shared" si="43"/>
        <v>0</v>
      </c>
      <c r="AU35">
        <f t="shared" si="43"/>
        <v>0</v>
      </c>
      <c r="AV35">
        <f t="shared" si="43"/>
        <v>0</v>
      </c>
      <c r="AW35">
        <f t="shared" si="43"/>
        <v>0</v>
      </c>
      <c r="AX35">
        <f t="shared" si="44"/>
        <v>0</v>
      </c>
      <c r="AY35">
        <f t="shared" si="44"/>
        <v>0</v>
      </c>
      <c r="AZ35">
        <f t="shared" si="44"/>
        <v>0</v>
      </c>
      <c r="BA35">
        <f t="shared" si="44"/>
        <v>0</v>
      </c>
      <c r="BB35">
        <f t="shared" si="44"/>
        <v>0</v>
      </c>
      <c r="BC35">
        <f t="shared" si="44"/>
        <v>0</v>
      </c>
      <c r="BD35">
        <f t="shared" si="44"/>
        <v>0</v>
      </c>
      <c r="BE35">
        <f t="shared" si="44"/>
        <v>0</v>
      </c>
      <c r="BF35">
        <f t="shared" si="44"/>
        <v>0</v>
      </c>
      <c r="BG35">
        <f t="shared" si="44"/>
        <v>0</v>
      </c>
      <c r="BH35">
        <f t="shared" si="45"/>
        <v>0</v>
      </c>
      <c r="BI35">
        <f t="shared" si="45"/>
        <v>0</v>
      </c>
      <c r="BJ35">
        <f t="shared" si="45"/>
        <v>0</v>
      </c>
      <c r="BK35">
        <f t="shared" si="45"/>
        <v>0</v>
      </c>
      <c r="BL35">
        <f t="shared" si="45"/>
        <v>0</v>
      </c>
      <c r="BM35">
        <f t="shared" si="45"/>
        <v>0</v>
      </c>
      <c r="BN35">
        <f t="shared" si="45"/>
        <v>0</v>
      </c>
      <c r="BO35">
        <f t="shared" si="45"/>
        <v>0</v>
      </c>
      <c r="BP35">
        <f t="shared" si="45"/>
        <v>0</v>
      </c>
      <c r="BQ35">
        <f t="shared" si="45"/>
        <v>0</v>
      </c>
      <c r="BR35">
        <f t="shared" si="46"/>
        <v>0</v>
      </c>
      <c r="BS35">
        <f t="shared" si="46"/>
        <v>0</v>
      </c>
      <c r="BT35">
        <f t="shared" si="46"/>
        <v>0</v>
      </c>
      <c r="BU35">
        <f t="shared" si="46"/>
        <v>0</v>
      </c>
      <c r="BV35">
        <f t="shared" si="46"/>
        <v>0</v>
      </c>
      <c r="BW35">
        <f t="shared" si="46"/>
        <v>0</v>
      </c>
      <c r="BX35">
        <f t="shared" si="46"/>
        <v>0</v>
      </c>
      <c r="BY35">
        <f t="shared" si="46"/>
        <v>0</v>
      </c>
      <c r="BZ35">
        <f t="shared" si="46"/>
        <v>0</v>
      </c>
      <c r="CA35">
        <f t="shared" si="46"/>
        <v>0</v>
      </c>
      <c r="CB35">
        <f t="shared" si="47"/>
        <v>0</v>
      </c>
      <c r="CC35">
        <f t="shared" si="47"/>
        <v>0</v>
      </c>
      <c r="CD35">
        <f t="shared" si="47"/>
        <v>0</v>
      </c>
      <c r="CE35">
        <f t="shared" si="47"/>
        <v>0</v>
      </c>
      <c r="CF35">
        <f t="shared" si="47"/>
        <v>0</v>
      </c>
      <c r="CG35">
        <f t="shared" si="47"/>
        <v>0</v>
      </c>
      <c r="CH35">
        <f t="shared" si="47"/>
        <v>0</v>
      </c>
      <c r="CI35">
        <f t="shared" si="47"/>
        <v>0</v>
      </c>
      <c r="CJ35">
        <f t="shared" si="47"/>
        <v>0</v>
      </c>
      <c r="CK35">
        <f t="shared" si="47"/>
        <v>0</v>
      </c>
      <c r="CL35">
        <f t="shared" si="48"/>
        <v>0</v>
      </c>
      <c r="CM35">
        <f t="shared" si="48"/>
        <v>0</v>
      </c>
      <c r="CN35">
        <f t="shared" si="48"/>
        <v>0</v>
      </c>
      <c r="CO35">
        <f t="shared" si="48"/>
        <v>0</v>
      </c>
      <c r="CP35">
        <f t="shared" si="48"/>
        <v>0</v>
      </c>
      <c r="CQ35">
        <f t="shared" si="48"/>
        <v>0</v>
      </c>
      <c r="CR35">
        <f t="shared" si="48"/>
        <v>0</v>
      </c>
      <c r="CS35">
        <f t="shared" si="48"/>
        <v>0</v>
      </c>
      <c r="CT35">
        <f t="shared" si="48"/>
        <v>0</v>
      </c>
      <c r="CU35">
        <f t="shared" si="48"/>
        <v>0</v>
      </c>
      <c r="CV35">
        <f t="shared" si="49"/>
        <v>0</v>
      </c>
      <c r="CW35">
        <f t="shared" si="49"/>
        <v>0</v>
      </c>
      <c r="CX35">
        <f t="shared" si="49"/>
        <v>0</v>
      </c>
      <c r="CY35">
        <f t="shared" si="49"/>
        <v>0</v>
      </c>
      <c r="CZ35">
        <f t="shared" si="49"/>
        <v>0</v>
      </c>
      <c r="DA35">
        <f t="shared" si="49"/>
        <v>0</v>
      </c>
      <c r="DB35">
        <f t="shared" si="49"/>
        <v>0</v>
      </c>
      <c r="DC35">
        <f t="shared" si="49"/>
        <v>0</v>
      </c>
      <c r="DD35">
        <f t="shared" si="49"/>
        <v>0</v>
      </c>
      <c r="DE35">
        <f t="shared" si="49"/>
        <v>0</v>
      </c>
      <c r="DF35">
        <f t="shared" si="50"/>
        <v>0</v>
      </c>
      <c r="DG35">
        <f t="shared" si="50"/>
        <v>0</v>
      </c>
      <c r="DH35">
        <f t="shared" si="50"/>
        <v>0</v>
      </c>
      <c r="DI35">
        <f t="shared" si="50"/>
        <v>0</v>
      </c>
      <c r="DJ35">
        <f t="shared" si="50"/>
        <v>0</v>
      </c>
      <c r="DK35">
        <f t="shared" si="50"/>
        <v>0</v>
      </c>
      <c r="DL35">
        <f t="shared" si="50"/>
        <v>0</v>
      </c>
      <c r="DM35">
        <f t="shared" si="50"/>
        <v>0</v>
      </c>
      <c r="DN35">
        <f t="shared" si="50"/>
        <v>0</v>
      </c>
      <c r="DO35">
        <f t="shared" si="50"/>
        <v>0</v>
      </c>
      <c r="DP35">
        <f t="shared" si="51"/>
        <v>0</v>
      </c>
      <c r="DQ35">
        <f t="shared" si="51"/>
        <v>0</v>
      </c>
      <c r="DR35">
        <f t="shared" si="51"/>
        <v>0</v>
      </c>
      <c r="DS35">
        <f t="shared" si="51"/>
        <v>0</v>
      </c>
      <c r="DT35">
        <f t="shared" si="51"/>
        <v>0</v>
      </c>
      <c r="DU35">
        <f t="shared" si="51"/>
        <v>0</v>
      </c>
      <c r="DV35">
        <f t="shared" si="51"/>
        <v>0</v>
      </c>
      <c r="DW35">
        <f t="shared" si="51"/>
        <v>0</v>
      </c>
      <c r="DX35">
        <f t="shared" si="51"/>
        <v>0</v>
      </c>
      <c r="DY35">
        <f t="shared" si="51"/>
        <v>0</v>
      </c>
      <c r="DZ35">
        <f t="shared" si="52"/>
        <v>0</v>
      </c>
      <c r="EA35">
        <f t="shared" si="52"/>
        <v>0</v>
      </c>
      <c r="EB35">
        <f t="shared" si="52"/>
        <v>0</v>
      </c>
      <c r="EC35">
        <f t="shared" si="52"/>
        <v>0</v>
      </c>
      <c r="ED35">
        <f t="shared" si="52"/>
        <v>0</v>
      </c>
      <c r="EE35">
        <f t="shared" si="52"/>
        <v>0</v>
      </c>
      <c r="EF35">
        <f t="shared" si="52"/>
        <v>0</v>
      </c>
      <c r="EG35">
        <f t="shared" si="52"/>
        <v>0</v>
      </c>
      <c r="EH35">
        <f t="shared" si="52"/>
        <v>0</v>
      </c>
      <c r="EI35">
        <f t="shared" si="52"/>
        <v>0</v>
      </c>
      <c r="EJ35">
        <f>SUM(Tabla1[[#This Row],[1]:[130]])</f>
        <v>0</v>
      </c>
    </row>
    <row r="36" spans="1:140" ht="15" customHeight="1" x14ac:dyDescent="0.25">
      <c r="A36" t="str">
        <f>B36&amp;"-"&amp;COUNTIF($B$2:B36,B36)</f>
        <v>I. PALTA-5</v>
      </c>
      <c r="B36" s="35" t="s">
        <v>35</v>
      </c>
      <c r="C36">
        <f>VLOOKUP(B36,RECETAS!D35:$E$1700,2,FALSE)</f>
        <v>950</v>
      </c>
      <c r="D36" s="34"/>
      <c r="G36" t="b">
        <f t="shared" si="0"/>
        <v>1</v>
      </c>
      <c r="I36" s="35" t="s">
        <v>57</v>
      </c>
      <c r="J36">
        <f t="shared" si="40"/>
        <v>375</v>
      </c>
      <c r="K36">
        <f t="shared" si="40"/>
        <v>0</v>
      </c>
      <c r="L36">
        <f t="shared" si="40"/>
        <v>75</v>
      </c>
      <c r="M36">
        <f t="shared" si="40"/>
        <v>0</v>
      </c>
      <c r="N36">
        <f t="shared" si="40"/>
        <v>360</v>
      </c>
      <c r="O36">
        <f t="shared" si="40"/>
        <v>0</v>
      </c>
      <c r="P36">
        <f t="shared" si="40"/>
        <v>0</v>
      </c>
      <c r="Q36">
        <f t="shared" si="40"/>
        <v>0</v>
      </c>
      <c r="R36">
        <f t="shared" si="40"/>
        <v>0</v>
      </c>
      <c r="S36">
        <f t="shared" si="40"/>
        <v>150</v>
      </c>
      <c r="T36">
        <f t="shared" si="41"/>
        <v>0</v>
      </c>
      <c r="U36">
        <f t="shared" si="41"/>
        <v>75</v>
      </c>
      <c r="V36">
        <f t="shared" si="41"/>
        <v>0</v>
      </c>
      <c r="W36">
        <f t="shared" si="41"/>
        <v>0</v>
      </c>
      <c r="X36">
        <f t="shared" si="41"/>
        <v>0</v>
      </c>
      <c r="Y36">
        <f t="shared" si="41"/>
        <v>0</v>
      </c>
      <c r="Z36">
        <f t="shared" si="41"/>
        <v>0</v>
      </c>
      <c r="AA36">
        <f t="shared" si="41"/>
        <v>0</v>
      </c>
      <c r="AB36">
        <f t="shared" si="41"/>
        <v>0</v>
      </c>
      <c r="AC36">
        <f t="shared" si="41"/>
        <v>0</v>
      </c>
      <c r="AD36">
        <f t="shared" si="42"/>
        <v>0</v>
      </c>
      <c r="AE36">
        <f t="shared" si="42"/>
        <v>0</v>
      </c>
      <c r="AF36">
        <f t="shared" si="42"/>
        <v>0</v>
      </c>
      <c r="AG36">
        <f t="shared" si="42"/>
        <v>0</v>
      </c>
      <c r="AH36">
        <f t="shared" si="42"/>
        <v>0</v>
      </c>
      <c r="AI36">
        <f t="shared" si="42"/>
        <v>0</v>
      </c>
      <c r="AJ36">
        <f t="shared" si="42"/>
        <v>0</v>
      </c>
      <c r="AK36">
        <f t="shared" si="42"/>
        <v>0</v>
      </c>
      <c r="AL36">
        <f t="shared" si="42"/>
        <v>0</v>
      </c>
      <c r="AM36">
        <f t="shared" si="42"/>
        <v>0</v>
      </c>
      <c r="AN36">
        <f t="shared" si="43"/>
        <v>0</v>
      </c>
      <c r="AO36">
        <f t="shared" si="43"/>
        <v>0</v>
      </c>
      <c r="AP36">
        <f t="shared" si="43"/>
        <v>0</v>
      </c>
      <c r="AQ36">
        <f t="shared" si="43"/>
        <v>0</v>
      </c>
      <c r="AR36">
        <f t="shared" si="43"/>
        <v>0</v>
      </c>
      <c r="AS36">
        <f t="shared" si="43"/>
        <v>0</v>
      </c>
      <c r="AT36">
        <f t="shared" si="43"/>
        <v>0</v>
      </c>
      <c r="AU36">
        <f t="shared" si="43"/>
        <v>0</v>
      </c>
      <c r="AV36">
        <f t="shared" si="43"/>
        <v>0</v>
      </c>
      <c r="AW36">
        <f t="shared" si="43"/>
        <v>0</v>
      </c>
      <c r="AX36">
        <f t="shared" si="44"/>
        <v>0</v>
      </c>
      <c r="AY36">
        <f t="shared" si="44"/>
        <v>0</v>
      </c>
      <c r="AZ36">
        <f t="shared" si="44"/>
        <v>0</v>
      </c>
      <c r="BA36">
        <f t="shared" si="44"/>
        <v>0</v>
      </c>
      <c r="BB36">
        <f t="shared" si="44"/>
        <v>0</v>
      </c>
      <c r="BC36">
        <f t="shared" si="44"/>
        <v>0</v>
      </c>
      <c r="BD36">
        <f t="shared" si="44"/>
        <v>0</v>
      </c>
      <c r="BE36">
        <f t="shared" si="44"/>
        <v>0</v>
      </c>
      <c r="BF36">
        <f t="shared" si="44"/>
        <v>0</v>
      </c>
      <c r="BG36">
        <f t="shared" si="44"/>
        <v>0</v>
      </c>
      <c r="BH36">
        <f t="shared" si="45"/>
        <v>0</v>
      </c>
      <c r="BI36">
        <f t="shared" si="45"/>
        <v>0</v>
      </c>
      <c r="BJ36">
        <f t="shared" si="45"/>
        <v>0</v>
      </c>
      <c r="BK36">
        <f t="shared" si="45"/>
        <v>0</v>
      </c>
      <c r="BL36">
        <f t="shared" si="45"/>
        <v>0</v>
      </c>
      <c r="BM36">
        <f t="shared" si="45"/>
        <v>0</v>
      </c>
      <c r="BN36">
        <f t="shared" si="45"/>
        <v>0</v>
      </c>
      <c r="BO36">
        <f t="shared" si="45"/>
        <v>0</v>
      </c>
      <c r="BP36">
        <f t="shared" si="45"/>
        <v>0</v>
      </c>
      <c r="BQ36">
        <f t="shared" si="45"/>
        <v>0</v>
      </c>
      <c r="BR36">
        <f t="shared" si="46"/>
        <v>0</v>
      </c>
      <c r="BS36">
        <f t="shared" si="46"/>
        <v>0</v>
      </c>
      <c r="BT36">
        <f t="shared" si="46"/>
        <v>0</v>
      </c>
      <c r="BU36">
        <f t="shared" si="46"/>
        <v>0</v>
      </c>
      <c r="BV36">
        <f t="shared" si="46"/>
        <v>0</v>
      </c>
      <c r="BW36">
        <f t="shared" si="46"/>
        <v>0</v>
      </c>
      <c r="BX36">
        <f t="shared" si="46"/>
        <v>0</v>
      </c>
      <c r="BY36">
        <f t="shared" si="46"/>
        <v>0</v>
      </c>
      <c r="BZ36">
        <f t="shared" si="46"/>
        <v>0</v>
      </c>
      <c r="CA36">
        <f t="shared" si="46"/>
        <v>0</v>
      </c>
      <c r="CB36">
        <f t="shared" si="47"/>
        <v>0</v>
      </c>
      <c r="CC36">
        <f t="shared" si="47"/>
        <v>0</v>
      </c>
      <c r="CD36">
        <f t="shared" si="47"/>
        <v>0</v>
      </c>
      <c r="CE36">
        <f t="shared" si="47"/>
        <v>0</v>
      </c>
      <c r="CF36">
        <f t="shared" si="47"/>
        <v>0</v>
      </c>
      <c r="CG36">
        <f t="shared" si="47"/>
        <v>0</v>
      </c>
      <c r="CH36">
        <f t="shared" si="47"/>
        <v>0</v>
      </c>
      <c r="CI36">
        <f t="shared" si="47"/>
        <v>0</v>
      </c>
      <c r="CJ36">
        <f t="shared" si="47"/>
        <v>0</v>
      </c>
      <c r="CK36">
        <f t="shared" si="47"/>
        <v>0</v>
      </c>
      <c r="CL36">
        <f t="shared" si="48"/>
        <v>0</v>
      </c>
      <c r="CM36">
        <f t="shared" si="48"/>
        <v>0</v>
      </c>
      <c r="CN36">
        <f t="shared" si="48"/>
        <v>0</v>
      </c>
      <c r="CO36">
        <f t="shared" si="48"/>
        <v>0</v>
      </c>
      <c r="CP36">
        <f t="shared" si="48"/>
        <v>0</v>
      </c>
      <c r="CQ36">
        <f t="shared" si="48"/>
        <v>0</v>
      </c>
      <c r="CR36">
        <f t="shared" si="48"/>
        <v>0</v>
      </c>
      <c r="CS36">
        <f t="shared" si="48"/>
        <v>0</v>
      </c>
      <c r="CT36">
        <f t="shared" si="48"/>
        <v>0</v>
      </c>
      <c r="CU36">
        <f t="shared" si="48"/>
        <v>0</v>
      </c>
      <c r="CV36">
        <f t="shared" si="49"/>
        <v>0</v>
      </c>
      <c r="CW36">
        <f t="shared" si="49"/>
        <v>0</v>
      </c>
      <c r="CX36">
        <f t="shared" si="49"/>
        <v>0</v>
      </c>
      <c r="CY36">
        <f t="shared" si="49"/>
        <v>0</v>
      </c>
      <c r="CZ36">
        <f t="shared" si="49"/>
        <v>0</v>
      </c>
      <c r="DA36">
        <f t="shared" si="49"/>
        <v>0</v>
      </c>
      <c r="DB36">
        <f t="shared" si="49"/>
        <v>0</v>
      </c>
      <c r="DC36">
        <f t="shared" si="49"/>
        <v>0</v>
      </c>
      <c r="DD36">
        <f t="shared" si="49"/>
        <v>0</v>
      </c>
      <c r="DE36">
        <f t="shared" si="49"/>
        <v>0</v>
      </c>
      <c r="DF36">
        <f t="shared" si="50"/>
        <v>0</v>
      </c>
      <c r="DG36">
        <f t="shared" si="50"/>
        <v>0</v>
      </c>
      <c r="DH36">
        <f t="shared" si="50"/>
        <v>0</v>
      </c>
      <c r="DI36">
        <f t="shared" si="50"/>
        <v>0</v>
      </c>
      <c r="DJ36">
        <f t="shared" si="50"/>
        <v>0</v>
      </c>
      <c r="DK36">
        <f t="shared" si="50"/>
        <v>0</v>
      </c>
      <c r="DL36">
        <f t="shared" si="50"/>
        <v>0</v>
      </c>
      <c r="DM36">
        <f t="shared" si="50"/>
        <v>0</v>
      </c>
      <c r="DN36">
        <f t="shared" si="50"/>
        <v>0</v>
      </c>
      <c r="DO36">
        <f t="shared" si="50"/>
        <v>0</v>
      </c>
      <c r="DP36">
        <f t="shared" si="51"/>
        <v>0</v>
      </c>
      <c r="DQ36">
        <f t="shared" si="51"/>
        <v>0</v>
      </c>
      <c r="DR36">
        <f t="shared" si="51"/>
        <v>0</v>
      </c>
      <c r="DS36">
        <f t="shared" si="51"/>
        <v>0</v>
      </c>
      <c r="DT36">
        <f t="shared" si="51"/>
        <v>0</v>
      </c>
      <c r="DU36">
        <f t="shared" si="51"/>
        <v>0</v>
      </c>
      <c r="DV36">
        <f t="shared" si="51"/>
        <v>0</v>
      </c>
      <c r="DW36">
        <f t="shared" si="51"/>
        <v>0</v>
      </c>
      <c r="DX36">
        <f t="shared" si="51"/>
        <v>0</v>
      </c>
      <c r="DY36">
        <f t="shared" si="51"/>
        <v>0</v>
      </c>
      <c r="DZ36">
        <f t="shared" si="52"/>
        <v>0</v>
      </c>
      <c r="EA36">
        <f t="shared" si="52"/>
        <v>0</v>
      </c>
      <c r="EB36">
        <f t="shared" si="52"/>
        <v>0</v>
      </c>
      <c r="EC36">
        <f t="shared" si="52"/>
        <v>0</v>
      </c>
      <c r="ED36">
        <f t="shared" si="52"/>
        <v>0</v>
      </c>
      <c r="EE36">
        <f t="shared" si="52"/>
        <v>0</v>
      </c>
      <c r="EF36">
        <f t="shared" si="52"/>
        <v>0</v>
      </c>
      <c r="EG36">
        <f t="shared" si="52"/>
        <v>0</v>
      </c>
      <c r="EH36">
        <f t="shared" si="52"/>
        <v>0</v>
      </c>
      <c r="EI36">
        <f t="shared" si="52"/>
        <v>0</v>
      </c>
      <c r="EJ36">
        <f>SUM(Tabla1[[#This Row],[1]:[130]])</f>
        <v>1035</v>
      </c>
    </row>
    <row r="37" spans="1:140" ht="15" customHeight="1" x14ac:dyDescent="0.25">
      <c r="A37" t="str">
        <f>B37&amp;"-"&amp;COUNTIF($B$2:B37,B37)</f>
        <v>I. CAMARON PORCION-2</v>
      </c>
      <c r="B37" s="35" t="s">
        <v>6</v>
      </c>
      <c r="C37">
        <f>VLOOKUP(B37,RECETAS!D36:$E$1700,2,FALSE)</f>
        <v>19</v>
      </c>
      <c r="D37" s="34"/>
      <c r="G37" t="b">
        <f t="shared" si="0"/>
        <v>1</v>
      </c>
      <c r="I37" s="38" t="s">
        <v>714</v>
      </c>
      <c r="J37">
        <f t="shared" si="40"/>
        <v>0</v>
      </c>
      <c r="K37">
        <f t="shared" si="40"/>
        <v>1</v>
      </c>
      <c r="L37">
        <f t="shared" si="40"/>
        <v>0</v>
      </c>
      <c r="M37">
        <f t="shared" si="40"/>
        <v>0</v>
      </c>
      <c r="N37">
        <f t="shared" si="40"/>
        <v>0</v>
      </c>
      <c r="O37">
        <f t="shared" si="40"/>
        <v>0</v>
      </c>
      <c r="P37">
        <f t="shared" si="40"/>
        <v>0</v>
      </c>
      <c r="Q37">
        <f t="shared" si="40"/>
        <v>0</v>
      </c>
      <c r="R37">
        <f t="shared" si="40"/>
        <v>0</v>
      </c>
      <c r="S37">
        <f t="shared" si="40"/>
        <v>0</v>
      </c>
      <c r="T37">
        <f t="shared" si="41"/>
        <v>0</v>
      </c>
      <c r="U37">
        <f t="shared" si="41"/>
        <v>0</v>
      </c>
      <c r="V37">
        <f t="shared" si="41"/>
        <v>0</v>
      </c>
      <c r="W37">
        <f t="shared" si="41"/>
        <v>0</v>
      </c>
      <c r="X37">
        <f t="shared" si="41"/>
        <v>0</v>
      </c>
      <c r="Y37">
        <f t="shared" si="41"/>
        <v>0</v>
      </c>
      <c r="Z37">
        <f t="shared" si="41"/>
        <v>0</v>
      </c>
      <c r="AA37">
        <f t="shared" si="41"/>
        <v>0</v>
      </c>
      <c r="AB37">
        <f t="shared" si="41"/>
        <v>0</v>
      </c>
      <c r="AC37">
        <f t="shared" si="41"/>
        <v>0</v>
      </c>
      <c r="AD37">
        <f t="shared" si="42"/>
        <v>0</v>
      </c>
      <c r="AE37">
        <f t="shared" si="42"/>
        <v>0</v>
      </c>
      <c r="AF37">
        <f t="shared" si="42"/>
        <v>0</v>
      </c>
      <c r="AG37">
        <f t="shared" si="42"/>
        <v>0</v>
      </c>
      <c r="AH37">
        <f t="shared" si="42"/>
        <v>0</v>
      </c>
      <c r="AI37">
        <f t="shared" si="42"/>
        <v>0</v>
      </c>
      <c r="AJ37">
        <f t="shared" si="42"/>
        <v>0</v>
      </c>
      <c r="AK37">
        <f t="shared" si="42"/>
        <v>0</v>
      </c>
      <c r="AL37">
        <f t="shared" si="42"/>
        <v>0</v>
      </c>
      <c r="AM37">
        <f t="shared" si="42"/>
        <v>0</v>
      </c>
      <c r="AN37">
        <f t="shared" si="43"/>
        <v>0</v>
      </c>
      <c r="AO37">
        <f t="shared" si="43"/>
        <v>0</v>
      </c>
      <c r="AP37">
        <f t="shared" si="43"/>
        <v>0</v>
      </c>
      <c r="AQ37">
        <f t="shared" si="43"/>
        <v>0</v>
      </c>
      <c r="AR37">
        <f t="shared" si="43"/>
        <v>0</v>
      </c>
      <c r="AS37">
        <f t="shared" si="43"/>
        <v>0</v>
      </c>
      <c r="AT37">
        <f t="shared" si="43"/>
        <v>0</v>
      </c>
      <c r="AU37">
        <f t="shared" si="43"/>
        <v>0</v>
      </c>
      <c r="AV37">
        <f t="shared" si="43"/>
        <v>0</v>
      </c>
      <c r="AW37">
        <f t="shared" si="43"/>
        <v>0</v>
      </c>
      <c r="AX37">
        <f t="shared" si="44"/>
        <v>0</v>
      </c>
      <c r="AY37">
        <f t="shared" si="44"/>
        <v>0</v>
      </c>
      <c r="AZ37">
        <f t="shared" si="44"/>
        <v>0</v>
      </c>
      <c r="BA37">
        <f t="shared" si="44"/>
        <v>0</v>
      </c>
      <c r="BB37">
        <f t="shared" si="44"/>
        <v>0</v>
      </c>
      <c r="BC37">
        <f t="shared" si="44"/>
        <v>0</v>
      </c>
      <c r="BD37">
        <f t="shared" si="44"/>
        <v>0</v>
      </c>
      <c r="BE37">
        <f t="shared" si="44"/>
        <v>0</v>
      </c>
      <c r="BF37">
        <f t="shared" si="44"/>
        <v>0</v>
      </c>
      <c r="BG37">
        <f t="shared" si="44"/>
        <v>0</v>
      </c>
      <c r="BH37">
        <f t="shared" si="45"/>
        <v>0</v>
      </c>
      <c r="BI37">
        <f t="shared" si="45"/>
        <v>0</v>
      </c>
      <c r="BJ37">
        <f t="shared" si="45"/>
        <v>0</v>
      </c>
      <c r="BK37">
        <f t="shared" si="45"/>
        <v>0</v>
      </c>
      <c r="BL37">
        <f t="shared" si="45"/>
        <v>0</v>
      </c>
      <c r="BM37">
        <f t="shared" si="45"/>
        <v>0</v>
      </c>
      <c r="BN37">
        <f t="shared" si="45"/>
        <v>0</v>
      </c>
      <c r="BO37">
        <f t="shared" si="45"/>
        <v>0</v>
      </c>
      <c r="BP37">
        <f t="shared" si="45"/>
        <v>0</v>
      </c>
      <c r="BQ37">
        <f t="shared" si="45"/>
        <v>0</v>
      </c>
      <c r="BR37">
        <f t="shared" si="46"/>
        <v>0</v>
      </c>
      <c r="BS37">
        <f t="shared" si="46"/>
        <v>0</v>
      </c>
      <c r="BT37">
        <f t="shared" si="46"/>
        <v>0</v>
      </c>
      <c r="BU37">
        <f t="shared" si="46"/>
        <v>0</v>
      </c>
      <c r="BV37">
        <f t="shared" si="46"/>
        <v>0</v>
      </c>
      <c r="BW37">
        <f t="shared" si="46"/>
        <v>0</v>
      </c>
      <c r="BX37">
        <f t="shared" si="46"/>
        <v>0</v>
      </c>
      <c r="BY37">
        <f t="shared" si="46"/>
        <v>0</v>
      </c>
      <c r="BZ37">
        <f t="shared" si="46"/>
        <v>0</v>
      </c>
      <c r="CA37">
        <f t="shared" si="46"/>
        <v>0</v>
      </c>
      <c r="CB37">
        <f t="shared" si="47"/>
        <v>0</v>
      </c>
      <c r="CC37">
        <f t="shared" si="47"/>
        <v>0</v>
      </c>
      <c r="CD37">
        <f t="shared" si="47"/>
        <v>0</v>
      </c>
      <c r="CE37">
        <f t="shared" si="47"/>
        <v>0</v>
      </c>
      <c r="CF37">
        <f t="shared" si="47"/>
        <v>0</v>
      </c>
      <c r="CG37">
        <f t="shared" si="47"/>
        <v>0</v>
      </c>
      <c r="CH37">
        <f t="shared" si="47"/>
        <v>0</v>
      </c>
      <c r="CI37">
        <f t="shared" si="47"/>
        <v>0</v>
      </c>
      <c r="CJ37">
        <f t="shared" si="47"/>
        <v>0</v>
      </c>
      <c r="CK37">
        <f t="shared" si="47"/>
        <v>0</v>
      </c>
      <c r="CL37">
        <f t="shared" si="48"/>
        <v>0</v>
      </c>
      <c r="CM37">
        <f t="shared" si="48"/>
        <v>0</v>
      </c>
      <c r="CN37">
        <f t="shared" si="48"/>
        <v>0</v>
      </c>
      <c r="CO37">
        <f t="shared" si="48"/>
        <v>0</v>
      </c>
      <c r="CP37">
        <f t="shared" si="48"/>
        <v>0</v>
      </c>
      <c r="CQ37">
        <f t="shared" si="48"/>
        <v>0</v>
      </c>
      <c r="CR37">
        <f t="shared" si="48"/>
        <v>0</v>
      </c>
      <c r="CS37">
        <f t="shared" si="48"/>
        <v>0</v>
      </c>
      <c r="CT37">
        <f t="shared" si="48"/>
        <v>0</v>
      </c>
      <c r="CU37">
        <f t="shared" si="48"/>
        <v>0</v>
      </c>
      <c r="CV37">
        <f t="shared" si="49"/>
        <v>0</v>
      </c>
      <c r="CW37">
        <f t="shared" si="49"/>
        <v>0</v>
      </c>
      <c r="CX37">
        <f t="shared" si="49"/>
        <v>0</v>
      </c>
      <c r="CY37">
        <f t="shared" si="49"/>
        <v>0</v>
      </c>
      <c r="CZ37">
        <f t="shared" si="49"/>
        <v>0</v>
      </c>
      <c r="DA37">
        <f t="shared" si="49"/>
        <v>0</v>
      </c>
      <c r="DB37">
        <f t="shared" si="49"/>
        <v>0</v>
      </c>
      <c r="DC37">
        <f t="shared" si="49"/>
        <v>0</v>
      </c>
      <c r="DD37">
        <f t="shared" si="49"/>
        <v>0</v>
      </c>
      <c r="DE37">
        <f t="shared" si="49"/>
        <v>0</v>
      </c>
      <c r="DF37">
        <f t="shared" si="50"/>
        <v>0</v>
      </c>
      <c r="DG37">
        <f t="shared" si="50"/>
        <v>0</v>
      </c>
      <c r="DH37">
        <f t="shared" si="50"/>
        <v>0</v>
      </c>
      <c r="DI37">
        <f t="shared" si="50"/>
        <v>0</v>
      </c>
      <c r="DJ37">
        <f t="shared" si="50"/>
        <v>0</v>
      </c>
      <c r="DK37">
        <f t="shared" si="50"/>
        <v>0</v>
      </c>
      <c r="DL37">
        <f t="shared" si="50"/>
        <v>0</v>
      </c>
      <c r="DM37">
        <f t="shared" si="50"/>
        <v>0</v>
      </c>
      <c r="DN37">
        <f t="shared" si="50"/>
        <v>0</v>
      </c>
      <c r="DO37">
        <f t="shared" si="50"/>
        <v>0</v>
      </c>
      <c r="DP37">
        <f t="shared" si="51"/>
        <v>0</v>
      </c>
      <c r="DQ37">
        <f t="shared" si="51"/>
        <v>0</v>
      </c>
      <c r="DR37">
        <f t="shared" si="51"/>
        <v>0</v>
      </c>
      <c r="DS37">
        <f t="shared" si="51"/>
        <v>0</v>
      </c>
      <c r="DT37">
        <f t="shared" si="51"/>
        <v>0</v>
      </c>
      <c r="DU37">
        <f t="shared" si="51"/>
        <v>0</v>
      </c>
      <c r="DV37">
        <f t="shared" si="51"/>
        <v>0</v>
      </c>
      <c r="DW37">
        <f t="shared" si="51"/>
        <v>0</v>
      </c>
      <c r="DX37">
        <f t="shared" si="51"/>
        <v>0</v>
      </c>
      <c r="DY37">
        <f t="shared" si="51"/>
        <v>0</v>
      </c>
      <c r="DZ37">
        <f t="shared" si="52"/>
        <v>0</v>
      </c>
      <c r="EA37">
        <f t="shared" si="52"/>
        <v>0</v>
      </c>
      <c r="EB37">
        <f t="shared" si="52"/>
        <v>0</v>
      </c>
      <c r="EC37">
        <f t="shared" si="52"/>
        <v>0</v>
      </c>
      <c r="ED37">
        <f t="shared" si="52"/>
        <v>0</v>
      </c>
      <c r="EE37">
        <f t="shared" si="52"/>
        <v>0</v>
      </c>
      <c r="EF37">
        <f t="shared" si="52"/>
        <v>0</v>
      </c>
      <c r="EG37">
        <f t="shared" si="52"/>
        <v>0</v>
      </c>
      <c r="EH37">
        <f t="shared" si="52"/>
        <v>0</v>
      </c>
      <c r="EI37">
        <f t="shared" si="52"/>
        <v>0</v>
      </c>
      <c r="EJ37">
        <f>SUM(Tabla1[[#This Row],[1]:[130]])</f>
        <v>1</v>
      </c>
    </row>
    <row r="38" spans="1:140" ht="15" customHeight="1" x14ac:dyDescent="0.25">
      <c r="A38" t="str">
        <f>B38&amp;"-"&amp;COUNTIF($B$2:B38,B38)</f>
        <v>I. QUESO GRANULADO-4</v>
      </c>
      <c r="B38" s="36" t="s">
        <v>9</v>
      </c>
      <c r="C38">
        <f>VLOOKUP(B38,RECETAS!D37:$E$1700,2,FALSE)</f>
        <v>1710</v>
      </c>
      <c r="D38" s="34"/>
      <c r="G38" t="b">
        <f t="shared" si="0"/>
        <v>1</v>
      </c>
      <c r="I38" s="35" t="s">
        <v>700</v>
      </c>
      <c r="J38">
        <f t="shared" si="40"/>
        <v>0</v>
      </c>
      <c r="K38">
        <f t="shared" si="40"/>
        <v>0</v>
      </c>
      <c r="L38">
        <f t="shared" si="40"/>
        <v>0</v>
      </c>
      <c r="M38">
        <f t="shared" si="40"/>
        <v>0</v>
      </c>
      <c r="N38">
        <f t="shared" si="40"/>
        <v>0</v>
      </c>
      <c r="O38">
        <f t="shared" si="40"/>
        <v>0</v>
      </c>
      <c r="P38">
        <f t="shared" si="40"/>
        <v>0</v>
      </c>
      <c r="Q38">
        <f t="shared" si="40"/>
        <v>0</v>
      </c>
      <c r="R38">
        <f t="shared" si="40"/>
        <v>0</v>
      </c>
      <c r="S38">
        <f t="shared" si="40"/>
        <v>0</v>
      </c>
      <c r="T38">
        <f t="shared" si="41"/>
        <v>0</v>
      </c>
      <c r="U38">
        <f t="shared" si="41"/>
        <v>0</v>
      </c>
      <c r="V38">
        <f t="shared" si="41"/>
        <v>0</v>
      </c>
      <c r="W38">
        <f t="shared" si="41"/>
        <v>0</v>
      </c>
      <c r="X38">
        <f t="shared" si="41"/>
        <v>0</v>
      </c>
      <c r="Y38">
        <f t="shared" si="41"/>
        <v>0</v>
      </c>
      <c r="Z38">
        <f t="shared" si="41"/>
        <v>0</v>
      </c>
      <c r="AA38">
        <f t="shared" si="41"/>
        <v>0</v>
      </c>
      <c r="AB38">
        <f t="shared" si="41"/>
        <v>0</v>
      </c>
      <c r="AC38">
        <f t="shared" si="41"/>
        <v>0</v>
      </c>
      <c r="AD38">
        <f t="shared" si="42"/>
        <v>0</v>
      </c>
      <c r="AE38">
        <f t="shared" si="42"/>
        <v>0</v>
      </c>
      <c r="AF38">
        <f t="shared" si="42"/>
        <v>0</v>
      </c>
      <c r="AG38">
        <f t="shared" si="42"/>
        <v>0</v>
      </c>
      <c r="AH38">
        <f t="shared" si="42"/>
        <v>0</v>
      </c>
      <c r="AI38">
        <f t="shared" si="42"/>
        <v>0</v>
      </c>
      <c r="AJ38">
        <f t="shared" si="42"/>
        <v>0</v>
      </c>
      <c r="AK38">
        <f t="shared" si="42"/>
        <v>0</v>
      </c>
      <c r="AL38">
        <f t="shared" si="42"/>
        <v>0</v>
      </c>
      <c r="AM38">
        <f t="shared" si="42"/>
        <v>0</v>
      </c>
      <c r="AN38">
        <f t="shared" si="43"/>
        <v>0</v>
      </c>
      <c r="AO38">
        <f t="shared" si="43"/>
        <v>0</v>
      </c>
      <c r="AP38">
        <f t="shared" si="43"/>
        <v>0</v>
      </c>
      <c r="AQ38">
        <f t="shared" si="43"/>
        <v>0</v>
      </c>
      <c r="AR38">
        <f t="shared" si="43"/>
        <v>0</v>
      </c>
      <c r="AS38">
        <f t="shared" si="43"/>
        <v>0</v>
      </c>
      <c r="AT38">
        <f t="shared" si="43"/>
        <v>0</v>
      </c>
      <c r="AU38">
        <f t="shared" si="43"/>
        <v>0</v>
      </c>
      <c r="AV38">
        <f t="shared" si="43"/>
        <v>0</v>
      </c>
      <c r="AW38">
        <f t="shared" si="43"/>
        <v>0</v>
      </c>
      <c r="AX38">
        <f t="shared" si="44"/>
        <v>0</v>
      </c>
      <c r="AY38">
        <f t="shared" si="44"/>
        <v>0</v>
      </c>
      <c r="AZ38">
        <f t="shared" si="44"/>
        <v>0</v>
      </c>
      <c r="BA38">
        <f t="shared" si="44"/>
        <v>0</v>
      </c>
      <c r="BB38">
        <f t="shared" si="44"/>
        <v>0</v>
      </c>
      <c r="BC38">
        <f t="shared" si="44"/>
        <v>0</v>
      </c>
      <c r="BD38">
        <f t="shared" si="44"/>
        <v>0</v>
      </c>
      <c r="BE38">
        <f t="shared" si="44"/>
        <v>0</v>
      </c>
      <c r="BF38">
        <f t="shared" si="44"/>
        <v>0</v>
      </c>
      <c r="BG38">
        <f t="shared" si="44"/>
        <v>0</v>
      </c>
      <c r="BH38">
        <f t="shared" si="45"/>
        <v>0</v>
      </c>
      <c r="BI38">
        <f t="shared" si="45"/>
        <v>0</v>
      </c>
      <c r="BJ38">
        <f t="shared" si="45"/>
        <v>0</v>
      </c>
      <c r="BK38">
        <f t="shared" si="45"/>
        <v>0</v>
      </c>
      <c r="BL38">
        <f t="shared" si="45"/>
        <v>0</v>
      </c>
      <c r="BM38">
        <f t="shared" si="45"/>
        <v>0</v>
      </c>
      <c r="BN38">
        <f t="shared" si="45"/>
        <v>0</v>
      </c>
      <c r="BO38">
        <f t="shared" si="45"/>
        <v>0</v>
      </c>
      <c r="BP38">
        <f t="shared" si="45"/>
        <v>0</v>
      </c>
      <c r="BQ38">
        <f t="shared" si="45"/>
        <v>0</v>
      </c>
      <c r="BR38">
        <f t="shared" si="46"/>
        <v>0</v>
      </c>
      <c r="BS38">
        <f t="shared" si="46"/>
        <v>0</v>
      </c>
      <c r="BT38">
        <f t="shared" si="46"/>
        <v>0</v>
      </c>
      <c r="BU38">
        <f t="shared" si="46"/>
        <v>0</v>
      </c>
      <c r="BV38">
        <f t="shared" si="46"/>
        <v>0</v>
      </c>
      <c r="BW38">
        <f t="shared" si="46"/>
        <v>0</v>
      </c>
      <c r="BX38">
        <f t="shared" si="46"/>
        <v>0</v>
      </c>
      <c r="BY38">
        <f t="shared" si="46"/>
        <v>0</v>
      </c>
      <c r="BZ38">
        <f t="shared" si="46"/>
        <v>0</v>
      </c>
      <c r="CA38">
        <f t="shared" si="46"/>
        <v>0</v>
      </c>
      <c r="CB38">
        <f t="shared" si="47"/>
        <v>0</v>
      </c>
      <c r="CC38">
        <f t="shared" si="47"/>
        <v>0</v>
      </c>
      <c r="CD38">
        <f t="shared" si="47"/>
        <v>0</v>
      </c>
      <c r="CE38">
        <f t="shared" si="47"/>
        <v>0</v>
      </c>
      <c r="CF38">
        <f t="shared" si="47"/>
        <v>0</v>
      </c>
      <c r="CG38">
        <f t="shared" si="47"/>
        <v>0</v>
      </c>
      <c r="CH38">
        <f t="shared" si="47"/>
        <v>0</v>
      </c>
      <c r="CI38">
        <f t="shared" si="47"/>
        <v>0</v>
      </c>
      <c r="CJ38">
        <f t="shared" si="47"/>
        <v>0</v>
      </c>
      <c r="CK38">
        <f t="shared" si="47"/>
        <v>0</v>
      </c>
      <c r="CL38">
        <f t="shared" si="48"/>
        <v>0</v>
      </c>
      <c r="CM38">
        <f t="shared" si="48"/>
        <v>0</v>
      </c>
      <c r="CN38">
        <f t="shared" si="48"/>
        <v>0</v>
      </c>
      <c r="CO38">
        <f t="shared" si="48"/>
        <v>0</v>
      </c>
      <c r="CP38">
        <f t="shared" si="48"/>
        <v>0</v>
      </c>
      <c r="CQ38">
        <f t="shared" si="48"/>
        <v>0</v>
      </c>
      <c r="CR38">
        <f t="shared" si="48"/>
        <v>0</v>
      </c>
      <c r="CS38">
        <f t="shared" si="48"/>
        <v>0</v>
      </c>
      <c r="CT38">
        <f t="shared" si="48"/>
        <v>0</v>
      </c>
      <c r="CU38">
        <f t="shared" si="48"/>
        <v>0</v>
      </c>
      <c r="CV38">
        <f t="shared" si="49"/>
        <v>0</v>
      </c>
      <c r="CW38">
        <f t="shared" si="49"/>
        <v>0</v>
      </c>
      <c r="CX38">
        <f t="shared" si="49"/>
        <v>0</v>
      </c>
      <c r="CY38">
        <f t="shared" si="49"/>
        <v>0</v>
      </c>
      <c r="CZ38">
        <f t="shared" si="49"/>
        <v>0</v>
      </c>
      <c r="DA38">
        <f t="shared" si="49"/>
        <v>0</v>
      </c>
      <c r="DB38">
        <f t="shared" si="49"/>
        <v>0</v>
      </c>
      <c r="DC38">
        <f t="shared" si="49"/>
        <v>0</v>
      </c>
      <c r="DD38">
        <f t="shared" si="49"/>
        <v>0</v>
      </c>
      <c r="DE38">
        <f t="shared" si="49"/>
        <v>0</v>
      </c>
      <c r="DF38">
        <f t="shared" si="50"/>
        <v>0</v>
      </c>
      <c r="DG38">
        <f t="shared" si="50"/>
        <v>0</v>
      </c>
      <c r="DH38">
        <f t="shared" si="50"/>
        <v>0</v>
      </c>
      <c r="DI38">
        <f t="shared" si="50"/>
        <v>0</v>
      </c>
      <c r="DJ38">
        <f t="shared" si="50"/>
        <v>0</v>
      </c>
      <c r="DK38">
        <f t="shared" si="50"/>
        <v>0</v>
      </c>
      <c r="DL38">
        <f t="shared" si="50"/>
        <v>0</v>
      </c>
      <c r="DM38">
        <f t="shared" si="50"/>
        <v>0</v>
      </c>
      <c r="DN38">
        <f t="shared" si="50"/>
        <v>0</v>
      </c>
      <c r="DO38">
        <f t="shared" si="50"/>
        <v>0</v>
      </c>
      <c r="DP38">
        <f t="shared" si="51"/>
        <v>0</v>
      </c>
      <c r="DQ38">
        <f t="shared" si="51"/>
        <v>0</v>
      </c>
      <c r="DR38">
        <f t="shared" si="51"/>
        <v>0</v>
      </c>
      <c r="DS38">
        <f t="shared" si="51"/>
        <v>0</v>
      </c>
      <c r="DT38">
        <f t="shared" si="51"/>
        <v>0</v>
      </c>
      <c r="DU38">
        <f t="shared" si="51"/>
        <v>0</v>
      </c>
      <c r="DV38">
        <f t="shared" si="51"/>
        <v>0</v>
      </c>
      <c r="DW38">
        <f t="shared" si="51"/>
        <v>0</v>
      </c>
      <c r="DX38">
        <f t="shared" si="51"/>
        <v>0</v>
      </c>
      <c r="DY38">
        <f t="shared" si="51"/>
        <v>0</v>
      </c>
      <c r="DZ38">
        <f t="shared" si="52"/>
        <v>0</v>
      </c>
      <c r="EA38">
        <f t="shared" si="52"/>
        <v>0</v>
      </c>
      <c r="EB38">
        <f t="shared" si="52"/>
        <v>0</v>
      </c>
      <c r="EC38">
        <f t="shared" si="52"/>
        <v>0</v>
      </c>
      <c r="ED38">
        <f t="shared" si="52"/>
        <v>0</v>
      </c>
      <c r="EE38">
        <f t="shared" si="52"/>
        <v>0</v>
      </c>
      <c r="EF38">
        <f t="shared" si="52"/>
        <v>0</v>
      </c>
      <c r="EG38">
        <f t="shared" si="52"/>
        <v>0</v>
      </c>
      <c r="EH38">
        <f t="shared" si="52"/>
        <v>0</v>
      </c>
      <c r="EI38">
        <f t="shared" si="52"/>
        <v>0</v>
      </c>
      <c r="EJ38">
        <f>SUM(Tabla1[[#This Row],[1]:[130]])</f>
        <v>0</v>
      </c>
    </row>
    <row r="39" spans="1:140" ht="15.75" customHeight="1" thickBot="1" x14ac:dyDescent="0.3">
      <c r="A39" t="str">
        <f>B39&amp;"-"&amp;COUNTIF($B$2:B39,B39)</f>
        <v>I. CREMA ESPESA-7</v>
      </c>
      <c r="B39" s="33" t="s">
        <v>16</v>
      </c>
      <c r="C39">
        <f>VLOOKUP(B39,RECETAS!D38:$E$1700,2,FALSE)</f>
        <v>950</v>
      </c>
      <c r="D39" s="32"/>
      <c r="G39" t="b">
        <f t="shared" si="0"/>
        <v>1</v>
      </c>
      <c r="I39" s="33" t="s">
        <v>701</v>
      </c>
      <c r="J39">
        <f t="shared" si="40"/>
        <v>0</v>
      </c>
      <c r="K39">
        <f t="shared" si="40"/>
        <v>0</v>
      </c>
      <c r="L39">
        <f t="shared" si="40"/>
        <v>0</v>
      </c>
      <c r="M39">
        <f t="shared" si="40"/>
        <v>0</v>
      </c>
      <c r="N39">
        <f t="shared" si="40"/>
        <v>0</v>
      </c>
      <c r="O39">
        <f t="shared" si="40"/>
        <v>0</v>
      </c>
      <c r="P39">
        <f t="shared" si="40"/>
        <v>0</v>
      </c>
      <c r="Q39">
        <f t="shared" si="40"/>
        <v>0</v>
      </c>
      <c r="R39">
        <f t="shared" si="40"/>
        <v>0</v>
      </c>
      <c r="S39">
        <f t="shared" si="40"/>
        <v>0</v>
      </c>
      <c r="T39">
        <f t="shared" si="41"/>
        <v>0</v>
      </c>
      <c r="U39">
        <f t="shared" si="41"/>
        <v>0</v>
      </c>
      <c r="V39">
        <f t="shared" si="41"/>
        <v>0</v>
      </c>
      <c r="W39">
        <f t="shared" si="41"/>
        <v>0</v>
      </c>
      <c r="X39">
        <f t="shared" si="41"/>
        <v>0</v>
      </c>
      <c r="Y39">
        <f t="shared" si="41"/>
        <v>0</v>
      </c>
      <c r="Z39">
        <f t="shared" si="41"/>
        <v>0</v>
      </c>
      <c r="AA39">
        <f t="shared" si="41"/>
        <v>0</v>
      </c>
      <c r="AB39">
        <f t="shared" si="41"/>
        <v>0</v>
      </c>
      <c r="AC39">
        <f t="shared" si="41"/>
        <v>0</v>
      </c>
      <c r="AD39">
        <f t="shared" si="42"/>
        <v>0</v>
      </c>
      <c r="AE39">
        <f t="shared" si="42"/>
        <v>0</v>
      </c>
      <c r="AF39">
        <f t="shared" si="42"/>
        <v>0</v>
      </c>
      <c r="AG39">
        <f t="shared" si="42"/>
        <v>0</v>
      </c>
      <c r="AH39">
        <f t="shared" si="42"/>
        <v>0</v>
      </c>
      <c r="AI39">
        <f t="shared" si="42"/>
        <v>0</v>
      </c>
      <c r="AJ39">
        <f t="shared" si="42"/>
        <v>0</v>
      </c>
      <c r="AK39">
        <f t="shared" si="42"/>
        <v>0</v>
      </c>
      <c r="AL39">
        <f t="shared" si="42"/>
        <v>0</v>
      </c>
      <c r="AM39">
        <f t="shared" si="42"/>
        <v>0</v>
      </c>
      <c r="AN39">
        <f t="shared" si="43"/>
        <v>0</v>
      </c>
      <c r="AO39">
        <f t="shared" si="43"/>
        <v>0</v>
      </c>
      <c r="AP39">
        <f t="shared" si="43"/>
        <v>0</v>
      </c>
      <c r="AQ39">
        <f t="shared" si="43"/>
        <v>0</v>
      </c>
      <c r="AR39">
        <f t="shared" si="43"/>
        <v>0</v>
      </c>
      <c r="AS39">
        <f t="shared" si="43"/>
        <v>0</v>
      </c>
      <c r="AT39">
        <f t="shared" si="43"/>
        <v>0</v>
      </c>
      <c r="AU39">
        <f t="shared" si="43"/>
        <v>0</v>
      </c>
      <c r="AV39">
        <f t="shared" si="43"/>
        <v>0</v>
      </c>
      <c r="AW39">
        <f t="shared" si="43"/>
        <v>0</v>
      </c>
      <c r="AX39">
        <f t="shared" si="44"/>
        <v>0</v>
      </c>
      <c r="AY39">
        <f t="shared" si="44"/>
        <v>0</v>
      </c>
      <c r="AZ39">
        <f t="shared" si="44"/>
        <v>0</v>
      </c>
      <c r="BA39">
        <f t="shared" si="44"/>
        <v>0</v>
      </c>
      <c r="BB39">
        <f t="shared" si="44"/>
        <v>0</v>
      </c>
      <c r="BC39">
        <f t="shared" si="44"/>
        <v>0</v>
      </c>
      <c r="BD39">
        <f t="shared" si="44"/>
        <v>0</v>
      </c>
      <c r="BE39">
        <f t="shared" si="44"/>
        <v>0</v>
      </c>
      <c r="BF39">
        <f t="shared" si="44"/>
        <v>0</v>
      </c>
      <c r="BG39">
        <f t="shared" si="44"/>
        <v>0</v>
      </c>
      <c r="BH39">
        <f t="shared" si="45"/>
        <v>0</v>
      </c>
      <c r="BI39">
        <f t="shared" si="45"/>
        <v>0</v>
      </c>
      <c r="BJ39">
        <f t="shared" si="45"/>
        <v>0</v>
      </c>
      <c r="BK39">
        <f t="shared" si="45"/>
        <v>0</v>
      </c>
      <c r="BL39">
        <f t="shared" si="45"/>
        <v>0</v>
      </c>
      <c r="BM39">
        <f t="shared" si="45"/>
        <v>0</v>
      </c>
      <c r="BN39">
        <f t="shared" si="45"/>
        <v>0</v>
      </c>
      <c r="BO39">
        <f t="shared" si="45"/>
        <v>0</v>
      </c>
      <c r="BP39">
        <f t="shared" si="45"/>
        <v>0</v>
      </c>
      <c r="BQ39">
        <f t="shared" si="45"/>
        <v>0</v>
      </c>
      <c r="BR39">
        <f t="shared" si="46"/>
        <v>0</v>
      </c>
      <c r="BS39">
        <f t="shared" si="46"/>
        <v>0</v>
      </c>
      <c r="BT39">
        <f t="shared" si="46"/>
        <v>0</v>
      </c>
      <c r="BU39">
        <f t="shared" si="46"/>
        <v>0</v>
      </c>
      <c r="BV39">
        <f t="shared" si="46"/>
        <v>0</v>
      </c>
      <c r="BW39">
        <f t="shared" si="46"/>
        <v>0</v>
      </c>
      <c r="BX39">
        <f t="shared" si="46"/>
        <v>0</v>
      </c>
      <c r="BY39">
        <f t="shared" si="46"/>
        <v>0</v>
      </c>
      <c r="BZ39">
        <f t="shared" si="46"/>
        <v>0</v>
      </c>
      <c r="CA39">
        <f t="shared" si="46"/>
        <v>0</v>
      </c>
      <c r="CB39">
        <f t="shared" si="47"/>
        <v>0</v>
      </c>
      <c r="CC39">
        <f t="shared" si="47"/>
        <v>0</v>
      </c>
      <c r="CD39">
        <f t="shared" si="47"/>
        <v>0</v>
      </c>
      <c r="CE39">
        <f t="shared" si="47"/>
        <v>0</v>
      </c>
      <c r="CF39">
        <f t="shared" si="47"/>
        <v>0</v>
      </c>
      <c r="CG39">
        <f t="shared" si="47"/>
        <v>0</v>
      </c>
      <c r="CH39">
        <f t="shared" si="47"/>
        <v>0</v>
      </c>
      <c r="CI39">
        <f t="shared" si="47"/>
        <v>0</v>
      </c>
      <c r="CJ39">
        <f t="shared" si="47"/>
        <v>0</v>
      </c>
      <c r="CK39">
        <f t="shared" si="47"/>
        <v>0</v>
      </c>
      <c r="CL39">
        <f t="shared" si="48"/>
        <v>0</v>
      </c>
      <c r="CM39">
        <f t="shared" si="48"/>
        <v>0</v>
      </c>
      <c r="CN39">
        <f t="shared" si="48"/>
        <v>0</v>
      </c>
      <c r="CO39">
        <f t="shared" si="48"/>
        <v>0</v>
      </c>
      <c r="CP39">
        <f t="shared" si="48"/>
        <v>0</v>
      </c>
      <c r="CQ39">
        <f t="shared" si="48"/>
        <v>0</v>
      </c>
      <c r="CR39">
        <f t="shared" si="48"/>
        <v>0</v>
      </c>
      <c r="CS39">
        <f t="shared" si="48"/>
        <v>0</v>
      </c>
      <c r="CT39">
        <f t="shared" si="48"/>
        <v>0</v>
      </c>
      <c r="CU39">
        <f t="shared" si="48"/>
        <v>0</v>
      </c>
      <c r="CV39">
        <f t="shared" si="49"/>
        <v>0</v>
      </c>
      <c r="CW39">
        <f t="shared" si="49"/>
        <v>0</v>
      </c>
      <c r="CX39">
        <f t="shared" si="49"/>
        <v>0</v>
      </c>
      <c r="CY39">
        <f t="shared" si="49"/>
        <v>0</v>
      </c>
      <c r="CZ39">
        <f t="shared" si="49"/>
        <v>0</v>
      </c>
      <c r="DA39">
        <f t="shared" si="49"/>
        <v>0</v>
      </c>
      <c r="DB39">
        <f t="shared" si="49"/>
        <v>0</v>
      </c>
      <c r="DC39">
        <f t="shared" si="49"/>
        <v>0</v>
      </c>
      <c r="DD39">
        <f t="shared" si="49"/>
        <v>0</v>
      </c>
      <c r="DE39">
        <f t="shared" si="49"/>
        <v>0</v>
      </c>
      <c r="DF39">
        <f t="shared" si="50"/>
        <v>0</v>
      </c>
      <c r="DG39">
        <f t="shared" si="50"/>
        <v>0</v>
      </c>
      <c r="DH39">
        <f t="shared" si="50"/>
        <v>0</v>
      </c>
      <c r="DI39">
        <f t="shared" si="50"/>
        <v>0</v>
      </c>
      <c r="DJ39">
        <f t="shared" si="50"/>
        <v>0</v>
      </c>
      <c r="DK39">
        <f t="shared" si="50"/>
        <v>0</v>
      </c>
      <c r="DL39">
        <f t="shared" si="50"/>
        <v>0</v>
      </c>
      <c r="DM39">
        <f t="shared" si="50"/>
        <v>0</v>
      </c>
      <c r="DN39">
        <f t="shared" si="50"/>
        <v>0</v>
      </c>
      <c r="DO39">
        <f t="shared" si="50"/>
        <v>0</v>
      </c>
      <c r="DP39">
        <f t="shared" si="51"/>
        <v>0</v>
      </c>
      <c r="DQ39">
        <f t="shared" si="51"/>
        <v>0</v>
      </c>
      <c r="DR39">
        <f t="shared" si="51"/>
        <v>0</v>
      </c>
      <c r="DS39">
        <f t="shared" si="51"/>
        <v>0</v>
      </c>
      <c r="DT39">
        <f t="shared" si="51"/>
        <v>0</v>
      </c>
      <c r="DU39">
        <f t="shared" si="51"/>
        <v>0</v>
      </c>
      <c r="DV39">
        <f t="shared" si="51"/>
        <v>0</v>
      </c>
      <c r="DW39">
        <f t="shared" si="51"/>
        <v>0</v>
      </c>
      <c r="DX39">
        <f t="shared" si="51"/>
        <v>0</v>
      </c>
      <c r="DY39">
        <f t="shared" si="51"/>
        <v>0</v>
      </c>
      <c r="DZ39">
        <f t="shared" si="52"/>
        <v>0</v>
      </c>
      <c r="EA39">
        <f t="shared" si="52"/>
        <v>0</v>
      </c>
      <c r="EB39">
        <f t="shared" si="52"/>
        <v>0</v>
      </c>
      <c r="EC39">
        <f t="shared" si="52"/>
        <v>0</v>
      </c>
      <c r="ED39">
        <f t="shared" si="52"/>
        <v>0</v>
      </c>
      <c r="EE39">
        <f t="shared" si="52"/>
        <v>0</v>
      </c>
      <c r="EF39">
        <f t="shared" si="52"/>
        <v>0</v>
      </c>
      <c r="EG39">
        <f t="shared" si="52"/>
        <v>0</v>
      </c>
      <c r="EH39">
        <f t="shared" si="52"/>
        <v>0</v>
      </c>
      <c r="EI39">
        <f t="shared" si="52"/>
        <v>0</v>
      </c>
      <c r="EJ39">
        <f>SUM(Tabla1[[#This Row],[1]:[130]])</f>
        <v>0</v>
      </c>
    </row>
    <row r="40" spans="1:140" ht="15.75" customHeight="1" x14ac:dyDescent="0.25">
      <c r="A40" t="str">
        <f>B40&amp;"-"&amp;COUNTIF($B$2:B40,B40)</f>
        <v>I. LOMO 250-2</v>
      </c>
      <c r="B40" s="37" t="s">
        <v>11</v>
      </c>
      <c r="C40">
        <f>VLOOKUP(B40,RECETAS!D39:$E$1700,2,FALSE)</f>
        <v>5</v>
      </c>
      <c r="D40" s="25" t="s">
        <v>332</v>
      </c>
      <c r="G40" t="b">
        <f t="shared" si="0"/>
        <v>1</v>
      </c>
      <c r="I40" s="26" t="s">
        <v>699</v>
      </c>
      <c r="J40">
        <f t="shared" si="40"/>
        <v>0</v>
      </c>
      <c r="K40">
        <f t="shared" si="40"/>
        <v>0</v>
      </c>
      <c r="L40">
        <f t="shared" si="40"/>
        <v>0</v>
      </c>
      <c r="M40">
        <f t="shared" si="40"/>
        <v>0</v>
      </c>
      <c r="N40">
        <f t="shared" si="40"/>
        <v>0</v>
      </c>
      <c r="O40">
        <f t="shared" si="40"/>
        <v>0</v>
      </c>
      <c r="P40">
        <f t="shared" si="40"/>
        <v>0</v>
      </c>
      <c r="Q40">
        <f t="shared" si="40"/>
        <v>0</v>
      </c>
      <c r="R40">
        <f t="shared" si="40"/>
        <v>0</v>
      </c>
      <c r="S40">
        <f t="shared" si="40"/>
        <v>0</v>
      </c>
      <c r="T40">
        <f t="shared" si="41"/>
        <v>0</v>
      </c>
      <c r="U40">
        <f t="shared" si="41"/>
        <v>0</v>
      </c>
      <c r="V40">
        <f t="shared" si="41"/>
        <v>0</v>
      </c>
      <c r="W40">
        <f t="shared" si="41"/>
        <v>0</v>
      </c>
      <c r="X40">
        <f t="shared" si="41"/>
        <v>0</v>
      </c>
      <c r="Y40">
        <f t="shared" si="41"/>
        <v>0</v>
      </c>
      <c r="Z40">
        <f t="shared" si="41"/>
        <v>0</v>
      </c>
      <c r="AA40">
        <f t="shared" si="41"/>
        <v>0</v>
      </c>
      <c r="AB40">
        <f t="shared" si="41"/>
        <v>0</v>
      </c>
      <c r="AC40">
        <f t="shared" si="41"/>
        <v>0</v>
      </c>
      <c r="AD40">
        <f t="shared" si="42"/>
        <v>0</v>
      </c>
      <c r="AE40">
        <f t="shared" si="42"/>
        <v>0</v>
      </c>
      <c r="AF40">
        <f t="shared" si="42"/>
        <v>0</v>
      </c>
      <c r="AG40">
        <f t="shared" si="42"/>
        <v>0</v>
      </c>
      <c r="AH40">
        <f t="shared" si="42"/>
        <v>0</v>
      </c>
      <c r="AI40">
        <f t="shared" si="42"/>
        <v>0</v>
      </c>
      <c r="AJ40">
        <f t="shared" si="42"/>
        <v>0</v>
      </c>
      <c r="AK40">
        <f t="shared" si="42"/>
        <v>0</v>
      </c>
      <c r="AL40">
        <f t="shared" si="42"/>
        <v>0</v>
      </c>
      <c r="AM40">
        <f t="shared" si="42"/>
        <v>0</v>
      </c>
      <c r="AN40">
        <f t="shared" si="43"/>
        <v>0</v>
      </c>
      <c r="AO40">
        <f t="shared" si="43"/>
        <v>0</v>
      </c>
      <c r="AP40">
        <f t="shared" si="43"/>
        <v>0</v>
      </c>
      <c r="AQ40">
        <f t="shared" si="43"/>
        <v>0</v>
      </c>
      <c r="AR40">
        <f t="shared" si="43"/>
        <v>0</v>
      </c>
      <c r="AS40">
        <f t="shared" si="43"/>
        <v>0</v>
      </c>
      <c r="AT40">
        <f t="shared" si="43"/>
        <v>0</v>
      </c>
      <c r="AU40">
        <f t="shared" si="43"/>
        <v>0</v>
      </c>
      <c r="AV40">
        <f t="shared" si="43"/>
        <v>0</v>
      </c>
      <c r="AW40">
        <f t="shared" si="43"/>
        <v>0</v>
      </c>
      <c r="AX40">
        <f t="shared" si="44"/>
        <v>0</v>
      </c>
      <c r="AY40">
        <f t="shared" si="44"/>
        <v>0</v>
      </c>
      <c r="AZ40">
        <f t="shared" si="44"/>
        <v>0</v>
      </c>
      <c r="BA40">
        <f t="shared" si="44"/>
        <v>0</v>
      </c>
      <c r="BB40">
        <f t="shared" si="44"/>
        <v>0</v>
      </c>
      <c r="BC40">
        <f t="shared" si="44"/>
        <v>0</v>
      </c>
      <c r="BD40">
        <f t="shared" si="44"/>
        <v>0</v>
      </c>
      <c r="BE40">
        <f t="shared" si="44"/>
        <v>0</v>
      </c>
      <c r="BF40">
        <f t="shared" si="44"/>
        <v>0</v>
      </c>
      <c r="BG40">
        <f t="shared" si="44"/>
        <v>0</v>
      </c>
      <c r="BH40">
        <f t="shared" si="45"/>
        <v>0</v>
      </c>
      <c r="BI40">
        <f t="shared" si="45"/>
        <v>0</v>
      </c>
      <c r="BJ40">
        <f t="shared" si="45"/>
        <v>0</v>
      </c>
      <c r="BK40">
        <f t="shared" si="45"/>
        <v>0</v>
      </c>
      <c r="BL40">
        <f t="shared" si="45"/>
        <v>0</v>
      </c>
      <c r="BM40">
        <f t="shared" si="45"/>
        <v>0</v>
      </c>
      <c r="BN40">
        <f t="shared" si="45"/>
        <v>0</v>
      </c>
      <c r="BO40">
        <f t="shared" si="45"/>
        <v>0</v>
      </c>
      <c r="BP40">
        <f t="shared" si="45"/>
        <v>0</v>
      </c>
      <c r="BQ40">
        <f t="shared" si="45"/>
        <v>0</v>
      </c>
      <c r="BR40">
        <f t="shared" si="46"/>
        <v>0</v>
      </c>
      <c r="BS40">
        <f t="shared" si="46"/>
        <v>0</v>
      </c>
      <c r="BT40">
        <f t="shared" si="46"/>
        <v>0</v>
      </c>
      <c r="BU40">
        <f t="shared" si="46"/>
        <v>0</v>
      </c>
      <c r="BV40">
        <f t="shared" si="46"/>
        <v>0</v>
      </c>
      <c r="BW40">
        <f t="shared" si="46"/>
        <v>0</v>
      </c>
      <c r="BX40">
        <f t="shared" si="46"/>
        <v>0</v>
      </c>
      <c r="BY40">
        <f t="shared" si="46"/>
        <v>0</v>
      </c>
      <c r="BZ40">
        <f t="shared" si="46"/>
        <v>0</v>
      </c>
      <c r="CA40">
        <f t="shared" si="46"/>
        <v>0</v>
      </c>
      <c r="CB40">
        <f t="shared" si="47"/>
        <v>0</v>
      </c>
      <c r="CC40">
        <f t="shared" si="47"/>
        <v>0</v>
      </c>
      <c r="CD40">
        <f t="shared" si="47"/>
        <v>0</v>
      </c>
      <c r="CE40">
        <f t="shared" si="47"/>
        <v>0</v>
      </c>
      <c r="CF40">
        <f t="shared" si="47"/>
        <v>0</v>
      </c>
      <c r="CG40">
        <f t="shared" si="47"/>
        <v>0</v>
      </c>
      <c r="CH40">
        <f t="shared" si="47"/>
        <v>0</v>
      </c>
      <c r="CI40">
        <f t="shared" si="47"/>
        <v>0</v>
      </c>
      <c r="CJ40">
        <f t="shared" si="47"/>
        <v>0</v>
      </c>
      <c r="CK40">
        <f t="shared" si="47"/>
        <v>0</v>
      </c>
      <c r="CL40">
        <f t="shared" si="48"/>
        <v>0</v>
      </c>
      <c r="CM40">
        <f t="shared" si="48"/>
        <v>0</v>
      </c>
      <c r="CN40">
        <f t="shared" si="48"/>
        <v>0</v>
      </c>
      <c r="CO40">
        <f t="shared" si="48"/>
        <v>0</v>
      </c>
      <c r="CP40">
        <f t="shared" si="48"/>
        <v>0</v>
      </c>
      <c r="CQ40">
        <f t="shared" si="48"/>
        <v>0</v>
      </c>
      <c r="CR40">
        <f t="shared" si="48"/>
        <v>0</v>
      </c>
      <c r="CS40">
        <f t="shared" si="48"/>
        <v>0</v>
      </c>
      <c r="CT40">
        <f t="shared" si="48"/>
        <v>0</v>
      </c>
      <c r="CU40">
        <f t="shared" si="48"/>
        <v>0</v>
      </c>
      <c r="CV40">
        <f t="shared" si="49"/>
        <v>0</v>
      </c>
      <c r="CW40">
        <f t="shared" si="49"/>
        <v>0</v>
      </c>
      <c r="CX40">
        <f t="shared" si="49"/>
        <v>0</v>
      </c>
      <c r="CY40">
        <f t="shared" si="49"/>
        <v>0</v>
      </c>
      <c r="CZ40">
        <f t="shared" si="49"/>
        <v>0</v>
      </c>
      <c r="DA40">
        <f t="shared" si="49"/>
        <v>0</v>
      </c>
      <c r="DB40">
        <f t="shared" si="49"/>
        <v>0</v>
      </c>
      <c r="DC40">
        <f t="shared" si="49"/>
        <v>0</v>
      </c>
      <c r="DD40">
        <f t="shared" si="49"/>
        <v>0</v>
      </c>
      <c r="DE40">
        <f t="shared" si="49"/>
        <v>0</v>
      </c>
      <c r="DF40">
        <f t="shared" si="50"/>
        <v>0</v>
      </c>
      <c r="DG40">
        <f t="shared" si="50"/>
        <v>0</v>
      </c>
      <c r="DH40">
        <f t="shared" si="50"/>
        <v>0</v>
      </c>
      <c r="DI40">
        <f t="shared" si="50"/>
        <v>0</v>
      </c>
      <c r="DJ40">
        <f t="shared" si="50"/>
        <v>0</v>
      </c>
      <c r="DK40">
        <f t="shared" si="50"/>
        <v>0</v>
      </c>
      <c r="DL40">
        <f t="shared" si="50"/>
        <v>0</v>
      </c>
      <c r="DM40">
        <f t="shared" si="50"/>
        <v>0</v>
      </c>
      <c r="DN40">
        <f t="shared" si="50"/>
        <v>0</v>
      </c>
      <c r="DO40">
        <f t="shared" si="50"/>
        <v>0</v>
      </c>
      <c r="DP40">
        <f t="shared" si="51"/>
        <v>0</v>
      </c>
      <c r="DQ40">
        <f t="shared" si="51"/>
        <v>0</v>
      </c>
      <c r="DR40">
        <f t="shared" si="51"/>
        <v>0</v>
      </c>
      <c r="DS40">
        <f t="shared" si="51"/>
        <v>0</v>
      </c>
      <c r="DT40">
        <f t="shared" si="51"/>
        <v>0</v>
      </c>
      <c r="DU40">
        <f t="shared" si="51"/>
        <v>0</v>
      </c>
      <c r="DV40">
        <f t="shared" si="51"/>
        <v>0</v>
      </c>
      <c r="DW40">
        <f t="shared" si="51"/>
        <v>0</v>
      </c>
      <c r="DX40">
        <f t="shared" si="51"/>
        <v>0</v>
      </c>
      <c r="DY40">
        <f t="shared" si="51"/>
        <v>0</v>
      </c>
      <c r="DZ40">
        <f t="shared" si="52"/>
        <v>0</v>
      </c>
      <c r="EA40">
        <f t="shared" si="52"/>
        <v>0</v>
      </c>
      <c r="EB40">
        <f t="shared" si="52"/>
        <v>0</v>
      </c>
      <c r="EC40">
        <f t="shared" si="52"/>
        <v>0</v>
      </c>
      <c r="ED40">
        <f t="shared" si="52"/>
        <v>0</v>
      </c>
      <c r="EE40">
        <f t="shared" si="52"/>
        <v>0</v>
      </c>
      <c r="EF40">
        <f t="shared" si="52"/>
        <v>0</v>
      </c>
      <c r="EG40">
        <f t="shared" si="52"/>
        <v>0</v>
      </c>
      <c r="EH40">
        <f t="shared" si="52"/>
        <v>0</v>
      </c>
      <c r="EI40">
        <f t="shared" si="52"/>
        <v>0</v>
      </c>
      <c r="EJ40">
        <f>SUM(Tabla1[[#This Row],[1]:[130]])</f>
        <v>0</v>
      </c>
    </row>
    <row r="41" spans="1:140" ht="15" customHeight="1" x14ac:dyDescent="0.25">
      <c r="A41" t="str">
        <f>B41&amp;"-"&amp;COUNTIF($B$2:B41,B41)</f>
        <v>I. PAPAS FRITAS-1</v>
      </c>
      <c r="B41" s="38" t="s">
        <v>13</v>
      </c>
      <c r="C41">
        <f>VLOOKUP(B41,RECETAS!D40:$E$1700,2,FALSE)</f>
        <v>1500</v>
      </c>
      <c r="D41" s="34"/>
      <c r="G41" t="b">
        <f t="shared" si="0"/>
        <v>1</v>
      </c>
      <c r="I41" s="35" t="s">
        <v>702</v>
      </c>
      <c r="J41">
        <f t="shared" si="40"/>
        <v>0</v>
      </c>
      <c r="K41">
        <f t="shared" si="40"/>
        <v>0</v>
      </c>
      <c r="L41">
        <f t="shared" si="40"/>
        <v>0</v>
      </c>
      <c r="M41">
        <f t="shared" si="40"/>
        <v>0</v>
      </c>
      <c r="N41">
        <f t="shared" si="40"/>
        <v>0</v>
      </c>
      <c r="O41">
        <f t="shared" si="40"/>
        <v>0</v>
      </c>
      <c r="P41">
        <f t="shared" si="40"/>
        <v>0</v>
      </c>
      <c r="Q41">
        <f t="shared" si="40"/>
        <v>0</v>
      </c>
      <c r="R41">
        <f t="shared" si="40"/>
        <v>0</v>
      </c>
      <c r="S41">
        <f t="shared" si="40"/>
        <v>0</v>
      </c>
      <c r="T41">
        <f t="shared" si="41"/>
        <v>0</v>
      </c>
      <c r="U41">
        <f t="shared" si="41"/>
        <v>0</v>
      </c>
      <c r="V41">
        <f t="shared" si="41"/>
        <v>0</v>
      </c>
      <c r="W41">
        <f t="shared" si="41"/>
        <v>0</v>
      </c>
      <c r="X41">
        <f t="shared" si="41"/>
        <v>0</v>
      </c>
      <c r="Y41">
        <f t="shared" si="41"/>
        <v>0</v>
      </c>
      <c r="Z41">
        <f t="shared" si="41"/>
        <v>0</v>
      </c>
      <c r="AA41">
        <f t="shared" si="41"/>
        <v>0</v>
      </c>
      <c r="AB41">
        <f t="shared" si="41"/>
        <v>0</v>
      </c>
      <c r="AC41">
        <f t="shared" si="41"/>
        <v>0</v>
      </c>
      <c r="AD41">
        <f t="shared" si="42"/>
        <v>0</v>
      </c>
      <c r="AE41">
        <f t="shared" si="42"/>
        <v>0</v>
      </c>
      <c r="AF41">
        <f t="shared" si="42"/>
        <v>0</v>
      </c>
      <c r="AG41">
        <f t="shared" si="42"/>
        <v>0</v>
      </c>
      <c r="AH41">
        <f t="shared" si="42"/>
        <v>0</v>
      </c>
      <c r="AI41">
        <f t="shared" si="42"/>
        <v>0</v>
      </c>
      <c r="AJ41">
        <f t="shared" si="42"/>
        <v>0</v>
      </c>
      <c r="AK41">
        <f t="shared" si="42"/>
        <v>0</v>
      </c>
      <c r="AL41">
        <f t="shared" si="42"/>
        <v>0</v>
      </c>
      <c r="AM41">
        <f t="shared" si="42"/>
        <v>0</v>
      </c>
      <c r="AN41">
        <f t="shared" si="43"/>
        <v>0</v>
      </c>
      <c r="AO41">
        <f t="shared" si="43"/>
        <v>0</v>
      </c>
      <c r="AP41">
        <f t="shared" si="43"/>
        <v>0</v>
      </c>
      <c r="AQ41">
        <f t="shared" si="43"/>
        <v>0</v>
      </c>
      <c r="AR41">
        <f t="shared" si="43"/>
        <v>0</v>
      </c>
      <c r="AS41">
        <f t="shared" si="43"/>
        <v>0</v>
      </c>
      <c r="AT41">
        <f t="shared" si="43"/>
        <v>0</v>
      </c>
      <c r="AU41">
        <f t="shared" si="43"/>
        <v>0</v>
      </c>
      <c r="AV41">
        <f t="shared" si="43"/>
        <v>0</v>
      </c>
      <c r="AW41">
        <f t="shared" si="43"/>
        <v>0</v>
      </c>
      <c r="AX41">
        <f t="shared" si="44"/>
        <v>0</v>
      </c>
      <c r="AY41">
        <f t="shared" si="44"/>
        <v>0</v>
      </c>
      <c r="AZ41">
        <f t="shared" si="44"/>
        <v>0</v>
      </c>
      <c r="BA41">
        <f t="shared" si="44"/>
        <v>0</v>
      </c>
      <c r="BB41">
        <f t="shared" si="44"/>
        <v>0</v>
      </c>
      <c r="BC41">
        <f t="shared" si="44"/>
        <v>0</v>
      </c>
      <c r="BD41">
        <f t="shared" si="44"/>
        <v>0</v>
      </c>
      <c r="BE41">
        <f t="shared" si="44"/>
        <v>0</v>
      </c>
      <c r="BF41">
        <f t="shared" si="44"/>
        <v>0</v>
      </c>
      <c r="BG41">
        <f t="shared" si="44"/>
        <v>0</v>
      </c>
      <c r="BH41">
        <f t="shared" si="45"/>
        <v>0</v>
      </c>
      <c r="BI41">
        <f t="shared" si="45"/>
        <v>0</v>
      </c>
      <c r="BJ41">
        <f t="shared" si="45"/>
        <v>0</v>
      </c>
      <c r="BK41">
        <f t="shared" si="45"/>
        <v>0</v>
      </c>
      <c r="BL41">
        <f t="shared" si="45"/>
        <v>0</v>
      </c>
      <c r="BM41">
        <f t="shared" si="45"/>
        <v>0</v>
      </c>
      <c r="BN41">
        <f t="shared" si="45"/>
        <v>0</v>
      </c>
      <c r="BO41">
        <f t="shared" si="45"/>
        <v>0</v>
      </c>
      <c r="BP41">
        <f t="shared" si="45"/>
        <v>0</v>
      </c>
      <c r="BQ41">
        <f t="shared" si="45"/>
        <v>0</v>
      </c>
      <c r="BR41">
        <f t="shared" si="46"/>
        <v>0</v>
      </c>
      <c r="BS41">
        <f t="shared" si="46"/>
        <v>0</v>
      </c>
      <c r="BT41">
        <f t="shared" si="46"/>
        <v>0</v>
      </c>
      <c r="BU41">
        <f t="shared" si="46"/>
        <v>0</v>
      </c>
      <c r="BV41">
        <f t="shared" si="46"/>
        <v>0</v>
      </c>
      <c r="BW41">
        <f t="shared" si="46"/>
        <v>0</v>
      </c>
      <c r="BX41">
        <f t="shared" si="46"/>
        <v>0</v>
      </c>
      <c r="BY41">
        <f t="shared" si="46"/>
        <v>0</v>
      </c>
      <c r="BZ41">
        <f t="shared" si="46"/>
        <v>0</v>
      </c>
      <c r="CA41">
        <f t="shared" si="46"/>
        <v>0</v>
      </c>
      <c r="CB41">
        <f t="shared" si="47"/>
        <v>0</v>
      </c>
      <c r="CC41">
        <f t="shared" si="47"/>
        <v>0</v>
      </c>
      <c r="CD41">
        <f t="shared" si="47"/>
        <v>0</v>
      </c>
      <c r="CE41">
        <f t="shared" si="47"/>
        <v>0</v>
      </c>
      <c r="CF41">
        <f t="shared" si="47"/>
        <v>0</v>
      </c>
      <c r="CG41">
        <f t="shared" si="47"/>
        <v>0</v>
      </c>
      <c r="CH41">
        <f t="shared" si="47"/>
        <v>0</v>
      </c>
      <c r="CI41">
        <f t="shared" si="47"/>
        <v>0</v>
      </c>
      <c r="CJ41">
        <f t="shared" si="47"/>
        <v>0</v>
      </c>
      <c r="CK41">
        <f t="shared" si="47"/>
        <v>0</v>
      </c>
      <c r="CL41">
        <f t="shared" si="48"/>
        <v>0</v>
      </c>
      <c r="CM41">
        <f t="shared" si="48"/>
        <v>0</v>
      </c>
      <c r="CN41">
        <f t="shared" si="48"/>
        <v>0</v>
      </c>
      <c r="CO41">
        <f t="shared" si="48"/>
        <v>0</v>
      </c>
      <c r="CP41">
        <f t="shared" si="48"/>
        <v>0</v>
      </c>
      <c r="CQ41">
        <f t="shared" si="48"/>
        <v>0</v>
      </c>
      <c r="CR41">
        <f t="shared" si="48"/>
        <v>0</v>
      </c>
      <c r="CS41">
        <f t="shared" si="48"/>
        <v>0</v>
      </c>
      <c r="CT41">
        <f t="shared" si="48"/>
        <v>0</v>
      </c>
      <c r="CU41">
        <f t="shared" si="48"/>
        <v>0</v>
      </c>
      <c r="CV41">
        <f t="shared" si="49"/>
        <v>0</v>
      </c>
      <c r="CW41">
        <f t="shared" si="49"/>
        <v>0</v>
      </c>
      <c r="CX41">
        <f t="shared" si="49"/>
        <v>0</v>
      </c>
      <c r="CY41">
        <f t="shared" si="49"/>
        <v>0</v>
      </c>
      <c r="CZ41">
        <f t="shared" si="49"/>
        <v>0</v>
      </c>
      <c r="DA41">
        <f t="shared" si="49"/>
        <v>0</v>
      </c>
      <c r="DB41">
        <f t="shared" si="49"/>
        <v>0</v>
      </c>
      <c r="DC41">
        <f t="shared" si="49"/>
        <v>0</v>
      </c>
      <c r="DD41">
        <f t="shared" si="49"/>
        <v>0</v>
      </c>
      <c r="DE41">
        <f t="shared" si="49"/>
        <v>0</v>
      </c>
      <c r="DF41">
        <f t="shared" si="50"/>
        <v>0</v>
      </c>
      <c r="DG41">
        <f t="shared" si="50"/>
        <v>0</v>
      </c>
      <c r="DH41">
        <f t="shared" si="50"/>
        <v>0</v>
      </c>
      <c r="DI41">
        <f t="shared" si="50"/>
        <v>0</v>
      </c>
      <c r="DJ41">
        <f t="shared" si="50"/>
        <v>0</v>
      </c>
      <c r="DK41">
        <f t="shared" si="50"/>
        <v>0</v>
      </c>
      <c r="DL41">
        <f t="shared" si="50"/>
        <v>0</v>
      </c>
      <c r="DM41">
        <f t="shared" si="50"/>
        <v>0</v>
      </c>
      <c r="DN41">
        <f t="shared" si="50"/>
        <v>0</v>
      </c>
      <c r="DO41">
        <f t="shared" si="50"/>
        <v>0</v>
      </c>
      <c r="DP41">
        <f t="shared" si="51"/>
        <v>0</v>
      </c>
      <c r="DQ41">
        <f t="shared" si="51"/>
        <v>0</v>
      </c>
      <c r="DR41">
        <f t="shared" si="51"/>
        <v>0</v>
      </c>
      <c r="DS41">
        <f t="shared" si="51"/>
        <v>0</v>
      </c>
      <c r="DT41">
        <f t="shared" si="51"/>
        <v>0</v>
      </c>
      <c r="DU41">
        <f t="shared" si="51"/>
        <v>0</v>
      </c>
      <c r="DV41">
        <f t="shared" si="51"/>
        <v>0</v>
      </c>
      <c r="DW41">
        <f t="shared" si="51"/>
        <v>0</v>
      </c>
      <c r="DX41">
        <f t="shared" si="51"/>
        <v>0</v>
      </c>
      <c r="DY41">
        <f t="shared" si="51"/>
        <v>0</v>
      </c>
      <c r="DZ41">
        <f t="shared" si="52"/>
        <v>0</v>
      </c>
      <c r="EA41">
        <f t="shared" si="52"/>
        <v>0</v>
      </c>
      <c r="EB41">
        <f t="shared" si="52"/>
        <v>0</v>
      </c>
      <c r="EC41">
        <f t="shared" si="52"/>
        <v>0</v>
      </c>
      <c r="ED41">
        <f t="shared" si="52"/>
        <v>0</v>
      </c>
      <c r="EE41">
        <f t="shared" si="52"/>
        <v>0</v>
      </c>
      <c r="EF41">
        <f t="shared" si="52"/>
        <v>0</v>
      </c>
      <c r="EG41">
        <f t="shared" si="52"/>
        <v>0</v>
      </c>
      <c r="EH41">
        <f t="shared" si="52"/>
        <v>0</v>
      </c>
      <c r="EI41">
        <f t="shared" si="52"/>
        <v>0</v>
      </c>
      <c r="EJ41">
        <f>SUM(Tabla1[[#This Row],[1]:[130]])</f>
        <v>0</v>
      </c>
    </row>
    <row r="42" spans="1:140" ht="15.75" customHeight="1" thickBot="1" x14ac:dyDescent="0.3">
      <c r="A42" t="str">
        <f>B42&amp;"-"&amp;COUNTIF($B$2:B42,B42)</f>
        <v>I. HUEVOS-1</v>
      </c>
      <c r="B42" s="39" t="s">
        <v>209</v>
      </c>
      <c r="C42">
        <f>VLOOKUP(B42,RECETAS!D41:$E$1700,2,FALSE)</f>
        <v>10</v>
      </c>
      <c r="D42" s="32"/>
      <c r="G42" t="b">
        <f t="shared" si="0"/>
        <v>1</v>
      </c>
      <c r="I42" s="33" t="s">
        <v>698</v>
      </c>
      <c r="J42">
        <f t="shared" si="40"/>
        <v>0</v>
      </c>
      <c r="K42">
        <f t="shared" si="40"/>
        <v>0</v>
      </c>
      <c r="L42">
        <f t="shared" si="40"/>
        <v>0</v>
      </c>
      <c r="M42">
        <f t="shared" si="40"/>
        <v>0</v>
      </c>
      <c r="N42">
        <f t="shared" si="40"/>
        <v>0</v>
      </c>
      <c r="O42">
        <f t="shared" si="40"/>
        <v>0</v>
      </c>
      <c r="P42">
        <f t="shared" si="40"/>
        <v>0</v>
      </c>
      <c r="Q42">
        <f t="shared" si="40"/>
        <v>0</v>
      </c>
      <c r="R42">
        <f t="shared" si="40"/>
        <v>0</v>
      </c>
      <c r="S42">
        <f t="shared" si="40"/>
        <v>0</v>
      </c>
      <c r="T42">
        <f t="shared" si="41"/>
        <v>0</v>
      </c>
      <c r="U42">
        <f t="shared" si="41"/>
        <v>0</v>
      </c>
      <c r="V42">
        <f t="shared" si="41"/>
        <v>0</v>
      </c>
      <c r="W42">
        <f t="shared" si="41"/>
        <v>0</v>
      </c>
      <c r="X42">
        <f t="shared" si="41"/>
        <v>0</v>
      </c>
      <c r="Y42">
        <f t="shared" si="41"/>
        <v>0</v>
      </c>
      <c r="Z42">
        <f t="shared" si="41"/>
        <v>0</v>
      </c>
      <c r="AA42">
        <f t="shared" si="41"/>
        <v>0</v>
      </c>
      <c r="AB42">
        <f t="shared" si="41"/>
        <v>0</v>
      </c>
      <c r="AC42">
        <f t="shared" si="41"/>
        <v>0</v>
      </c>
      <c r="AD42">
        <f t="shared" si="42"/>
        <v>0</v>
      </c>
      <c r="AE42">
        <f t="shared" si="42"/>
        <v>0</v>
      </c>
      <c r="AF42">
        <f t="shared" si="42"/>
        <v>0</v>
      </c>
      <c r="AG42">
        <f t="shared" si="42"/>
        <v>0</v>
      </c>
      <c r="AH42">
        <f t="shared" si="42"/>
        <v>0</v>
      </c>
      <c r="AI42">
        <f t="shared" si="42"/>
        <v>0</v>
      </c>
      <c r="AJ42">
        <f t="shared" si="42"/>
        <v>0</v>
      </c>
      <c r="AK42">
        <f t="shared" si="42"/>
        <v>0</v>
      </c>
      <c r="AL42">
        <f t="shared" si="42"/>
        <v>0</v>
      </c>
      <c r="AM42">
        <f t="shared" si="42"/>
        <v>0</v>
      </c>
      <c r="AN42">
        <f t="shared" si="43"/>
        <v>0</v>
      </c>
      <c r="AO42">
        <f t="shared" si="43"/>
        <v>0</v>
      </c>
      <c r="AP42">
        <f t="shared" si="43"/>
        <v>0</v>
      </c>
      <c r="AQ42">
        <f t="shared" si="43"/>
        <v>0</v>
      </c>
      <c r="AR42">
        <f t="shared" si="43"/>
        <v>0</v>
      </c>
      <c r="AS42">
        <f t="shared" si="43"/>
        <v>0</v>
      </c>
      <c r="AT42">
        <f t="shared" si="43"/>
        <v>0</v>
      </c>
      <c r="AU42">
        <f t="shared" si="43"/>
        <v>0</v>
      </c>
      <c r="AV42">
        <f t="shared" si="43"/>
        <v>0</v>
      </c>
      <c r="AW42">
        <f t="shared" si="43"/>
        <v>0</v>
      </c>
      <c r="AX42">
        <f t="shared" si="44"/>
        <v>0</v>
      </c>
      <c r="AY42">
        <f t="shared" si="44"/>
        <v>0</v>
      </c>
      <c r="AZ42">
        <f t="shared" si="44"/>
        <v>0</v>
      </c>
      <c r="BA42">
        <f t="shared" si="44"/>
        <v>0</v>
      </c>
      <c r="BB42">
        <f t="shared" si="44"/>
        <v>0</v>
      </c>
      <c r="BC42">
        <f t="shared" si="44"/>
        <v>0</v>
      </c>
      <c r="BD42">
        <f t="shared" si="44"/>
        <v>0</v>
      </c>
      <c r="BE42">
        <f t="shared" si="44"/>
        <v>0</v>
      </c>
      <c r="BF42">
        <f t="shared" si="44"/>
        <v>0</v>
      </c>
      <c r="BG42">
        <f t="shared" si="44"/>
        <v>0</v>
      </c>
      <c r="BH42">
        <f t="shared" si="45"/>
        <v>0</v>
      </c>
      <c r="BI42">
        <f t="shared" si="45"/>
        <v>0</v>
      </c>
      <c r="BJ42">
        <f t="shared" si="45"/>
        <v>0</v>
      </c>
      <c r="BK42">
        <f t="shared" si="45"/>
        <v>0</v>
      </c>
      <c r="BL42">
        <f t="shared" si="45"/>
        <v>0</v>
      </c>
      <c r="BM42">
        <f t="shared" si="45"/>
        <v>0</v>
      </c>
      <c r="BN42">
        <f t="shared" si="45"/>
        <v>0</v>
      </c>
      <c r="BO42">
        <f t="shared" si="45"/>
        <v>0</v>
      </c>
      <c r="BP42">
        <f t="shared" si="45"/>
        <v>0</v>
      </c>
      <c r="BQ42">
        <f t="shared" si="45"/>
        <v>0</v>
      </c>
      <c r="BR42">
        <f t="shared" si="46"/>
        <v>0</v>
      </c>
      <c r="BS42">
        <f t="shared" si="46"/>
        <v>0</v>
      </c>
      <c r="BT42">
        <f t="shared" si="46"/>
        <v>0</v>
      </c>
      <c r="BU42">
        <f t="shared" si="46"/>
        <v>0</v>
      </c>
      <c r="BV42">
        <f t="shared" si="46"/>
        <v>0</v>
      </c>
      <c r="BW42">
        <f t="shared" si="46"/>
        <v>0</v>
      </c>
      <c r="BX42">
        <f t="shared" si="46"/>
        <v>0</v>
      </c>
      <c r="BY42">
        <f t="shared" si="46"/>
        <v>0</v>
      </c>
      <c r="BZ42">
        <f t="shared" si="46"/>
        <v>0</v>
      </c>
      <c r="CA42">
        <f t="shared" si="46"/>
        <v>0</v>
      </c>
      <c r="CB42">
        <f t="shared" si="47"/>
        <v>0</v>
      </c>
      <c r="CC42">
        <f t="shared" si="47"/>
        <v>0</v>
      </c>
      <c r="CD42">
        <f t="shared" si="47"/>
        <v>0</v>
      </c>
      <c r="CE42">
        <f t="shared" si="47"/>
        <v>0</v>
      </c>
      <c r="CF42">
        <f t="shared" si="47"/>
        <v>0</v>
      </c>
      <c r="CG42">
        <f t="shared" si="47"/>
        <v>0</v>
      </c>
      <c r="CH42">
        <f t="shared" si="47"/>
        <v>0</v>
      </c>
      <c r="CI42">
        <f t="shared" si="47"/>
        <v>0</v>
      </c>
      <c r="CJ42">
        <f t="shared" si="47"/>
        <v>0</v>
      </c>
      <c r="CK42">
        <f t="shared" si="47"/>
        <v>0</v>
      </c>
      <c r="CL42">
        <f t="shared" si="48"/>
        <v>0</v>
      </c>
      <c r="CM42">
        <f t="shared" si="48"/>
        <v>0</v>
      </c>
      <c r="CN42">
        <f t="shared" si="48"/>
        <v>0</v>
      </c>
      <c r="CO42">
        <f t="shared" si="48"/>
        <v>0</v>
      </c>
      <c r="CP42">
        <f t="shared" si="48"/>
        <v>0</v>
      </c>
      <c r="CQ42">
        <f t="shared" si="48"/>
        <v>0</v>
      </c>
      <c r="CR42">
        <f t="shared" si="48"/>
        <v>0</v>
      </c>
      <c r="CS42">
        <f t="shared" si="48"/>
        <v>0</v>
      </c>
      <c r="CT42">
        <f t="shared" si="48"/>
        <v>0</v>
      </c>
      <c r="CU42">
        <f t="shared" si="48"/>
        <v>0</v>
      </c>
      <c r="CV42">
        <f t="shared" si="49"/>
        <v>0</v>
      </c>
      <c r="CW42">
        <f t="shared" si="49"/>
        <v>0</v>
      </c>
      <c r="CX42">
        <f t="shared" si="49"/>
        <v>0</v>
      </c>
      <c r="CY42">
        <f t="shared" si="49"/>
        <v>0</v>
      </c>
      <c r="CZ42">
        <f t="shared" si="49"/>
        <v>0</v>
      </c>
      <c r="DA42">
        <f t="shared" si="49"/>
        <v>0</v>
      </c>
      <c r="DB42">
        <f t="shared" si="49"/>
        <v>0</v>
      </c>
      <c r="DC42">
        <f t="shared" si="49"/>
        <v>0</v>
      </c>
      <c r="DD42">
        <f t="shared" si="49"/>
        <v>0</v>
      </c>
      <c r="DE42">
        <f t="shared" si="49"/>
        <v>0</v>
      </c>
      <c r="DF42">
        <f t="shared" si="50"/>
        <v>0</v>
      </c>
      <c r="DG42">
        <f t="shared" si="50"/>
        <v>0</v>
      </c>
      <c r="DH42">
        <f t="shared" si="50"/>
        <v>0</v>
      </c>
      <c r="DI42">
        <f t="shared" si="50"/>
        <v>0</v>
      </c>
      <c r="DJ42">
        <f t="shared" si="50"/>
        <v>0</v>
      </c>
      <c r="DK42">
        <f t="shared" si="50"/>
        <v>0</v>
      </c>
      <c r="DL42">
        <f t="shared" si="50"/>
        <v>0</v>
      </c>
      <c r="DM42">
        <f t="shared" si="50"/>
        <v>0</v>
      </c>
      <c r="DN42">
        <f t="shared" si="50"/>
        <v>0</v>
      </c>
      <c r="DO42">
        <f t="shared" si="50"/>
        <v>0</v>
      </c>
      <c r="DP42">
        <f t="shared" si="51"/>
        <v>0</v>
      </c>
      <c r="DQ42">
        <f t="shared" si="51"/>
        <v>0</v>
      </c>
      <c r="DR42">
        <f t="shared" si="51"/>
        <v>0</v>
      </c>
      <c r="DS42">
        <f t="shared" si="51"/>
        <v>0</v>
      </c>
      <c r="DT42">
        <f t="shared" si="51"/>
        <v>0</v>
      </c>
      <c r="DU42">
        <f t="shared" si="51"/>
        <v>0</v>
      </c>
      <c r="DV42">
        <f t="shared" si="51"/>
        <v>0</v>
      </c>
      <c r="DW42">
        <f t="shared" si="51"/>
        <v>0</v>
      </c>
      <c r="DX42">
        <f t="shared" si="51"/>
        <v>0</v>
      </c>
      <c r="DY42">
        <f t="shared" si="51"/>
        <v>0</v>
      </c>
      <c r="DZ42">
        <f t="shared" si="52"/>
        <v>0</v>
      </c>
      <c r="EA42">
        <f t="shared" si="52"/>
        <v>0</v>
      </c>
      <c r="EB42">
        <f t="shared" si="52"/>
        <v>0</v>
      </c>
      <c r="EC42">
        <f t="shared" si="52"/>
        <v>0</v>
      </c>
      <c r="ED42">
        <f t="shared" si="52"/>
        <v>0</v>
      </c>
      <c r="EE42">
        <f t="shared" si="52"/>
        <v>0</v>
      </c>
      <c r="EF42">
        <f t="shared" si="52"/>
        <v>0</v>
      </c>
      <c r="EG42">
        <f t="shared" si="52"/>
        <v>0</v>
      </c>
      <c r="EH42">
        <f t="shared" si="52"/>
        <v>0</v>
      </c>
      <c r="EI42">
        <f t="shared" si="52"/>
        <v>0</v>
      </c>
      <c r="EJ42">
        <f>SUM(Tabla1[[#This Row],[1]:[130]])</f>
        <v>0</v>
      </c>
    </row>
    <row r="43" spans="1:140" ht="15" customHeight="1" x14ac:dyDescent="0.25">
      <c r="A43" t="str">
        <f>B43&amp;"-"&amp;COUNTIF($B$2:B43,B43)</f>
        <v>I. CRUDO PORC-1</v>
      </c>
      <c r="B43" s="26" t="s">
        <v>14</v>
      </c>
      <c r="C43">
        <f>VLOOKUP(B43,RECETAS!D42:$E$1700,2,FALSE)</f>
        <v>21</v>
      </c>
      <c r="D43" s="25" t="s">
        <v>333</v>
      </c>
      <c r="G43" t="b">
        <f t="shared" si="0"/>
        <v>1</v>
      </c>
      <c r="I43" s="26" t="s">
        <v>17</v>
      </c>
      <c r="J43">
        <f t="shared" ref="J43:S52" si="53">IFERROR(VLOOKUP($I43&amp;"-"&amp;J$2,$A$3:$C$1700,3,FALSE),0)</f>
        <v>76</v>
      </c>
      <c r="K43">
        <f t="shared" si="53"/>
        <v>4</v>
      </c>
      <c r="L43">
        <f t="shared" si="53"/>
        <v>0</v>
      </c>
      <c r="M43">
        <f t="shared" si="53"/>
        <v>0</v>
      </c>
      <c r="N43">
        <f t="shared" si="53"/>
        <v>0</v>
      </c>
      <c r="O43">
        <f t="shared" si="53"/>
        <v>0</v>
      </c>
      <c r="P43">
        <f t="shared" si="53"/>
        <v>0</v>
      </c>
      <c r="Q43">
        <f t="shared" si="53"/>
        <v>0</v>
      </c>
      <c r="R43">
        <f t="shared" si="53"/>
        <v>0</v>
      </c>
      <c r="S43">
        <f t="shared" si="53"/>
        <v>0</v>
      </c>
      <c r="T43">
        <f t="shared" ref="T43:AC52" si="54">IFERROR(VLOOKUP($I43&amp;"-"&amp;T$2,$A$3:$C$1700,3,FALSE),0)</f>
        <v>0</v>
      </c>
      <c r="U43">
        <f t="shared" si="54"/>
        <v>0</v>
      </c>
      <c r="V43">
        <f t="shared" si="54"/>
        <v>0</v>
      </c>
      <c r="W43">
        <f t="shared" si="54"/>
        <v>0</v>
      </c>
      <c r="X43">
        <f t="shared" si="54"/>
        <v>0</v>
      </c>
      <c r="Y43">
        <f t="shared" si="54"/>
        <v>0</v>
      </c>
      <c r="Z43">
        <f t="shared" si="54"/>
        <v>0</v>
      </c>
      <c r="AA43">
        <f t="shared" si="54"/>
        <v>0</v>
      </c>
      <c r="AB43">
        <f t="shared" si="54"/>
        <v>0</v>
      </c>
      <c r="AC43">
        <f t="shared" si="54"/>
        <v>0</v>
      </c>
      <c r="AD43">
        <f t="shared" ref="AD43:AM52" si="55">IFERROR(VLOOKUP($I43&amp;"-"&amp;AD$2,$A$3:$C$1700,3,FALSE),0)</f>
        <v>0</v>
      </c>
      <c r="AE43">
        <f t="shared" si="55"/>
        <v>0</v>
      </c>
      <c r="AF43">
        <f t="shared" si="55"/>
        <v>0</v>
      </c>
      <c r="AG43">
        <f t="shared" si="55"/>
        <v>0</v>
      </c>
      <c r="AH43">
        <f t="shared" si="55"/>
        <v>0</v>
      </c>
      <c r="AI43">
        <f t="shared" si="55"/>
        <v>0</v>
      </c>
      <c r="AJ43">
        <f t="shared" si="55"/>
        <v>0</v>
      </c>
      <c r="AK43">
        <f t="shared" si="55"/>
        <v>0</v>
      </c>
      <c r="AL43">
        <f t="shared" si="55"/>
        <v>0</v>
      </c>
      <c r="AM43">
        <f t="shared" si="55"/>
        <v>0</v>
      </c>
      <c r="AN43">
        <f t="shared" ref="AN43:AW52" si="56">IFERROR(VLOOKUP($I43&amp;"-"&amp;AN$2,$A$3:$C$1700,3,FALSE),0)</f>
        <v>0</v>
      </c>
      <c r="AO43">
        <f t="shared" si="56"/>
        <v>0</v>
      </c>
      <c r="AP43">
        <f t="shared" si="56"/>
        <v>0</v>
      </c>
      <c r="AQ43">
        <f t="shared" si="56"/>
        <v>0</v>
      </c>
      <c r="AR43">
        <f t="shared" si="56"/>
        <v>0</v>
      </c>
      <c r="AS43">
        <f t="shared" si="56"/>
        <v>0</v>
      </c>
      <c r="AT43">
        <f t="shared" si="56"/>
        <v>0</v>
      </c>
      <c r="AU43">
        <f t="shared" si="56"/>
        <v>0</v>
      </c>
      <c r="AV43">
        <f t="shared" si="56"/>
        <v>0</v>
      </c>
      <c r="AW43">
        <f t="shared" si="56"/>
        <v>0</v>
      </c>
      <c r="AX43">
        <f t="shared" ref="AX43:BG52" si="57">IFERROR(VLOOKUP($I43&amp;"-"&amp;AX$2,$A$3:$C$1700,3,FALSE),0)</f>
        <v>0</v>
      </c>
      <c r="AY43">
        <f t="shared" si="57"/>
        <v>0</v>
      </c>
      <c r="AZ43">
        <f t="shared" si="57"/>
        <v>0</v>
      </c>
      <c r="BA43">
        <f t="shared" si="57"/>
        <v>0</v>
      </c>
      <c r="BB43">
        <f t="shared" si="57"/>
        <v>0</v>
      </c>
      <c r="BC43">
        <f t="shared" si="57"/>
        <v>0</v>
      </c>
      <c r="BD43">
        <f t="shared" si="57"/>
        <v>0</v>
      </c>
      <c r="BE43">
        <f t="shared" si="57"/>
        <v>0</v>
      </c>
      <c r="BF43">
        <f t="shared" si="57"/>
        <v>0</v>
      </c>
      <c r="BG43">
        <f t="shared" si="57"/>
        <v>0</v>
      </c>
      <c r="BH43">
        <f t="shared" ref="BH43:BQ52" si="58">IFERROR(VLOOKUP($I43&amp;"-"&amp;BH$2,$A$3:$C$1700,3,FALSE),0)</f>
        <v>0</v>
      </c>
      <c r="BI43">
        <f t="shared" si="58"/>
        <v>0</v>
      </c>
      <c r="BJ43">
        <f t="shared" si="58"/>
        <v>0</v>
      </c>
      <c r="BK43">
        <f t="shared" si="58"/>
        <v>0</v>
      </c>
      <c r="BL43">
        <f t="shared" si="58"/>
        <v>0</v>
      </c>
      <c r="BM43">
        <f t="shared" si="58"/>
        <v>0</v>
      </c>
      <c r="BN43">
        <f t="shared" si="58"/>
        <v>0</v>
      </c>
      <c r="BO43">
        <f t="shared" si="58"/>
        <v>0</v>
      </c>
      <c r="BP43">
        <f t="shared" si="58"/>
        <v>0</v>
      </c>
      <c r="BQ43">
        <f t="shared" si="58"/>
        <v>0</v>
      </c>
      <c r="BR43">
        <f t="shared" ref="BR43:CA52" si="59">IFERROR(VLOOKUP($I43&amp;"-"&amp;BR$2,$A$3:$C$1700,3,FALSE),0)</f>
        <v>0</v>
      </c>
      <c r="BS43">
        <f t="shared" si="59"/>
        <v>0</v>
      </c>
      <c r="BT43">
        <f t="shared" si="59"/>
        <v>0</v>
      </c>
      <c r="BU43">
        <f t="shared" si="59"/>
        <v>0</v>
      </c>
      <c r="BV43">
        <f t="shared" si="59"/>
        <v>0</v>
      </c>
      <c r="BW43">
        <f t="shared" si="59"/>
        <v>0</v>
      </c>
      <c r="BX43">
        <f t="shared" si="59"/>
        <v>0</v>
      </c>
      <c r="BY43">
        <f t="shared" si="59"/>
        <v>0</v>
      </c>
      <c r="BZ43">
        <f t="shared" si="59"/>
        <v>0</v>
      </c>
      <c r="CA43">
        <f t="shared" si="59"/>
        <v>0</v>
      </c>
      <c r="CB43">
        <f t="shared" ref="CB43:CK52" si="60">IFERROR(VLOOKUP($I43&amp;"-"&amp;CB$2,$A$3:$C$1700,3,FALSE),0)</f>
        <v>0</v>
      </c>
      <c r="CC43">
        <f t="shared" si="60"/>
        <v>0</v>
      </c>
      <c r="CD43">
        <f t="shared" si="60"/>
        <v>0</v>
      </c>
      <c r="CE43">
        <f t="shared" si="60"/>
        <v>0</v>
      </c>
      <c r="CF43">
        <f t="shared" si="60"/>
        <v>0</v>
      </c>
      <c r="CG43">
        <f t="shared" si="60"/>
        <v>0</v>
      </c>
      <c r="CH43">
        <f t="shared" si="60"/>
        <v>0</v>
      </c>
      <c r="CI43">
        <f t="shared" si="60"/>
        <v>0</v>
      </c>
      <c r="CJ43">
        <f t="shared" si="60"/>
        <v>0</v>
      </c>
      <c r="CK43">
        <f t="shared" si="60"/>
        <v>0</v>
      </c>
      <c r="CL43">
        <f t="shared" ref="CL43:CU52" si="61">IFERROR(VLOOKUP($I43&amp;"-"&amp;CL$2,$A$3:$C$1700,3,FALSE),0)</f>
        <v>0</v>
      </c>
      <c r="CM43">
        <f t="shared" si="61"/>
        <v>0</v>
      </c>
      <c r="CN43">
        <f t="shared" si="61"/>
        <v>0</v>
      </c>
      <c r="CO43">
        <f t="shared" si="61"/>
        <v>0</v>
      </c>
      <c r="CP43">
        <f t="shared" si="61"/>
        <v>0</v>
      </c>
      <c r="CQ43">
        <f t="shared" si="61"/>
        <v>0</v>
      </c>
      <c r="CR43">
        <f t="shared" si="61"/>
        <v>0</v>
      </c>
      <c r="CS43">
        <f t="shared" si="61"/>
        <v>0</v>
      </c>
      <c r="CT43">
        <f t="shared" si="61"/>
        <v>0</v>
      </c>
      <c r="CU43">
        <f t="shared" si="61"/>
        <v>0</v>
      </c>
      <c r="CV43">
        <f t="shared" ref="CV43:DE52" si="62">IFERROR(VLOOKUP($I43&amp;"-"&amp;CV$2,$A$3:$C$1700,3,FALSE),0)</f>
        <v>0</v>
      </c>
      <c r="CW43">
        <f t="shared" si="62"/>
        <v>0</v>
      </c>
      <c r="CX43">
        <f t="shared" si="62"/>
        <v>0</v>
      </c>
      <c r="CY43">
        <f t="shared" si="62"/>
        <v>0</v>
      </c>
      <c r="CZ43">
        <f t="shared" si="62"/>
        <v>0</v>
      </c>
      <c r="DA43">
        <f t="shared" si="62"/>
        <v>0</v>
      </c>
      <c r="DB43">
        <f t="shared" si="62"/>
        <v>0</v>
      </c>
      <c r="DC43">
        <f t="shared" si="62"/>
        <v>0</v>
      </c>
      <c r="DD43">
        <f t="shared" si="62"/>
        <v>0</v>
      </c>
      <c r="DE43">
        <f t="shared" si="62"/>
        <v>0</v>
      </c>
      <c r="DF43">
        <f t="shared" ref="DF43:DO52" si="63">IFERROR(VLOOKUP($I43&amp;"-"&amp;DF$2,$A$3:$C$1700,3,FALSE),0)</f>
        <v>0</v>
      </c>
      <c r="DG43">
        <f t="shared" si="63"/>
        <v>0</v>
      </c>
      <c r="DH43">
        <f t="shared" si="63"/>
        <v>0</v>
      </c>
      <c r="DI43">
        <f t="shared" si="63"/>
        <v>0</v>
      </c>
      <c r="DJ43">
        <f t="shared" si="63"/>
        <v>0</v>
      </c>
      <c r="DK43">
        <f t="shared" si="63"/>
        <v>0</v>
      </c>
      <c r="DL43">
        <f t="shared" si="63"/>
        <v>0</v>
      </c>
      <c r="DM43">
        <f t="shared" si="63"/>
        <v>0</v>
      </c>
      <c r="DN43">
        <f t="shared" si="63"/>
        <v>0</v>
      </c>
      <c r="DO43">
        <f t="shared" si="63"/>
        <v>0</v>
      </c>
      <c r="DP43">
        <f t="shared" ref="DP43:DY52" si="64">IFERROR(VLOOKUP($I43&amp;"-"&amp;DP$2,$A$3:$C$1700,3,FALSE),0)</f>
        <v>0</v>
      </c>
      <c r="DQ43">
        <f t="shared" si="64"/>
        <v>0</v>
      </c>
      <c r="DR43">
        <f t="shared" si="64"/>
        <v>0</v>
      </c>
      <c r="DS43">
        <f t="shared" si="64"/>
        <v>0</v>
      </c>
      <c r="DT43">
        <f t="shared" si="64"/>
        <v>0</v>
      </c>
      <c r="DU43">
        <f t="shared" si="64"/>
        <v>0</v>
      </c>
      <c r="DV43">
        <f t="shared" si="64"/>
        <v>0</v>
      </c>
      <c r="DW43">
        <f t="shared" si="64"/>
        <v>0</v>
      </c>
      <c r="DX43">
        <f t="shared" si="64"/>
        <v>0</v>
      </c>
      <c r="DY43">
        <f t="shared" si="64"/>
        <v>0</v>
      </c>
      <c r="DZ43">
        <f t="shared" ref="DZ43:EI52" si="65">IFERROR(VLOOKUP($I43&amp;"-"&amp;DZ$2,$A$3:$C$1700,3,FALSE),0)</f>
        <v>0</v>
      </c>
      <c r="EA43">
        <f t="shared" si="65"/>
        <v>0</v>
      </c>
      <c r="EB43">
        <f t="shared" si="65"/>
        <v>0</v>
      </c>
      <c r="EC43">
        <f t="shared" si="65"/>
        <v>0</v>
      </c>
      <c r="ED43">
        <f t="shared" si="65"/>
        <v>0</v>
      </c>
      <c r="EE43">
        <f t="shared" si="65"/>
        <v>0</v>
      </c>
      <c r="EF43">
        <f t="shared" si="65"/>
        <v>0</v>
      </c>
      <c r="EG43">
        <f t="shared" si="65"/>
        <v>0</v>
      </c>
      <c r="EH43">
        <f t="shared" si="65"/>
        <v>0</v>
      </c>
      <c r="EI43">
        <f t="shared" si="65"/>
        <v>0</v>
      </c>
      <c r="EJ43">
        <f>SUM(Tabla1[[#This Row],[1]:[130]])</f>
        <v>80</v>
      </c>
    </row>
    <row r="44" spans="1:140" ht="15.75" customHeight="1" thickBot="1" x14ac:dyDescent="0.3">
      <c r="A44" t="str">
        <f>B44&amp;"-"&amp;COUNTIF($B$2:B44,B44)</f>
        <v>I. BAGUETTE-2</v>
      </c>
      <c r="B44" s="33" t="s">
        <v>311</v>
      </c>
      <c r="C44">
        <f>VLOOKUP(B44,RECETAS!D43:$E$1700,2,FALSE)</f>
        <v>42</v>
      </c>
      <c r="D44" s="32"/>
      <c r="G44" t="b">
        <f t="shared" si="0"/>
        <v>1</v>
      </c>
      <c r="I44" s="40" t="s">
        <v>6</v>
      </c>
      <c r="J44">
        <f t="shared" si="53"/>
        <v>0</v>
      </c>
      <c r="K44">
        <f t="shared" si="53"/>
        <v>19</v>
      </c>
      <c r="L44">
        <f t="shared" si="53"/>
        <v>28</v>
      </c>
      <c r="M44">
        <f t="shared" si="53"/>
        <v>66</v>
      </c>
      <c r="N44">
        <f t="shared" si="53"/>
        <v>9</v>
      </c>
      <c r="O44">
        <f t="shared" si="53"/>
        <v>3</v>
      </c>
      <c r="P44">
        <f t="shared" si="53"/>
        <v>0</v>
      </c>
      <c r="Q44">
        <f t="shared" si="53"/>
        <v>0</v>
      </c>
      <c r="R44">
        <f t="shared" si="53"/>
        <v>2</v>
      </c>
      <c r="S44">
        <f t="shared" si="53"/>
        <v>0</v>
      </c>
      <c r="T44">
        <f t="shared" si="54"/>
        <v>0</v>
      </c>
      <c r="U44">
        <f t="shared" si="54"/>
        <v>0</v>
      </c>
      <c r="V44">
        <f t="shared" si="54"/>
        <v>0</v>
      </c>
      <c r="W44">
        <f t="shared" si="54"/>
        <v>0</v>
      </c>
      <c r="X44">
        <f t="shared" si="54"/>
        <v>17</v>
      </c>
      <c r="Y44">
        <f t="shared" si="54"/>
        <v>2</v>
      </c>
      <c r="Z44">
        <f t="shared" si="54"/>
        <v>1</v>
      </c>
      <c r="AA44">
        <f t="shared" si="54"/>
        <v>0</v>
      </c>
      <c r="AB44">
        <f t="shared" si="54"/>
        <v>0</v>
      </c>
      <c r="AC44">
        <f t="shared" si="54"/>
        <v>0</v>
      </c>
      <c r="AD44">
        <f t="shared" si="55"/>
        <v>0</v>
      </c>
      <c r="AE44">
        <f t="shared" si="55"/>
        <v>0</v>
      </c>
      <c r="AF44">
        <f t="shared" si="55"/>
        <v>0</v>
      </c>
      <c r="AG44">
        <f t="shared" si="55"/>
        <v>0</v>
      </c>
      <c r="AH44">
        <f t="shared" si="55"/>
        <v>0</v>
      </c>
      <c r="AI44">
        <f t="shared" si="55"/>
        <v>0</v>
      </c>
      <c r="AJ44">
        <f t="shared" si="55"/>
        <v>0</v>
      </c>
      <c r="AK44">
        <f t="shared" si="55"/>
        <v>0</v>
      </c>
      <c r="AL44">
        <f t="shared" si="55"/>
        <v>0</v>
      </c>
      <c r="AM44">
        <f t="shared" si="55"/>
        <v>0</v>
      </c>
      <c r="AN44">
        <f t="shared" si="56"/>
        <v>0</v>
      </c>
      <c r="AO44">
        <f t="shared" si="56"/>
        <v>0</v>
      </c>
      <c r="AP44">
        <f t="shared" si="56"/>
        <v>0</v>
      </c>
      <c r="AQ44">
        <f t="shared" si="56"/>
        <v>0</v>
      </c>
      <c r="AR44">
        <f t="shared" si="56"/>
        <v>0</v>
      </c>
      <c r="AS44">
        <f t="shared" si="56"/>
        <v>0</v>
      </c>
      <c r="AT44">
        <f t="shared" si="56"/>
        <v>0</v>
      </c>
      <c r="AU44">
        <f t="shared" si="56"/>
        <v>0</v>
      </c>
      <c r="AV44">
        <f t="shared" si="56"/>
        <v>0</v>
      </c>
      <c r="AW44">
        <f t="shared" si="56"/>
        <v>0</v>
      </c>
      <c r="AX44">
        <f t="shared" si="57"/>
        <v>0</v>
      </c>
      <c r="AY44">
        <f t="shared" si="57"/>
        <v>0</v>
      </c>
      <c r="AZ44">
        <f t="shared" si="57"/>
        <v>0</v>
      </c>
      <c r="BA44">
        <f t="shared" si="57"/>
        <v>0</v>
      </c>
      <c r="BB44">
        <f t="shared" si="57"/>
        <v>0</v>
      </c>
      <c r="BC44">
        <f t="shared" si="57"/>
        <v>0</v>
      </c>
      <c r="BD44">
        <f t="shared" si="57"/>
        <v>0</v>
      </c>
      <c r="BE44">
        <f t="shared" si="57"/>
        <v>0</v>
      </c>
      <c r="BF44">
        <f t="shared" si="57"/>
        <v>0</v>
      </c>
      <c r="BG44">
        <f t="shared" si="57"/>
        <v>0</v>
      </c>
      <c r="BH44">
        <f t="shared" si="58"/>
        <v>0</v>
      </c>
      <c r="BI44">
        <f t="shared" si="58"/>
        <v>0</v>
      </c>
      <c r="BJ44">
        <f t="shared" si="58"/>
        <v>0</v>
      </c>
      <c r="BK44">
        <f t="shared" si="58"/>
        <v>0</v>
      </c>
      <c r="BL44">
        <f t="shared" si="58"/>
        <v>0</v>
      </c>
      <c r="BM44">
        <f t="shared" si="58"/>
        <v>0</v>
      </c>
      <c r="BN44">
        <f t="shared" si="58"/>
        <v>0</v>
      </c>
      <c r="BO44">
        <f t="shared" si="58"/>
        <v>0</v>
      </c>
      <c r="BP44">
        <f t="shared" si="58"/>
        <v>0</v>
      </c>
      <c r="BQ44">
        <f t="shared" si="58"/>
        <v>0</v>
      </c>
      <c r="BR44">
        <f t="shared" si="59"/>
        <v>0</v>
      </c>
      <c r="BS44">
        <f t="shared" si="59"/>
        <v>0</v>
      </c>
      <c r="BT44">
        <f t="shared" si="59"/>
        <v>0</v>
      </c>
      <c r="BU44">
        <f t="shared" si="59"/>
        <v>0</v>
      </c>
      <c r="BV44">
        <f t="shared" si="59"/>
        <v>0</v>
      </c>
      <c r="BW44">
        <f t="shared" si="59"/>
        <v>0</v>
      </c>
      <c r="BX44">
        <f t="shared" si="59"/>
        <v>0</v>
      </c>
      <c r="BY44">
        <f t="shared" si="59"/>
        <v>0</v>
      </c>
      <c r="BZ44">
        <f t="shared" si="59"/>
        <v>0</v>
      </c>
      <c r="CA44">
        <f t="shared" si="59"/>
        <v>0</v>
      </c>
      <c r="CB44">
        <f t="shared" si="60"/>
        <v>0</v>
      </c>
      <c r="CC44">
        <f t="shared" si="60"/>
        <v>0</v>
      </c>
      <c r="CD44">
        <f t="shared" si="60"/>
        <v>0</v>
      </c>
      <c r="CE44">
        <f t="shared" si="60"/>
        <v>0</v>
      </c>
      <c r="CF44">
        <f t="shared" si="60"/>
        <v>0</v>
      </c>
      <c r="CG44">
        <f t="shared" si="60"/>
        <v>0</v>
      </c>
      <c r="CH44">
        <f t="shared" si="60"/>
        <v>0</v>
      </c>
      <c r="CI44">
        <f t="shared" si="60"/>
        <v>0</v>
      </c>
      <c r="CJ44">
        <f t="shared" si="60"/>
        <v>0</v>
      </c>
      <c r="CK44">
        <f t="shared" si="60"/>
        <v>0</v>
      </c>
      <c r="CL44">
        <f t="shared" si="61"/>
        <v>0</v>
      </c>
      <c r="CM44">
        <f t="shared" si="61"/>
        <v>0</v>
      </c>
      <c r="CN44">
        <f t="shared" si="61"/>
        <v>0</v>
      </c>
      <c r="CO44">
        <f t="shared" si="61"/>
        <v>0</v>
      </c>
      <c r="CP44">
        <f t="shared" si="61"/>
        <v>0</v>
      </c>
      <c r="CQ44">
        <f t="shared" si="61"/>
        <v>0</v>
      </c>
      <c r="CR44">
        <f t="shared" si="61"/>
        <v>0</v>
      </c>
      <c r="CS44">
        <f t="shared" si="61"/>
        <v>0</v>
      </c>
      <c r="CT44">
        <f t="shared" si="61"/>
        <v>0</v>
      </c>
      <c r="CU44">
        <f t="shared" si="61"/>
        <v>0</v>
      </c>
      <c r="CV44">
        <f t="shared" si="62"/>
        <v>0</v>
      </c>
      <c r="CW44">
        <f t="shared" si="62"/>
        <v>0</v>
      </c>
      <c r="CX44">
        <f t="shared" si="62"/>
        <v>0</v>
      </c>
      <c r="CY44">
        <f t="shared" si="62"/>
        <v>0</v>
      </c>
      <c r="CZ44">
        <f t="shared" si="62"/>
        <v>0</v>
      </c>
      <c r="DA44">
        <f t="shared" si="62"/>
        <v>0</v>
      </c>
      <c r="DB44">
        <f t="shared" si="62"/>
        <v>0</v>
      </c>
      <c r="DC44">
        <f t="shared" si="62"/>
        <v>0</v>
      </c>
      <c r="DD44">
        <f t="shared" si="62"/>
        <v>0</v>
      </c>
      <c r="DE44">
        <f t="shared" si="62"/>
        <v>0</v>
      </c>
      <c r="DF44">
        <f t="shared" si="63"/>
        <v>0</v>
      </c>
      <c r="DG44">
        <f t="shared" si="63"/>
        <v>0</v>
      </c>
      <c r="DH44">
        <f t="shared" si="63"/>
        <v>0</v>
      </c>
      <c r="DI44">
        <f t="shared" si="63"/>
        <v>0</v>
      </c>
      <c r="DJ44">
        <f t="shared" si="63"/>
        <v>0</v>
      </c>
      <c r="DK44">
        <f t="shared" si="63"/>
        <v>0</v>
      </c>
      <c r="DL44">
        <f t="shared" si="63"/>
        <v>0</v>
      </c>
      <c r="DM44">
        <f t="shared" si="63"/>
        <v>0</v>
      </c>
      <c r="DN44">
        <f t="shared" si="63"/>
        <v>0</v>
      </c>
      <c r="DO44">
        <f t="shared" si="63"/>
        <v>0</v>
      </c>
      <c r="DP44">
        <f t="shared" si="64"/>
        <v>0</v>
      </c>
      <c r="DQ44">
        <f t="shared" si="64"/>
        <v>0</v>
      </c>
      <c r="DR44">
        <f t="shared" si="64"/>
        <v>0</v>
      </c>
      <c r="DS44">
        <f t="shared" si="64"/>
        <v>0</v>
      </c>
      <c r="DT44">
        <f t="shared" si="64"/>
        <v>0</v>
      </c>
      <c r="DU44">
        <f t="shared" si="64"/>
        <v>0</v>
      </c>
      <c r="DV44">
        <f t="shared" si="64"/>
        <v>0</v>
      </c>
      <c r="DW44">
        <f t="shared" si="64"/>
        <v>0</v>
      </c>
      <c r="DX44">
        <f t="shared" si="64"/>
        <v>0</v>
      </c>
      <c r="DY44">
        <f t="shared" si="64"/>
        <v>0</v>
      </c>
      <c r="DZ44">
        <f t="shared" si="65"/>
        <v>0</v>
      </c>
      <c r="EA44">
        <f t="shared" si="65"/>
        <v>0</v>
      </c>
      <c r="EB44">
        <f t="shared" si="65"/>
        <v>0</v>
      </c>
      <c r="EC44">
        <f t="shared" si="65"/>
        <v>0</v>
      </c>
      <c r="ED44">
        <f t="shared" si="65"/>
        <v>0</v>
      </c>
      <c r="EE44">
        <f t="shared" si="65"/>
        <v>0</v>
      </c>
      <c r="EF44">
        <f t="shared" si="65"/>
        <v>0</v>
      </c>
      <c r="EG44">
        <f t="shared" si="65"/>
        <v>0</v>
      </c>
      <c r="EH44">
        <f t="shared" si="65"/>
        <v>0</v>
      </c>
      <c r="EI44">
        <f t="shared" si="65"/>
        <v>0</v>
      </c>
      <c r="EJ44">
        <f>SUM(Tabla1[[#This Row],[1]:[130]])</f>
        <v>147</v>
      </c>
    </row>
    <row r="45" spans="1:140" ht="15.75" customHeight="1" x14ac:dyDescent="0.25">
      <c r="A45" t="str">
        <f>B45&amp;"-"&amp;COUNTIF($B$2:B45,B45)</f>
        <v>I. TORTILLAS GR-4</v>
      </c>
      <c r="B45" s="26" t="s">
        <v>7</v>
      </c>
      <c r="C45">
        <f>VLOOKUP(B45,RECETAS!D44:$E$1700,2,FALSE)</f>
        <v>10</v>
      </c>
      <c r="D45" s="25" t="s">
        <v>20</v>
      </c>
      <c r="G45" t="b">
        <f t="shared" si="0"/>
        <v>1</v>
      </c>
      <c r="I45" s="26" t="s">
        <v>520</v>
      </c>
      <c r="J45">
        <f t="shared" si="53"/>
        <v>0</v>
      </c>
      <c r="K45">
        <f t="shared" si="53"/>
        <v>0</v>
      </c>
      <c r="L45">
        <f t="shared" si="53"/>
        <v>0</v>
      </c>
      <c r="M45">
        <f t="shared" si="53"/>
        <v>0</v>
      </c>
      <c r="N45">
        <f t="shared" si="53"/>
        <v>0</v>
      </c>
      <c r="O45">
        <f t="shared" si="53"/>
        <v>0</v>
      </c>
      <c r="P45">
        <f t="shared" si="53"/>
        <v>0</v>
      </c>
      <c r="Q45">
        <f t="shared" si="53"/>
        <v>0</v>
      </c>
      <c r="R45">
        <f t="shared" si="53"/>
        <v>0</v>
      </c>
      <c r="S45">
        <f t="shared" si="53"/>
        <v>0</v>
      </c>
      <c r="T45">
        <f t="shared" si="54"/>
        <v>0</v>
      </c>
      <c r="U45">
        <f t="shared" si="54"/>
        <v>0</v>
      </c>
      <c r="V45">
        <f t="shared" si="54"/>
        <v>0</v>
      </c>
      <c r="W45">
        <f t="shared" si="54"/>
        <v>0</v>
      </c>
      <c r="X45">
        <f t="shared" si="54"/>
        <v>0</v>
      </c>
      <c r="Y45">
        <f t="shared" si="54"/>
        <v>0</v>
      </c>
      <c r="Z45">
        <f t="shared" si="54"/>
        <v>0</v>
      </c>
      <c r="AA45">
        <f t="shared" si="54"/>
        <v>0</v>
      </c>
      <c r="AB45">
        <f t="shared" si="54"/>
        <v>0</v>
      </c>
      <c r="AC45">
        <f t="shared" si="54"/>
        <v>0</v>
      </c>
      <c r="AD45">
        <f t="shared" si="55"/>
        <v>0</v>
      </c>
      <c r="AE45">
        <f t="shared" si="55"/>
        <v>0</v>
      </c>
      <c r="AF45">
        <f t="shared" si="55"/>
        <v>0</v>
      </c>
      <c r="AG45">
        <f t="shared" si="55"/>
        <v>0</v>
      </c>
      <c r="AH45">
        <f t="shared" si="55"/>
        <v>0</v>
      </c>
      <c r="AI45">
        <f t="shared" si="55"/>
        <v>0</v>
      </c>
      <c r="AJ45">
        <f t="shared" si="55"/>
        <v>0</v>
      </c>
      <c r="AK45">
        <f t="shared" si="55"/>
        <v>0</v>
      </c>
      <c r="AL45">
        <f t="shared" si="55"/>
        <v>0</v>
      </c>
      <c r="AM45">
        <f t="shared" si="55"/>
        <v>0</v>
      </c>
      <c r="AN45">
        <f t="shared" si="56"/>
        <v>0</v>
      </c>
      <c r="AO45">
        <f t="shared" si="56"/>
        <v>0</v>
      </c>
      <c r="AP45">
        <f t="shared" si="56"/>
        <v>0</v>
      </c>
      <c r="AQ45">
        <f t="shared" si="56"/>
        <v>0</v>
      </c>
      <c r="AR45">
        <f t="shared" si="56"/>
        <v>0</v>
      </c>
      <c r="AS45">
        <f t="shared" si="56"/>
        <v>0</v>
      </c>
      <c r="AT45">
        <f t="shared" si="56"/>
        <v>0</v>
      </c>
      <c r="AU45">
        <f t="shared" si="56"/>
        <v>0</v>
      </c>
      <c r="AV45">
        <f t="shared" si="56"/>
        <v>0</v>
      </c>
      <c r="AW45">
        <f t="shared" si="56"/>
        <v>0</v>
      </c>
      <c r="AX45">
        <f t="shared" si="57"/>
        <v>0</v>
      </c>
      <c r="AY45">
        <f t="shared" si="57"/>
        <v>0</v>
      </c>
      <c r="AZ45">
        <f t="shared" si="57"/>
        <v>0</v>
      </c>
      <c r="BA45">
        <f t="shared" si="57"/>
        <v>0</v>
      </c>
      <c r="BB45">
        <f t="shared" si="57"/>
        <v>0</v>
      </c>
      <c r="BC45">
        <f t="shared" si="57"/>
        <v>0</v>
      </c>
      <c r="BD45">
        <f t="shared" si="57"/>
        <v>0</v>
      </c>
      <c r="BE45">
        <f t="shared" si="57"/>
        <v>0</v>
      </c>
      <c r="BF45">
        <f t="shared" si="57"/>
        <v>0</v>
      </c>
      <c r="BG45">
        <f t="shared" si="57"/>
        <v>0</v>
      </c>
      <c r="BH45">
        <f t="shared" si="58"/>
        <v>0</v>
      </c>
      <c r="BI45">
        <f t="shared" si="58"/>
        <v>0</v>
      </c>
      <c r="BJ45">
        <f t="shared" si="58"/>
        <v>0</v>
      </c>
      <c r="BK45">
        <f t="shared" si="58"/>
        <v>0</v>
      </c>
      <c r="BL45">
        <f t="shared" si="58"/>
        <v>0</v>
      </c>
      <c r="BM45">
        <f t="shared" si="58"/>
        <v>0</v>
      </c>
      <c r="BN45">
        <f t="shared" si="58"/>
        <v>0</v>
      </c>
      <c r="BO45">
        <f t="shared" si="58"/>
        <v>0</v>
      </c>
      <c r="BP45">
        <f t="shared" si="58"/>
        <v>0</v>
      </c>
      <c r="BQ45">
        <f t="shared" si="58"/>
        <v>0</v>
      </c>
      <c r="BR45">
        <f t="shared" si="59"/>
        <v>0</v>
      </c>
      <c r="BS45">
        <f t="shared" si="59"/>
        <v>0</v>
      </c>
      <c r="BT45">
        <f t="shared" si="59"/>
        <v>0</v>
      </c>
      <c r="BU45">
        <f t="shared" si="59"/>
        <v>0</v>
      </c>
      <c r="BV45">
        <f t="shared" si="59"/>
        <v>0</v>
      </c>
      <c r="BW45">
        <f t="shared" si="59"/>
        <v>0</v>
      </c>
      <c r="BX45">
        <f t="shared" si="59"/>
        <v>0</v>
      </c>
      <c r="BY45">
        <f t="shared" si="59"/>
        <v>0</v>
      </c>
      <c r="BZ45">
        <f t="shared" si="59"/>
        <v>0</v>
      </c>
      <c r="CA45">
        <f t="shared" si="59"/>
        <v>0</v>
      </c>
      <c r="CB45">
        <f t="shared" si="60"/>
        <v>0</v>
      </c>
      <c r="CC45">
        <f t="shared" si="60"/>
        <v>0</v>
      </c>
      <c r="CD45">
        <f t="shared" si="60"/>
        <v>0</v>
      </c>
      <c r="CE45">
        <f t="shared" si="60"/>
        <v>0</v>
      </c>
      <c r="CF45">
        <f t="shared" si="60"/>
        <v>0</v>
      </c>
      <c r="CG45">
        <f t="shared" si="60"/>
        <v>0</v>
      </c>
      <c r="CH45">
        <f t="shared" si="60"/>
        <v>0</v>
      </c>
      <c r="CI45">
        <f t="shared" si="60"/>
        <v>0</v>
      </c>
      <c r="CJ45">
        <f t="shared" si="60"/>
        <v>0</v>
      </c>
      <c r="CK45">
        <f t="shared" si="60"/>
        <v>0</v>
      </c>
      <c r="CL45">
        <f t="shared" si="61"/>
        <v>0</v>
      </c>
      <c r="CM45">
        <f t="shared" si="61"/>
        <v>0</v>
      </c>
      <c r="CN45">
        <f t="shared" si="61"/>
        <v>0</v>
      </c>
      <c r="CO45">
        <f t="shared" si="61"/>
        <v>0</v>
      </c>
      <c r="CP45">
        <f t="shared" si="61"/>
        <v>0</v>
      </c>
      <c r="CQ45">
        <f t="shared" si="61"/>
        <v>0</v>
      </c>
      <c r="CR45">
        <f t="shared" si="61"/>
        <v>0</v>
      </c>
      <c r="CS45">
        <f t="shared" si="61"/>
        <v>0</v>
      </c>
      <c r="CT45">
        <f t="shared" si="61"/>
        <v>0</v>
      </c>
      <c r="CU45">
        <f t="shared" si="61"/>
        <v>0</v>
      </c>
      <c r="CV45">
        <f t="shared" si="62"/>
        <v>0</v>
      </c>
      <c r="CW45">
        <f t="shared" si="62"/>
        <v>0</v>
      </c>
      <c r="CX45">
        <f t="shared" si="62"/>
        <v>0</v>
      </c>
      <c r="CY45">
        <f t="shared" si="62"/>
        <v>0</v>
      </c>
      <c r="CZ45">
        <f t="shared" si="62"/>
        <v>0</v>
      </c>
      <c r="DA45">
        <f t="shared" si="62"/>
        <v>0</v>
      </c>
      <c r="DB45">
        <f t="shared" si="62"/>
        <v>0</v>
      </c>
      <c r="DC45">
        <f t="shared" si="62"/>
        <v>0</v>
      </c>
      <c r="DD45">
        <f t="shared" si="62"/>
        <v>0</v>
      </c>
      <c r="DE45">
        <f t="shared" si="62"/>
        <v>0</v>
      </c>
      <c r="DF45">
        <f t="shared" si="63"/>
        <v>0</v>
      </c>
      <c r="DG45">
        <f t="shared" si="63"/>
        <v>0</v>
      </c>
      <c r="DH45">
        <f t="shared" si="63"/>
        <v>0</v>
      </c>
      <c r="DI45">
        <f t="shared" si="63"/>
        <v>0</v>
      </c>
      <c r="DJ45">
        <f t="shared" si="63"/>
        <v>0</v>
      </c>
      <c r="DK45">
        <f t="shared" si="63"/>
        <v>0</v>
      </c>
      <c r="DL45">
        <f t="shared" si="63"/>
        <v>0</v>
      </c>
      <c r="DM45">
        <f t="shared" si="63"/>
        <v>0</v>
      </c>
      <c r="DN45">
        <f t="shared" si="63"/>
        <v>0</v>
      </c>
      <c r="DO45">
        <f t="shared" si="63"/>
        <v>0</v>
      </c>
      <c r="DP45">
        <f t="shared" si="64"/>
        <v>0</v>
      </c>
      <c r="DQ45">
        <f t="shared" si="64"/>
        <v>0</v>
      </c>
      <c r="DR45">
        <f t="shared" si="64"/>
        <v>0</v>
      </c>
      <c r="DS45">
        <f t="shared" si="64"/>
        <v>0</v>
      </c>
      <c r="DT45">
        <f t="shared" si="64"/>
        <v>0</v>
      </c>
      <c r="DU45">
        <f t="shared" si="64"/>
        <v>0</v>
      </c>
      <c r="DV45">
        <f t="shared" si="64"/>
        <v>0</v>
      </c>
      <c r="DW45">
        <f t="shared" si="64"/>
        <v>0</v>
      </c>
      <c r="DX45">
        <f t="shared" si="64"/>
        <v>0</v>
      </c>
      <c r="DY45">
        <f t="shared" si="64"/>
        <v>0</v>
      </c>
      <c r="DZ45">
        <f t="shared" si="65"/>
        <v>0</v>
      </c>
      <c r="EA45">
        <f t="shared" si="65"/>
        <v>0</v>
      </c>
      <c r="EB45">
        <f t="shared" si="65"/>
        <v>0</v>
      </c>
      <c r="EC45">
        <f t="shared" si="65"/>
        <v>0</v>
      </c>
      <c r="ED45">
        <f t="shared" si="65"/>
        <v>0</v>
      </c>
      <c r="EE45">
        <f t="shared" si="65"/>
        <v>0</v>
      </c>
      <c r="EF45">
        <f t="shared" si="65"/>
        <v>0</v>
      </c>
      <c r="EG45">
        <f t="shared" si="65"/>
        <v>0</v>
      </c>
      <c r="EH45">
        <f t="shared" si="65"/>
        <v>0</v>
      </c>
      <c r="EI45">
        <f t="shared" si="65"/>
        <v>0</v>
      </c>
      <c r="EJ45">
        <f>SUM(Tabla1[[#This Row],[1]:[130]])</f>
        <v>0</v>
      </c>
    </row>
    <row r="46" spans="1:140" x14ac:dyDescent="0.25">
      <c r="A46" t="str">
        <f>B46&amp;"-"&amp;COUNTIF($B$2:B46,B46)</f>
        <v>I. CHICKEN FINGER-2</v>
      </c>
      <c r="B46" s="35" t="s">
        <v>522</v>
      </c>
      <c r="C46">
        <f>VLOOKUP(B46,RECETAS!D45:$E$1700,2,FALSE)</f>
        <v>10</v>
      </c>
      <c r="D46" s="34"/>
      <c r="G46" t="b">
        <f t="shared" si="0"/>
        <v>1</v>
      </c>
      <c r="I46" s="35" t="s">
        <v>58</v>
      </c>
      <c r="J46">
        <f t="shared" si="53"/>
        <v>0</v>
      </c>
      <c r="K46">
        <f t="shared" si="53"/>
        <v>225</v>
      </c>
      <c r="L46">
        <f t="shared" si="53"/>
        <v>0</v>
      </c>
      <c r="M46">
        <f t="shared" si="53"/>
        <v>0</v>
      </c>
      <c r="N46">
        <f t="shared" si="53"/>
        <v>0</v>
      </c>
      <c r="O46">
        <f t="shared" si="53"/>
        <v>0</v>
      </c>
      <c r="P46">
        <f t="shared" si="53"/>
        <v>0</v>
      </c>
      <c r="Q46">
        <f t="shared" si="53"/>
        <v>0</v>
      </c>
      <c r="R46">
        <f t="shared" si="53"/>
        <v>0</v>
      </c>
      <c r="S46">
        <f t="shared" si="53"/>
        <v>0</v>
      </c>
      <c r="T46">
        <f t="shared" si="54"/>
        <v>0</v>
      </c>
      <c r="U46">
        <f t="shared" si="54"/>
        <v>0</v>
      </c>
      <c r="V46">
        <f t="shared" si="54"/>
        <v>0</v>
      </c>
      <c r="W46">
        <f t="shared" si="54"/>
        <v>0</v>
      </c>
      <c r="X46">
        <f t="shared" si="54"/>
        <v>0</v>
      </c>
      <c r="Y46">
        <f t="shared" si="54"/>
        <v>0</v>
      </c>
      <c r="Z46">
        <f t="shared" si="54"/>
        <v>0</v>
      </c>
      <c r="AA46">
        <f t="shared" si="54"/>
        <v>0</v>
      </c>
      <c r="AB46">
        <f t="shared" si="54"/>
        <v>0</v>
      </c>
      <c r="AC46">
        <f t="shared" si="54"/>
        <v>0</v>
      </c>
      <c r="AD46">
        <f t="shared" si="55"/>
        <v>0</v>
      </c>
      <c r="AE46">
        <f t="shared" si="55"/>
        <v>0</v>
      </c>
      <c r="AF46">
        <f t="shared" si="55"/>
        <v>0</v>
      </c>
      <c r="AG46">
        <f t="shared" si="55"/>
        <v>0</v>
      </c>
      <c r="AH46">
        <f t="shared" si="55"/>
        <v>0</v>
      </c>
      <c r="AI46">
        <f t="shared" si="55"/>
        <v>0</v>
      </c>
      <c r="AJ46">
        <f t="shared" si="55"/>
        <v>0</v>
      </c>
      <c r="AK46">
        <f t="shared" si="55"/>
        <v>0</v>
      </c>
      <c r="AL46">
        <f t="shared" si="55"/>
        <v>0</v>
      </c>
      <c r="AM46">
        <f t="shared" si="55"/>
        <v>0</v>
      </c>
      <c r="AN46">
        <f t="shared" si="56"/>
        <v>0</v>
      </c>
      <c r="AO46">
        <f t="shared" si="56"/>
        <v>0</v>
      </c>
      <c r="AP46">
        <f t="shared" si="56"/>
        <v>0</v>
      </c>
      <c r="AQ46">
        <f t="shared" si="56"/>
        <v>0</v>
      </c>
      <c r="AR46">
        <f t="shared" si="56"/>
        <v>0</v>
      </c>
      <c r="AS46">
        <f t="shared" si="56"/>
        <v>0</v>
      </c>
      <c r="AT46">
        <f t="shared" si="56"/>
        <v>0</v>
      </c>
      <c r="AU46">
        <f t="shared" si="56"/>
        <v>0</v>
      </c>
      <c r="AV46">
        <f t="shared" si="56"/>
        <v>0</v>
      </c>
      <c r="AW46">
        <f t="shared" si="56"/>
        <v>0</v>
      </c>
      <c r="AX46">
        <f t="shared" si="57"/>
        <v>0</v>
      </c>
      <c r="AY46">
        <f t="shared" si="57"/>
        <v>0</v>
      </c>
      <c r="AZ46">
        <f t="shared" si="57"/>
        <v>0</v>
      </c>
      <c r="BA46">
        <f t="shared" si="57"/>
        <v>0</v>
      </c>
      <c r="BB46">
        <f t="shared" si="57"/>
        <v>0</v>
      </c>
      <c r="BC46">
        <f t="shared" si="57"/>
        <v>0</v>
      </c>
      <c r="BD46">
        <f t="shared" si="57"/>
        <v>0</v>
      </c>
      <c r="BE46">
        <f t="shared" si="57"/>
        <v>0</v>
      </c>
      <c r="BF46">
        <f t="shared" si="57"/>
        <v>0</v>
      </c>
      <c r="BG46">
        <f t="shared" si="57"/>
        <v>0</v>
      </c>
      <c r="BH46">
        <f t="shared" si="58"/>
        <v>0</v>
      </c>
      <c r="BI46">
        <f t="shared" si="58"/>
        <v>0</v>
      </c>
      <c r="BJ46">
        <f t="shared" si="58"/>
        <v>0</v>
      </c>
      <c r="BK46">
        <f t="shared" si="58"/>
        <v>0</v>
      </c>
      <c r="BL46">
        <f t="shared" si="58"/>
        <v>0</v>
      </c>
      <c r="BM46">
        <f t="shared" si="58"/>
        <v>0</v>
      </c>
      <c r="BN46">
        <f t="shared" si="58"/>
        <v>0</v>
      </c>
      <c r="BO46">
        <f t="shared" si="58"/>
        <v>0</v>
      </c>
      <c r="BP46">
        <f t="shared" si="58"/>
        <v>0</v>
      </c>
      <c r="BQ46">
        <f t="shared" si="58"/>
        <v>0</v>
      </c>
      <c r="BR46">
        <f t="shared" si="59"/>
        <v>0</v>
      </c>
      <c r="BS46">
        <f t="shared" si="59"/>
        <v>0</v>
      </c>
      <c r="BT46">
        <f t="shared" si="59"/>
        <v>0</v>
      </c>
      <c r="BU46">
        <f t="shared" si="59"/>
        <v>0</v>
      </c>
      <c r="BV46">
        <f t="shared" si="59"/>
        <v>0</v>
      </c>
      <c r="BW46">
        <f t="shared" si="59"/>
        <v>0</v>
      </c>
      <c r="BX46">
        <f t="shared" si="59"/>
        <v>0</v>
      </c>
      <c r="BY46">
        <f t="shared" si="59"/>
        <v>0</v>
      </c>
      <c r="BZ46">
        <f t="shared" si="59"/>
        <v>0</v>
      </c>
      <c r="CA46">
        <f t="shared" si="59"/>
        <v>0</v>
      </c>
      <c r="CB46">
        <f t="shared" si="60"/>
        <v>0</v>
      </c>
      <c r="CC46">
        <f t="shared" si="60"/>
        <v>0</v>
      </c>
      <c r="CD46">
        <f t="shared" si="60"/>
        <v>0</v>
      </c>
      <c r="CE46">
        <f t="shared" si="60"/>
        <v>0</v>
      </c>
      <c r="CF46">
        <f t="shared" si="60"/>
        <v>0</v>
      </c>
      <c r="CG46">
        <f t="shared" si="60"/>
        <v>0</v>
      </c>
      <c r="CH46">
        <f t="shared" si="60"/>
        <v>0</v>
      </c>
      <c r="CI46">
        <f t="shared" si="60"/>
        <v>0</v>
      </c>
      <c r="CJ46">
        <f t="shared" si="60"/>
        <v>0</v>
      </c>
      <c r="CK46">
        <f t="shared" si="60"/>
        <v>0</v>
      </c>
      <c r="CL46">
        <f t="shared" si="61"/>
        <v>0</v>
      </c>
      <c r="CM46">
        <f t="shared" si="61"/>
        <v>0</v>
      </c>
      <c r="CN46">
        <f t="shared" si="61"/>
        <v>0</v>
      </c>
      <c r="CO46">
        <f t="shared" si="61"/>
        <v>0</v>
      </c>
      <c r="CP46">
        <f t="shared" si="61"/>
        <v>0</v>
      </c>
      <c r="CQ46">
        <f t="shared" si="61"/>
        <v>0</v>
      </c>
      <c r="CR46">
        <f t="shared" si="61"/>
        <v>0</v>
      </c>
      <c r="CS46">
        <f t="shared" si="61"/>
        <v>0</v>
      </c>
      <c r="CT46">
        <f t="shared" si="61"/>
        <v>0</v>
      </c>
      <c r="CU46">
        <f t="shared" si="61"/>
        <v>0</v>
      </c>
      <c r="CV46">
        <f t="shared" si="62"/>
        <v>0</v>
      </c>
      <c r="CW46">
        <f t="shared" si="62"/>
        <v>0</v>
      </c>
      <c r="CX46">
        <f t="shared" si="62"/>
        <v>0</v>
      </c>
      <c r="CY46">
        <f t="shared" si="62"/>
        <v>0</v>
      </c>
      <c r="CZ46">
        <f t="shared" si="62"/>
        <v>0</v>
      </c>
      <c r="DA46">
        <f t="shared" si="62"/>
        <v>0</v>
      </c>
      <c r="DB46">
        <f t="shared" si="62"/>
        <v>0</v>
      </c>
      <c r="DC46">
        <f t="shared" si="62"/>
        <v>0</v>
      </c>
      <c r="DD46">
        <f t="shared" si="62"/>
        <v>0</v>
      </c>
      <c r="DE46">
        <f t="shared" si="62"/>
        <v>0</v>
      </c>
      <c r="DF46">
        <f t="shared" si="63"/>
        <v>0</v>
      </c>
      <c r="DG46">
        <f t="shared" si="63"/>
        <v>0</v>
      </c>
      <c r="DH46">
        <f t="shared" si="63"/>
        <v>0</v>
      </c>
      <c r="DI46">
        <f t="shared" si="63"/>
        <v>0</v>
      </c>
      <c r="DJ46">
        <f t="shared" si="63"/>
        <v>0</v>
      </c>
      <c r="DK46">
        <f t="shared" si="63"/>
        <v>0</v>
      </c>
      <c r="DL46">
        <f t="shared" si="63"/>
        <v>0</v>
      </c>
      <c r="DM46">
        <f t="shared" si="63"/>
        <v>0</v>
      </c>
      <c r="DN46">
        <f t="shared" si="63"/>
        <v>0</v>
      </c>
      <c r="DO46">
        <f t="shared" si="63"/>
        <v>0</v>
      </c>
      <c r="DP46">
        <f t="shared" si="64"/>
        <v>0</v>
      </c>
      <c r="DQ46">
        <f t="shared" si="64"/>
        <v>0</v>
      </c>
      <c r="DR46">
        <f t="shared" si="64"/>
        <v>0</v>
      </c>
      <c r="DS46">
        <f t="shared" si="64"/>
        <v>0</v>
      </c>
      <c r="DT46">
        <f t="shared" si="64"/>
        <v>0</v>
      </c>
      <c r="DU46">
        <f t="shared" si="64"/>
        <v>0</v>
      </c>
      <c r="DV46">
        <f t="shared" si="64"/>
        <v>0</v>
      </c>
      <c r="DW46">
        <f t="shared" si="64"/>
        <v>0</v>
      </c>
      <c r="DX46">
        <f t="shared" si="64"/>
        <v>0</v>
      </c>
      <c r="DY46">
        <f t="shared" si="64"/>
        <v>0</v>
      </c>
      <c r="DZ46">
        <f t="shared" si="65"/>
        <v>0</v>
      </c>
      <c r="EA46">
        <f t="shared" si="65"/>
        <v>0</v>
      </c>
      <c r="EB46">
        <f t="shared" si="65"/>
        <v>0</v>
      </c>
      <c r="EC46">
        <f t="shared" si="65"/>
        <v>0</v>
      </c>
      <c r="ED46">
        <f t="shared" si="65"/>
        <v>0</v>
      </c>
      <c r="EE46">
        <f t="shared" si="65"/>
        <v>0</v>
      </c>
      <c r="EF46">
        <f t="shared" si="65"/>
        <v>0</v>
      </c>
      <c r="EG46">
        <f t="shared" si="65"/>
        <v>0</v>
      </c>
      <c r="EH46">
        <f t="shared" si="65"/>
        <v>0</v>
      </c>
      <c r="EI46">
        <f t="shared" si="65"/>
        <v>0</v>
      </c>
      <c r="EJ46">
        <f>SUM(Tabla1[[#This Row],[1]:[130]])</f>
        <v>225</v>
      </c>
    </row>
    <row r="47" spans="1:140" x14ac:dyDescent="0.25">
      <c r="A47" t="str">
        <f>B47&amp;"-"&amp;COUNTIF($B$2:B47,B47)</f>
        <v>I. MASITAS CASERAS-2</v>
      </c>
      <c r="B47" s="35" t="s">
        <v>2</v>
      </c>
      <c r="C47">
        <f>VLOOKUP(B47,RECETAS!D46:$E$1700,2,FALSE)</f>
        <v>10</v>
      </c>
      <c r="D47" s="34"/>
      <c r="G47" t="b">
        <f t="shared" si="0"/>
        <v>1</v>
      </c>
      <c r="I47" s="35" t="s">
        <v>40</v>
      </c>
      <c r="J47">
        <f t="shared" si="53"/>
        <v>0</v>
      </c>
      <c r="K47">
        <f t="shared" si="53"/>
        <v>8.5</v>
      </c>
      <c r="L47">
        <f t="shared" si="53"/>
        <v>4</v>
      </c>
      <c r="M47">
        <f t="shared" si="53"/>
        <v>0</v>
      </c>
      <c r="N47">
        <f t="shared" si="53"/>
        <v>0</v>
      </c>
      <c r="O47">
        <f t="shared" si="53"/>
        <v>0</v>
      </c>
      <c r="P47">
        <f t="shared" si="53"/>
        <v>0</v>
      </c>
      <c r="Q47">
        <f t="shared" si="53"/>
        <v>0</v>
      </c>
      <c r="R47">
        <f t="shared" si="53"/>
        <v>0</v>
      </c>
      <c r="S47">
        <f t="shared" si="53"/>
        <v>0</v>
      </c>
      <c r="T47">
        <f t="shared" si="54"/>
        <v>0</v>
      </c>
      <c r="U47">
        <f t="shared" si="54"/>
        <v>0</v>
      </c>
      <c r="V47">
        <f t="shared" si="54"/>
        <v>0</v>
      </c>
      <c r="W47">
        <f t="shared" si="54"/>
        <v>0</v>
      </c>
      <c r="X47">
        <f t="shared" si="54"/>
        <v>0</v>
      </c>
      <c r="Y47">
        <f t="shared" si="54"/>
        <v>0</v>
      </c>
      <c r="Z47">
        <f t="shared" si="54"/>
        <v>0</v>
      </c>
      <c r="AA47">
        <f t="shared" si="54"/>
        <v>0</v>
      </c>
      <c r="AB47">
        <f t="shared" si="54"/>
        <v>0</v>
      </c>
      <c r="AC47">
        <f t="shared" si="54"/>
        <v>0</v>
      </c>
      <c r="AD47">
        <f t="shared" si="55"/>
        <v>0</v>
      </c>
      <c r="AE47">
        <f t="shared" si="55"/>
        <v>0</v>
      </c>
      <c r="AF47">
        <f t="shared" si="55"/>
        <v>0</v>
      </c>
      <c r="AG47">
        <f t="shared" si="55"/>
        <v>0</v>
      </c>
      <c r="AH47">
        <f t="shared" si="55"/>
        <v>0</v>
      </c>
      <c r="AI47">
        <f t="shared" si="55"/>
        <v>0</v>
      </c>
      <c r="AJ47">
        <f t="shared" si="55"/>
        <v>0</v>
      </c>
      <c r="AK47">
        <f t="shared" si="55"/>
        <v>0</v>
      </c>
      <c r="AL47">
        <f t="shared" si="55"/>
        <v>0</v>
      </c>
      <c r="AM47">
        <f t="shared" si="55"/>
        <v>0</v>
      </c>
      <c r="AN47">
        <f t="shared" si="56"/>
        <v>0</v>
      </c>
      <c r="AO47">
        <f t="shared" si="56"/>
        <v>0</v>
      </c>
      <c r="AP47">
        <f t="shared" si="56"/>
        <v>0</v>
      </c>
      <c r="AQ47">
        <f t="shared" si="56"/>
        <v>0</v>
      </c>
      <c r="AR47">
        <f t="shared" si="56"/>
        <v>0</v>
      </c>
      <c r="AS47">
        <f t="shared" si="56"/>
        <v>0</v>
      </c>
      <c r="AT47">
        <f t="shared" si="56"/>
        <v>0</v>
      </c>
      <c r="AU47">
        <f t="shared" si="56"/>
        <v>0</v>
      </c>
      <c r="AV47">
        <f t="shared" si="56"/>
        <v>0</v>
      </c>
      <c r="AW47">
        <f t="shared" si="56"/>
        <v>0</v>
      </c>
      <c r="AX47">
        <f t="shared" si="57"/>
        <v>0</v>
      </c>
      <c r="AY47">
        <f t="shared" si="57"/>
        <v>0</v>
      </c>
      <c r="AZ47">
        <f t="shared" si="57"/>
        <v>0</v>
      </c>
      <c r="BA47">
        <f t="shared" si="57"/>
        <v>0</v>
      </c>
      <c r="BB47">
        <f t="shared" si="57"/>
        <v>0</v>
      </c>
      <c r="BC47">
        <f t="shared" si="57"/>
        <v>0</v>
      </c>
      <c r="BD47">
        <f t="shared" si="57"/>
        <v>0</v>
      </c>
      <c r="BE47">
        <f t="shared" si="57"/>
        <v>0</v>
      </c>
      <c r="BF47">
        <f t="shared" si="57"/>
        <v>0</v>
      </c>
      <c r="BG47">
        <f t="shared" si="57"/>
        <v>0</v>
      </c>
      <c r="BH47">
        <f t="shared" si="58"/>
        <v>0</v>
      </c>
      <c r="BI47">
        <f t="shared" si="58"/>
        <v>0</v>
      </c>
      <c r="BJ47">
        <f t="shared" si="58"/>
        <v>0</v>
      </c>
      <c r="BK47">
        <f t="shared" si="58"/>
        <v>0</v>
      </c>
      <c r="BL47">
        <f t="shared" si="58"/>
        <v>0</v>
      </c>
      <c r="BM47">
        <f t="shared" si="58"/>
        <v>0</v>
      </c>
      <c r="BN47">
        <f t="shared" si="58"/>
        <v>0</v>
      </c>
      <c r="BO47">
        <f t="shared" si="58"/>
        <v>0</v>
      </c>
      <c r="BP47">
        <f t="shared" si="58"/>
        <v>0</v>
      </c>
      <c r="BQ47">
        <f t="shared" si="58"/>
        <v>0</v>
      </c>
      <c r="BR47">
        <f t="shared" si="59"/>
        <v>0</v>
      </c>
      <c r="BS47">
        <f t="shared" si="59"/>
        <v>0</v>
      </c>
      <c r="BT47">
        <f t="shared" si="59"/>
        <v>0</v>
      </c>
      <c r="BU47">
        <f t="shared" si="59"/>
        <v>0</v>
      </c>
      <c r="BV47">
        <f t="shared" si="59"/>
        <v>0</v>
      </c>
      <c r="BW47">
        <f t="shared" si="59"/>
        <v>0</v>
      </c>
      <c r="BX47">
        <f t="shared" si="59"/>
        <v>0</v>
      </c>
      <c r="BY47">
        <f t="shared" si="59"/>
        <v>0</v>
      </c>
      <c r="BZ47">
        <f t="shared" si="59"/>
        <v>0</v>
      </c>
      <c r="CA47">
        <f t="shared" si="59"/>
        <v>0</v>
      </c>
      <c r="CB47">
        <f t="shared" si="60"/>
        <v>0</v>
      </c>
      <c r="CC47">
        <f t="shared" si="60"/>
        <v>0</v>
      </c>
      <c r="CD47">
        <f t="shared" si="60"/>
        <v>0</v>
      </c>
      <c r="CE47">
        <f t="shared" si="60"/>
        <v>0</v>
      </c>
      <c r="CF47">
        <f t="shared" si="60"/>
        <v>0</v>
      </c>
      <c r="CG47">
        <f t="shared" si="60"/>
        <v>0</v>
      </c>
      <c r="CH47">
        <f t="shared" si="60"/>
        <v>0</v>
      </c>
      <c r="CI47">
        <f t="shared" si="60"/>
        <v>0</v>
      </c>
      <c r="CJ47">
        <f t="shared" si="60"/>
        <v>0</v>
      </c>
      <c r="CK47">
        <f t="shared" si="60"/>
        <v>0</v>
      </c>
      <c r="CL47">
        <f t="shared" si="61"/>
        <v>0</v>
      </c>
      <c r="CM47">
        <f t="shared" si="61"/>
        <v>0</v>
      </c>
      <c r="CN47">
        <f t="shared" si="61"/>
        <v>0</v>
      </c>
      <c r="CO47">
        <f t="shared" si="61"/>
        <v>0</v>
      </c>
      <c r="CP47">
        <f t="shared" si="61"/>
        <v>0</v>
      </c>
      <c r="CQ47">
        <f t="shared" si="61"/>
        <v>0</v>
      </c>
      <c r="CR47">
        <f t="shared" si="61"/>
        <v>0</v>
      </c>
      <c r="CS47">
        <f t="shared" si="61"/>
        <v>0</v>
      </c>
      <c r="CT47">
        <f t="shared" si="61"/>
        <v>0</v>
      </c>
      <c r="CU47">
        <f t="shared" si="61"/>
        <v>0</v>
      </c>
      <c r="CV47">
        <f t="shared" si="62"/>
        <v>0</v>
      </c>
      <c r="CW47">
        <f t="shared" si="62"/>
        <v>0</v>
      </c>
      <c r="CX47">
        <f t="shared" si="62"/>
        <v>0</v>
      </c>
      <c r="CY47">
        <f t="shared" si="62"/>
        <v>0</v>
      </c>
      <c r="CZ47">
        <f t="shared" si="62"/>
        <v>0</v>
      </c>
      <c r="DA47">
        <f t="shared" si="62"/>
        <v>0</v>
      </c>
      <c r="DB47">
        <f t="shared" si="62"/>
        <v>0</v>
      </c>
      <c r="DC47">
        <f t="shared" si="62"/>
        <v>0</v>
      </c>
      <c r="DD47">
        <f t="shared" si="62"/>
        <v>0</v>
      </c>
      <c r="DE47">
        <f t="shared" si="62"/>
        <v>0</v>
      </c>
      <c r="DF47">
        <f t="shared" si="63"/>
        <v>0</v>
      </c>
      <c r="DG47">
        <f t="shared" si="63"/>
        <v>0</v>
      </c>
      <c r="DH47">
        <f t="shared" si="63"/>
        <v>0</v>
      </c>
      <c r="DI47">
        <f t="shared" si="63"/>
        <v>0</v>
      </c>
      <c r="DJ47">
        <f t="shared" si="63"/>
        <v>0</v>
      </c>
      <c r="DK47">
        <f t="shared" si="63"/>
        <v>0</v>
      </c>
      <c r="DL47">
        <f t="shared" si="63"/>
        <v>0</v>
      </c>
      <c r="DM47">
        <f t="shared" si="63"/>
        <v>0</v>
      </c>
      <c r="DN47">
        <f t="shared" si="63"/>
        <v>0</v>
      </c>
      <c r="DO47">
        <f t="shared" si="63"/>
        <v>0</v>
      </c>
      <c r="DP47">
        <f t="shared" si="64"/>
        <v>0</v>
      </c>
      <c r="DQ47">
        <f t="shared" si="64"/>
        <v>0</v>
      </c>
      <c r="DR47">
        <f t="shared" si="64"/>
        <v>0</v>
      </c>
      <c r="DS47">
        <f t="shared" si="64"/>
        <v>0</v>
      </c>
      <c r="DT47">
        <f t="shared" si="64"/>
        <v>0</v>
      </c>
      <c r="DU47">
        <f t="shared" si="64"/>
        <v>0</v>
      </c>
      <c r="DV47">
        <f t="shared" si="64"/>
        <v>0</v>
      </c>
      <c r="DW47">
        <f t="shared" si="64"/>
        <v>0</v>
      </c>
      <c r="DX47">
        <f t="shared" si="64"/>
        <v>0</v>
      </c>
      <c r="DY47">
        <f t="shared" si="64"/>
        <v>0</v>
      </c>
      <c r="DZ47">
        <f t="shared" si="65"/>
        <v>0</v>
      </c>
      <c r="EA47">
        <f t="shared" si="65"/>
        <v>0</v>
      </c>
      <c r="EB47">
        <f t="shared" si="65"/>
        <v>0</v>
      </c>
      <c r="EC47">
        <f t="shared" si="65"/>
        <v>0</v>
      </c>
      <c r="ED47">
        <f t="shared" si="65"/>
        <v>0</v>
      </c>
      <c r="EE47">
        <f t="shared" si="65"/>
        <v>0</v>
      </c>
      <c r="EF47">
        <f t="shared" si="65"/>
        <v>0</v>
      </c>
      <c r="EG47">
        <f t="shared" si="65"/>
        <v>0</v>
      </c>
      <c r="EH47">
        <f t="shared" si="65"/>
        <v>0</v>
      </c>
      <c r="EI47">
        <f t="shared" si="65"/>
        <v>0</v>
      </c>
      <c r="EJ47">
        <f>SUM(Tabla1[[#This Row],[1]:[130]])</f>
        <v>12.5</v>
      </c>
    </row>
    <row r="48" spans="1:140" x14ac:dyDescent="0.25">
      <c r="A48" t="str">
        <f>B48&amp;"-"&amp;COUNTIF($B$2:B48,B48)</f>
        <v>I. BROCHETA CAMARON-1</v>
      </c>
      <c r="B48" s="36" t="s">
        <v>18</v>
      </c>
      <c r="C48">
        <f>VLOOKUP(B48,RECETAS!D47:$E$1700,2,FALSE)</f>
        <v>40</v>
      </c>
      <c r="D48" s="34"/>
      <c r="G48" t="b">
        <f t="shared" si="0"/>
        <v>1</v>
      </c>
      <c r="I48" s="36" t="s">
        <v>59</v>
      </c>
      <c r="J48">
        <f t="shared" si="53"/>
        <v>1500</v>
      </c>
      <c r="K48">
        <f t="shared" si="53"/>
        <v>0</v>
      </c>
      <c r="L48">
        <f t="shared" si="53"/>
        <v>5700</v>
      </c>
      <c r="M48">
        <f t="shared" si="53"/>
        <v>2700</v>
      </c>
      <c r="N48">
        <f t="shared" si="53"/>
        <v>1050</v>
      </c>
      <c r="O48">
        <f t="shared" si="53"/>
        <v>0</v>
      </c>
      <c r="P48">
        <f t="shared" si="53"/>
        <v>0</v>
      </c>
      <c r="Q48">
        <f t="shared" si="53"/>
        <v>0</v>
      </c>
      <c r="R48">
        <f t="shared" si="53"/>
        <v>0</v>
      </c>
      <c r="S48">
        <f t="shared" si="53"/>
        <v>0</v>
      </c>
      <c r="T48">
        <f t="shared" si="54"/>
        <v>0</v>
      </c>
      <c r="U48">
        <f t="shared" si="54"/>
        <v>0</v>
      </c>
      <c r="V48">
        <f t="shared" si="54"/>
        <v>0</v>
      </c>
      <c r="W48">
        <f t="shared" si="54"/>
        <v>0</v>
      </c>
      <c r="X48">
        <f t="shared" si="54"/>
        <v>0</v>
      </c>
      <c r="Y48">
        <f t="shared" si="54"/>
        <v>0</v>
      </c>
      <c r="Z48">
        <f t="shared" si="54"/>
        <v>0</v>
      </c>
      <c r="AA48">
        <f t="shared" si="54"/>
        <v>0</v>
      </c>
      <c r="AB48">
        <f t="shared" si="54"/>
        <v>0</v>
      </c>
      <c r="AC48">
        <f t="shared" si="54"/>
        <v>0</v>
      </c>
      <c r="AD48">
        <f t="shared" si="55"/>
        <v>0</v>
      </c>
      <c r="AE48">
        <f t="shared" si="55"/>
        <v>0</v>
      </c>
      <c r="AF48">
        <f t="shared" si="55"/>
        <v>0</v>
      </c>
      <c r="AG48">
        <f t="shared" si="55"/>
        <v>0</v>
      </c>
      <c r="AH48">
        <f t="shared" si="55"/>
        <v>0</v>
      </c>
      <c r="AI48">
        <f t="shared" si="55"/>
        <v>0</v>
      </c>
      <c r="AJ48">
        <f t="shared" si="55"/>
        <v>0</v>
      </c>
      <c r="AK48">
        <f t="shared" si="55"/>
        <v>0</v>
      </c>
      <c r="AL48">
        <f t="shared" si="55"/>
        <v>0</v>
      </c>
      <c r="AM48">
        <f t="shared" si="55"/>
        <v>0</v>
      </c>
      <c r="AN48">
        <f t="shared" si="56"/>
        <v>0</v>
      </c>
      <c r="AO48">
        <f t="shared" si="56"/>
        <v>0</v>
      </c>
      <c r="AP48">
        <f t="shared" si="56"/>
        <v>0</v>
      </c>
      <c r="AQ48">
        <f t="shared" si="56"/>
        <v>0</v>
      </c>
      <c r="AR48">
        <f t="shared" si="56"/>
        <v>0</v>
      </c>
      <c r="AS48">
        <f t="shared" si="56"/>
        <v>0</v>
      </c>
      <c r="AT48">
        <f t="shared" si="56"/>
        <v>0</v>
      </c>
      <c r="AU48">
        <f t="shared" si="56"/>
        <v>0</v>
      </c>
      <c r="AV48">
        <f t="shared" si="56"/>
        <v>0</v>
      </c>
      <c r="AW48">
        <f t="shared" si="56"/>
        <v>0</v>
      </c>
      <c r="AX48">
        <f t="shared" si="57"/>
        <v>0</v>
      </c>
      <c r="AY48">
        <f t="shared" si="57"/>
        <v>0</v>
      </c>
      <c r="AZ48">
        <f t="shared" si="57"/>
        <v>0</v>
      </c>
      <c r="BA48">
        <f t="shared" si="57"/>
        <v>0</v>
      </c>
      <c r="BB48">
        <f t="shared" si="57"/>
        <v>0</v>
      </c>
      <c r="BC48">
        <f t="shared" si="57"/>
        <v>0</v>
      </c>
      <c r="BD48">
        <f t="shared" si="57"/>
        <v>0</v>
      </c>
      <c r="BE48">
        <f t="shared" si="57"/>
        <v>0</v>
      </c>
      <c r="BF48">
        <f t="shared" si="57"/>
        <v>0</v>
      </c>
      <c r="BG48">
        <f t="shared" si="57"/>
        <v>0</v>
      </c>
      <c r="BH48">
        <f t="shared" si="58"/>
        <v>0</v>
      </c>
      <c r="BI48">
        <f t="shared" si="58"/>
        <v>0</v>
      </c>
      <c r="BJ48">
        <f t="shared" si="58"/>
        <v>0</v>
      </c>
      <c r="BK48">
        <f t="shared" si="58"/>
        <v>0</v>
      </c>
      <c r="BL48">
        <f t="shared" si="58"/>
        <v>0</v>
      </c>
      <c r="BM48">
        <f t="shared" si="58"/>
        <v>0</v>
      </c>
      <c r="BN48">
        <f t="shared" si="58"/>
        <v>0</v>
      </c>
      <c r="BO48">
        <f t="shared" si="58"/>
        <v>0</v>
      </c>
      <c r="BP48">
        <f t="shared" si="58"/>
        <v>0</v>
      </c>
      <c r="BQ48">
        <f t="shared" si="58"/>
        <v>0</v>
      </c>
      <c r="BR48">
        <f t="shared" si="59"/>
        <v>0</v>
      </c>
      <c r="BS48">
        <f t="shared" si="59"/>
        <v>0</v>
      </c>
      <c r="BT48">
        <f t="shared" si="59"/>
        <v>0</v>
      </c>
      <c r="BU48">
        <f t="shared" si="59"/>
        <v>0</v>
      </c>
      <c r="BV48">
        <f t="shared" si="59"/>
        <v>0</v>
      </c>
      <c r="BW48">
        <f t="shared" si="59"/>
        <v>0</v>
      </c>
      <c r="BX48">
        <f t="shared" si="59"/>
        <v>0</v>
      </c>
      <c r="BY48">
        <f t="shared" si="59"/>
        <v>0</v>
      </c>
      <c r="BZ48">
        <f t="shared" si="59"/>
        <v>0</v>
      </c>
      <c r="CA48">
        <f t="shared" si="59"/>
        <v>0</v>
      </c>
      <c r="CB48">
        <f t="shared" si="60"/>
        <v>0</v>
      </c>
      <c r="CC48">
        <f t="shared" si="60"/>
        <v>0</v>
      </c>
      <c r="CD48">
        <f t="shared" si="60"/>
        <v>0</v>
      </c>
      <c r="CE48">
        <f t="shared" si="60"/>
        <v>0</v>
      </c>
      <c r="CF48">
        <f t="shared" si="60"/>
        <v>0</v>
      </c>
      <c r="CG48">
        <f t="shared" si="60"/>
        <v>0</v>
      </c>
      <c r="CH48">
        <f t="shared" si="60"/>
        <v>0</v>
      </c>
      <c r="CI48">
        <f t="shared" si="60"/>
        <v>0</v>
      </c>
      <c r="CJ48">
        <f t="shared" si="60"/>
        <v>0</v>
      </c>
      <c r="CK48">
        <f t="shared" si="60"/>
        <v>0</v>
      </c>
      <c r="CL48">
        <f t="shared" si="61"/>
        <v>0</v>
      </c>
      <c r="CM48">
        <f t="shared" si="61"/>
        <v>0</v>
      </c>
      <c r="CN48">
        <f t="shared" si="61"/>
        <v>0</v>
      </c>
      <c r="CO48">
        <f t="shared" si="61"/>
        <v>0</v>
      </c>
      <c r="CP48">
        <f t="shared" si="61"/>
        <v>0</v>
      </c>
      <c r="CQ48">
        <f t="shared" si="61"/>
        <v>0</v>
      </c>
      <c r="CR48">
        <f t="shared" si="61"/>
        <v>0</v>
      </c>
      <c r="CS48">
        <f t="shared" si="61"/>
        <v>0</v>
      </c>
      <c r="CT48">
        <f t="shared" si="61"/>
        <v>0</v>
      </c>
      <c r="CU48">
        <f t="shared" si="61"/>
        <v>0</v>
      </c>
      <c r="CV48">
        <f t="shared" si="62"/>
        <v>0</v>
      </c>
      <c r="CW48">
        <f t="shared" si="62"/>
        <v>0</v>
      </c>
      <c r="CX48">
        <f t="shared" si="62"/>
        <v>0</v>
      </c>
      <c r="CY48">
        <f t="shared" si="62"/>
        <v>0</v>
      </c>
      <c r="CZ48">
        <f t="shared" si="62"/>
        <v>0</v>
      </c>
      <c r="DA48">
        <f t="shared" si="62"/>
        <v>0</v>
      </c>
      <c r="DB48">
        <f t="shared" si="62"/>
        <v>0</v>
      </c>
      <c r="DC48">
        <f t="shared" si="62"/>
        <v>0</v>
      </c>
      <c r="DD48">
        <f t="shared" si="62"/>
        <v>0</v>
      </c>
      <c r="DE48">
        <f t="shared" si="62"/>
        <v>0</v>
      </c>
      <c r="DF48">
        <f t="shared" si="63"/>
        <v>0</v>
      </c>
      <c r="DG48">
        <f t="shared" si="63"/>
        <v>0</v>
      </c>
      <c r="DH48">
        <f t="shared" si="63"/>
        <v>0</v>
      </c>
      <c r="DI48">
        <f t="shared" si="63"/>
        <v>0</v>
      </c>
      <c r="DJ48">
        <f t="shared" si="63"/>
        <v>0</v>
      </c>
      <c r="DK48">
        <f t="shared" si="63"/>
        <v>0</v>
      </c>
      <c r="DL48">
        <f t="shared" si="63"/>
        <v>0</v>
      </c>
      <c r="DM48">
        <f t="shared" si="63"/>
        <v>0</v>
      </c>
      <c r="DN48">
        <f t="shared" si="63"/>
        <v>0</v>
      </c>
      <c r="DO48">
        <f t="shared" si="63"/>
        <v>0</v>
      </c>
      <c r="DP48">
        <f t="shared" si="64"/>
        <v>0</v>
      </c>
      <c r="DQ48">
        <f t="shared" si="64"/>
        <v>0</v>
      </c>
      <c r="DR48">
        <f t="shared" si="64"/>
        <v>0</v>
      </c>
      <c r="DS48">
        <f t="shared" si="64"/>
        <v>0</v>
      </c>
      <c r="DT48">
        <f t="shared" si="64"/>
        <v>0</v>
      </c>
      <c r="DU48">
        <f t="shared" si="64"/>
        <v>0</v>
      </c>
      <c r="DV48">
        <f t="shared" si="64"/>
        <v>0</v>
      </c>
      <c r="DW48">
        <f t="shared" si="64"/>
        <v>0</v>
      </c>
      <c r="DX48">
        <f t="shared" si="64"/>
        <v>0</v>
      </c>
      <c r="DY48">
        <f t="shared" si="64"/>
        <v>0</v>
      </c>
      <c r="DZ48">
        <f t="shared" si="65"/>
        <v>0</v>
      </c>
      <c r="EA48">
        <f t="shared" si="65"/>
        <v>0</v>
      </c>
      <c r="EB48">
        <f t="shared" si="65"/>
        <v>0</v>
      </c>
      <c r="EC48">
        <f t="shared" si="65"/>
        <v>0</v>
      </c>
      <c r="ED48">
        <f t="shared" si="65"/>
        <v>0</v>
      </c>
      <c r="EE48">
        <f t="shared" si="65"/>
        <v>0</v>
      </c>
      <c r="EF48">
        <f t="shared" si="65"/>
        <v>0</v>
      </c>
      <c r="EG48">
        <f t="shared" si="65"/>
        <v>0</v>
      </c>
      <c r="EH48">
        <f t="shared" si="65"/>
        <v>0</v>
      </c>
      <c r="EI48">
        <f t="shared" si="65"/>
        <v>0</v>
      </c>
      <c r="EJ48">
        <f>SUM(Tabla1[[#This Row],[1]:[130]])</f>
        <v>10950</v>
      </c>
    </row>
    <row r="49" spans="1:140" x14ac:dyDescent="0.25">
      <c r="A49" t="str">
        <f>B49&amp;"-"&amp;COUNTIF($B$2:B49,B49)</f>
        <v>I. EMPANADA PORC-2</v>
      </c>
      <c r="B49" s="35" t="s">
        <v>0</v>
      </c>
      <c r="C49">
        <f>VLOOKUP(B49,RECETAS!D48:$E$1700,2,FALSE)</f>
        <v>10</v>
      </c>
      <c r="D49" s="34"/>
      <c r="G49" t="b">
        <f t="shared" si="0"/>
        <v>1</v>
      </c>
      <c r="I49" s="35" t="s">
        <v>8</v>
      </c>
      <c r="J49">
        <f t="shared" si="53"/>
        <v>0</v>
      </c>
      <c r="K49">
        <f t="shared" si="53"/>
        <v>33</v>
      </c>
      <c r="L49">
        <f t="shared" si="53"/>
        <v>99</v>
      </c>
      <c r="M49">
        <f t="shared" si="53"/>
        <v>0</v>
      </c>
      <c r="N49">
        <f t="shared" si="53"/>
        <v>0</v>
      </c>
      <c r="O49">
        <f t="shared" si="53"/>
        <v>12</v>
      </c>
      <c r="P49">
        <f t="shared" si="53"/>
        <v>0</v>
      </c>
      <c r="Q49">
        <f t="shared" si="53"/>
        <v>4</v>
      </c>
      <c r="R49">
        <f t="shared" si="53"/>
        <v>0</v>
      </c>
      <c r="S49">
        <f t="shared" si="53"/>
        <v>0</v>
      </c>
      <c r="T49">
        <f t="shared" si="54"/>
        <v>0</v>
      </c>
      <c r="U49">
        <f t="shared" si="54"/>
        <v>0</v>
      </c>
      <c r="V49">
        <f t="shared" si="54"/>
        <v>0</v>
      </c>
      <c r="W49">
        <f t="shared" si="54"/>
        <v>0</v>
      </c>
      <c r="X49">
        <f t="shared" si="54"/>
        <v>0</v>
      </c>
      <c r="Y49">
        <f t="shared" si="54"/>
        <v>1</v>
      </c>
      <c r="Z49">
        <f t="shared" si="54"/>
        <v>0</v>
      </c>
      <c r="AA49">
        <f t="shared" si="54"/>
        <v>0</v>
      </c>
      <c r="AB49">
        <f t="shared" si="54"/>
        <v>0</v>
      </c>
      <c r="AC49">
        <f t="shared" si="54"/>
        <v>0</v>
      </c>
      <c r="AD49">
        <f t="shared" si="55"/>
        <v>0</v>
      </c>
      <c r="AE49">
        <f t="shared" si="55"/>
        <v>0</v>
      </c>
      <c r="AF49">
        <f t="shared" si="55"/>
        <v>0</v>
      </c>
      <c r="AG49">
        <f t="shared" si="55"/>
        <v>0</v>
      </c>
      <c r="AH49">
        <f t="shared" si="55"/>
        <v>0</v>
      </c>
      <c r="AI49">
        <f t="shared" si="55"/>
        <v>0</v>
      </c>
      <c r="AJ49">
        <f t="shared" si="55"/>
        <v>0</v>
      </c>
      <c r="AK49">
        <f t="shared" si="55"/>
        <v>0</v>
      </c>
      <c r="AL49">
        <f t="shared" si="55"/>
        <v>0</v>
      </c>
      <c r="AM49">
        <f t="shared" si="55"/>
        <v>0</v>
      </c>
      <c r="AN49">
        <f t="shared" si="56"/>
        <v>0</v>
      </c>
      <c r="AO49">
        <f t="shared" si="56"/>
        <v>0</v>
      </c>
      <c r="AP49">
        <f t="shared" si="56"/>
        <v>0</v>
      </c>
      <c r="AQ49">
        <f t="shared" si="56"/>
        <v>0</v>
      </c>
      <c r="AR49">
        <f t="shared" si="56"/>
        <v>0</v>
      </c>
      <c r="AS49">
        <f t="shared" si="56"/>
        <v>0</v>
      </c>
      <c r="AT49">
        <f t="shared" si="56"/>
        <v>0</v>
      </c>
      <c r="AU49">
        <f t="shared" si="56"/>
        <v>0</v>
      </c>
      <c r="AV49">
        <f t="shared" si="56"/>
        <v>0</v>
      </c>
      <c r="AW49">
        <f t="shared" si="56"/>
        <v>0</v>
      </c>
      <c r="AX49">
        <f t="shared" si="57"/>
        <v>0</v>
      </c>
      <c r="AY49">
        <f t="shared" si="57"/>
        <v>0</v>
      </c>
      <c r="AZ49">
        <f t="shared" si="57"/>
        <v>0</v>
      </c>
      <c r="BA49">
        <f t="shared" si="57"/>
        <v>0</v>
      </c>
      <c r="BB49">
        <f t="shared" si="57"/>
        <v>0</v>
      </c>
      <c r="BC49">
        <f t="shared" si="57"/>
        <v>0</v>
      </c>
      <c r="BD49">
        <f t="shared" si="57"/>
        <v>0</v>
      </c>
      <c r="BE49">
        <f t="shared" si="57"/>
        <v>0</v>
      </c>
      <c r="BF49">
        <f t="shared" si="57"/>
        <v>0</v>
      </c>
      <c r="BG49">
        <f t="shared" si="57"/>
        <v>0</v>
      </c>
      <c r="BH49">
        <f t="shared" si="58"/>
        <v>0</v>
      </c>
      <c r="BI49">
        <f t="shared" si="58"/>
        <v>0</v>
      </c>
      <c r="BJ49">
        <f t="shared" si="58"/>
        <v>0</v>
      </c>
      <c r="BK49">
        <f t="shared" si="58"/>
        <v>0</v>
      </c>
      <c r="BL49">
        <f t="shared" si="58"/>
        <v>0</v>
      </c>
      <c r="BM49">
        <f t="shared" si="58"/>
        <v>0</v>
      </c>
      <c r="BN49">
        <f t="shared" si="58"/>
        <v>0</v>
      </c>
      <c r="BO49">
        <f t="shared" si="58"/>
        <v>0</v>
      </c>
      <c r="BP49">
        <f t="shared" si="58"/>
        <v>0</v>
      </c>
      <c r="BQ49">
        <f t="shared" si="58"/>
        <v>0</v>
      </c>
      <c r="BR49">
        <f t="shared" si="59"/>
        <v>0</v>
      </c>
      <c r="BS49">
        <f t="shared" si="59"/>
        <v>0</v>
      </c>
      <c r="BT49">
        <f t="shared" si="59"/>
        <v>0</v>
      </c>
      <c r="BU49">
        <f t="shared" si="59"/>
        <v>0</v>
      </c>
      <c r="BV49">
        <f t="shared" si="59"/>
        <v>0</v>
      </c>
      <c r="BW49">
        <f t="shared" si="59"/>
        <v>0</v>
      </c>
      <c r="BX49">
        <f t="shared" si="59"/>
        <v>0</v>
      </c>
      <c r="BY49">
        <f t="shared" si="59"/>
        <v>0</v>
      </c>
      <c r="BZ49">
        <f t="shared" si="59"/>
        <v>0</v>
      </c>
      <c r="CA49">
        <f t="shared" si="59"/>
        <v>0</v>
      </c>
      <c r="CB49">
        <f t="shared" si="60"/>
        <v>0</v>
      </c>
      <c r="CC49">
        <f t="shared" si="60"/>
        <v>0</v>
      </c>
      <c r="CD49">
        <f t="shared" si="60"/>
        <v>0</v>
      </c>
      <c r="CE49">
        <f t="shared" si="60"/>
        <v>0</v>
      </c>
      <c r="CF49">
        <f t="shared" si="60"/>
        <v>0</v>
      </c>
      <c r="CG49">
        <f t="shared" si="60"/>
        <v>0</v>
      </c>
      <c r="CH49">
        <f t="shared" si="60"/>
        <v>0</v>
      </c>
      <c r="CI49">
        <f t="shared" si="60"/>
        <v>0</v>
      </c>
      <c r="CJ49">
        <f t="shared" si="60"/>
        <v>0</v>
      </c>
      <c r="CK49">
        <f t="shared" si="60"/>
        <v>0</v>
      </c>
      <c r="CL49">
        <f t="shared" si="61"/>
        <v>0</v>
      </c>
      <c r="CM49">
        <f t="shared" si="61"/>
        <v>0</v>
      </c>
      <c r="CN49">
        <f t="shared" si="61"/>
        <v>0</v>
      </c>
      <c r="CO49">
        <f t="shared" si="61"/>
        <v>0</v>
      </c>
      <c r="CP49">
        <f t="shared" si="61"/>
        <v>0</v>
      </c>
      <c r="CQ49">
        <f t="shared" si="61"/>
        <v>0</v>
      </c>
      <c r="CR49">
        <f t="shared" si="61"/>
        <v>0</v>
      </c>
      <c r="CS49">
        <f t="shared" si="61"/>
        <v>0</v>
      </c>
      <c r="CT49">
        <f t="shared" si="61"/>
        <v>0</v>
      </c>
      <c r="CU49">
        <f t="shared" si="61"/>
        <v>0</v>
      </c>
      <c r="CV49">
        <f t="shared" si="62"/>
        <v>0</v>
      </c>
      <c r="CW49">
        <f t="shared" si="62"/>
        <v>0</v>
      </c>
      <c r="CX49">
        <f t="shared" si="62"/>
        <v>0</v>
      </c>
      <c r="CY49">
        <f t="shared" si="62"/>
        <v>0</v>
      </c>
      <c r="CZ49">
        <f t="shared" si="62"/>
        <v>0</v>
      </c>
      <c r="DA49">
        <f t="shared" si="62"/>
        <v>0</v>
      </c>
      <c r="DB49">
        <f t="shared" si="62"/>
        <v>0</v>
      </c>
      <c r="DC49">
        <f t="shared" si="62"/>
        <v>0</v>
      </c>
      <c r="DD49">
        <f t="shared" si="62"/>
        <v>0</v>
      </c>
      <c r="DE49">
        <f t="shared" si="62"/>
        <v>0</v>
      </c>
      <c r="DF49">
        <f t="shared" si="63"/>
        <v>0</v>
      </c>
      <c r="DG49">
        <f t="shared" si="63"/>
        <v>0</v>
      </c>
      <c r="DH49">
        <f t="shared" si="63"/>
        <v>0</v>
      </c>
      <c r="DI49">
        <f t="shared" si="63"/>
        <v>0</v>
      </c>
      <c r="DJ49">
        <f t="shared" si="63"/>
        <v>0</v>
      </c>
      <c r="DK49">
        <f t="shared" si="63"/>
        <v>0</v>
      </c>
      <c r="DL49">
        <f t="shared" si="63"/>
        <v>0</v>
      </c>
      <c r="DM49">
        <f t="shared" si="63"/>
        <v>0</v>
      </c>
      <c r="DN49">
        <f t="shared" si="63"/>
        <v>0</v>
      </c>
      <c r="DO49">
        <f t="shared" si="63"/>
        <v>0</v>
      </c>
      <c r="DP49">
        <f t="shared" si="64"/>
        <v>0</v>
      </c>
      <c r="DQ49">
        <f t="shared" si="64"/>
        <v>0</v>
      </c>
      <c r="DR49">
        <f t="shared" si="64"/>
        <v>0</v>
      </c>
      <c r="DS49">
        <f t="shared" si="64"/>
        <v>0</v>
      </c>
      <c r="DT49">
        <f t="shared" si="64"/>
        <v>0</v>
      </c>
      <c r="DU49">
        <f t="shared" si="64"/>
        <v>0</v>
      </c>
      <c r="DV49">
        <f t="shared" si="64"/>
        <v>0</v>
      </c>
      <c r="DW49">
        <f t="shared" si="64"/>
        <v>0</v>
      </c>
      <c r="DX49">
        <f t="shared" si="64"/>
        <v>0</v>
      </c>
      <c r="DY49">
        <f t="shared" si="64"/>
        <v>0</v>
      </c>
      <c r="DZ49">
        <f t="shared" si="65"/>
        <v>0</v>
      </c>
      <c r="EA49">
        <f t="shared" si="65"/>
        <v>0</v>
      </c>
      <c r="EB49">
        <f t="shared" si="65"/>
        <v>0</v>
      </c>
      <c r="EC49">
        <f t="shared" si="65"/>
        <v>0</v>
      </c>
      <c r="ED49">
        <f t="shared" si="65"/>
        <v>0</v>
      </c>
      <c r="EE49">
        <f t="shared" si="65"/>
        <v>0</v>
      </c>
      <c r="EF49">
        <f t="shared" si="65"/>
        <v>0</v>
      </c>
      <c r="EG49">
        <f t="shared" si="65"/>
        <v>0</v>
      </c>
      <c r="EH49">
        <f t="shared" si="65"/>
        <v>0</v>
      </c>
      <c r="EI49">
        <f t="shared" si="65"/>
        <v>0</v>
      </c>
      <c r="EJ49">
        <f>SUM(Tabla1[[#This Row],[1]:[130]])</f>
        <v>149</v>
      </c>
    </row>
    <row r="50" spans="1:140" x14ac:dyDescent="0.25">
      <c r="A50" t="str">
        <f>B50&amp;"-"&amp;COUNTIF($B$2:B50,B50)</f>
        <v>I. PALTA-6</v>
      </c>
      <c r="B50" s="35" t="s">
        <v>35</v>
      </c>
      <c r="C50">
        <f>VLOOKUP(B50,RECETAS!D49:$E$1700,2,FALSE)</f>
        <v>400</v>
      </c>
      <c r="D50" s="34"/>
      <c r="G50" t="b">
        <f t="shared" si="0"/>
        <v>1</v>
      </c>
      <c r="I50" s="38" t="s">
        <v>583</v>
      </c>
      <c r="J50">
        <f t="shared" si="53"/>
        <v>0</v>
      </c>
      <c r="K50">
        <f t="shared" si="53"/>
        <v>0</v>
      </c>
      <c r="L50">
        <f t="shared" si="53"/>
        <v>0</v>
      </c>
      <c r="M50">
        <f t="shared" si="53"/>
        <v>0</v>
      </c>
      <c r="N50">
        <f t="shared" si="53"/>
        <v>0</v>
      </c>
      <c r="O50">
        <f t="shared" si="53"/>
        <v>0</v>
      </c>
      <c r="P50">
        <f t="shared" si="53"/>
        <v>0</v>
      </c>
      <c r="Q50">
        <f t="shared" si="53"/>
        <v>0</v>
      </c>
      <c r="R50">
        <f t="shared" si="53"/>
        <v>0</v>
      </c>
      <c r="S50">
        <f t="shared" si="53"/>
        <v>0</v>
      </c>
      <c r="T50">
        <f t="shared" si="54"/>
        <v>0</v>
      </c>
      <c r="U50">
        <f t="shared" si="54"/>
        <v>0</v>
      </c>
      <c r="V50">
        <f t="shared" si="54"/>
        <v>0</v>
      </c>
      <c r="W50">
        <f t="shared" si="54"/>
        <v>0</v>
      </c>
      <c r="X50">
        <f t="shared" si="54"/>
        <v>0</v>
      </c>
      <c r="Y50">
        <f t="shared" si="54"/>
        <v>0</v>
      </c>
      <c r="Z50">
        <f t="shared" si="54"/>
        <v>0</v>
      </c>
      <c r="AA50">
        <f t="shared" si="54"/>
        <v>0</v>
      </c>
      <c r="AB50">
        <f t="shared" si="54"/>
        <v>0</v>
      </c>
      <c r="AC50">
        <f t="shared" si="54"/>
        <v>0</v>
      </c>
      <c r="AD50">
        <f t="shared" si="55"/>
        <v>0</v>
      </c>
      <c r="AE50">
        <f t="shared" si="55"/>
        <v>0</v>
      </c>
      <c r="AF50">
        <f t="shared" si="55"/>
        <v>0</v>
      </c>
      <c r="AG50">
        <f t="shared" si="55"/>
        <v>0</v>
      </c>
      <c r="AH50">
        <f t="shared" si="55"/>
        <v>0</v>
      </c>
      <c r="AI50">
        <f t="shared" si="55"/>
        <v>0</v>
      </c>
      <c r="AJ50">
        <f t="shared" si="55"/>
        <v>0</v>
      </c>
      <c r="AK50">
        <f t="shared" si="55"/>
        <v>0</v>
      </c>
      <c r="AL50">
        <f t="shared" si="55"/>
        <v>0</v>
      </c>
      <c r="AM50">
        <f t="shared" si="55"/>
        <v>0</v>
      </c>
      <c r="AN50">
        <f t="shared" si="56"/>
        <v>0</v>
      </c>
      <c r="AO50">
        <f t="shared" si="56"/>
        <v>0</v>
      </c>
      <c r="AP50">
        <f t="shared" si="56"/>
        <v>0</v>
      </c>
      <c r="AQ50">
        <f t="shared" si="56"/>
        <v>0</v>
      </c>
      <c r="AR50">
        <f t="shared" si="56"/>
        <v>0</v>
      </c>
      <c r="AS50">
        <f t="shared" si="56"/>
        <v>0</v>
      </c>
      <c r="AT50">
        <f t="shared" si="56"/>
        <v>0</v>
      </c>
      <c r="AU50">
        <f t="shared" si="56"/>
        <v>0</v>
      </c>
      <c r="AV50">
        <f t="shared" si="56"/>
        <v>0</v>
      </c>
      <c r="AW50">
        <f t="shared" si="56"/>
        <v>0</v>
      </c>
      <c r="AX50">
        <f t="shared" si="57"/>
        <v>0</v>
      </c>
      <c r="AY50">
        <f t="shared" si="57"/>
        <v>0</v>
      </c>
      <c r="AZ50">
        <f t="shared" si="57"/>
        <v>0</v>
      </c>
      <c r="BA50">
        <f t="shared" si="57"/>
        <v>0</v>
      </c>
      <c r="BB50">
        <f t="shared" si="57"/>
        <v>0</v>
      </c>
      <c r="BC50">
        <f t="shared" si="57"/>
        <v>0</v>
      </c>
      <c r="BD50">
        <f t="shared" si="57"/>
        <v>0</v>
      </c>
      <c r="BE50">
        <f t="shared" si="57"/>
        <v>0</v>
      </c>
      <c r="BF50">
        <f t="shared" si="57"/>
        <v>0</v>
      </c>
      <c r="BG50">
        <f t="shared" si="57"/>
        <v>0</v>
      </c>
      <c r="BH50">
        <f t="shared" si="58"/>
        <v>0</v>
      </c>
      <c r="BI50">
        <f t="shared" si="58"/>
        <v>0</v>
      </c>
      <c r="BJ50">
        <f t="shared" si="58"/>
        <v>0</v>
      </c>
      <c r="BK50">
        <f t="shared" si="58"/>
        <v>0</v>
      </c>
      <c r="BL50">
        <f t="shared" si="58"/>
        <v>0</v>
      </c>
      <c r="BM50">
        <f t="shared" si="58"/>
        <v>0</v>
      </c>
      <c r="BN50">
        <f t="shared" si="58"/>
        <v>0</v>
      </c>
      <c r="BO50">
        <f t="shared" si="58"/>
        <v>0</v>
      </c>
      <c r="BP50">
        <f t="shared" si="58"/>
        <v>0</v>
      </c>
      <c r="BQ50">
        <f t="shared" si="58"/>
        <v>0</v>
      </c>
      <c r="BR50">
        <f t="shared" si="59"/>
        <v>0</v>
      </c>
      <c r="BS50">
        <f t="shared" si="59"/>
        <v>0</v>
      </c>
      <c r="BT50">
        <f t="shared" si="59"/>
        <v>0</v>
      </c>
      <c r="BU50">
        <f t="shared" si="59"/>
        <v>0</v>
      </c>
      <c r="BV50">
        <f t="shared" si="59"/>
        <v>0</v>
      </c>
      <c r="BW50">
        <f t="shared" si="59"/>
        <v>0</v>
      </c>
      <c r="BX50">
        <f t="shared" si="59"/>
        <v>0</v>
      </c>
      <c r="BY50">
        <f t="shared" si="59"/>
        <v>0</v>
      </c>
      <c r="BZ50">
        <f t="shared" si="59"/>
        <v>0</v>
      </c>
      <c r="CA50">
        <f t="shared" si="59"/>
        <v>0</v>
      </c>
      <c r="CB50">
        <f t="shared" si="60"/>
        <v>0</v>
      </c>
      <c r="CC50">
        <f t="shared" si="60"/>
        <v>0</v>
      </c>
      <c r="CD50">
        <f t="shared" si="60"/>
        <v>0</v>
      </c>
      <c r="CE50">
        <f t="shared" si="60"/>
        <v>0</v>
      </c>
      <c r="CF50">
        <f t="shared" si="60"/>
        <v>0</v>
      </c>
      <c r="CG50">
        <f t="shared" si="60"/>
        <v>0</v>
      </c>
      <c r="CH50">
        <f t="shared" si="60"/>
        <v>0</v>
      </c>
      <c r="CI50">
        <f t="shared" si="60"/>
        <v>0</v>
      </c>
      <c r="CJ50">
        <f t="shared" si="60"/>
        <v>0</v>
      </c>
      <c r="CK50">
        <f t="shared" si="60"/>
        <v>0</v>
      </c>
      <c r="CL50">
        <f t="shared" si="61"/>
        <v>0</v>
      </c>
      <c r="CM50">
        <f t="shared" si="61"/>
        <v>0</v>
      </c>
      <c r="CN50">
        <f t="shared" si="61"/>
        <v>0</v>
      </c>
      <c r="CO50">
        <f t="shared" si="61"/>
        <v>0</v>
      </c>
      <c r="CP50">
        <f t="shared" si="61"/>
        <v>0</v>
      </c>
      <c r="CQ50">
        <f t="shared" si="61"/>
        <v>0</v>
      </c>
      <c r="CR50">
        <f t="shared" si="61"/>
        <v>0</v>
      </c>
      <c r="CS50">
        <f t="shared" si="61"/>
        <v>0</v>
      </c>
      <c r="CT50">
        <f t="shared" si="61"/>
        <v>0</v>
      </c>
      <c r="CU50">
        <f t="shared" si="61"/>
        <v>0</v>
      </c>
      <c r="CV50">
        <f t="shared" si="62"/>
        <v>0</v>
      </c>
      <c r="CW50">
        <f t="shared" si="62"/>
        <v>0</v>
      </c>
      <c r="CX50">
        <f t="shared" si="62"/>
        <v>0</v>
      </c>
      <c r="CY50">
        <f t="shared" si="62"/>
        <v>0</v>
      </c>
      <c r="CZ50">
        <f t="shared" si="62"/>
        <v>0</v>
      </c>
      <c r="DA50">
        <f t="shared" si="62"/>
        <v>0</v>
      </c>
      <c r="DB50">
        <f t="shared" si="62"/>
        <v>0</v>
      </c>
      <c r="DC50">
        <f t="shared" si="62"/>
        <v>0</v>
      </c>
      <c r="DD50">
        <f t="shared" si="62"/>
        <v>0</v>
      </c>
      <c r="DE50">
        <f t="shared" si="62"/>
        <v>0</v>
      </c>
      <c r="DF50">
        <f t="shared" si="63"/>
        <v>0</v>
      </c>
      <c r="DG50">
        <f t="shared" si="63"/>
        <v>0</v>
      </c>
      <c r="DH50">
        <f t="shared" si="63"/>
        <v>0</v>
      </c>
      <c r="DI50">
        <f t="shared" si="63"/>
        <v>0</v>
      </c>
      <c r="DJ50">
        <f t="shared" si="63"/>
        <v>0</v>
      </c>
      <c r="DK50">
        <f t="shared" si="63"/>
        <v>0</v>
      </c>
      <c r="DL50">
        <f t="shared" si="63"/>
        <v>0</v>
      </c>
      <c r="DM50">
        <f t="shared" si="63"/>
        <v>0</v>
      </c>
      <c r="DN50">
        <f t="shared" si="63"/>
        <v>0</v>
      </c>
      <c r="DO50">
        <f t="shared" si="63"/>
        <v>0</v>
      </c>
      <c r="DP50">
        <f t="shared" si="64"/>
        <v>0</v>
      </c>
      <c r="DQ50">
        <f t="shared" si="64"/>
        <v>0</v>
      </c>
      <c r="DR50">
        <f t="shared" si="64"/>
        <v>0</v>
      </c>
      <c r="DS50">
        <f t="shared" si="64"/>
        <v>0</v>
      </c>
      <c r="DT50">
        <f t="shared" si="64"/>
        <v>0</v>
      </c>
      <c r="DU50">
        <f t="shared" si="64"/>
        <v>0</v>
      </c>
      <c r="DV50">
        <f t="shared" si="64"/>
        <v>0</v>
      </c>
      <c r="DW50">
        <f t="shared" si="64"/>
        <v>0</v>
      </c>
      <c r="DX50">
        <f t="shared" si="64"/>
        <v>0</v>
      </c>
      <c r="DY50">
        <f t="shared" si="64"/>
        <v>0</v>
      </c>
      <c r="DZ50">
        <f t="shared" si="65"/>
        <v>0</v>
      </c>
      <c r="EA50">
        <f t="shared" si="65"/>
        <v>0</v>
      </c>
      <c r="EB50">
        <f t="shared" si="65"/>
        <v>0</v>
      </c>
      <c r="EC50">
        <f t="shared" si="65"/>
        <v>0</v>
      </c>
      <c r="ED50">
        <f t="shared" si="65"/>
        <v>0</v>
      </c>
      <c r="EE50">
        <f t="shared" si="65"/>
        <v>0</v>
      </c>
      <c r="EF50">
        <f t="shared" si="65"/>
        <v>0</v>
      </c>
      <c r="EG50">
        <f t="shared" si="65"/>
        <v>0</v>
      </c>
      <c r="EH50">
        <f t="shared" si="65"/>
        <v>0</v>
      </c>
      <c r="EI50">
        <f t="shared" si="65"/>
        <v>0</v>
      </c>
      <c r="EJ50">
        <f>SUM(Tabla1[[#This Row],[1]:[130]])</f>
        <v>0</v>
      </c>
    </row>
    <row r="51" spans="1:140" x14ac:dyDescent="0.25">
      <c r="A51" t="str">
        <f>B51&amp;"-"&amp;COUNTIF($B$2:B51,B51)</f>
        <v>I. QUESO GRANULADO-5</v>
      </c>
      <c r="B51" s="35" t="s">
        <v>9</v>
      </c>
      <c r="C51">
        <f>VLOOKUP(B51,RECETAS!D50:$E$1700,2,FALSE)</f>
        <v>900</v>
      </c>
      <c r="D51" s="34"/>
      <c r="G51" t="b">
        <f t="shared" si="0"/>
        <v>1</v>
      </c>
      <c r="I51" s="35" t="s">
        <v>522</v>
      </c>
      <c r="J51">
        <f t="shared" si="53"/>
        <v>11</v>
      </c>
      <c r="K51">
        <f t="shared" si="53"/>
        <v>10</v>
      </c>
      <c r="L51">
        <f t="shared" si="53"/>
        <v>38</v>
      </c>
      <c r="M51">
        <f t="shared" si="53"/>
        <v>1</v>
      </c>
      <c r="N51">
        <f t="shared" si="53"/>
        <v>2</v>
      </c>
      <c r="O51">
        <f t="shared" si="53"/>
        <v>0</v>
      </c>
      <c r="P51">
        <f t="shared" si="53"/>
        <v>0</v>
      </c>
      <c r="Q51">
        <f t="shared" si="53"/>
        <v>0</v>
      </c>
      <c r="R51">
        <f t="shared" si="53"/>
        <v>0</v>
      </c>
      <c r="S51">
        <f t="shared" si="53"/>
        <v>0</v>
      </c>
      <c r="T51">
        <f t="shared" si="54"/>
        <v>0</v>
      </c>
      <c r="U51">
        <f t="shared" si="54"/>
        <v>0</v>
      </c>
      <c r="V51">
        <f t="shared" si="54"/>
        <v>0</v>
      </c>
      <c r="W51">
        <f t="shared" si="54"/>
        <v>0</v>
      </c>
      <c r="X51">
        <f t="shared" si="54"/>
        <v>0</v>
      </c>
      <c r="Y51">
        <f t="shared" si="54"/>
        <v>0</v>
      </c>
      <c r="Z51">
        <f t="shared" si="54"/>
        <v>0</v>
      </c>
      <c r="AA51">
        <f t="shared" si="54"/>
        <v>0</v>
      </c>
      <c r="AB51">
        <f t="shared" si="54"/>
        <v>0</v>
      </c>
      <c r="AC51">
        <f t="shared" si="54"/>
        <v>0</v>
      </c>
      <c r="AD51">
        <f t="shared" si="55"/>
        <v>0</v>
      </c>
      <c r="AE51">
        <f t="shared" si="55"/>
        <v>0</v>
      </c>
      <c r="AF51">
        <f t="shared" si="55"/>
        <v>0</v>
      </c>
      <c r="AG51">
        <f t="shared" si="55"/>
        <v>0</v>
      </c>
      <c r="AH51">
        <f t="shared" si="55"/>
        <v>0</v>
      </c>
      <c r="AI51">
        <f t="shared" si="55"/>
        <v>0</v>
      </c>
      <c r="AJ51">
        <f t="shared" si="55"/>
        <v>0</v>
      </c>
      <c r="AK51">
        <f t="shared" si="55"/>
        <v>0</v>
      </c>
      <c r="AL51">
        <f t="shared" si="55"/>
        <v>0</v>
      </c>
      <c r="AM51">
        <f t="shared" si="55"/>
        <v>0</v>
      </c>
      <c r="AN51">
        <f t="shared" si="56"/>
        <v>0</v>
      </c>
      <c r="AO51">
        <f t="shared" si="56"/>
        <v>0</v>
      </c>
      <c r="AP51">
        <f t="shared" si="56"/>
        <v>0</v>
      </c>
      <c r="AQ51">
        <f t="shared" si="56"/>
        <v>0</v>
      </c>
      <c r="AR51">
        <f t="shared" si="56"/>
        <v>0</v>
      </c>
      <c r="AS51">
        <f t="shared" si="56"/>
        <v>0</v>
      </c>
      <c r="AT51">
        <f t="shared" si="56"/>
        <v>0</v>
      </c>
      <c r="AU51">
        <f t="shared" si="56"/>
        <v>0</v>
      </c>
      <c r="AV51">
        <f t="shared" si="56"/>
        <v>0</v>
      </c>
      <c r="AW51">
        <f t="shared" si="56"/>
        <v>0</v>
      </c>
      <c r="AX51">
        <f t="shared" si="57"/>
        <v>0</v>
      </c>
      <c r="AY51">
        <f t="shared" si="57"/>
        <v>0</v>
      </c>
      <c r="AZ51">
        <f t="shared" si="57"/>
        <v>0</v>
      </c>
      <c r="BA51">
        <f t="shared" si="57"/>
        <v>0</v>
      </c>
      <c r="BB51">
        <f t="shared" si="57"/>
        <v>0</v>
      </c>
      <c r="BC51">
        <f t="shared" si="57"/>
        <v>0</v>
      </c>
      <c r="BD51">
        <f t="shared" si="57"/>
        <v>0</v>
      </c>
      <c r="BE51">
        <f t="shared" si="57"/>
        <v>0</v>
      </c>
      <c r="BF51">
        <f t="shared" si="57"/>
        <v>0</v>
      </c>
      <c r="BG51">
        <f t="shared" si="57"/>
        <v>0</v>
      </c>
      <c r="BH51">
        <f t="shared" si="58"/>
        <v>0</v>
      </c>
      <c r="BI51">
        <f t="shared" si="58"/>
        <v>0</v>
      </c>
      <c r="BJ51">
        <f t="shared" si="58"/>
        <v>0</v>
      </c>
      <c r="BK51">
        <f t="shared" si="58"/>
        <v>0</v>
      </c>
      <c r="BL51">
        <f t="shared" si="58"/>
        <v>0</v>
      </c>
      <c r="BM51">
        <f t="shared" si="58"/>
        <v>0</v>
      </c>
      <c r="BN51">
        <f t="shared" si="58"/>
        <v>0</v>
      </c>
      <c r="BO51">
        <f t="shared" si="58"/>
        <v>0</v>
      </c>
      <c r="BP51">
        <f t="shared" si="58"/>
        <v>0</v>
      </c>
      <c r="BQ51">
        <f t="shared" si="58"/>
        <v>0</v>
      </c>
      <c r="BR51">
        <f t="shared" si="59"/>
        <v>0</v>
      </c>
      <c r="BS51">
        <f t="shared" si="59"/>
        <v>0</v>
      </c>
      <c r="BT51">
        <f t="shared" si="59"/>
        <v>0</v>
      </c>
      <c r="BU51">
        <f t="shared" si="59"/>
        <v>0</v>
      </c>
      <c r="BV51">
        <f t="shared" si="59"/>
        <v>0</v>
      </c>
      <c r="BW51">
        <f t="shared" si="59"/>
        <v>0</v>
      </c>
      <c r="BX51">
        <f t="shared" si="59"/>
        <v>0</v>
      </c>
      <c r="BY51">
        <f t="shared" si="59"/>
        <v>0</v>
      </c>
      <c r="BZ51">
        <f t="shared" si="59"/>
        <v>0</v>
      </c>
      <c r="CA51">
        <f t="shared" si="59"/>
        <v>0</v>
      </c>
      <c r="CB51">
        <f t="shared" si="60"/>
        <v>0</v>
      </c>
      <c r="CC51">
        <f t="shared" si="60"/>
        <v>0</v>
      </c>
      <c r="CD51">
        <f t="shared" si="60"/>
        <v>0</v>
      </c>
      <c r="CE51">
        <f t="shared" si="60"/>
        <v>0</v>
      </c>
      <c r="CF51">
        <f t="shared" si="60"/>
        <v>0</v>
      </c>
      <c r="CG51">
        <f t="shared" si="60"/>
        <v>0</v>
      </c>
      <c r="CH51">
        <f t="shared" si="60"/>
        <v>0</v>
      </c>
      <c r="CI51">
        <f t="shared" si="60"/>
        <v>0</v>
      </c>
      <c r="CJ51">
        <f t="shared" si="60"/>
        <v>0</v>
      </c>
      <c r="CK51">
        <f t="shared" si="60"/>
        <v>0</v>
      </c>
      <c r="CL51">
        <f t="shared" si="61"/>
        <v>0</v>
      </c>
      <c r="CM51">
        <f t="shared" si="61"/>
        <v>0</v>
      </c>
      <c r="CN51">
        <f t="shared" si="61"/>
        <v>0</v>
      </c>
      <c r="CO51">
        <f t="shared" si="61"/>
        <v>0</v>
      </c>
      <c r="CP51">
        <f t="shared" si="61"/>
        <v>0</v>
      </c>
      <c r="CQ51">
        <f t="shared" si="61"/>
        <v>0</v>
      </c>
      <c r="CR51">
        <f t="shared" si="61"/>
        <v>0</v>
      </c>
      <c r="CS51">
        <f t="shared" si="61"/>
        <v>0</v>
      </c>
      <c r="CT51">
        <f t="shared" si="61"/>
        <v>0</v>
      </c>
      <c r="CU51">
        <f t="shared" si="61"/>
        <v>0</v>
      </c>
      <c r="CV51">
        <f t="shared" si="62"/>
        <v>0</v>
      </c>
      <c r="CW51">
        <f t="shared" si="62"/>
        <v>0</v>
      </c>
      <c r="CX51">
        <f t="shared" si="62"/>
        <v>0</v>
      </c>
      <c r="CY51">
        <f t="shared" si="62"/>
        <v>0</v>
      </c>
      <c r="CZ51">
        <f t="shared" si="62"/>
        <v>0</v>
      </c>
      <c r="DA51">
        <f t="shared" si="62"/>
        <v>0</v>
      </c>
      <c r="DB51">
        <f t="shared" si="62"/>
        <v>0</v>
      </c>
      <c r="DC51">
        <f t="shared" si="62"/>
        <v>0</v>
      </c>
      <c r="DD51">
        <f t="shared" si="62"/>
        <v>0</v>
      </c>
      <c r="DE51">
        <f t="shared" si="62"/>
        <v>0</v>
      </c>
      <c r="DF51">
        <f t="shared" si="63"/>
        <v>0</v>
      </c>
      <c r="DG51">
        <f t="shared" si="63"/>
        <v>0</v>
      </c>
      <c r="DH51">
        <f t="shared" si="63"/>
        <v>0</v>
      </c>
      <c r="DI51">
        <f t="shared" si="63"/>
        <v>0</v>
      </c>
      <c r="DJ51">
        <f t="shared" si="63"/>
        <v>0</v>
      </c>
      <c r="DK51">
        <f t="shared" si="63"/>
        <v>0</v>
      </c>
      <c r="DL51">
        <f t="shared" si="63"/>
        <v>0</v>
      </c>
      <c r="DM51">
        <f t="shared" si="63"/>
        <v>0</v>
      </c>
      <c r="DN51">
        <f t="shared" si="63"/>
        <v>0</v>
      </c>
      <c r="DO51">
        <f t="shared" si="63"/>
        <v>0</v>
      </c>
      <c r="DP51">
        <f t="shared" si="64"/>
        <v>0</v>
      </c>
      <c r="DQ51">
        <f t="shared" si="64"/>
        <v>0</v>
      </c>
      <c r="DR51">
        <f t="shared" si="64"/>
        <v>0</v>
      </c>
      <c r="DS51">
        <f t="shared" si="64"/>
        <v>0</v>
      </c>
      <c r="DT51">
        <f t="shared" si="64"/>
        <v>0</v>
      </c>
      <c r="DU51">
        <f t="shared" si="64"/>
        <v>0</v>
      </c>
      <c r="DV51">
        <f t="shared" si="64"/>
        <v>0</v>
      </c>
      <c r="DW51">
        <f t="shared" si="64"/>
        <v>0</v>
      </c>
      <c r="DX51">
        <f t="shared" si="64"/>
        <v>0</v>
      </c>
      <c r="DY51">
        <f t="shared" si="64"/>
        <v>0</v>
      </c>
      <c r="DZ51">
        <f t="shared" si="65"/>
        <v>0</v>
      </c>
      <c r="EA51">
        <f t="shared" si="65"/>
        <v>0</v>
      </c>
      <c r="EB51">
        <f t="shared" si="65"/>
        <v>0</v>
      </c>
      <c r="EC51">
        <f t="shared" si="65"/>
        <v>0</v>
      </c>
      <c r="ED51">
        <f t="shared" si="65"/>
        <v>0</v>
      </c>
      <c r="EE51">
        <f t="shared" si="65"/>
        <v>0</v>
      </c>
      <c r="EF51">
        <f t="shared" si="65"/>
        <v>0</v>
      </c>
      <c r="EG51">
        <f t="shared" si="65"/>
        <v>0</v>
      </c>
      <c r="EH51">
        <f t="shared" si="65"/>
        <v>0</v>
      </c>
      <c r="EI51">
        <f t="shared" si="65"/>
        <v>0</v>
      </c>
      <c r="EJ51">
        <f>SUM(Tabla1[[#This Row],[1]:[130]])</f>
        <v>62</v>
      </c>
    </row>
    <row r="52" spans="1:140" x14ac:dyDescent="0.25">
      <c r="A52" t="str">
        <f>B52&amp;"-"&amp;COUNTIF($B$2:B52,B52)</f>
        <v>I. PALTA-7</v>
      </c>
      <c r="B52" s="35" t="s">
        <v>35</v>
      </c>
      <c r="C52">
        <f>VLOOKUP(B52,RECETAS!D51:$E$1700,2,FALSE)</f>
        <v>500</v>
      </c>
      <c r="D52" s="34"/>
      <c r="G52" t="b">
        <f t="shared" si="0"/>
        <v>1</v>
      </c>
      <c r="I52" s="36" t="s">
        <v>41</v>
      </c>
      <c r="J52">
        <f t="shared" si="53"/>
        <v>0</v>
      </c>
      <c r="K52">
        <f t="shared" si="53"/>
        <v>17</v>
      </c>
      <c r="L52">
        <f t="shared" si="53"/>
        <v>1</v>
      </c>
      <c r="M52">
        <f t="shared" si="53"/>
        <v>0</v>
      </c>
      <c r="N52">
        <f t="shared" si="53"/>
        <v>0</v>
      </c>
      <c r="O52">
        <f t="shared" si="53"/>
        <v>0</v>
      </c>
      <c r="P52">
        <f t="shared" si="53"/>
        <v>0</v>
      </c>
      <c r="Q52">
        <f t="shared" si="53"/>
        <v>0</v>
      </c>
      <c r="R52">
        <f t="shared" si="53"/>
        <v>0</v>
      </c>
      <c r="S52">
        <f t="shared" si="53"/>
        <v>0</v>
      </c>
      <c r="T52">
        <f t="shared" si="54"/>
        <v>0</v>
      </c>
      <c r="U52">
        <f t="shared" si="54"/>
        <v>0</v>
      </c>
      <c r="V52">
        <f t="shared" si="54"/>
        <v>0</v>
      </c>
      <c r="W52">
        <f t="shared" si="54"/>
        <v>0</v>
      </c>
      <c r="X52">
        <f t="shared" si="54"/>
        <v>0</v>
      </c>
      <c r="Y52">
        <f t="shared" si="54"/>
        <v>0</v>
      </c>
      <c r="Z52">
        <f t="shared" si="54"/>
        <v>0</v>
      </c>
      <c r="AA52">
        <f t="shared" si="54"/>
        <v>0</v>
      </c>
      <c r="AB52">
        <f t="shared" si="54"/>
        <v>0</v>
      </c>
      <c r="AC52">
        <f t="shared" si="54"/>
        <v>0</v>
      </c>
      <c r="AD52">
        <f t="shared" si="55"/>
        <v>0</v>
      </c>
      <c r="AE52">
        <f t="shared" si="55"/>
        <v>0</v>
      </c>
      <c r="AF52">
        <f t="shared" si="55"/>
        <v>0</v>
      </c>
      <c r="AG52">
        <f t="shared" si="55"/>
        <v>0</v>
      </c>
      <c r="AH52">
        <f t="shared" si="55"/>
        <v>0</v>
      </c>
      <c r="AI52">
        <f t="shared" si="55"/>
        <v>0</v>
      </c>
      <c r="AJ52">
        <f t="shared" si="55"/>
        <v>0</v>
      </c>
      <c r="AK52">
        <f t="shared" si="55"/>
        <v>0</v>
      </c>
      <c r="AL52">
        <f t="shared" si="55"/>
        <v>0</v>
      </c>
      <c r="AM52">
        <f t="shared" si="55"/>
        <v>0</v>
      </c>
      <c r="AN52">
        <f t="shared" si="56"/>
        <v>0</v>
      </c>
      <c r="AO52">
        <f t="shared" si="56"/>
        <v>0</v>
      </c>
      <c r="AP52">
        <f t="shared" si="56"/>
        <v>0</v>
      </c>
      <c r="AQ52">
        <f t="shared" si="56"/>
        <v>0</v>
      </c>
      <c r="AR52">
        <f t="shared" si="56"/>
        <v>0</v>
      </c>
      <c r="AS52">
        <f t="shared" si="56"/>
        <v>0</v>
      </c>
      <c r="AT52">
        <f t="shared" si="56"/>
        <v>0</v>
      </c>
      <c r="AU52">
        <f t="shared" si="56"/>
        <v>0</v>
      </c>
      <c r="AV52">
        <f t="shared" si="56"/>
        <v>0</v>
      </c>
      <c r="AW52">
        <f t="shared" si="56"/>
        <v>0</v>
      </c>
      <c r="AX52">
        <f t="shared" si="57"/>
        <v>0</v>
      </c>
      <c r="AY52">
        <f t="shared" si="57"/>
        <v>0</v>
      </c>
      <c r="AZ52">
        <f t="shared" si="57"/>
        <v>0</v>
      </c>
      <c r="BA52">
        <f t="shared" si="57"/>
        <v>0</v>
      </c>
      <c r="BB52">
        <f t="shared" si="57"/>
        <v>0</v>
      </c>
      <c r="BC52">
        <f t="shared" si="57"/>
        <v>0</v>
      </c>
      <c r="BD52">
        <f t="shared" si="57"/>
        <v>0</v>
      </c>
      <c r="BE52">
        <f t="shared" si="57"/>
        <v>0</v>
      </c>
      <c r="BF52">
        <f t="shared" si="57"/>
        <v>0</v>
      </c>
      <c r="BG52">
        <f t="shared" si="57"/>
        <v>0</v>
      </c>
      <c r="BH52">
        <f t="shared" si="58"/>
        <v>0</v>
      </c>
      <c r="BI52">
        <f t="shared" si="58"/>
        <v>0</v>
      </c>
      <c r="BJ52">
        <f t="shared" si="58"/>
        <v>0</v>
      </c>
      <c r="BK52">
        <f t="shared" si="58"/>
        <v>0</v>
      </c>
      <c r="BL52">
        <f t="shared" si="58"/>
        <v>0</v>
      </c>
      <c r="BM52">
        <f t="shared" si="58"/>
        <v>0</v>
      </c>
      <c r="BN52">
        <f t="shared" si="58"/>
        <v>0</v>
      </c>
      <c r="BO52">
        <f t="shared" si="58"/>
        <v>0</v>
      </c>
      <c r="BP52">
        <f t="shared" si="58"/>
        <v>0</v>
      </c>
      <c r="BQ52">
        <f t="shared" si="58"/>
        <v>0</v>
      </c>
      <c r="BR52">
        <f t="shared" si="59"/>
        <v>0</v>
      </c>
      <c r="BS52">
        <f t="shared" si="59"/>
        <v>0</v>
      </c>
      <c r="BT52">
        <f t="shared" si="59"/>
        <v>0</v>
      </c>
      <c r="BU52">
        <f t="shared" si="59"/>
        <v>0</v>
      </c>
      <c r="BV52">
        <f t="shared" si="59"/>
        <v>0</v>
      </c>
      <c r="BW52">
        <f t="shared" si="59"/>
        <v>0</v>
      </c>
      <c r="BX52">
        <f t="shared" si="59"/>
        <v>0</v>
      </c>
      <c r="BY52">
        <f t="shared" si="59"/>
        <v>0</v>
      </c>
      <c r="BZ52">
        <f t="shared" si="59"/>
        <v>0</v>
      </c>
      <c r="CA52">
        <f t="shared" si="59"/>
        <v>0</v>
      </c>
      <c r="CB52">
        <f t="shared" si="60"/>
        <v>0</v>
      </c>
      <c r="CC52">
        <f t="shared" si="60"/>
        <v>0</v>
      </c>
      <c r="CD52">
        <f t="shared" si="60"/>
        <v>0</v>
      </c>
      <c r="CE52">
        <f t="shared" si="60"/>
        <v>0</v>
      </c>
      <c r="CF52">
        <f t="shared" si="60"/>
        <v>0</v>
      </c>
      <c r="CG52">
        <f t="shared" si="60"/>
        <v>0</v>
      </c>
      <c r="CH52">
        <f t="shared" si="60"/>
        <v>0</v>
      </c>
      <c r="CI52">
        <f t="shared" si="60"/>
        <v>0</v>
      </c>
      <c r="CJ52">
        <f t="shared" si="60"/>
        <v>0</v>
      </c>
      <c r="CK52">
        <f t="shared" si="60"/>
        <v>0</v>
      </c>
      <c r="CL52">
        <f t="shared" si="61"/>
        <v>0</v>
      </c>
      <c r="CM52">
        <f t="shared" si="61"/>
        <v>0</v>
      </c>
      <c r="CN52">
        <f t="shared" si="61"/>
        <v>0</v>
      </c>
      <c r="CO52">
        <f t="shared" si="61"/>
        <v>0</v>
      </c>
      <c r="CP52">
        <f t="shared" si="61"/>
        <v>0</v>
      </c>
      <c r="CQ52">
        <f t="shared" si="61"/>
        <v>0</v>
      </c>
      <c r="CR52">
        <f t="shared" si="61"/>
        <v>0</v>
      </c>
      <c r="CS52">
        <f t="shared" si="61"/>
        <v>0</v>
      </c>
      <c r="CT52">
        <f t="shared" si="61"/>
        <v>0</v>
      </c>
      <c r="CU52">
        <f t="shared" si="61"/>
        <v>0</v>
      </c>
      <c r="CV52">
        <f t="shared" si="62"/>
        <v>0</v>
      </c>
      <c r="CW52">
        <f t="shared" si="62"/>
        <v>0</v>
      </c>
      <c r="CX52">
        <f t="shared" si="62"/>
        <v>0</v>
      </c>
      <c r="CY52">
        <f t="shared" si="62"/>
        <v>0</v>
      </c>
      <c r="CZ52">
        <f t="shared" si="62"/>
        <v>0</v>
      </c>
      <c r="DA52">
        <f t="shared" si="62"/>
        <v>0</v>
      </c>
      <c r="DB52">
        <f t="shared" si="62"/>
        <v>0</v>
      </c>
      <c r="DC52">
        <f t="shared" si="62"/>
        <v>0</v>
      </c>
      <c r="DD52">
        <f t="shared" si="62"/>
        <v>0</v>
      </c>
      <c r="DE52">
        <f t="shared" si="62"/>
        <v>0</v>
      </c>
      <c r="DF52">
        <f t="shared" si="63"/>
        <v>0</v>
      </c>
      <c r="DG52">
        <f t="shared" si="63"/>
        <v>0</v>
      </c>
      <c r="DH52">
        <f t="shared" si="63"/>
        <v>0</v>
      </c>
      <c r="DI52">
        <f t="shared" si="63"/>
        <v>0</v>
      </c>
      <c r="DJ52">
        <f t="shared" si="63"/>
        <v>0</v>
      </c>
      <c r="DK52">
        <f t="shared" si="63"/>
        <v>0</v>
      </c>
      <c r="DL52">
        <f t="shared" si="63"/>
        <v>0</v>
      </c>
      <c r="DM52">
        <f t="shared" si="63"/>
        <v>0</v>
      </c>
      <c r="DN52">
        <f t="shared" si="63"/>
        <v>0</v>
      </c>
      <c r="DO52">
        <f t="shared" si="63"/>
        <v>0</v>
      </c>
      <c r="DP52">
        <f t="shared" si="64"/>
        <v>0</v>
      </c>
      <c r="DQ52">
        <f t="shared" si="64"/>
        <v>0</v>
      </c>
      <c r="DR52">
        <f t="shared" si="64"/>
        <v>0</v>
      </c>
      <c r="DS52">
        <f t="shared" si="64"/>
        <v>0</v>
      </c>
      <c r="DT52">
        <f t="shared" si="64"/>
        <v>0</v>
      </c>
      <c r="DU52">
        <f t="shared" si="64"/>
        <v>0</v>
      </c>
      <c r="DV52">
        <f t="shared" si="64"/>
        <v>0</v>
      </c>
      <c r="DW52">
        <f t="shared" si="64"/>
        <v>0</v>
      </c>
      <c r="DX52">
        <f t="shared" si="64"/>
        <v>0</v>
      </c>
      <c r="DY52">
        <f t="shared" si="64"/>
        <v>0</v>
      </c>
      <c r="DZ52">
        <f t="shared" si="65"/>
        <v>0</v>
      </c>
      <c r="EA52">
        <f t="shared" si="65"/>
        <v>0</v>
      </c>
      <c r="EB52">
        <f t="shared" si="65"/>
        <v>0</v>
      </c>
      <c r="EC52">
        <f t="shared" si="65"/>
        <v>0</v>
      </c>
      <c r="ED52">
        <f t="shared" si="65"/>
        <v>0</v>
      </c>
      <c r="EE52">
        <f t="shared" si="65"/>
        <v>0</v>
      </c>
      <c r="EF52">
        <f t="shared" si="65"/>
        <v>0</v>
      </c>
      <c r="EG52">
        <f t="shared" si="65"/>
        <v>0</v>
      </c>
      <c r="EH52">
        <f t="shared" si="65"/>
        <v>0</v>
      </c>
      <c r="EI52">
        <f t="shared" si="65"/>
        <v>0</v>
      </c>
      <c r="EJ52">
        <f>SUM(Tabla1[[#This Row],[1]:[130]])</f>
        <v>18</v>
      </c>
    </row>
    <row r="53" spans="1:140" ht="15.75" thickBot="1" x14ac:dyDescent="0.3">
      <c r="A53" t="str">
        <f>B53&amp;"-"&amp;COUNTIF($B$2:B53,B53)</f>
        <v>I. CREMA ESPESA-8</v>
      </c>
      <c r="B53" s="33" t="s">
        <v>16</v>
      </c>
      <c r="C53">
        <f>VLOOKUP(B53,RECETAS!D52:$E$1700,2,FALSE)</f>
        <v>500</v>
      </c>
      <c r="D53" s="32"/>
      <c r="G53" t="b">
        <f t="shared" si="0"/>
        <v>1</v>
      </c>
      <c r="I53" s="33" t="s">
        <v>10</v>
      </c>
      <c r="J53">
        <f t="shared" ref="J53:S62" si="66">IFERROR(VLOOKUP($I53&amp;"-"&amp;J$2,$A$3:$C$1700,3,FALSE),0)</f>
        <v>20</v>
      </c>
      <c r="K53">
        <f t="shared" si="66"/>
        <v>2</v>
      </c>
      <c r="L53">
        <f t="shared" si="66"/>
        <v>0</v>
      </c>
      <c r="M53">
        <f t="shared" si="66"/>
        <v>0</v>
      </c>
      <c r="N53">
        <f t="shared" si="66"/>
        <v>0</v>
      </c>
      <c r="O53">
        <f t="shared" si="66"/>
        <v>0</v>
      </c>
      <c r="P53">
        <f t="shared" si="66"/>
        <v>0</v>
      </c>
      <c r="Q53">
        <f t="shared" si="66"/>
        <v>0</v>
      </c>
      <c r="R53">
        <f t="shared" si="66"/>
        <v>0</v>
      </c>
      <c r="S53">
        <f t="shared" si="66"/>
        <v>0</v>
      </c>
      <c r="T53">
        <f t="shared" ref="T53:AC62" si="67">IFERROR(VLOOKUP($I53&amp;"-"&amp;T$2,$A$3:$C$1700,3,FALSE),0)</f>
        <v>0</v>
      </c>
      <c r="U53">
        <f t="shared" si="67"/>
        <v>0</v>
      </c>
      <c r="V53">
        <f t="shared" si="67"/>
        <v>0</v>
      </c>
      <c r="W53">
        <f t="shared" si="67"/>
        <v>0</v>
      </c>
      <c r="X53">
        <f t="shared" si="67"/>
        <v>0</v>
      </c>
      <c r="Y53">
        <f t="shared" si="67"/>
        <v>0</v>
      </c>
      <c r="Z53">
        <f t="shared" si="67"/>
        <v>0</v>
      </c>
      <c r="AA53">
        <f t="shared" si="67"/>
        <v>0</v>
      </c>
      <c r="AB53">
        <f t="shared" si="67"/>
        <v>0</v>
      </c>
      <c r="AC53">
        <f t="shared" si="67"/>
        <v>0</v>
      </c>
      <c r="AD53">
        <f t="shared" ref="AD53:AM62" si="68">IFERROR(VLOOKUP($I53&amp;"-"&amp;AD$2,$A$3:$C$1700,3,FALSE),0)</f>
        <v>0</v>
      </c>
      <c r="AE53">
        <f t="shared" si="68"/>
        <v>0</v>
      </c>
      <c r="AF53">
        <f t="shared" si="68"/>
        <v>0</v>
      </c>
      <c r="AG53">
        <f t="shared" si="68"/>
        <v>0</v>
      </c>
      <c r="AH53">
        <f t="shared" si="68"/>
        <v>0</v>
      </c>
      <c r="AI53">
        <f t="shared" si="68"/>
        <v>0</v>
      </c>
      <c r="AJ53">
        <f t="shared" si="68"/>
        <v>0</v>
      </c>
      <c r="AK53">
        <f t="shared" si="68"/>
        <v>0</v>
      </c>
      <c r="AL53">
        <f t="shared" si="68"/>
        <v>0</v>
      </c>
      <c r="AM53">
        <f t="shared" si="68"/>
        <v>0</v>
      </c>
      <c r="AN53">
        <f t="shared" ref="AN53:AW62" si="69">IFERROR(VLOOKUP($I53&amp;"-"&amp;AN$2,$A$3:$C$1700,3,FALSE),0)</f>
        <v>0</v>
      </c>
      <c r="AO53">
        <f t="shared" si="69"/>
        <v>0</v>
      </c>
      <c r="AP53">
        <f t="shared" si="69"/>
        <v>0</v>
      </c>
      <c r="AQ53">
        <f t="shared" si="69"/>
        <v>0</v>
      </c>
      <c r="AR53">
        <f t="shared" si="69"/>
        <v>0</v>
      </c>
      <c r="AS53">
        <f t="shared" si="69"/>
        <v>0</v>
      </c>
      <c r="AT53">
        <f t="shared" si="69"/>
        <v>0</v>
      </c>
      <c r="AU53">
        <f t="shared" si="69"/>
        <v>0</v>
      </c>
      <c r="AV53">
        <f t="shared" si="69"/>
        <v>0</v>
      </c>
      <c r="AW53">
        <f t="shared" si="69"/>
        <v>0</v>
      </c>
      <c r="AX53">
        <f t="shared" ref="AX53:BG62" si="70">IFERROR(VLOOKUP($I53&amp;"-"&amp;AX$2,$A$3:$C$1700,3,FALSE),0)</f>
        <v>0</v>
      </c>
      <c r="AY53">
        <f t="shared" si="70"/>
        <v>0</v>
      </c>
      <c r="AZ53">
        <f t="shared" si="70"/>
        <v>0</v>
      </c>
      <c r="BA53">
        <f t="shared" si="70"/>
        <v>0</v>
      </c>
      <c r="BB53">
        <f t="shared" si="70"/>
        <v>0</v>
      </c>
      <c r="BC53">
        <f t="shared" si="70"/>
        <v>0</v>
      </c>
      <c r="BD53">
        <f t="shared" si="70"/>
        <v>0</v>
      </c>
      <c r="BE53">
        <f t="shared" si="70"/>
        <v>0</v>
      </c>
      <c r="BF53">
        <f t="shared" si="70"/>
        <v>0</v>
      </c>
      <c r="BG53">
        <f t="shared" si="70"/>
        <v>0</v>
      </c>
      <c r="BH53">
        <f t="shared" ref="BH53:BQ62" si="71">IFERROR(VLOOKUP($I53&amp;"-"&amp;BH$2,$A$3:$C$1700,3,FALSE),0)</f>
        <v>0</v>
      </c>
      <c r="BI53">
        <f t="shared" si="71"/>
        <v>0</v>
      </c>
      <c r="BJ53">
        <f t="shared" si="71"/>
        <v>0</v>
      </c>
      <c r="BK53">
        <f t="shared" si="71"/>
        <v>0</v>
      </c>
      <c r="BL53">
        <f t="shared" si="71"/>
        <v>0</v>
      </c>
      <c r="BM53">
        <f t="shared" si="71"/>
        <v>0</v>
      </c>
      <c r="BN53">
        <f t="shared" si="71"/>
        <v>0</v>
      </c>
      <c r="BO53">
        <f t="shared" si="71"/>
        <v>0</v>
      </c>
      <c r="BP53">
        <f t="shared" si="71"/>
        <v>0</v>
      </c>
      <c r="BQ53">
        <f t="shared" si="71"/>
        <v>0</v>
      </c>
      <c r="BR53">
        <f t="shared" ref="BR53:CA62" si="72">IFERROR(VLOOKUP($I53&amp;"-"&amp;BR$2,$A$3:$C$1700,3,FALSE),0)</f>
        <v>0</v>
      </c>
      <c r="BS53">
        <f t="shared" si="72"/>
        <v>0</v>
      </c>
      <c r="BT53">
        <f t="shared" si="72"/>
        <v>0</v>
      </c>
      <c r="BU53">
        <f t="shared" si="72"/>
        <v>0</v>
      </c>
      <c r="BV53">
        <f t="shared" si="72"/>
        <v>0</v>
      </c>
      <c r="BW53">
        <f t="shared" si="72"/>
        <v>0</v>
      </c>
      <c r="BX53">
        <f t="shared" si="72"/>
        <v>0</v>
      </c>
      <c r="BY53">
        <f t="shared" si="72"/>
        <v>0</v>
      </c>
      <c r="BZ53">
        <f t="shared" si="72"/>
        <v>0</v>
      </c>
      <c r="CA53">
        <f t="shared" si="72"/>
        <v>0</v>
      </c>
      <c r="CB53">
        <f t="shared" ref="CB53:CK62" si="73">IFERROR(VLOOKUP($I53&amp;"-"&amp;CB$2,$A$3:$C$1700,3,FALSE),0)</f>
        <v>0</v>
      </c>
      <c r="CC53">
        <f t="shared" si="73"/>
        <v>0</v>
      </c>
      <c r="CD53">
        <f t="shared" si="73"/>
        <v>0</v>
      </c>
      <c r="CE53">
        <f t="shared" si="73"/>
        <v>0</v>
      </c>
      <c r="CF53">
        <f t="shared" si="73"/>
        <v>0</v>
      </c>
      <c r="CG53">
        <f t="shared" si="73"/>
        <v>0</v>
      </c>
      <c r="CH53">
        <f t="shared" si="73"/>
        <v>0</v>
      </c>
      <c r="CI53">
        <f t="shared" si="73"/>
        <v>0</v>
      </c>
      <c r="CJ53">
        <f t="shared" si="73"/>
        <v>0</v>
      </c>
      <c r="CK53">
        <f t="shared" si="73"/>
        <v>0</v>
      </c>
      <c r="CL53">
        <f t="shared" ref="CL53:CU62" si="74">IFERROR(VLOOKUP($I53&amp;"-"&amp;CL$2,$A$3:$C$1700,3,FALSE),0)</f>
        <v>0</v>
      </c>
      <c r="CM53">
        <f t="shared" si="74"/>
        <v>0</v>
      </c>
      <c r="CN53">
        <f t="shared" si="74"/>
        <v>0</v>
      </c>
      <c r="CO53">
        <f t="shared" si="74"/>
        <v>0</v>
      </c>
      <c r="CP53">
        <f t="shared" si="74"/>
        <v>0</v>
      </c>
      <c r="CQ53">
        <f t="shared" si="74"/>
        <v>0</v>
      </c>
      <c r="CR53">
        <f t="shared" si="74"/>
        <v>0</v>
      </c>
      <c r="CS53">
        <f t="shared" si="74"/>
        <v>0</v>
      </c>
      <c r="CT53">
        <f t="shared" si="74"/>
        <v>0</v>
      </c>
      <c r="CU53">
        <f t="shared" si="74"/>
        <v>0</v>
      </c>
      <c r="CV53">
        <f t="shared" ref="CV53:DE62" si="75">IFERROR(VLOOKUP($I53&amp;"-"&amp;CV$2,$A$3:$C$1700,3,FALSE),0)</f>
        <v>0</v>
      </c>
      <c r="CW53">
        <f t="shared" si="75"/>
        <v>0</v>
      </c>
      <c r="CX53">
        <f t="shared" si="75"/>
        <v>0</v>
      </c>
      <c r="CY53">
        <f t="shared" si="75"/>
        <v>0</v>
      </c>
      <c r="CZ53">
        <f t="shared" si="75"/>
        <v>0</v>
      </c>
      <c r="DA53">
        <f t="shared" si="75"/>
        <v>0</v>
      </c>
      <c r="DB53">
        <f t="shared" si="75"/>
        <v>0</v>
      </c>
      <c r="DC53">
        <f t="shared" si="75"/>
        <v>0</v>
      </c>
      <c r="DD53">
        <f t="shared" si="75"/>
        <v>0</v>
      </c>
      <c r="DE53">
        <f t="shared" si="75"/>
        <v>0</v>
      </c>
      <c r="DF53">
        <f t="shared" ref="DF53:DO62" si="76">IFERROR(VLOOKUP($I53&amp;"-"&amp;DF$2,$A$3:$C$1700,3,FALSE),0)</f>
        <v>0</v>
      </c>
      <c r="DG53">
        <f t="shared" si="76"/>
        <v>0</v>
      </c>
      <c r="DH53">
        <f t="shared" si="76"/>
        <v>0</v>
      </c>
      <c r="DI53">
        <f t="shared" si="76"/>
        <v>0</v>
      </c>
      <c r="DJ53">
        <f t="shared" si="76"/>
        <v>0</v>
      </c>
      <c r="DK53">
        <f t="shared" si="76"/>
        <v>0</v>
      </c>
      <c r="DL53">
        <f t="shared" si="76"/>
        <v>0</v>
      </c>
      <c r="DM53">
        <f t="shared" si="76"/>
        <v>0</v>
      </c>
      <c r="DN53">
        <f t="shared" si="76"/>
        <v>0</v>
      </c>
      <c r="DO53">
        <f t="shared" si="76"/>
        <v>0</v>
      </c>
      <c r="DP53">
        <f t="shared" ref="DP53:DY62" si="77">IFERROR(VLOOKUP($I53&amp;"-"&amp;DP$2,$A$3:$C$1700,3,FALSE),0)</f>
        <v>0</v>
      </c>
      <c r="DQ53">
        <f t="shared" si="77"/>
        <v>0</v>
      </c>
      <c r="DR53">
        <f t="shared" si="77"/>
        <v>0</v>
      </c>
      <c r="DS53">
        <f t="shared" si="77"/>
        <v>0</v>
      </c>
      <c r="DT53">
        <f t="shared" si="77"/>
        <v>0</v>
      </c>
      <c r="DU53">
        <f t="shared" si="77"/>
        <v>0</v>
      </c>
      <c r="DV53">
        <f t="shared" si="77"/>
        <v>0</v>
      </c>
      <c r="DW53">
        <f t="shared" si="77"/>
        <v>0</v>
      </c>
      <c r="DX53">
        <f t="shared" si="77"/>
        <v>0</v>
      </c>
      <c r="DY53">
        <f t="shared" si="77"/>
        <v>0</v>
      </c>
      <c r="DZ53">
        <f t="shared" ref="DZ53:EI62" si="78">IFERROR(VLOOKUP($I53&amp;"-"&amp;DZ$2,$A$3:$C$1700,3,FALSE),0)</f>
        <v>0</v>
      </c>
      <c r="EA53">
        <f t="shared" si="78"/>
        <v>0</v>
      </c>
      <c r="EB53">
        <f t="shared" si="78"/>
        <v>0</v>
      </c>
      <c r="EC53">
        <f t="shared" si="78"/>
        <v>0</v>
      </c>
      <c r="ED53">
        <f t="shared" si="78"/>
        <v>0</v>
      </c>
      <c r="EE53">
        <f t="shared" si="78"/>
        <v>0</v>
      </c>
      <c r="EF53">
        <f t="shared" si="78"/>
        <v>0</v>
      </c>
      <c r="EG53">
        <f t="shared" si="78"/>
        <v>0</v>
      </c>
      <c r="EH53">
        <f t="shared" si="78"/>
        <v>0</v>
      </c>
      <c r="EI53">
        <f t="shared" si="78"/>
        <v>0</v>
      </c>
      <c r="EJ53">
        <f>SUM(Tabla1[[#This Row],[1]:[130]])</f>
        <v>22</v>
      </c>
    </row>
    <row r="54" spans="1:140" x14ac:dyDescent="0.25">
      <c r="A54" t="str">
        <f>B54&amp;"-"&amp;COUNTIF($B$2:B54,B54)</f>
        <v>I. CHICKEN FINGER-3</v>
      </c>
      <c r="B54" s="26" t="s">
        <v>522</v>
      </c>
      <c r="C54">
        <f>VLOOKUP(B54,RECETAS!D53:$E$1700,2,FALSE)</f>
        <v>38</v>
      </c>
      <c r="D54" s="25" t="s">
        <v>21</v>
      </c>
      <c r="G54" t="b">
        <f t="shared" si="0"/>
        <v>1</v>
      </c>
      <c r="I54" s="46" t="s">
        <v>24</v>
      </c>
      <c r="J54">
        <f t="shared" si="66"/>
        <v>138</v>
      </c>
      <c r="K54">
        <f t="shared" si="66"/>
        <v>15</v>
      </c>
      <c r="L54">
        <f t="shared" si="66"/>
        <v>0</v>
      </c>
      <c r="M54">
        <f t="shared" si="66"/>
        <v>0</v>
      </c>
      <c r="N54">
        <f t="shared" si="66"/>
        <v>1</v>
      </c>
      <c r="O54">
        <f t="shared" si="66"/>
        <v>0</v>
      </c>
      <c r="P54">
        <f t="shared" si="66"/>
        <v>0</v>
      </c>
      <c r="Q54">
        <f t="shared" si="66"/>
        <v>0</v>
      </c>
      <c r="R54">
        <f t="shared" si="66"/>
        <v>0</v>
      </c>
      <c r="S54">
        <f t="shared" si="66"/>
        <v>0</v>
      </c>
      <c r="T54">
        <f t="shared" si="67"/>
        <v>0</v>
      </c>
      <c r="U54">
        <f t="shared" si="67"/>
        <v>0</v>
      </c>
      <c r="V54">
        <f t="shared" si="67"/>
        <v>0</v>
      </c>
      <c r="W54">
        <f t="shared" si="67"/>
        <v>0</v>
      </c>
      <c r="X54">
        <f t="shared" si="67"/>
        <v>0</v>
      </c>
      <c r="Y54">
        <f t="shared" si="67"/>
        <v>0</v>
      </c>
      <c r="Z54">
        <f t="shared" si="67"/>
        <v>0</v>
      </c>
      <c r="AA54">
        <f t="shared" si="67"/>
        <v>0</v>
      </c>
      <c r="AB54">
        <f t="shared" si="67"/>
        <v>1</v>
      </c>
      <c r="AC54">
        <f t="shared" si="67"/>
        <v>2</v>
      </c>
      <c r="AD54">
        <f t="shared" si="68"/>
        <v>200</v>
      </c>
      <c r="AE54">
        <f t="shared" si="68"/>
        <v>4</v>
      </c>
      <c r="AF54">
        <f t="shared" si="68"/>
        <v>0</v>
      </c>
      <c r="AG54">
        <f t="shared" si="68"/>
        <v>0</v>
      </c>
      <c r="AH54">
        <f t="shared" si="68"/>
        <v>0</v>
      </c>
      <c r="AI54">
        <f t="shared" si="68"/>
        <v>0</v>
      </c>
      <c r="AJ54">
        <f t="shared" si="68"/>
        <v>0</v>
      </c>
      <c r="AK54">
        <f t="shared" si="68"/>
        <v>0</v>
      </c>
      <c r="AL54">
        <f t="shared" si="68"/>
        <v>0</v>
      </c>
      <c r="AM54">
        <f t="shared" si="68"/>
        <v>0</v>
      </c>
      <c r="AN54">
        <f t="shared" si="69"/>
        <v>0</v>
      </c>
      <c r="AO54">
        <f t="shared" si="69"/>
        <v>0</v>
      </c>
      <c r="AP54">
        <f t="shared" si="69"/>
        <v>0</v>
      </c>
      <c r="AQ54">
        <f t="shared" si="69"/>
        <v>0</v>
      </c>
      <c r="AR54">
        <f t="shared" si="69"/>
        <v>0</v>
      </c>
      <c r="AS54">
        <f t="shared" si="69"/>
        <v>0</v>
      </c>
      <c r="AT54">
        <f t="shared" si="69"/>
        <v>0</v>
      </c>
      <c r="AU54">
        <f t="shared" si="69"/>
        <v>0</v>
      </c>
      <c r="AV54">
        <f t="shared" si="69"/>
        <v>0</v>
      </c>
      <c r="AW54">
        <f t="shared" si="69"/>
        <v>0</v>
      </c>
      <c r="AX54">
        <f t="shared" si="70"/>
        <v>0</v>
      </c>
      <c r="AY54">
        <f t="shared" si="70"/>
        <v>0</v>
      </c>
      <c r="AZ54">
        <f t="shared" si="70"/>
        <v>0</v>
      </c>
      <c r="BA54">
        <f t="shared" si="70"/>
        <v>0</v>
      </c>
      <c r="BB54">
        <f t="shared" si="70"/>
        <v>0</v>
      </c>
      <c r="BC54">
        <f t="shared" si="70"/>
        <v>0</v>
      </c>
      <c r="BD54">
        <f t="shared" si="70"/>
        <v>0</v>
      </c>
      <c r="BE54">
        <f t="shared" si="70"/>
        <v>0</v>
      </c>
      <c r="BF54">
        <f t="shared" si="70"/>
        <v>0</v>
      </c>
      <c r="BG54">
        <f t="shared" si="70"/>
        <v>0</v>
      </c>
      <c r="BH54">
        <f t="shared" si="71"/>
        <v>0</v>
      </c>
      <c r="BI54">
        <f t="shared" si="71"/>
        <v>0</v>
      </c>
      <c r="BJ54">
        <f t="shared" si="71"/>
        <v>0</v>
      </c>
      <c r="BK54">
        <f t="shared" si="71"/>
        <v>0</v>
      </c>
      <c r="BL54">
        <f t="shared" si="71"/>
        <v>0</v>
      </c>
      <c r="BM54">
        <f t="shared" si="71"/>
        <v>0</v>
      </c>
      <c r="BN54">
        <f t="shared" si="71"/>
        <v>0</v>
      </c>
      <c r="BO54">
        <f t="shared" si="71"/>
        <v>0</v>
      </c>
      <c r="BP54">
        <f t="shared" si="71"/>
        <v>0</v>
      </c>
      <c r="BQ54">
        <f t="shared" si="71"/>
        <v>0</v>
      </c>
      <c r="BR54">
        <f t="shared" si="72"/>
        <v>0</v>
      </c>
      <c r="BS54">
        <f t="shared" si="72"/>
        <v>0</v>
      </c>
      <c r="BT54">
        <f t="shared" si="72"/>
        <v>0</v>
      </c>
      <c r="BU54">
        <f t="shared" si="72"/>
        <v>0</v>
      </c>
      <c r="BV54">
        <f t="shared" si="72"/>
        <v>0</v>
      </c>
      <c r="BW54">
        <f t="shared" si="72"/>
        <v>0</v>
      </c>
      <c r="BX54">
        <f t="shared" si="72"/>
        <v>0</v>
      </c>
      <c r="BY54">
        <f t="shared" si="72"/>
        <v>0</v>
      </c>
      <c r="BZ54">
        <f t="shared" si="72"/>
        <v>0</v>
      </c>
      <c r="CA54">
        <f t="shared" si="72"/>
        <v>0</v>
      </c>
      <c r="CB54">
        <f t="shared" si="73"/>
        <v>0</v>
      </c>
      <c r="CC54">
        <f t="shared" si="73"/>
        <v>0</v>
      </c>
      <c r="CD54">
        <f t="shared" si="73"/>
        <v>0</v>
      </c>
      <c r="CE54">
        <f t="shared" si="73"/>
        <v>0</v>
      </c>
      <c r="CF54">
        <f t="shared" si="73"/>
        <v>0</v>
      </c>
      <c r="CG54">
        <f t="shared" si="73"/>
        <v>0</v>
      </c>
      <c r="CH54">
        <f t="shared" si="73"/>
        <v>0</v>
      </c>
      <c r="CI54">
        <f t="shared" si="73"/>
        <v>0</v>
      </c>
      <c r="CJ54">
        <f t="shared" si="73"/>
        <v>0</v>
      </c>
      <c r="CK54">
        <f t="shared" si="73"/>
        <v>0</v>
      </c>
      <c r="CL54">
        <f t="shared" si="74"/>
        <v>0</v>
      </c>
      <c r="CM54">
        <f t="shared" si="74"/>
        <v>0</v>
      </c>
      <c r="CN54">
        <f t="shared" si="74"/>
        <v>0</v>
      </c>
      <c r="CO54">
        <f t="shared" si="74"/>
        <v>0</v>
      </c>
      <c r="CP54">
        <f t="shared" si="74"/>
        <v>0</v>
      </c>
      <c r="CQ54">
        <f t="shared" si="74"/>
        <v>0</v>
      </c>
      <c r="CR54">
        <f t="shared" si="74"/>
        <v>0</v>
      </c>
      <c r="CS54">
        <f t="shared" si="74"/>
        <v>0</v>
      </c>
      <c r="CT54">
        <f t="shared" si="74"/>
        <v>0</v>
      </c>
      <c r="CU54">
        <f t="shared" si="74"/>
        <v>0</v>
      </c>
      <c r="CV54">
        <f t="shared" si="75"/>
        <v>0</v>
      </c>
      <c r="CW54">
        <f t="shared" si="75"/>
        <v>0</v>
      </c>
      <c r="CX54">
        <f t="shared" si="75"/>
        <v>0</v>
      </c>
      <c r="CY54">
        <f t="shared" si="75"/>
        <v>0</v>
      </c>
      <c r="CZ54">
        <f t="shared" si="75"/>
        <v>0</v>
      </c>
      <c r="DA54">
        <f t="shared" si="75"/>
        <v>0</v>
      </c>
      <c r="DB54">
        <f t="shared" si="75"/>
        <v>0</v>
      </c>
      <c r="DC54">
        <f t="shared" si="75"/>
        <v>0</v>
      </c>
      <c r="DD54">
        <f t="shared" si="75"/>
        <v>0</v>
      </c>
      <c r="DE54">
        <f t="shared" si="75"/>
        <v>0</v>
      </c>
      <c r="DF54">
        <f t="shared" si="76"/>
        <v>0</v>
      </c>
      <c r="DG54">
        <f t="shared" si="76"/>
        <v>0</v>
      </c>
      <c r="DH54">
        <f t="shared" si="76"/>
        <v>0</v>
      </c>
      <c r="DI54">
        <f t="shared" si="76"/>
        <v>0</v>
      </c>
      <c r="DJ54">
        <f t="shared" si="76"/>
        <v>0</v>
      </c>
      <c r="DK54">
        <f t="shared" si="76"/>
        <v>0</v>
      </c>
      <c r="DL54">
        <f t="shared" si="76"/>
        <v>0</v>
      </c>
      <c r="DM54">
        <f t="shared" si="76"/>
        <v>0</v>
      </c>
      <c r="DN54">
        <f t="shared" si="76"/>
        <v>0</v>
      </c>
      <c r="DO54">
        <f t="shared" si="76"/>
        <v>0</v>
      </c>
      <c r="DP54">
        <f t="shared" si="77"/>
        <v>0</v>
      </c>
      <c r="DQ54">
        <f t="shared" si="77"/>
        <v>0</v>
      </c>
      <c r="DR54">
        <f t="shared" si="77"/>
        <v>0</v>
      </c>
      <c r="DS54">
        <f t="shared" si="77"/>
        <v>0</v>
      </c>
      <c r="DT54">
        <f t="shared" si="77"/>
        <v>0</v>
      </c>
      <c r="DU54">
        <f t="shared" si="77"/>
        <v>0</v>
      </c>
      <c r="DV54">
        <f t="shared" si="77"/>
        <v>0</v>
      </c>
      <c r="DW54">
        <f t="shared" si="77"/>
        <v>0</v>
      </c>
      <c r="DX54">
        <f t="shared" si="77"/>
        <v>0</v>
      </c>
      <c r="DY54">
        <f t="shared" si="77"/>
        <v>0</v>
      </c>
      <c r="DZ54">
        <f t="shared" si="78"/>
        <v>0</v>
      </c>
      <c r="EA54">
        <f t="shared" si="78"/>
        <v>0</v>
      </c>
      <c r="EB54">
        <f t="shared" si="78"/>
        <v>0</v>
      </c>
      <c r="EC54">
        <f t="shared" si="78"/>
        <v>0</v>
      </c>
      <c r="ED54">
        <f t="shared" si="78"/>
        <v>0</v>
      </c>
      <c r="EE54">
        <f t="shared" si="78"/>
        <v>0</v>
      </c>
      <c r="EF54">
        <f t="shared" si="78"/>
        <v>0</v>
      </c>
      <c r="EG54">
        <f t="shared" si="78"/>
        <v>0</v>
      </c>
      <c r="EH54">
        <f t="shared" si="78"/>
        <v>0</v>
      </c>
      <c r="EI54">
        <f t="shared" si="78"/>
        <v>0</v>
      </c>
      <c r="EJ54">
        <f>SUM(Tabla1[[#This Row],[1]:[130]])</f>
        <v>361</v>
      </c>
    </row>
    <row r="55" spans="1:140" x14ac:dyDescent="0.25">
      <c r="A55" t="str">
        <f>B55&amp;"-"&amp;COUNTIF($B$2:B55,B55)</f>
        <v>I. PALOS QUESO-2</v>
      </c>
      <c r="B55" s="35" t="s">
        <v>1</v>
      </c>
      <c r="C55">
        <f>VLOOKUP(B55,RECETAS!D54:$E$1700,2,FALSE)</f>
        <v>38</v>
      </c>
      <c r="D55" s="34"/>
      <c r="G55" t="b">
        <f t="shared" si="0"/>
        <v>1</v>
      </c>
      <c r="I55" s="35" t="s">
        <v>23</v>
      </c>
      <c r="J55">
        <f t="shared" si="66"/>
        <v>2760</v>
      </c>
      <c r="K55">
        <f t="shared" si="66"/>
        <v>460</v>
      </c>
      <c r="L55">
        <f t="shared" si="66"/>
        <v>440</v>
      </c>
      <c r="M55">
        <f t="shared" si="66"/>
        <v>660</v>
      </c>
      <c r="N55">
        <f t="shared" si="66"/>
        <v>700</v>
      </c>
      <c r="O55">
        <f t="shared" si="66"/>
        <v>100</v>
      </c>
      <c r="P55">
        <f t="shared" si="66"/>
        <v>300</v>
      </c>
      <c r="Q55">
        <f t="shared" si="66"/>
        <v>80</v>
      </c>
      <c r="R55">
        <f t="shared" si="66"/>
        <v>20</v>
      </c>
      <c r="S55">
        <f t="shared" si="66"/>
        <v>0</v>
      </c>
      <c r="T55">
        <f t="shared" si="67"/>
        <v>0</v>
      </c>
      <c r="U55">
        <f t="shared" si="67"/>
        <v>20</v>
      </c>
      <c r="V55">
        <f t="shared" si="67"/>
        <v>0</v>
      </c>
      <c r="W55">
        <f t="shared" si="67"/>
        <v>0</v>
      </c>
      <c r="X55">
        <f t="shared" si="67"/>
        <v>0</v>
      </c>
      <c r="Y55">
        <f t="shared" si="67"/>
        <v>0</v>
      </c>
      <c r="Z55">
        <f t="shared" si="67"/>
        <v>0</v>
      </c>
      <c r="AA55">
        <f t="shared" si="67"/>
        <v>0</v>
      </c>
      <c r="AB55">
        <f t="shared" si="67"/>
        <v>0</v>
      </c>
      <c r="AC55">
        <f t="shared" si="67"/>
        <v>0</v>
      </c>
      <c r="AD55">
        <f t="shared" si="68"/>
        <v>0</v>
      </c>
      <c r="AE55">
        <f t="shared" si="68"/>
        <v>0</v>
      </c>
      <c r="AF55">
        <f t="shared" si="68"/>
        <v>0</v>
      </c>
      <c r="AG55">
        <f t="shared" si="68"/>
        <v>0</v>
      </c>
      <c r="AH55">
        <f t="shared" si="68"/>
        <v>0</v>
      </c>
      <c r="AI55">
        <f t="shared" si="68"/>
        <v>20</v>
      </c>
      <c r="AJ55">
        <f t="shared" si="68"/>
        <v>40</v>
      </c>
      <c r="AK55">
        <f t="shared" si="68"/>
        <v>80</v>
      </c>
      <c r="AL55">
        <f t="shared" si="68"/>
        <v>0</v>
      </c>
      <c r="AM55">
        <f t="shared" si="68"/>
        <v>0</v>
      </c>
      <c r="AN55">
        <f t="shared" si="69"/>
        <v>0</v>
      </c>
      <c r="AO55">
        <f t="shared" si="69"/>
        <v>0</v>
      </c>
      <c r="AP55">
        <f t="shared" si="69"/>
        <v>0</v>
      </c>
      <c r="AQ55">
        <f t="shared" si="69"/>
        <v>0</v>
      </c>
      <c r="AR55">
        <f t="shared" si="69"/>
        <v>0</v>
      </c>
      <c r="AS55">
        <f t="shared" si="69"/>
        <v>80</v>
      </c>
      <c r="AT55">
        <f t="shared" si="69"/>
        <v>0</v>
      </c>
      <c r="AU55">
        <f t="shared" si="69"/>
        <v>0</v>
      </c>
      <c r="AV55">
        <f t="shared" si="69"/>
        <v>0</v>
      </c>
      <c r="AW55">
        <f t="shared" si="69"/>
        <v>0</v>
      </c>
      <c r="AX55">
        <f t="shared" si="70"/>
        <v>0</v>
      </c>
      <c r="AY55">
        <f t="shared" si="70"/>
        <v>0</v>
      </c>
      <c r="AZ55">
        <f t="shared" si="70"/>
        <v>0</v>
      </c>
      <c r="BA55">
        <f t="shared" si="70"/>
        <v>0</v>
      </c>
      <c r="BB55">
        <f t="shared" si="70"/>
        <v>0</v>
      </c>
      <c r="BC55">
        <f t="shared" si="70"/>
        <v>0</v>
      </c>
      <c r="BD55">
        <f t="shared" si="70"/>
        <v>0</v>
      </c>
      <c r="BE55">
        <f t="shared" si="70"/>
        <v>0</v>
      </c>
      <c r="BF55">
        <f t="shared" si="70"/>
        <v>0</v>
      </c>
      <c r="BG55">
        <f t="shared" si="70"/>
        <v>0</v>
      </c>
      <c r="BH55">
        <f t="shared" si="71"/>
        <v>0</v>
      </c>
      <c r="BI55">
        <f t="shared" si="71"/>
        <v>0</v>
      </c>
      <c r="BJ55">
        <f t="shared" si="71"/>
        <v>0</v>
      </c>
      <c r="BK55">
        <f t="shared" si="71"/>
        <v>0</v>
      </c>
      <c r="BL55">
        <f t="shared" si="71"/>
        <v>0</v>
      </c>
      <c r="BM55">
        <f t="shared" si="71"/>
        <v>0</v>
      </c>
      <c r="BN55">
        <f t="shared" si="71"/>
        <v>0</v>
      </c>
      <c r="BO55">
        <f t="shared" si="71"/>
        <v>0</v>
      </c>
      <c r="BP55">
        <f t="shared" si="71"/>
        <v>0</v>
      </c>
      <c r="BQ55">
        <f t="shared" si="71"/>
        <v>0</v>
      </c>
      <c r="BR55">
        <f t="shared" si="72"/>
        <v>0</v>
      </c>
      <c r="BS55">
        <f t="shared" si="72"/>
        <v>0</v>
      </c>
      <c r="BT55">
        <f t="shared" si="72"/>
        <v>0</v>
      </c>
      <c r="BU55">
        <f t="shared" si="72"/>
        <v>0</v>
      </c>
      <c r="BV55">
        <f t="shared" si="72"/>
        <v>0</v>
      </c>
      <c r="BW55">
        <f t="shared" si="72"/>
        <v>0</v>
      </c>
      <c r="BX55">
        <f t="shared" si="72"/>
        <v>0</v>
      </c>
      <c r="BY55">
        <f t="shared" si="72"/>
        <v>0</v>
      </c>
      <c r="BZ55">
        <f t="shared" si="72"/>
        <v>0</v>
      </c>
      <c r="CA55">
        <f t="shared" si="72"/>
        <v>0</v>
      </c>
      <c r="CB55">
        <f t="shared" si="73"/>
        <v>0</v>
      </c>
      <c r="CC55">
        <f t="shared" si="73"/>
        <v>0</v>
      </c>
      <c r="CD55">
        <f t="shared" si="73"/>
        <v>0</v>
      </c>
      <c r="CE55">
        <f t="shared" si="73"/>
        <v>0</v>
      </c>
      <c r="CF55">
        <f t="shared" si="73"/>
        <v>0</v>
      </c>
      <c r="CG55">
        <f t="shared" si="73"/>
        <v>0</v>
      </c>
      <c r="CH55">
        <f t="shared" si="73"/>
        <v>0</v>
      </c>
      <c r="CI55">
        <f t="shared" si="73"/>
        <v>0</v>
      </c>
      <c r="CJ55">
        <f t="shared" si="73"/>
        <v>0</v>
      </c>
      <c r="CK55">
        <f t="shared" si="73"/>
        <v>0</v>
      </c>
      <c r="CL55">
        <f t="shared" si="74"/>
        <v>0</v>
      </c>
      <c r="CM55">
        <f t="shared" si="74"/>
        <v>0</v>
      </c>
      <c r="CN55">
        <f t="shared" si="74"/>
        <v>0</v>
      </c>
      <c r="CO55">
        <f t="shared" si="74"/>
        <v>0</v>
      </c>
      <c r="CP55">
        <f t="shared" si="74"/>
        <v>0</v>
      </c>
      <c r="CQ55">
        <f t="shared" si="74"/>
        <v>0</v>
      </c>
      <c r="CR55">
        <f t="shared" si="74"/>
        <v>0</v>
      </c>
      <c r="CS55">
        <f t="shared" si="74"/>
        <v>0</v>
      </c>
      <c r="CT55">
        <f t="shared" si="74"/>
        <v>0</v>
      </c>
      <c r="CU55">
        <f t="shared" si="74"/>
        <v>0</v>
      </c>
      <c r="CV55">
        <f t="shared" si="75"/>
        <v>0</v>
      </c>
      <c r="CW55">
        <f t="shared" si="75"/>
        <v>0</v>
      </c>
      <c r="CX55">
        <f t="shared" si="75"/>
        <v>0</v>
      </c>
      <c r="CY55">
        <f t="shared" si="75"/>
        <v>0</v>
      </c>
      <c r="CZ55">
        <f t="shared" si="75"/>
        <v>0</v>
      </c>
      <c r="DA55">
        <f t="shared" si="75"/>
        <v>0</v>
      </c>
      <c r="DB55">
        <f t="shared" si="75"/>
        <v>0</v>
      </c>
      <c r="DC55">
        <f t="shared" si="75"/>
        <v>0</v>
      </c>
      <c r="DD55">
        <f t="shared" si="75"/>
        <v>0</v>
      </c>
      <c r="DE55">
        <f t="shared" si="75"/>
        <v>0</v>
      </c>
      <c r="DF55">
        <f t="shared" si="76"/>
        <v>0</v>
      </c>
      <c r="DG55">
        <f t="shared" si="76"/>
        <v>0</v>
      </c>
      <c r="DH55">
        <f t="shared" si="76"/>
        <v>0</v>
      </c>
      <c r="DI55">
        <f t="shared" si="76"/>
        <v>0</v>
      </c>
      <c r="DJ55">
        <f t="shared" si="76"/>
        <v>0</v>
      </c>
      <c r="DK55">
        <f t="shared" si="76"/>
        <v>0</v>
      </c>
      <c r="DL55">
        <f t="shared" si="76"/>
        <v>0</v>
      </c>
      <c r="DM55">
        <f t="shared" si="76"/>
        <v>0</v>
      </c>
      <c r="DN55">
        <f t="shared" si="76"/>
        <v>0</v>
      </c>
      <c r="DO55">
        <f t="shared" si="76"/>
        <v>0</v>
      </c>
      <c r="DP55">
        <f t="shared" si="77"/>
        <v>0</v>
      </c>
      <c r="DQ55">
        <f t="shared" si="77"/>
        <v>0</v>
      </c>
      <c r="DR55">
        <f t="shared" si="77"/>
        <v>0</v>
      </c>
      <c r="DS55">
        <f t="shared" si="77"/>
        <v>0</v>
      </c>
      <c r="DT55">
        <f t="shared" si="77"/>
        <v>0</v>
      </c>
      <c r="DU55">
        <f t="shared" si="77"/>
        <v>0</v>
      </c>
      <c r="DV55">
        <f t="shared" si="77"/>
        <v>0</v>
      </c>
      <c r="DW55">
        <f t="shared" si="77"/>
        <v>0</v>
      </c>
      <c r="DX55">
        <f t="shared" si="77"/>
        <v>0</v>
      </c>
      <c r="DY55">
        <f t="shared" si="77"/>
        <v>0</v>
      </c>
      <c r="DZ55">
        <f t="shared" si="78"/>
        <v>0</v>
      </c>
      <c r="EA55">
        <f t="shared" si="78"/>
        <v>0</v>
      </c>
      <c r="EB55">
        <f t="shared" si="78"/>
        <v>0</v>
      </c>
      <c r="EC55">
        <f t="shared" si="78"/>
        <v>0</v>
      </c>
      <c r="ED55">
        <f t="shared" si="78"/>
        <v>0</v>
      </c>
      <c r="EE55">
        <f t="shared" si="78"/>
        <v>0</v>
      </c>
      <c r="EF55">
        <f t="shared" si="78"/>
        <v>0</v>
      </c>
      <c r="EG55">
        <f t="shared" si="78"/>
        <v>0</v>
      </c>
      <c r="EH55">
        <f t="shared" si="78"/>
        <v>0</v>
      </c>
      <c r="EI55">
        <f t="shared" si="78"/>
        <v>0</v>
      </c>
      <c r="EJ55">
        <f>SUM(Tabla1[[#This Row],[1]:[130]])</f>
        <v>5760</v>
      </c>
    </row>
    <row r="56" spans="1:140" x14ac:dyDescent="0.25">
      <c r="A56" t="str">
        <f>B56&amp;"-"&amp;COUNTIF($B$2:B56,B56)</f>
        <v>I. MASITAS CASERAS-3</v>
      </c>
      <c r="B56" s="35" t="s">
        <v>2</v>
      </c>
      <c r="C56">
        <f>VLOOKUP(B56,RECETAS!D55:$E$1700,2,FALSE)</f>
        <v>38</v>
      </c>
      <c r="D56" s="34"/>
      <c r="G56" t="b">
        <f t="shared" si="0"/>
        <v>1</v>
      </c>
      <c r="I56" s="36" t="s">
        <v>210</v>
      </c>
      <c r="J56">
        <f t="shared" si="66"/>
        <v>8</v>
      </c>
      <c r="K56">
        <f t="shared" si="66"/>
        <v>0</v>
      </c>
      <c r="L56">
        <f t="shared" si="66"/>
        <v>0</v>
      </c>
      <c r="M56">
        <f t="shared" si="66"/>
        <v>0</v>
      </c>
      <c r="N56">
        <f t="shared" si="66"/>
        <v>0</v>
      </c>
      <c r="O56">
        <f t="shared" si="66"/>
        <v>0</v>
      </c>
      <c r="P56">
        <f t="shared" si="66"/>
        <v>0</v>
      </c>
      <c r="Q56">
        <f t="shared" si="66"/>
        <v>0</v>
      </c>
      <c r="R56">
        <f t="shared" si="66"/>
        <v>0</v>
      </c>
      <c r="S56">
        <f t="shared" si="66"/>
        <v>0</v>
      </c>
      <c r="T56">
        <f t="shared" si="67"/>
        <v>0</v>
      </c>
      <c r="U56">
        <f t="shared" si="67"/>
        <v>0</v>
      </c>
      <c r="V56">
        <f t="shared" si="67"/>
        <v>0</v>
      </c>
      <c r="W56">
        <f t="shared" si="67"/>
        <v>0</v>
      </c>
      <c r="X56">
        <f t="shared" si="67"/>
        <v>0</v>
      </c>
      <c r="Y56">
        <f t="shared" si="67"/>
        <v>0</v>
      </c>
      <c r="Z56">
        <f t="shared" si="67"/>
        <v>0</v>
      </c>
      <c r="AA56">
        <f t="shared" si="67"/>
        <v>0</v>
      </c>
      <c r="AB56">
        <f t="shared" si="67"/>
        <v>0</v>
      </c>
      <c r="AC56">
        <f t="shared" si="67"/>
        <v>0</v>
      </c>
      <c r="AD56">
        <f t="shared" si="68"/>
        <v>0</v>
      </c>
      <c r="AE56">
        <f t="shared" si="68"/>
        <v>0</v>
      </c>
      <c r="AF56">
        <f t="shared" si="68"/>
        <v>0</v>
      </c>
      <c r="AG56">
        <f t="shared" si="68"/>
        <v>0</v>
      </c>
      <c r="AH56">
        <f t="shared" si="68"/>
        <v>0</v>
      </c>
      <c r="AI56">
        <f t="shared" si="68"/>
        <v>0</v>
      </c>
      <c r="AJ56">
        <f t="shared" si="68"/>
        <v>0</v>
      </c>
      <c r="AK56">
        <f t="shared" si="68"/>
        <v>0</v>
      </c>
      <c r="AL56">
        <f t="shared" si="68"/>
        <v>0</v>
      </c>
      <c r="AM56">
        <f t="shared" si="68"/>
        <v>0</v>
      </c>
      <c r="AN56">
        <f t="shared" si="69"/>
        <v>0</v>
      </c>
      <c r="AO56">
        <f t="shared" si="69"/>
        <v>0</v>
      </c>
      <c r="AP56">
        <f t="shared" si="69"/>
        <v>0</v>
      </c>
      <c r="AQ56">
        <f t="shared" si="69"/>
        <v>0</v>
      </c>
      <c r="AR56">
        <f t="shared" si="69"/>
        <v>0</v>
      </c>
      <c r="AS56">
        <f t="shared" si="69"/>
        <v>0</v>
      </c>
      <c r="AT56">
        <f t="shared" si="69"/>
        <v>0</v>
      </c>
      <c r="AU56">
        <f t="shared" si="69"/>
        <v>0</v>
      </c>
      <c r="AV56">
        <f t="shared" si="69"/>
        <v>0</v>
      </c>
      <c r="AW56">
        <f t="shared" si="69"/>
        <v>0</v>
      </c>
      <c r="AX56">
        <f t="shared" si="70"/>
        <v>0</v>
      </c>
      <c r="AY56">
        <f t="shared" si="70"/>
        <v>0</v>
      </c>
      <c r="AZ56">
        <f t="shared" si="70"/>
        <v>0</v>
      </c>
      <c r="BA56">
        <f t="shared" si="70"/>
        <v>0</v>
      </c>
      <c r="BB56">
        <f t="shared" si="70"/>
        <v>0</v>
      </c>
      <c r="BC56">
        <f t="shared" si="70"/>
        <v>0</v>
      </c>
      <c r="BD56">
        <f t="shared" si="70"/>
        <v>0</v>
      </c>
      <c r="BE56">
        <f t="shared" si="70"/>
        <v>0</v>
      </c>
      <c r="BF56">
        <f t="shared" si="70"/>
        <v>0</v>
      </c>
      <c r="BG56">
        <f t="shared" si="70"/>
        <v>0</v>
      </c>
      <c r="BH56">
        <f t="shared" si="71"/>
        <v>0</v>
      </c>
      <c r="BI56">
        <f t="shared" si="71"/>
        <v>0</v>
      </c>
      <c r="BJ56">
        <f t="shared" si="71"/>
        <v>0</v>
      </c>
      <c r="BK56">
        <f t="shared" si="71"/>
        <v>0</v>
      </c>
      <c r="BL56">
        <f t="shared" si="71"/>
        <v>0</v>
      </c>
      <c r="BM56">
        <f t="shared" si="71"/>
        <v>0</v>
      </c>
      <c r="BN56">
        <f t="shared" si="71"/>
        <v>0</v>
      </c>
      <c r="BO56">
        <f t="shared" si="71"/>
        <v>0</v>
      </c>
      <c r="BP56">
        <f t="shared" si="71"/>
        <v>0</v>
      </c>
      <c r="BQ56">
        <f t="shared" si="71"/>
        <v>0</v>
      </c>
      <c r="BR56">
        <f t="shared" si="72"/>
        <v>0</v>
      </c>
      <c r="BS56">
        <f t="shared" si="72"/>
        <v>0</v>
      </c>
      <c r="BT56">
        <f t="shared" si="72"/>
        <v>0</v>
      </c>
      <c r="BU56">
        <f t="shared" si="72"/>
        <v>0</v>
      </c>
      <c r="BV56">
        <f t="shared" si="72"/>
        <v>0</v>
      </c>
      <c r="BW56">
        <f t="shared" si="72"/>
        <v>0</v>
      </c>
      <c r="BX56">
        <f t="shared" si="72"/>
        <v>0</v>
      </c>
      <c r="BY56">
        <f t="shared" si="72"/>
        <v>0</v>
      </c>
      <c r="BZ56">
        <f t="shared" si="72"/>
        <v>0</v>
      </c>
      <c r="CA56">
        <f t="shared" si="72"/>
        <v>0</v>
      </c>
      <c r="CB56">
        <f t="shared" si="73"/>
        <v>0</v>
      </c>
      <c r="CC56">
        <f t="shared" si="73"/>
        <v>0</v>
      </c>
      <c r="CD56">
        <f t="shared" si="73"/>
        <v>0</v>
      </c>
      <c r="CE56">
        <f t="shared" si="73"/>
        <v>0</v>
      </c>
      <c r="CF56">
        <f t="shared" si="73"/>
        <v>0</v>
      </c>
      <c r="CG56">
        <f t="shared" si="73"/>
        <v>0</v>
      </c>
      <c r="CH56">
        <f t="shared" si="73"/>
        <v>0</v>
      </c>
      <c r="CI56">
        <f t="shared" si="73"/>
        <v>0</v>
      </c>
      <c r="CJ56">
        <f t="shared" si="73"/>
        <v>0</v>
      </c>
      <c r="CK56">
        <f t="shared" si="73"/>
        <v>0</v>
      </c>
      <c r="CL56">
        <f t="shared" si="74"/>
        <v>0</v>
      </c>
      <c r="CM56">
        <f t="shared" si="74"/>
        <v>0</v>
      </c>
      <c r="CN56">
        <f t="shared" si="74"/>
        <v>0</v>
      </c>
      <c r="CO56">
        <f t="shared" si="74"/>
        <v>0</v>
      </c>
      <c r="CP56">
        <f t="shared" si="74"/>
        <v>0</v>
      </c>
      <c r="CQ56">
        <f t="shared" si="74"/>
        <v>0</v>
      </c>
      <c r="CR56">
        <f t="shared" si="74"/>
        <v>0</v>
      </c>
      <c r="CS56">
        <f t="shared" si="74"/>
        <v>0</v>
      </c>
      <c r="CT56">
        <f t="shared" si="74"/>
        <v>0</v>
      </c>
      <c r="CU56">
        <f t="shared" si="74"/>
        <v>0</v>
      </c>
      <c r="CV56">
        <f t="shared" si="75"/>
        <v>0</v>
      </c>
      <c r="CW56">
        <f t="shared" si="75"/>
        <v>0</v>
      </c>
      <c r="CX56">
        <f t="shared" si="75"/>
        <v>0</v>
      </c>
      <c r="CY56">
        <f t="shared" si="75"/>
        <v>0</v>
      </c>
      <c r="CZ56">
        <f t="shared" si="75"/>
        <v>0</v>
      </c>
      <c r="DA56">
        <f t="shared" si="75"/>
        <v>0</v>
      </c>
      <c r="DB56">
        <f t="shared" si="75"/>
        <v>0</v>
      </c>
      <c r="DC56">
        <f t="shared" si="75"/>
        <v>0</v>
      </c>
      <c r="DD56">
        <f t="shared" si="75"/>
        <v>0</v>
      </c>
      <c r="DE56">
        <f t="shared" si="75"/>
        <v>0</v>
      </c>
      <c r="DF56">
        <f t="shared" si="76"/>
        <v>0</v>
      </c>
      <c r="DG56">
        <f t="shared" si="76"/>
        <v>0</v>
      </c>
      <c r="DH56">
        <f t="shared" si="76"/>
        <v>0</v>
      </c>
      <c r="DI56">
        <f t="shared" si="76"/>
        <v>0</v>
      </c>
      <c r="DJ56">
        <f t="shared" si="76"/>
        <v>0</v>
      </c>
      <c r="DK56">
        <f t="shared" si="76"/>
        <v>0</v>
      </c>
      <c r="DL56">
        <f t="shared" si="76"/>
        <v>0</v>
      </c>
      <c r="DM56">
        <f t="shared" si="76"/>
        <v>0</v>
      </c>
      <c r="DN56">
        <f t="shared" si="76"/>
        <v>0</v>
      </c>
      <c r="DO56">
        <f t="shared" si="76"/>
        <v>0</v>
      </c>
      <c r="DP56">
        <f t="shared" si="77"/>
        <v>0</v>
      </c>
      <c r="DQ56">
        <f t="shared" si="77"/>
        <v>0</v>
      </c>
      <c r="DR56">
        <f t="shared" si="77"/>
        <v>0</v>
      </c>
      <c r="DS56">
        <f t="shared" si="77"/>
        <v>0</v>
      </c>
      <c r="DT56">
        <f t="shared" si="77"/>
        <v>0</v>
      </c>
      <c r="DU56">
        <f t="shared" si="77"/>
        <v>0</v>
      </c>
      <c r="DV56">
        <f t="shared" si="77"/>
        <v>0</v>
      </c>
      <c r="DW56">
        <f t="shared" si="77"/>
        <v>0</v>
      </c>
      <c r="DX56">
        <f t="shared" si="77"/>
        <v>0</v>
      </c>
      <c r="DY56">
        <f t="shared" si="77"/>
        <v>0</v>
      </c>
      <c r="DZ56">
        <f t="shared" si="78"/>
        <v>0</v>
      </c>
      <c r="EA56">
        <f t="shared" si="78"/>
        <v>0</v>
      </c>
      <c r="EB56">
        <f t="shared" si="78"/>
        <v>0</v>
      </c>
      <c r="EC56">
        <f t="shared" si="78"/>
        <v>0</v>
      </c>
      <c r="ED56">
        <f t="shared" si="78"/>
        <v>0</v>
      </c>
      <c r="EE56">
        <f t="shared" si="78"/>
        <v>0</v>
      </c>
      <c r="EF56">
        <f t="shared" si="78"/>
        <v>0</v>
      </c>
      <c r="EG56">
        <f t="shared" si="78"/>
        <v>0</v>
      </c>
      <c r="EH56">
        <f t="shared" si="78"/>
        <v>0</v>
      </c>
      <c r="EI56">
        <f t="shared" si="78"/>
        <v>0</v>
      </c>
      <c r="EJ56">
        <f>SUM(Tabla1[[#This Row],[1]:[130]])</f>
        <v>8</v>
      </c>
    </row>
    <row r="57" spans="1:140" x14ac:dyDescent="0.25">
      <c r="A57" t="str">
        <f>B57&amp;"-"&amp;COUNTIF($B$2:B57,B57)</f>
        <v>I. PAPAS FRITAS-2</v>
      </c>
      <c r="B57" s="35" t="s">
        <v>13</v>
      </c>
      <c r="C57">
        <f>VLOOKUP(B57,RECETAS!D56:$E$1700,2,FALSE)</f>
        <v>9500</v>
      </c>
      <c r="D57" s="34"/>
      <c r="G57" t="b">
        <f t="shared" si="0"/>
        <v>1</v>
      </c>
      <c r="I57" s="35" t="s">
        <v>60</v>
      </c>
      <c r="J57">
        <f t="shared" si="66"/>
        <v>0</v>
      </c>
      <c r="K57">
        <f t="shared" si="66"/>
        <v>0</v>
      </c>
      <c r="L57">
        <f t="shared" si="66"/>
        <v>0</v>
      </c>
      <c r="M57">
        <f t="shared" si="66"/>
        <v>0</v>
      </c>
      <c r="N57">
        <f t="shared" si="66"/>
        <v>0</v>
      </c>
      <c r="O57">
        <f t="shared" si="66"/>
        <v>0</v>
      </c>
      <c r="P57">
        <f t="shared" si="66"/>
        <v>0</v>
      </c>
      <c r="Q57">
        <f t="shared" si="66"/>
        <v>0</v>
      </c>
      <c r="R57">
        <f t="shared" si="66"/>
        <v>0</v>
      </c>
      <c r="S57">
        <f t="shared" si="66"/>
        <v>0</v>
      </c>
      <c r="T57">
        <f t="shared" si="67"/>
        <v>0</v>
      </c>
      <c r="U57">
        <f t="shared" si="67"/>
        <v>0</v>
      </c>
      <c r="V57">
        <f t="shared" si="67"/>
        <v>0</v>
      </c>
      <c r="W57">
        <f t="shared" si="67"/>
        <v>0</v>
      </c>
      <c r="X57">
        <f t="shared" si="67"/>
        <v>0</v>
      </c>
      <c r="Y57">
        <f t="shared" si="67"/>
        <v>0</v>
      </c>
      <c r="Z57">
        <f t="shared" si="67"/>
        <v>0</v>
      </c>
      <c r="AA57">
        <f t="shared" si="67"/>
        <v>0</v>
      </c>
      <c r="AB57">
        <f t="shared" si="67"/>
        <v>0</v>
      </c>
      <c r="AC57">
        <f t="shared" si="67"/>
        <v>0</v>
      </c>
      <c r="AD57">
        <f t="shared" si="68"/>
        <v>0</v>
      </c>
      <c r="AE57">
        <f t="shared" si="68"/>
        <v>0</v>
      </c>
      <c r="AF57">
        <f t="shared" si="68"/>
        <v>0</v>
      </c>
      <c r="AG57">
        <f t="shared" si="68"/>
        <v>0</v>
      </c>
      <c r="AH57">
        <f t="shared" si="68"/>
        <v>0</v>
      </c>
      <c r="AI57">
        <f t="shared" si="68"/>
        <v>0</v>
      </c>
      <c r="AJ57">
        <f t="shared" si="68"/>
        <v>0</v>
      </c>
      <c r="AK57">
        <f t="shared" si="68"/>
        <v>0</v>
      </c>
      <c r="AL57">
        <f t="shared" si="68"/>
        <v>0</v>
      </c>
      <c r="AM57">
        <f t="shared" si="68"/>
        <v>0</v>
      </c>
      <c r="AN57">
        <f t="shared" si="69"/>
        <v>0</v>
      </c>
      <c r="AO57">
        <f t="shared" si="69"/>
        <v>0</v>
      </c>
      <c r="AP57">
        <f t="shared" si="69"/>
        <v>0</v>
      </c>
      <c r="AQ57">
        <f t="shared" si="69"/>
        <v>0</v>
      </c>
      <c r="AR57">
        <f t="shared" si="69"/>
        <v>0</v>
      </c>
      <c r="AS57">
        <f t="shared" si="69"/>
        <v>0</v>
      </c>
      <c r="AT57">
        <f t="shared" si="69"/>
        <v>0</v>
      </c>
      <c r="AU57">
        <f t="shared" si="69"/>
        <v>0</v>
      </c>
      <c r="AV57">
        <f t="shared" si="69"/>
        <v>0</v>
      </c>
      <c r="AW57">
        <f t="shared" si="69"/>
        <v>0</v>
      </c>
      <c r="AX57">
        <f t="shared" si="70"/>
        <v>0</v>
      </c>
      <c r="AY57">
        <f t="shared" si="70"/>
        <v>0</v>
      </c>
      <c r="AZ57">
        <f t="shared" si="70"/>
        <v>0</v>
      </c>
      <c r="BA57">
        <f t="shared" si="70"/>
        <v>0</v>
      </c>
      <c r="BB57">
        <f t="shared" si="70"/>
        <v>0</v>
      </c>
      <c r="BC57">
        <f t="shared" si="70"/>
        <v>0</v>
      </c>
      <c r="BD57">
        <f t="shared" si="70"/>
        <v>0</v>
      </c>
      <c r="BE57">
        <f t="shared" si="70"/>
        <v>0</v>
      </c>
      <c r="BF57">
        <f t="shared" si="70"/>
        <v>0</v>
      </c>
      <c r="BG57">
        <f t="shared" si="70"/>
        <v>0</v>
      </c>
      <c r="BH57">
        <f t="shared" si="71"/>
        <v>0</v>
      </c>
      <c r="BI57">
        <f t="shared" si="71"/>
        <v>0</v>
      </c>
      <c r="BJ57">
        <f t="shared" si="71"/>
        <v>0</v>
      </c>
      <c r="BK57">
        <f t="shared" si="71"/>
        <v>0</v>
      </c>
      <c r="BL57">
        <f t="shared" si="71"/>
        <v>0</v>
      </c>
      <c r="BM57">
        <f t="shared" si="71"/>
        <v>0</v>
      </c>
      <c r="BN57">
        <f t="shared" si="71"/>
        <v>0</v>
      </c>
      <c r="BO57">
        <f t="shared" si="71"/>
        <v>0</v>
      </c>
      <c r="BP57">
        <f t="shared" si="71"/>
        <v>0</v>
      </c>
      <c r="BQ57">
        <f t="shared" si="71"/>
        <v>0</v>
      </c>
      <c r="BR57">
        <f t="shared" si="72"/>
        <v>0</v>
      </c>
      <c r="BS57">
        <f t="shared" si="72"/>
        <v>0</v>
      </c>
      <c r="BT57">
        <f t="shared" si="72"/>
        <v>0</v>
      </c>
      <c r="BU57">
        <f t="shared" si="72"/>
        <v>0</v>
      </c>
      <c r="BV57">
        <f t="shared" si="72"/>
        <v>0</v>
      </c>
      <c r="BW57">
        <f t="shared" si="72"/>
        <v>0</v>
      </c>
      <c r="BX57">
        <f t="shared" si="72"/>
        <v>0</v>
      </c>
      <c r="BY57">
        <f t="shared" si="72"/>
        <v>0</v>
      </c>
      <c r="BZ57">
        <f t="shared" si="72"/>
        <v>0</v>
      </c>
      <c r="CA57">
        <f t="shared" si="72"/>
        <v>0</v>
      </c>
      <c r="CB57">
        <f t="shared" si="73"/>
        <v>0</v>
      </c>
      <c r="CC57">
        <f t="shared" si="73"/>
        <v>0</v>
      </c>
      <c r="CD57">
        <f t="shared" si="73"/>
        <v>0</v>
      </c>
      <c r="CE57">
        <f t="shared" si="73"/>
        <v>0</v>
      </c>
      <c r="CF57">
        <f t="shared" si="73"/>
        <v>0</v>
      </c>
      <c r="CG57">
        <f t="shared" si="73"/>
        <v>0</v>
      </c>
      <c r="CH57">
        <f t="shared" si="73"/>
        <v>0</v>
      </c>
      <c r="CI57">
        <f t="shared" si="73"/>
        <v>0</v>
      </c>
      <c r="CJ57">
        <f t="shared" si="73"/>
        <v>0</v>
      </c>
      <c r="CK57">
        <f t="shared" si="73"/>
        <v>0</v>
      </c>
      <c r="CL57">
        <f t="shared" si="74"/>
        <v>0</v>
      </c>
      <c r="CM57">
        <f t="shared" si="74"/>
        <v>0</v>
      </c>
      <c r="CN57">
        <f t="shared" si="74"/>
        <v>0</v>
      </c>
      <c r="CO57">
        <f t="shared" si="74"/>
        <v>0</v>
      </c>
      <c r="CP57">
        <f t="shared" si="74"/>
        <v>0</v>
      </c>
      <c r="CQ57">
        <f t="shared" si="74"/>
        <v>0</v>
      </c>
      <c r="CR57">
        <f t="shared" si="74"/>
        <v>0</v>
      </c>
      <c r="CS57">
        <f t="shared" si="74"/>
        <v>0</v>
      </c>
      <c r="CT57">
        <f t="shared" si="74"/>
        <v>0</v>
      </c>
      <c r="CU57">
        <f t="shared" si="74"/>
        <v>0</v>
      </c>
      <c r="CV57">
        <f t="shared" si="75"/>
        <v>0</v>
      </c>
      <c r="CW57">
        <f t="shared" si="75"/>
        <v>0</v>
      </c>
      <c r="CX57">
        <f t="shared" si="75"/>
        <v>0</v>
      </c>
      <c r="CY57">
        <f t="shared" si="75"/>
        <v>0</v>
      </c>
      <c r="CZ57">
        <f t="shared" si="75"/>
        <v>0</v>
      </c>
      <c r="DA57">
        <f t="shared" si="75"/>
        <v>0</v>
      </c>
      <c r="DB57">
        <f t="shared" si="75"/>
        <v>0</v>
      </c>
      <c r="DC57">
        <f t="shared" si="75"/>
        <v>0</v>
      </c>
      <c r="DD57">
        <f t="shared" si="75"/>
        <v>0</v>
      </c>
      <c r="DE57">
        <f t="shared" si="75"/>
        <v>0</v>
      </c>
      <c r="DF57">
        <f t="shared" si="76"/>
        <v>0</v>
      </c>
      <c r="DG57">
        <f t="shared" si="76"/>
        <v>0</v>
      </c>
      <c r="DH57">
        <f t="shared" si="76"/>
        <v>0</v>
      </c>
      <c r="DI57">
        <f t="shared" si="76"/>
        <v>0</v>
      </c>
      <c r="DJ57">
        <f t="shared" si="76"/>
        <v>0</v>
      </c>
      <c r="DK57">
        <f t="shared" si="76"/>
        <v>0</v>
      </c>
      <c r="DL57">
        <f t="shared" si="76"/>
        <v>0</v>
      </c>
      <c r="DM57">
        <f t="shared" si="76"/>
        <v>0</v>
      </c>
      <c r="DN57">
        <f t="shared" si="76"/>
        <v>0</v>
      </c>
      <c r="DO57">
        <f t="shared" si="76"/>
        <v>0</v>
      </c>
      <c r="DP57">
        <f t="shared" si="77"/>
        <v>0</v>
      </c>
      <c r="DQ57">
        <f t="shared" si="77"/>
        <v>0</v>
      </c>
      <c r="DR57">
        <f t="shared" si="77"/>
        <v>0</v>
      </c>
      <c r="DS57">
        <f t="shared" si="77"/>
        <v>0</v>
      </c>
      <c r="DT57">
        <f t="shared" si="77"/>
        <v>0</v>
      </c>
      <c r="DU57">
        <f t="shared" si="77"/>
        <v>0</v>
      </c>
      <c r="DV57">
        <f t="shared" si="77"/>
        <v>0</v>
      </c>
      <c r="DW57">
        <f t="shared" si="77"/>
        <v>0</v>
      </c>
      <c r="DX57">
        <f t="shared" si="77"/>
        <v>0</v>
      </c>
      <c r="DY57">
        <f t="shared" si="77"/>
        <v>0</v>
      </c>
      <c r="DZ57">
        <f t="shared" si="78"/>
        <v>0</v>
      </c>
      <c r="EA57">
        <f t="shared" si="78"/>
        <v>0</v>
      </c>
      <c r="EB57">
        <f t="shared" si="78"/>
        <v>0</v>
      </c>
      <c r="EC57">
        <f t="shared" si="78"/>
        <v>0</v>
      </c>
      <c r="ED57">
        <f t="shared" si="78"/>
        <v>0</v>
      </c>
      <c r="EE57">
        <f t="shared" si="78"/>
        <v>0</v>
      </c>
      <c r="EF57">
        <f t="shared" si="78"/>
        <v>0</v>
      </c>
      <c r="EG57">
        <f t="shared" si="78"/>
        <v>0</v>
      </c>
      <c r="EH57">
        <f t="shared" si="78"/>
        <v>0</v>
      </c>
      <c r="EI57">
        <f t="shared" si="78"/>
        <v>0</v>
      </c>
      <c r="EJ57">
        <f>SUM(Tabla1[[#This Row],[1]:[130]])</f>
        <v>0</v>
      </c>
    </row>
    <row r="58" spans="1:140" x14ac:dyDescent="0.25">
      <c r="A58" t="str">
        <f>B58&amp;"-"&amp;COUNTIF($B$2:B58,B58)</f>
        <v>I. CAMARON APA-1</v>
      </c>
      <c r="B58" s="35" t="s">
        <v>17</v>
      </c>
      <c r="C58">
        <f>VLOOKUP(B58,RECETAS!D57:$E$1700,2,FALSE)</f>
        <v>76</v>
      </c>
      <c r="D58" s="34"/>
      <c r="G58" t="b">
        <f t="shared" si="0"/>
        <v>1</v>
      </c>
      <c r="I58" s="38" t="s">
        <v>584</v>
      </c>
      <c r="J58">
        <f t="shared" si="66"/>
        <v>12</v>
      </c>
      <c r="K58">
        <f t="shared" si="66"/>
        <v>0</v>
      </c>
      <c r="L58">
        <f t="shared" si="66"/>
        <v>0</v>
      </c>
      <c r="M58">
        <f t="shared" si="66"/>
        <v>0</v>
      </c>
      <c r="N58">
        <f t="shared" si="66"/>
        <v>0</v>
      </c>
      <c r="O58">
        <f t="shared" si="66"/>
        <v>0</v>
      </c>
      <c r="P58">
        <f t="shared" si="66"/>
        <v>0</v>
      </c>
      <c r="Q58">
        <f t="shared" si="66"/>
        <v>0</v>
      </c>
      <c r="R58">
        <f t="shared" si="66"/>
        <v>0</v>
      </c>
      <c r="S58">
        <f t="shared" si="66"/>
        <v>0</v>
      </c>
      <c r="T58">
        <f t="shared" si="67"/>
        <v>0</v>
      </c>
      <c r="U58">
        <f t="shared" si="67"/>
        <v>0</v>
      </c>
      <c r="V58">
        <f t="shared" si="67"/>
        <v>0</v>
      </c>
      <c r="W58">
        <f t="shared" si="67"/>
        <v>0</v>
      </c>
      <c r="X58">
        <f t="shared" si="67"/>
        <v>0</v>
      </c>
      <c r="Y58">
        <f t="shared" si="67"/>
        <v>0</v>
      </c>
      <c r="Z58">
        <f t="shared" si="67"/>
        <v>0</v>
      </c>
      <c r="AA58">
        <f t="shared" si="67"/>
        <v>0</v>
      </c>
      <c r="AB58">
        <f t="shared" si="67"/>
        <v>0</v>
      </c>
      <c r="AC58">
        <f t="shared" si="67"/>
        <v>0</v>
      </c>
      <c r="AD58">
        <f t="shared" si="68"/>
        <v>0</v>
      </c>
      <c r="AE58">
        <f t="shared" si="68"/>
        <v>0</v>
      </c>
      <c r="AF58">
        <f t="shared" si="68"/>
        <v>0</v>
      </c>
      <c r="AG58">
        <f t="shared" si="68"/>
        <v>0</v>
      </c>
      <c r="AH58">
        <f t="shared" si="68"/>
        <v>0</v>
      </c>
      <c r="AI58">
        <f t="shared" si="68"/>
        <v>0</v>
      </c>
      <c r="AJ58">
        <f t="shared" si="68"/>
        <v>0</v>
      </c>
      <c r="AK58">
        <f t="shared" si="68"/>
        <v>0</v>
      </c>
      <c r="AL58">
        <f t="shared" si="68"/>
        <v>0</v>
      </c>
      <c r="AM58">
        <f t="shared" si="68"/>
        <v>0</v>
      </c>
      <c r="AN58">
        <f t="shared" si="69"/>
        <v>0</v>
      </c>
      <c r="AO58">
        <f t="shared" si="69"/>
        <v>0</v>
      </c>
      <c r="AP58">
        <f t="shared" si="69"/>
        <v>0</v>
      </c>
      <c r="AQ58">
        <f t="shared" si="69"/>
        <v>0</v>
      </c>
      <c r="AR58">
        <f t="shared" si="69"/>
        <v>0</v>
      </c>
      <c r="AS58">
        <f t="shared" si="69"/>
        <v>0</v>
      </c>
      <c r="AT58">
        <f t="shared" si="69"/>
        <v>0</v>
      </c>
      <c r="AU58">
        <f t="shared" si="69"/>
        <v>0</v>
      </c>
      <c r="AV58">
        <f t="shared" si="69"/>
        <v>0</v>
      </c>
      <c r="AW58">
        <f t="shared" si="69"/>
        <v>0</v>
      </c>
      <c r="AX58">
        <f t="shared" si="70"/>
        <v>0</v>
      </c>
      <c r="AY58">
        <f t="shared" si="70"/>
        <v>0</v>
      </c>
      <c r="AZ58">
        <f t="shared" si="70"/>
        <v>0</v>
      </c>
      <c r="BA58">
        <f t="shared" si="70"/>
        <v>0</v>
      </c>
      <c r="BB58">
        <f t="shared" si="70"/>
        <v>0</v>
      </c>
      <c r="BC58">
        <f t="shared" si="70"/>
        <v>0</v>
      </c>
      <c r="BD58">
        <f t="shared" si="70"/>
        <v>0</v>
      </c>
      <c r="BE58">
        <f t="shared" si="70"/>
        <v>0</v>
      </c>
      <c r="BF58">
        <f t="shared" si="70"/>
        <v>0</v>
      </c>
      <c r="BG58">
        <f t="shared" si="70"/>
        <v>0</v>
      </c>
      <c r="BH58">
        <f t="shared" si="71"/>
        <v>0</v>
      </c>
      <c r="BI58">
        <f t="shared" si="71"/>
        <v>0</v>
      </c>
      <c r="BJ58">
        <f t="shared" si="71"/>
        <v>0</v>
      </c>
      <c r="BK58">
        <f t="shared" si="71"/>
        <v>0</v>
      </c>
      <c r="BL58">
        <f t="shared" si="71"/>
        <v>0</v>
      </c>
      <c r="BM58">
        <f t="shared" si="71"/>
        <v>0</v>
      </c>
      <c r="BN58">
        <f t="shared" si="71"/>
        <v>0</v>
      </c>
      <c r="BO58">
        <f t="shared" si="71"/>
        <v>0</v>
      </c>
      <c r="BP58">
        <f t="shared" si="71"/>
        <v>0</v>
      </c>
      <c r="BQ58">
        <f t="shared" si="71"/>
        <v>0</v>
      </c>
      <c r="BR58">
        <f t="shared" si="72"/>
        <v>0</v>
      </c>
      <c r="BS58">
        <f t="shared" si="72"/>
        <v>0</v>
      </c>
      <c r="BT58">
        <f t="shared" si="72"/>
        <v>0</v>
      </c>
      <c r="BU58">
        <f t="shared" si="72"/>
        <v>0</v>
      </c>
      <c r="BV58">
        <f t="shared" si="72"/>
        <v>0</v>
      </c>
      <c r="BW58">
        <f t="shared" si="72"/>
        <v>0</v>
      </c>
      <c r="BX58">
        <f t="shared" si="72"/>
        <v>0</v>
      </c>
      <c r="BY58">
        <f t="shared" si="72"/>
        <v>0</v>
      </c>
      <c r="BZ58">
        <f t="shared" si="72"/>
        <v>0</v>
      </c>
      <c r="CA58">
        <f t="shared" si="72"/>
        <v>0</v>
      </c>
      <c r="CB58">
        <f t="shared" si="73"/>
        <v>0</v>
      </c>
      <c r="CC58">
        <f t="shared" si="73"/>
        <v>0</v>
      </c>
      <c r="CD58">
        <f t="shared" si="73"/>
        <v>0</v>
      </c>
      <c r="CE58">
        <f t="shared" si="73"/>
        <v>0</v>
      </c>
      <c r="CF58">
        <f t="shared" si="73"/>
        <v>0</v>
      </c>
      <c r="CG58">
        <f t="shared" si="73"/>
        <v>0</v>
      </c>
      <c r="CH58">
        <f t="shared" si="73"/>
        <v>0</v>
      </c>
      <c r="CI58">
        <f t="shared" si="73"/>
        <v>0</v>
      </c>
      <c r="CJ58">
        <f t="shared" si="73"/>
        <v>0</v>
      </c>
      <c r="CK58">
        <f t="shared" si="73"/>
        <v>0</v>
      </c>
      <c r="CL58">
        <f t="shared" si="74"/>
        <v>0</v>
      </c>
      <c r="CM58">
        <f t="shared" si="74"/>
        <v>0</v>
      </c>
      <c r="CN58">
        <f t="shared" si="74"/>
        <v>0</v>
      </c>
      <c r="CO58">
        <f t="shared" si="74"/>
        <v>0</v>
      </c>
      <c r="CP58">
        <f t="shared" si="74"/>
        <v>0</v>
      </c>
      <c r="CQ58">
        <f t="shared" si="74"/>
        <v>0</v>
      </c>
      <c r="CR58">
        <f t="shared" si="74"/>
        <v>0</v>
      </c>
      <c r="CS58">
        <f t="shared" si="74"/>
        <v>0</v>
      </c>
      <c r="CT58">
        <f t="shared" si="74"/>
        <v>0</v>
      </c>
      <c r="CU58">
        <f t="shared" si="74"/>
        <v>0</v>
      </c>
      <c r="CV58">
        <f t="shared" si="75"/>
        <v>0</v>
      </c>
      <c r="CW58">
        <f t="shared" si="75"/>
        <v>0</v>
      </c>
      <c r="CX58">
        <f t="shared" si="75"/>
        <v>0</v>
      </c>
      <c r="CY58">
        <f t="shared" si="75"/>
        <v>0</v>
      </c>
      <c r="CZ58">
        <f t="shared" si="75"/>
        <v>0</v>
      </c>
      <c r="DA58">
        <f t="shared" si="75"/>
        <v>0</v>
      </c>
      <c r="DB58">
        <f t="shared" si="75"/>
        <v>0</v>
      </c>
      <c r="DC58">
        <f t="shared" si="75"/>
        <v>0</v>
      </c>
      <c r="DD58">
        <f t="shared" si="75"/>
        <v>0</v>
      </c>
      <c r="DE58">
        <f t="shared" si="75"/>
        <v>0</v>
      </c>
      <c r="DF58">
        <f t="shared" si="76"/>
        <v>0</v>
      </c>
      <c r="DG58">
        <f t="shared" si="76"/>
        <v>0</v>
      </c>
      <c r="DH58">
        <f t="shared" si="76"/>
        <v>0</v>
      </c>
      <c r="DI58">
        <f t="shared" si="76"/>
        <v>0</v>
      </c>
      <c r="DJ58">
        <f t="shared" si="76"/>
        <v>0</v>
      </c>
      <c r="DK58">
        <f t="shared" si="76"/>
        <v>0</v>
      </c>
      <c r="DL58">
        <f t="shared" si="76"/>
        <v>0</v>
      </c>
      <c r="DM58">
        <f t="shared" si="76"/>
        <v>0</v>
      </c>
      <c r="DN58">
        <f t="shared" si="76"/>
        <v>0</v>
      </c>
      <c r="DO58">
        <f t="shared" si="76"/>
        <v>0</v>
      </c>
      <c r="DP58">
        <f t="shared" si="77"/>
        <v>0</v>
      </c>
      <c r="DQ58">
        <f t="shared" si="77"/>
        <v>0</v>
      </c>
      <c r="DR58">
        <f t="shared" si="77"/>
        <v>0</v>
      </c>
      <c r="DS58">
        <f t="shared" si="77"/>
        <v>0</v>
      </c>
      <c r="DT58">
        <f t="shared" si="77"/>
        <v>0</v>
      </c>
      <c r="DU58">
        <f t="shared" si="77"/>
        <v>0</v>
      </c>
      <c r="DV58">
        <f t="shared" si="77"/>
        <v>0</v>
      </c>
      <c r="DW58">
        <f t="shared" si="77"/>
        <v>0</v>
      </c>
      <c r="DX58">
        <f t="shared" si="77"/>
        <v>0</v>
      </c>
      <c r="DY58">
        <f t="shared" si="77"/>
        <v>0</v>
      </c>
      <c r="DZ58">
        <f t="shared" si="78"/>
        <v>0</v>
      </c>
      <c r="EA58">
        <f t="shared" si="78"/>
        <v>0</v>
      </c>
      <c r="EB58">
        <f t="shared" si="78"/>
        <v>0</v>
      </c>
      <c r="EC58">
        <f t="shared" si="78"/>
        <v>0</v>
      </c>
      <c r="ED58">
        <f t="shared" si="78"/>
        <v>0</v>
      </c>
      <c r="EE58">
        <f t="shared" si="78"/>
        <v>0</v>
      </c>
      <c r="EF58">
        <f t="shared" si="78"/>
        <v>0</v>
      </c>
      <c r="EG58">
        <f t="shared" si="78"/>
        <v>0</v>
      </c>
      <c r="EH58">
        <f t="shared" si="78"/>
        <v>0</v>
      </c>
      <c r="EI58">
        <f t="shared" si="78"/>
        <v>0</v>
      </c>
      <c r="EJ58">
        <f>SUM(Tabla1[[#This Row],[1]:[130]])</f>
        <v>12</v>
      </c>
    </row>
    <row r="59" spans="1:140" x14ac:dyDescent="0.25">
      <c r="A59" t="str">
        <f>B59&amp;"-"&amp;COUNTIF($B$2:B59,B59)</f>
        <v>I. EMPANADA PORC-3</v>
      </c>
      <c r="B59" s="35" t="s">
        <v>0</v>
      </c>
      <c r="C59">
        <f>VLOOKUP(B59,RECETAS!D58:$E$1700,2,FALSE)</f>
        <v>38</v>
      </c>
      <c r="D59" s="34"/>
      <c r="G59" t="b">
        <f t="shared" si="0"/>
        <v>1</v>
      </c>
      <c r="I59" s="36" t="s">
        <v>61</v>
      </c>
      <c r="J59">
        <f t="shared" si="66"/>
        <v>39</v>
      </c>
      <c r="K59">
        <f t="shared" si="66"/>
        <v>9</v>
      </c>
      <c r="L59">
        <f t="shared" si="66"/>
        <v>10</v>
      </c>
      <c r="M59">
        <f t="shared" si="66"/>
        <v>0</v>
      </c>
      <c r="N59">
        <f t="shared" si="66"/>
        <v>0</v>
      </c>
      <c r="O59">
        <f t="shared" si="66"/>
        <v>0</v>
      </c>
      <c r="P59">
        <f t="shared" si="66"/>
        <v>0</v>
      </c>
      <c r="Q59">
        <f t="shared" si="66"/>
        <v>0</v>
      </c>
      <c r="R59">
        <f t="shared" si="66"/>
        <v>0</v>
      </c>
      <c r="S59">
        <f t="shared" si="66"/>
        <v>0</v>
      </c>
      <c r="T59">
        <f t="shared" si="67"/>
        <v>0</v>
      </c>
      <c r="U59">
        <f t="shared" si="67"/>
        <v>0</v>
      </c>
      <c r="V59">
        <f t="shared" si="67"/>
        <v>0</v>
      </c>
      <c r="W59">
        <f t="shared" si="67"/>
        <v>0</v>
      </c>
      <c r="X59">
        <f t="shared" si="67"/>
        <v>0</v>
      </c>
      <c r="Y59">
        <f t="shared" si="67"/>
        <v>0</v>
      </c>
      <c r="Z59">
        <f t="shared" si="67"/>
        <v>0</v>
      </c>
      <c r="AA59">
        <f t="shared" si="67"/>
        <v>0</v>
      </c>
      <c r="AB59">
        <f t="shared" si="67"/>
        <v>0</v>
      </c>
      <c r="AC59">
        <f t="shared" si="67"/>
        <v>0</v>
      </c>
      <c r="AD59">
        <f t="shared" si="68"/>
        <v>0</v>
      </c>
      <c r="AE59">
        <f t="shared" si="68"/>
        <v>0</v>
      </c>
      <c r="AF59">
        <f t="shared" si="68"/>
        <v>0</v>
      </c>
      <c r="AG59">
        <f t="shared" si="68"/>
        <v>0</v>
      </c>
      <c r="AH59">
        <f t="shared" si="68"/>
        <v>0</v>
      </c>
      <c r="AI59">
        <f t="shared" si="68"/>
        <v>0</v>
      </c>
      <c r="AJ59">
        <f t="shared" si="68"/>
        <v>0</v>
      </c>
      <c r="AK59">
        <f t="shared" si="68"/>
        <v>0</v>
      </c>
      <c r="AL59">
        <f t="shared" si="68"/>
        <v>0</v>
      </c>
      <c r="AM59">
        <f t="shared" si="68"/>
        <v>0</v>
      </c>
      <c r="AN59">
        <f t="shared" si="69"/>
        <v>0</v>
      </c>
      <c r="AO59">
        <f t="shared" si="69"/>
        <v>0</v>
      </c>
      <c r="AP59">
        <f t="shared" si="69"/>
        <v>0</v>
      </c>
      <c r="AQ59">
        <f t="shared" si="69"/>
        <v>0</v>
      </c>
      <c r="AR59">
        <f t="shared" si="69"/>
        <v>0</v>
      </c>
      <c r="AS59">
        <f t="shared" si="69"/>
        <v>0</v>
      </c>
      <c r="AT59">
        <f t="shared" si="69"/>
        <v>0</v>
      </c>
      <c r="AU59">
        <f t="shared" si="69"/>
        <v>0</v>
      </c>
      <c r="AV59">
        <f t="shared" si="69"/>
        <v>0</v>
      </c>
      <c r="AW59">
        <f t="shared" si="69"/>
        <v>0</v>
      </c>
      <c r="AX59">
        <f t="shared" si="70"/>
        <v>0</v>
      </c>
      <c r="AY59">
        <f t="shared" si="70"/>
        <v>0</v>
      </c>
      <c r="AZ59">
        <f t="shared" si="70"/>
        <v>0</v>
      </c>
      <c r="BA59">
        <f t="shared" si="70"/>
        <v>0</v>
      </c>
      <c r="BB59">
        <f t="shared" si="70"/>
        <v>0</v>
      </c>
      <c r="BC59">
        <f t="shared" si="70"/>
        <v>0</v>
      </c>
      <c r="BD59">
        <f t="shared" si="70"/>
        <v>0</v>
      </c>
      <c r="BE59">
        <f t="shared" si="70"/>
        <v>0</v>
      </c>
      <c r="BF59">
        <f t="shared" si="70"/>
        <v>0</v>
      </c>
      <c r="BG59">
        <f t="shared" si="70"/>
        <v>0</v>
      </c>
      <c r="BH59">
        <f t="shared" si="71"/>
        <v>0</v>
      </c>
      <c r="BI59">
        <f t="shared" si="71"/>
        <v>0</v>
      </c>
      <c r="BJ59">
        <f t="shared" si="71"/>
        <v>0</v>
      </c>
      <c r="BK59">
        <f t="shared" si="71"/>
        <v>0</v>
      </c>
      <c r="BL59">
        <f t="shared" si="71"/>
        <v>0</v>
      </c>
      <c r="BM59">
        <f t="shared" si="71"/>
        <v>0</v>
      </c>
      <c r="BN59">
        <f t="shared" si="71"/>
        <v>0</v>
      </c>
      <c r="BO59">
        <f t="shared" si="71"/>
        <v>0</v>
      </c>
      <c r="BP59">
        <f t="shared" si="71"/>
        <v>0</v>
      </c>
      <c r="BQ59">
        <f t="shared" si="71"/>
        <v>0</v>
      </c>
      <c r="BR59">
        <f t="shared" si="72"/>
        <v>0</v>
      </c>
      <c r="BS59">
        <f t="shared" si="72"/>
        <v>0</v>
      </c>
      <c r="BT59">
        <f t="shared" si="72"/>
        <v>0</v>
      </c>
      <c r="BU59">
        <f t="shared" si="72"/>
        <v>0</v>
      </c>
      <c r="BV59">
        <f t="shared" si="72"/>
        <v>0</v>
      </c>
      <c r="BW59">
        <f t="shared" si="72"/>
        <v>0</v>
      </c>
      <c r="BX59">
        <f t="shared" si="72"/>
        <v>0</v>
      </c>
      <c r="BY59">
        <f t="shared" si="72"/>
        <v>0</v>
      </c>
      <c r="BZ59">
        <f t="shared" si="72"/>
        <v>0</v>
      </c>
      <c r="CA59">
        <f t="shared" si="72"/>
        <v>0</v>
      </c>
      <c r="CB59">
        <f t="shared" si="73"/>
        <v>0</v>
      </c>
      <c r="CC59">
        <f t="shared" si="73"/>
        <v>0</v>
      </c>
      <c r="CD59">
        <f t="shared" si="73"/>
        <v>0</v>
      </c>
      <c r="CE59">
        <f t="shared" si="73"/>
        <v>0</v>
      </c>
      <c r="CF59">
        <f t="shared" si="73"/>
        <v>0</v>
      </c>
      <c r="CG59">
        <f t="shared" si="73"/>
        <v>0</v>
      </c>
      <c r="CH59">
        <f t="shared" si="73"/>
        <v>0</v>
      </c>
      <c r="CI59">
        <f t="shared" si="73"/>
        <v>0</v>
      </c>
      <c r="CJ59">
        <f t="shared" si="73"/>
        <v>0</v>
      </c>
      <c r="CK59">
        <f t="shared" si="73"/>
        <v>0</v>
      </c>
      <c r="CL59">
        <f t="shared" si="74"/>
        <v>0</v>
      </c>
      <c r="CM59">
        <f t="shared" si="74"/>
        <v>0</v>
      </c>
      <c r="CN59">
        <f t="shared" si="74"/>
        <v>0</v>
      </c>
      <c r="CO59">
        <f t="shared" si="74"/>
        <v>0</v>
      </c>
      <c r="CP59">
        <f t="shared" si="74"/>
        <v>0</v>
      </c>
      <c r="CQ59">
        <f t="shared" si="74"/>
        <v>0</v>
      </c>
      <c r="CR59">
        <f t="shared" si="74"/>
        <v>0</v>
      </c>
      <c r="CS59">
        <f t="shared" si="74"/>
        <v>0</v>
      </c>
      <c r="CT59">
        <f t="shared" si="74"/>
        <v>0</v>
      </c>
      <c r="CU59">
        <f t="shared" si="74"/>
        <v>0</v>
      </c>
      <c r="CV59">
        <f t="shared" si="75"/>
        <v>0</v>
      </c>
      <c r="CW59">
        <f t="shared" si="75"/>
        <v>0</v>
      </c>
      <c r="CX59">
        <f t="shared" si="75"/>
        <v>0</v>
      </c>
      <c r="CY59">
        <f t="shared" si="75"/>
        <v>0</v>
      </c>
      <c r="CZ59">
        <f t="shared" si="75"/>
        <v>0</v>
      </c>
      <c r="DA59">
        <f t="shared" si="75"/>
        <v>0</v>
      </c>
      <c r="DB59">
        <f t="shared" si="75"/>
        <v>0</v>
      </c>
      <c r="DC59">
        <f t="shared" si="75"/>
        <v>0</v>
      </c>
      <c r="DD59">
        <f t="shared" si="75"/>
        <v>0</v>
      </c>
      <c r="DE59">
        <f t="shared" si="75"/>
        <v>0</v>
      </c>
      <c r="DF59">
        <f t="shared" si="76"/>
        <v>0</v>
      </c>
      <c r="DG59">
        <f t="shared" si="76"/>
        <v>0</v>
      </c>
      <c r="DH59">
        <f t="shared" si="76"/>
        <v>0</v>
      </c>
      <c r="DI59">
        <f t="shared" si="76"/>
        <v>0</v>
      </c>
      <c r="DJ59">
        <f t="shared" si="76"/>
        <v>0</v>
      </c>
      <c r="DK59">
        <f t="shared" si="76"/>
        <v>0</v>
      </c>
      <c r="DL59">
        <f t="shared" si="76"/>
        <v>0</v>
      </c>
      <c r="DM59">
        <f t="shared" si="76"/>
        <v>0</v>
      </c>
      <c r="DN59">
        <f t="shared" si="76"/>
        <v>0</v>
      </c>
      <c r="DO59">
        <f t="shared" si="76"/>
        <v>0</v>
      </c>
      <c r="DP59">
        <f t="shared" si="77"/>
        <v>0</v>
      </c>
      <c r="DQ59">
        <f t="shared" si="77"/>
        <v>0</v>
      </c>
      <c r="DR59">
        <f t="shared" si="77"/>
        <v>0</v>
      </c>
      <c r="DS59">
        <f t="shared" si="77"/>
        <v>0</v>
      </c>
      <c r="DT59">
        <f t="shared" si="77"/>
        <v>0</v>
      </c>
      <c r="DU59">
        <f t="shared" si="77"/>
        <v>0</v>
      </c>
      <c r="DV59">
        <f t="shared" si="77"/>
        <v>0</v>
      </c>
      <c r="DW59">
        <f t="shared" si="77"/>
        <v>0</v>
      </c>
      <c r="DX59">
        <f t="shared" si="77"/>
        <v>0</v>
      </c>
      <c r="DY59">
        <f t="shared" si="77"/>
        <v>0</v>
      </c>
      <c r="DZ59">
        <f t="shared" si="78"/>
        <v>0</v>
      </c>
      <c r="EA59">
        <f t="shared" si="78"/>
        <v>0</v>
      </c>
      <c r="EB59">
        <f t="shared" si="78"/>
        <v>0</v>
      </c>
      <c r="EC59">
        <f t="shared" si="78"/>
        <v>0</v>
      </c>
      <c r="ED59">
        <f t="shared" si="78"/>
        <v>0</v>
      </c>
      <c r="EE59">
        <f t="shared" si="78"/>
        <v>0</v>
      </c>
      <c r="EF59">
        <f t="shared" si="78"/>
        <v>0</v>
      </c>
      <c r="EG59">
        <f t="shared" si="78"/>
        <v>0</v>
      </c>
      <c r="EH59">
        <f t="shared" si="78"/>
        <v>0</v>
      </c>
      <c r="EI59">
        <f t="shared" si="78"/>
        <v>0</v>
      </c>
      <c r="EJ59">
        <f>SUM(Tabla1[[#This Row],[1]:[130]])</f>
        <v>58</v>
      </c>
    </row>
    <row r="60" spans="1:140" x14ac:dyDescent="0.25">
      <c r="A60" t="str">
        <f>B60&amp;"-"&amp;COUNTIF($B$2:B60,B60)</f>
        <v>I. PALTA-8</v>
      </c>
      <c r="B60" s="35" t="s">
        <v>35</v>
      </c>
      <c r="C60">
        <f>VLOOKUP(B60,RECETAS!D59:$E$1700,2,FALSE)</f>
        <v>1900</v>
      </c>
      <c r="D60" s="34"/>
      <c r="G60" t="b">
        <f t="shared" si="0"/>
        <v>1</v>
      </c>
      <c r="I60" s="36" t="s">
        <v>62</v>
      </c>
      <c r="J60">
        <f t="shared" si="66"/>
        <v>27</v>
      </c>
      <c r="K60">
        <f t="shared" si="66"/>
        <v>6</v>
      </c>
      <c r="L60">
        <f t="shared" si="66"/>
        <v>1</v>
      </c>
      <c r="M60">
        <f t="shared" si="66"/>
        <v>0</v>
      </c>
      <c r="N60">
        <f t="shared" si="66"/>
        <v>0</v>
      </c>
      <c r="O60">
        <f t="shared" si="66"/>
        <v>0</v>
      </c>
      <c r="P60">
        <f t="shared" si="66"/>
        <v>0</v>
      </c>
      <c r="Q60">
        <f t="shared" si="66"/>
        <v>0</v>
      </c>
      <c r="R60">
        <f t="shared" si="66"/>
        <v>0</v>
      </c>
      <c r="S60">
        <f t="shared" si="66"/>
        <v>0</v>
      </c>
      <c r="T60">
        <f t="shared" si="67"/>
        <v>0</v>
      </c>
      <c r="U60">
        <f t="shared" si="67"/>
        <v>0</v>
      </c>
      <c r="V60">
        <f t="shared" si="67"/>
        <v>0</v>
      </c>
      <c r="W60">
        <f t="shared" si="67"/>
        <v>0</v>
      </c>
      <c r="X60">
        <f t="shared" si="67"/>
        <v>0</v>
      </c>
      <c r="Y60">
        <f t="shared" si="67"/>
        <v>0</v>
      </c>
      <c r="Z60">
        <f t="shared" si="67"/>
        <v>0</v>
      </c>
      <c r="AA60">
        <f t="shared" si="67"/>
        <v>0</v>
      </c>
      <c r="AB60">
        <f t="shared" si="67"/>
        <v>0</v>
      </c>
      <c r="AC60">
        <f t="shared" si="67"/>
        <v>0</v>
      </c>
      <c r="AD60">
        <f t="shared" si="68"/>
        <v>0</v>
      </c>
      <c r="AE60">
        <f t="shared" si="68"/>
        <v>0</v>
      </c>
      <c r="AF60">
        <f t="shared" si="68"/>
        <v>0</v>
      </c>
      <c r="AG60">
        <f t="shared" si="68"/>
        <v>0</v>
      </c>
      <c r="AH60">
        <f t="shared" si="68"/>
        <v>0</v>
      </c>
      <c r="AI60">
        <f t="shared" si="68"/>
        <v>0</v>
      </c>
      <c r="AJ60">
        <f t="shared" si="68"/>
        <v>0</v>
      </c>
      <c r="AK60">
        <f t="shared" si="68"/>
        <v>0</v>
      </c>
      <c r="AL60">
        <f t="shared" si="68"/>
        <v>0</v>
      </c>
      <c r="AM60">
        <f t="shared" si="68"/>
        <v>0</v>
      </c>
      <c r="AN60">
        <f t="shared" si="69"/>
        <v>0</v>
      </c>
      <c r="AO60">
        <f t="shared" si="69"/>
        <v>0</v>
      </c>
      <c r="AP60">
        <f t="shared" si="69"/>
        <v>0</v>
      </c>
      <c r="AQ60">
        <f t="shared" si="69"/>
        <v>0</v>
      </c>
      <c r="AR60">
        <f t="shared" si="69"/>
        <v>0</v>
      </c>
      <c r="AS60">
        <f t="shared" si="69"/>
        <v>0</v>
      </c>
      <c r="AT60">
        <f t="shared" si="69"/>
        <v>0</v>
      </c>
      <c r="AU60">
        <f t="shared" si="69"/>
        <v>0</v>
      </c>
      <c r="AV60">
        <f t="shared" si="69"/>
        <v>0</v>
      </c>
      <c r="AW60">
        <f t="shared" si="69"/>
        <v>0</v>
      </c>
      <c r="AX60">
        <f t="shared" si="70"/>
        <v>0</v>
      </c>
      <c r="AY60">
        <f t="shared" si="70"/>
        <v>0</v>
      </c>
      <c r="AZ60">
        <f t="shared" si="70"/>
        <v>0</v>
      </c>
      <c r="BA60">
        <f t="shared" si="70"/>
        <v>0</v>
      </c>
      <c r="BB60">
        <f t="shared" si="70"/>
        <v>0</v>
      </c>
      <c r="BC60">
        <f t="shared" si="70"/>
        <v>0</v>
      </c>
      <c r="BD60">
        <f t="shared" si="70"/>
        <v>0</v>
      </c>
      <c r="BE60">
        <f t="shared" si="70"/>
        <v>0</v>
      </c>
      <c r="BF60">
        <f t="shared" si="70"/>
        <v>0</v>
      </c>
      <c r="BG60">
        <f t="shared" si="70"/>
        <v>0</v>
      </c>
      <c r="BH60">
        <f t="shared" si="71"/>
        <v>0</v>
      </c>
      <c r="BI60">
        <f t="shared" si="71"/>
        <v>0</v>
      </c>
      <c r="BJ60">
        <f t="shared" si="71"/>
        <v>0</v>
      </c>
      <c r="BK60">
        <f t="shared" si="71"/>
        <v>0</v>
      </c>
      <c r="BL60">
        <f t="shared" si="71"/>
        <v>0</v>
      </c>
      <c r="BM60">
        <f t="shared" si="71"/>
        <v>0</v>
      </c>
      <c r="BN60">
        <f t="shared" si="71"/>
        <v>0</v>
      </c>
      <c r="BO60">
        <f t="shared" si="71"/>
        <v>0</v>
      </c>
      <c r="BP60">
        <f t="shared" si="71"/>
        <v>0</v>
      </c>
      <c r="BQ60">
        <f t="shared" si="71"/>
        <v>0</v>
      </c>
      <c r="BR60">
        <f t="shared" si="72"/>
        <v>0</v>
      </c>
      <c r="BS60">
        <f t="shared" si="72"/>
        <v>0</v>
      </c>
      <c r="BT60">
        <f t="shared" si="72"/>
        <v>0</v>
      </c>
      <c r="BU60">
        <f t="shared" si="72"/>
        <v>0</v>
      </c>
      <c r="BV60">
        <f t="shared" si="72"/>
        <v>0</v>
      </c>
      <c r="BW60">
        <f t="shared" si="72"/>
        <v>0</v>
      </c>
      <c r="BX60">
        <f t="shared" si="72"/>
        <v>0</v>
      </c>
      <c r="BY60">
        <f t="shared" si="72"/>
        <v>0</v>
      </c>
      <c r="BZ60">
        <f t="shared" si="72"/>
        <v>0</v>
      </c>
      <c r="CA60">
        <f t="shared" si="72"/>
        <v>0</v>
      </c>
      <c r="CB60">
        <f t="shared" si="73"/>
        <v>0</v>
      </c>
      <c r="CC60">
        <f t="shared" si="73"/>
        <v>0</v>
      </c>
      <c r="CD60">
        <f t="shared" si="73"/>
        <v>0</v>
      </c>
      <c r="CE60">
        <f t="shared" si="73"/>
        <v>0</v>
      </c>
      <c r="CF60">
        <f t="shared" si="73"/>
        <v>0</v>
      </c>
      <c r="CG60">
        <f t="shared" si="73"/>
        <v>0</v>
      </c>
      <c r="CH60">
        <f t="shared" si="73"/>
        <v>0</v>
      </c>
      <c r="CI60">
        <f t="shared" si="73"/>
        <v>0</v>
      </c>
      <c r="CJ60">
        <f t="shared" si="73"/>
        <v>0</v>
      </c>
      <c r="CK60">
        <f t="shared" si="73"/>
        <v>0</v>
      </c>
      <c r="CL60">
        <f t="shared" si="74"/>
        <v>0</v>
      </c>
      <c r="CM60">
        <f t="shared" si="74"/>
        <v>0</v>
      </c>
      <c r="CN60">
        <f t="shared" si="74"/>
        <v>0</v>
      </c>
      <c r="CO60">
        <f t="shared" si="74"/>
        <v>0</v>
      </c>
      <c r="CP60">
        <f t="shared" si="74"/>
        <v>0</v>
      </c>
      <c r="CQ60">
        <f t="shared" si="74"/>
        <v>0</v>
      </c>
      <c r="CR60">
        <f t="shared" si="74"/>
        <v>0</v>
      </c>
      <c r="CS60">
        <f t="shared" si="74"/>
        <v>0</v>
      </c>
      <c r="CT60">
        <f t="shared" si="74"/>
        <v>0</v>
      </c>
      <c r="CU60">
        <f t="shared" si="74"/>
        <v>0</v>
      </c>
      <c r="CV60">
        <f t="shared" si="75"/>
        <v>0</v>
      </c>
      <c r="CW60">
        <f t="shared" si="75"/>
        <v>0</v>
      </c>
      <c r="CX60">
        <f t="shared" si="75"/>
        <v>0</v>
      </c>
      <c r="CY60">
        <f t="shared" si="75"/>
        <v>0</v>
      </c>
      <c r="CZ60">
        <f t="shared" si="75"/>
        <v>0</v>
      </c>
      <c r="DA60">
        <f t="shared" si="75"/>
        <v>0</v>
      </c>
      <c r="DB60">
        <f t="shared" si="75"/>
        <v>0</v>
      </c>
      <c r="DC60">
        <f t="shared" si="75"/>
        <v>0</v>
      </c>
      <c r="DD60">
        <f t="shared" si="75"/>
        <v>0</v>
      </c>
      <c r="DE60">
        <f t="shared" si="75"/>
        <v>0</v>
      </c>
      <c r="DF60">
        <f t="shared" si="76"/>
        <v>0</v>
      </c>
      <c r="DG60">
        <f t="shared" si="76"/>
        <v>0</v>
      </c>
      <c r="DH60">
        <f t="shared" si="76"/>
        <v>0</v>
      </c>
      <c r="DI60">
        <f t="shared" si="76"/>
        <v>0</v>
      </c>
      <c r="DJ60">
        <f t="shared" si="76"/>
        <v>0</v>
      </c>
      <c r="DK60">
        <f t="shared" si="76"/>
        <v>0</v>
      </c>
      <c r="DL60">
        <f t="shared" si="76"/>
        <v>0</v>
      </c>
      <c r="DM60">
        <f t="shared" si="76"/>
        <v>0</v>
      </c>
      <c r="DN60">
        <f t="shared" si="76"/>
        <v>0</v>
      </c>
      <c r="DO60">
        <f t="shared" si="76"/>
        <v>0</v>
      </c>
      <c r="DP60">
        <f t="shared" si="77"/>
        <v>0</v>
      </c>
      <c r="DQ60">
        <f t="shared" si="77"/>
        <v>0</v>
      </c>
      <c r="DR60">
        <f t="shared" si="77"/>
        <v>0</v>
      </c>
      <c r="DS60">
        <f t="shared" si="77"/>
        <v>0</v>
      </c>
      <c r="DT60">
        <f t="shared" si="77"/>
        <v>0</v>
      </c>
      <c r="DU60">
        <f t="shared" si="77"/>
        <v>0</v>
      </c>
      <c r="DV60">
        <f t="shared" si="77"/>
        <v>0</v>
      </c>
      <c r="DW60">
        <f t="shared" si="77"/>
        <v>0</v>
      </c>
      <c r="DX60">
        <f t="shared" si="77"/>
        <v>0</v>
      </c>
      <c r="DY60">
        <f t="shared" si="77"/>
        <v>0</v>
      </c>
      <c r="DZ60">
        <f t="shared" si="78"/>
        <v>0</v>
      </c>
      <c r="EA60">
        <f t="shared" si="78"/>
        <v>0</v>
      </c>
      <c r="EB60">
        <f t="shared" si="78"/>
        <v>0</v>
      </c>
      <c r="EC60">
        <f t="shared" si="78"/>
        <v>0</v>
      </c>
      <c r="ED60">
        <f t="shared" si="78"/>
        <v>0</v>
      </c>
      <c r="EE60">
        <f t="shared" si="78"/>
        <v>0</v>
      </c>
      <c r="EF60">
        <f t="shared" si="78"/>
        <v>0</v>
      </c>
      <c r="EG60">
        <f t="shared" si="78"/>
        <v>0</v>
      </c>
      <c r="EH60">
        <f t="shared" si="78"/>
        <v>0</v>
      </c>
      <c r="EI60">
        <f t="shared" si="78"/>
        <v>0</v>
      </c>
      <c r="EJ60">
        <f>SUM(Tabla1[[#This Row],[1]:[130]])</f>
        <v>34</v>
      </c>
    </row>
    <row r="61" spans="1:140" x14ac:dyDescent="0.25">
      <c r="A61" t="str">
        <f>B61&amp;"-"&amp;COUNTIF($B$2:B61,B61)</f>
        <v>I. CREMA ESPESA-9</v>
      </c>
      <c r="B61" s="35" t="s">
        <v>16</v>
      </c>
      <c r="C61">
        <f>VLOOKUP(B61,RECETAS!D60:$E$1700,2,FALSE)</f>
        <v>1900</v>
      </c>
      <c r="D61" s="34"/>
      <c r="G61" t="b">
        <f t="shared" si="0"/>
        <v>1</v>
      </c>
      <c r="I61" s="35" t="s">
        <v>312</v>
      </c>
      <c r="J61">
        <f t="shared" si="66"/>
        <v>4</v>
      </c>
      <c r="K61">
        <f t="shared" si="66"/>
        <v>0</v>
      </c>
      <c r="L61">
        <f t="shared" si="66"/>
        <v>0</v>
      </c>
      <c r="M61">
        <f t="shared" si="66"/>
        <v>0</v>
      </c>
      <c r="N61">
        <f t="shared" si="66"/>
        <v>0</v>
      </c>
      <c r="O61">
        <f t="shared" si="66"/>
        <v>0</v>
      </c>
      <c r="P61">
        <f t="shared" si="66"/>
        <v>0</v>
      </c>
      <c r="Q61">
        <f t="shared" si="66"/>
        <v>0</v>
      </c>
      <c r="R61">
        <f t="shared" si="66"/>
        <v>0</v>
      </c>
      <c r="S61">
        <f t="shared" si="66"/>
        <v>0</v>
      </c>
      <c r="T61">
        <f t="shared" si="67"/>
        <v>0</v>
      </c>
      <c r="U61">
        <f t="shared" si="67"/>
        <v>0</v>
      </c>
      <c r="V61">
        <f t="shared" si="67"/>
        <v>0</v>
      </c>
      <c r="W61">
        <f t="shared" si="67"/>
        <v>0</v>
      </c>
      <c r="X61">
        <f t="shared" si="67"/>
        <v>0</v>
      </c>
      <c r="Y61">
        <f t="shared" si="67"/>
        <v>0</v>
      </c>
      <c r="Z61">
        <f t="shared" si="67"/>
        <v>0</v>
      </c>
      <c r="AA61">
        <f t="shared" si="67"/>
        <v>0</v>
      </c>
      <c r="AB61">
        <f t="shared" si="67"/>
        <v>0</v>
      </c>
      <c r="AC61">
        <f t="shared" si="67"/>
        <v>0</v>
      </c>
      <c r="AD61">
        <f t="shared" si="68"/>
        <v>0</v>
      </c>
      <c r="AE61">
        <f t="shared" si="68"/>
        <v>0</v>
      </c>
      <c r="AF61">
        <f t="shared" si="68"/>
        <v>0</v>
      </c>
      <c r="AG61">
        <f t="shared" si="68"/>
        <v>0</v>
      </c>
      <c r="AH61">
        <f t="shared" si="68"/>
        <v>0</v>
      </c>
      <c r="AI61">
        <f t="shared" si="68"/>
        <v>0</v>
      </c>
      <c r="AJ61">
        <f t="shared" si="68"/>
        <v>0</v>
      </c>
      <c r="AK61">
        <f t="shared" si="68"/>
        <v>0</v>
      </c>
      <c r="AL61">
        <f t="shared" si="68"/>
        <v>0</v>
      </c>
      <c r="AM61">
        <f t="shared" si="68"/>
        <v>0</v>
      </c>
      <c r="AN61">
        <f t="shared" si="69"/>
        <v>0</v>
      </c>
      <c r="AO61">
        <f t="shared" si="69"/>
        <v>0</v>
      </c>
      <c r="AP61">
        <f t="shared" si="69"/>
        <v>0</v>
      </c>
      <c r="AQ61">
        <f t="shared" si="69"/>
        <v>0</v>
      </c>
      <c r="AR61">
        <f t="shared" si="69"/>
        <v>0</v>
      </c>
      <c r="AS61">
        <f t="shared" si="69"/>
        <v>0</v>
      </c>
      <c r="AT61">
        <f t="shared" si="69"/>
        <v>0</v>
      </c>
      <c r="AU61">
        <f t="shared" si="69"/>
        <v>0</v>
      </c>
      <c r="AV61">
        <f t="shared" si="69"/>
        <v>0</v>
      </c>
      <c r="AW61">
        <f t="shared" si="69"/>
        <v>0</v>
      </c>
      <c r="AX61">
        <f t="shared" si="70"/>
        <v>0</v>
      </c>
      <c r="AY61">
        <f t="shared" si="70"/>
        <v>0</v>
      </c>
      <c r="AZ61">
        <f t="shared" si="70"/>
        <v>0</v>
      </c>
      <c r="BA61">
        <f t="shared" si="70"/>
        <v>0</v>
      </c>
      <c r="BB61">
        <f t="shared" si="70"/>
        <v>0</v>
      </c>
      <c r="BC61">
        <f t="shared" si="70"/>
        <v>0</v>
      </c>
      <c r="BD61">
        <f t="shared" si="70"/>
        <v>0</v>
      </c>
      <c r="BE61">
        <f t="shared" si="70"/>
        <v>0</v>
      </c>
      <c r="BF61">
        <f t="shared" si="70"/>
        <v>0</v>
      </c>
      <c r="BG61">
        <f t="shared" si="70"/>
        <v>0</v>
      </c>
      <c r="BH61">
        <f t="shared" si="71"/>
        <v>0</v>
      </c>
      <c r="BI61">
        <f t="shared" si="71"/>
        <v>0</v>
      </c>
      <c r="BJ61">
        <f t="shared" si="71"/>
        <v>0</v>
      </c>
      <c r="BK61">
        <f t="shared" si="71"/>
        <v>0</v>
      </c>
      <c r="BL61">
        <f t="shared" si="71"/>
        <v>0</v>
      </c>
      <c r="BM61">
        <f t="shared" si="71"/>
        <v>0</v>
      </c>
      <c r="BN61">
        <f t="shared" si="71"/>
        <v>0</v>
      </c>
      <c r="BO61">
        <f t="shared" si="71"/>
        <v>0</v>
      </c>
      <c r="BP61">
        <f t="shared" si="71"/>
        <v>0</v>
      </c>
      <c r="BQ61">
        <f t="shared" si="71"/>
        <v>0</v>
      </c>
      <c r="BR61">
        <f t="shared" si="72"/>
        <v>0</v>
      </c>
      <c r="BS61">
        <f t="shared" si="72"/>
        <v>0</v>
      </c>
      <c r="BT61">
        <f t="shared" si="72"/>
        <v>0</v>
      </c>
      <c r="BU61">
        <f t="shared" si="72"/>
        <v>0</v>
      </c>
      <c r="BV61">
        <f t="shared" si="72"/>
        <v>0</v>
      </c>
      <c r="BW61">
        <f t="shared" si="72"/>
        <v>0</v>
      </c>
      <c r="BX61">
        <f t="shared" si="72"/>
        <v>0</v>
      </c>
      <c r="BY61">
        <f t="shared" si="72"/>
        <v>0</v>
      </c>
      <c r="BZ61">
        <f t="shared" si="72"/>
        <v>0</v>
      </c>
      <c r="CA61">
        <f t="shared" si="72"/>
        <v>0</v>
      </c>
      <c r="CB61">
        <f t="shared" si="73"/>
        <v>0</v>
      </c>
      <c r="CC61">
        <f t="shared" si="73"/>
        <v>0</v>
      </c>
      <c r="CD61">
        <f t="shared" si="73"/>
        <v>0</v>
      </c>
      <c r="CE61">
        <f t="shared" si="73"/>
        <v>0</v>
      </c>
      <c r="CF61">
        <f t="shared" si="73"/>
        <v>0</v>
      </c>
      <c r="CG61">
        <f t="shared" si="73"/>
        <v>0</v>
      </c>
      <c r="CH61">
        <f t="shared" si="73"/>
        <v>0</v>
      </c>
      <c r="CI61">
        <f t="shared" si="73"/>
        <v>0</v>
      </c>
      <c r="CJ61">
        <f t="shared" si="73"/>
        <v>0</v>
      </c>
      <c r="CK61">
        <f t="shared" si="73"/>
        <v>0</v>
      </c>
      <c r="CL61">
        <f t="shared" si="74"/>
        <v>0</v>
      </c>
      <c r="CM61">
        <f t="shared" si="74"/>
        <v>0</v>
      </c>
      <c r="CN61">
        <f t="shared" si="74"/>
        <v>0</v>
      </c>
      <c r="CO61">
        <f t="shared" si="74"/>
        <v>0</v>
      </c>
      <c r="CP61">
        <f t="shared" si="74"/>
        <v>0</v>
      </c>
      <c r="CQ61">
        <f t="shared" si="74"/>
        <v>0</v>
      </c>
      <c r="CR61">
        <f t="shared" si="74"/>
        <v>0</v>
      </c>
      <c r="CS61">
        <f t="shared" si="74"/>
        <v>0</v>
      </c>
      <c r="CT61">
        <f t="shared" si="74"/>
        <v>0</v>
      </c>
      <c r="CU61">
        <f t="shared" si="74"/>
        <v>0</v>
      </c>
      <c r="CV61">
        <f t="shared" si="75"/>
        <v>0</v>
      </c>
      <c r="CW61">
        <f t="shared" si="75"/>
        <v>0</v>
      </c>
      <c r="CX61">
        <f t="shared" si="75"/>
        <v>0</v>
      </c>
      <c r="CY61">
        <f t="shared" si="75"/>
        <v>0</v>
      </c>
      <c r="CZ61">
        <f t="shared" si="75"/>
        <v>0</v>
      </c>
      <c r="DA61">
        <f t="shared" si="75"/>
        <v>0</v>
      </c>
      <c r="DB61">
        <f t="shared" si="75"/>
        <v>0</v>
      </c>
      <c r="DC61">
        <f t="shared" si="75"/>
        <v>0</v>
      </c>
      <c r="DD61">
        <f t="shared" si="75"/>
        <v>0</v>
      </c>
      <c r="DE61">
        <f t="shared" si="75"/>
        <v>0</v>
      </c>
      <c r="DF61">
        <f t="shared" si="76"/>
        <v>0</v>
      </c>
      <c r="DG61">
        <f t="shared" si="76"/>
        <v>0</v>
      </c>
      <c r="DH61">
        <f t="shared" si="76"/>
        <v>0</v>
      </c>
      <c r="DI61">
        <f t="shared" si="76"/>
        <v>0</v>
      </c>
      <c r="DJ61">
        <f t="shared" si="76"/>
        <v>0</v>
      </c>
      <c r="DK61">
        <f t="shared" si="76"/>
        <v>0</v>
      </c>
      <c r="DL61">
        <f t="shared" si="76"/>
        <v>0</v>
      </c>
      <c r="DM61">
        <f t="shared" si="76"/>
        <v>0</v>
      </c>
      <c r="DN61">
        <f t="shared" si="76"/>
        <v>0</v>
      </c>
      <c r="DO61">
        <f t="shared" si="76"/>
        <v>0</v>
      </c>
      <c r="DP61">
        <f t="shared" si="77"/>
        <v>0</v>
      </c>
      <c r="DQ61">
        <f t="shared" si="77"/>
        <v>0</v>
      </c>
      <c r="DR61">
        <f t="shared" si="77"/>
        <v>0</v>
      </c>
      <c r="DS61">
        <f t="shared" si="77"/>
        <v>0</v>
      </c>
      <c r="DT61">
        <f t="shared" si="77"/>
        <v>0</v>
      </c>
      <c r="DU61">
        <f t="shared" si="77"/>
        <v>0</v>
      </c>
      <c r="DV61">
        <f t="shared" si="77"/>
        <v>0</v>
      </c>
      <c r="DW61">
        <f t="shared" si="77"/>
        <v>0</v>
      </c>
      <c r="DX61">
        <f t="shared" si="77"/>
        <v>0</v>
      </c>
      <c r="DY61">
        <f t="shared" si="77"/>
        <v>0</v>
      </c>
      <c r="DZ61">
        <f t="shared" si="78"/>
        <v>0</v>
      </c>
      <c r="EA61">
        <f t="shared" si="78"/>
        <v>0</v>
      </c>
      <c r="EB61">
        <f t="shared" si="78"/>
        <v>0</v>
      </c>
      <c r="EC61">
        <f t="shared" si="78"/>
        <v>0</v>
      </c>
      <c r="ED61">
        <f t="shared" si="78"/>
        <v>0</v>
      </c>
      <c r="EE61">
        <f t="shared" si="78"/>
        <v>0</v>
      </c>
      <c r="EF61">
        <f t="shared" si="78"/>
        <v>0</v>
      </c>
      <c r="EG61">
        <f t="shared" si="78"/>
        <v>0</v>
      </c>
      <c r="EH61">
        <f t="shared" si="78"/>
        <v>0</v>
      </c>
      <c r="EI61">
        <f t="shared" si="78"/>
        <v>0</v>
      </c>
      <c r="EJ61">
        <f>SUM(Tabla1[[#This Row],[1]:[130]])</f>
        <v>4</v>
      </c>
    </row>
    <row r="62" spans="1:140" ht="15.75" thickBot="1" x14ac:dyDescent="0.3">
      <c r="A62" t="str">
        <f>B62&amp;"-"&amp;COUNTIF($B$2:B62,B62)</f>
        <v>I. TOCINO-1</v>
      </c>
      <c r="B62" s="33" t="s">
        <v>570</v>
      </c>
      <c r="C62">
        <f>VLOOKUP(B62,RECETAS!D61:$E$1700,2,FALSE)</f>
        <v>760</v>
      </c>
      <c r="D62" s="32"/>
      <c r="G62" t="b">
        <f t="shared" si="0"/>
        <v>1</v>
      </c>
      <c r="I62" s="39" t="s">
        <v>585</v>
      </c>
      <c r="J62">
        <f t="shared" si="66"/>
        <v>37</v>
      </c>
      <c r="K62">
        <f t="shared" si="66"/>
        <v>0</v>
      </c>
      <c r="L62">
        <f t="shared" si="66"/>
        <v>0</v>
      </c>
      <c r="M62">
        <f t="shared" si="66"/>
        <v>0</v>
      </c>
      <c r="N62">
        <f t="shared" si="66"/>
        <v>0</v>
      </c>
      <c r="O62">
        <f t="shared" si="66"/>
        <v>0</v>
      </c>
      <c r="P62">
        <f t="shared" si="66"/>
        <v>0</v>
      </c>
      <c r="Q62">
        <f t="shared" si="66"/>
        <v>0</v>
      </c>
      <c r="R62">
        <f t="shared" si="66"/>
        <v>0</v>
      </c>
      <c r="S62">
        <f t="shared" si="66"/>
        <v>0</v>
      </c>
      <c r="T62">
        <f t="shared" si="67"/>
        <v>0</v>
      </c>
      <c r="U62">
        <f t="shared" si="67"/>
        <v>0</v>
      </c>
      <c r="V62">
        <f t="shared" si="67"/>
        <v>0</v>
      </c>
      <c r="W62">
        <f t="shared" si="67"/>
        <v>0</v>
      </c>
      <c r="X62">
        <f t="shared" si="67"/>
        <v>0</v>
      </c>
      <c r="Y62">
        <f t="shared" si="67"/>
        <v>0</v>
      </c>
      <c r="Z62">
        <f t="shared" si="67"/>
        <v>0</v>
      </c>
      <c r="AA62">
        <f t="shared" si="67"/>
        <v>0</v>
      </c>
      <c r="AB62">
        <f t="shared" si="67"/>
        <v>0</v>
      </c>
      <c r="AC62">
        <f t="shared" si="67"/>
        <v>0</v>
      </c>
      <c r="AD62">
        <f t="shared" si="68"/>
        <v>0</v>
      </c>
      <c r="AE62">
        <f t="shared" si="68"/>
        <v>0</v>
      </c>
      <c r="AF62">
        <f t="shared" si="68"/>
        <v>0</v>
      </c>
      <c r="AG62">
        <f t="shared" si="68"/>
        <v>0</v>
      </c>
      <c r="AH62">
        <f t="shared" si="68"/>
        <v>0</v>
      </c>
      <c r="AI62">
        <f t="shared" si="68"/>
        <v>0</v>
      </c>
      <c r="AJ62">
        <f t="shared" si="68"/>
        <v>0</v>
      </c>
      <c r="AK62">
        <f t="shared" si="68"/>
        <v>0</v>
      </c>
      <c r="AL62">
        <f t="shared" si="68"/>
        <v>0</v>
      </c>
      <c r="AM62">
        <f t="shared" si="68"/>
        <v>0</v>
      </c>
      <c r="AN62">
        <f t="shared" si="69"/>
        <v>0</v>
      </c>
      <c r="AO62">
        <f t="shared" si="69"/>
        <v>0</v>
      </c>
      <c r="AP62">
        <f t="shared" si="69"/>
        <v>0</v>
      </c>
      <c r="AQ62">
        <f t="shared" si="69"/>
        <v>0</v>
      </c>
      <c r="AR62">
        <f t="shared" si="69"/>
        <v>0</v>
      </c>
      <c r="AS62">
        <f t="shared" si="69"/>
        <v>0</v>
      </c>
      <c r="AT62">
        <f t="shared" si="69"/>
        <v>0</v>
      </c>
      <c r="AU62">
        <f t="shared" si="69"/>
        <v>0</v>
      </c>
      <c r="AV62">
        <f t="shared" si="69"/>
        <v>0</v>
      </c>
      <c r="AW62">
        <f t="shared" si="69"/>
        <v>0</v>
      </c>
      <c r="AX62">
        <f t="shared" si="70"/>
        <v>0</v>
      </c>
      <c r="AY62">
        <f t="shared" si="70"/>
        <v>0</v>
      </c>
      <c r="AZ62">
        <f t="shared" si="70"/>
        <v>0</v>
      </c>
      <c r="BA62">
        <f t="shared" si="70"/>
        <v>0</v>
      </c>
      <c r="BB62">
        <f t="shared" si="70"/>
        <v>0</v>
      </c>
      <c r="BC62">
        <f t="shared" si="70"/>
        <v>0</v>
      </c>
      <c r="BD62">
        <f t="shared" si="70"/>
        <v>0</v>
      </c>
      <c r="BE62">
        <f t="shared" si="70"/>
        <v>0</v>
      </c>
      <c r="BF62">
        <f t="shared" si="70"/>
        <v>0</v>
      </c>
      <c r="BG62">
        <f t="shared" si="70"/>
        <v>0</v>
      </c>
      <c r="BH62">
        <f t="shared" si="71"/>
        <v>0</v>
      </c>
      <c r="BI62">
        <f t="shared" si="71"/>
        <v>0</v>
      </c>
      <c r="BJ62">
        <f t="shared" si="71"/>
        <v>0</v>
      </c>
      <c r="BK62">
        <f t="shared" si="71"/>
        <v>0</v>
      </c>
      <c r="BL62">
        <f t="shared" si="71"/>
        <v>0</v>
      </c>
      <c r="BM62">
        <f t="shared" si="71"/>
        <v>0</v>
      </c>
      <c r="BN62">
        <f t="shared" si="71"/>
        <v>0</v>
      </c>
      <c r="BO62">
        <f t="shared" si="71"/>
        <v>0</v>
      </c>
      <c r="BP62">
        <f t="shared" si="71"/>
        <v>0</v>
      </c>
      <c r="BQ62">
        <f t="shared" si="71"/>
        <v>0</v>
      </c>
      <c r="BR62">
        <f t="shared" si="72"/>
        <v>0</v>
      </c>
      <c r="BS62">
        <f t="shared" si="72"/>
        <v>0</v>
      </c>
      <c r="BT62">
        <f t="shared" si="72"/>
        <v>0</v>
      </c>
      <c r="BU62">
        <f t="shared" si="72"/>
        <v>0</v>
      </c>
      <c r="BV62">
        <f t="shared" si="72"/>
        <v>0</v>
      </c>
      <c r="BW62">
        <f t="shared" si="72"/>
        <v>0</v>
      </c>
      <c r="BX62">
        <f t="shared" si="72"/>
        <v>0</v>
      </c>
      <c r="BY62">
        <f t="shared" si="72"/>
        <v>0</v>
      </c>
      <c r="BZ62">
        <f t="shared" si="72"/>
        <v>0</v>
      </c>
      <c r="CA62">
        <f t="shared" si="72"/>
        <v>0</v>
      </c>
      <c r="CB62">
        <f t="shared" si="73"/>
        <v>0</v>
      </c>
      <c r="CC62">
        <f t="shared" si="73"/>
        <v>0</v>
      </c>
      <c r="CD62">
        <f t="shared" si="73"/>
        <v>0</v>
      </c>
      <c r="CE62">
        <f t="shared" si="73"/>
        <v>0</v>
      </c>
      <c r="CF62">
        <f t="shared" si="73"/>
        <v>0</v>
      </c>
      <c r="CG62">
        <f t="shared" si="73"/>
        <v>0</v>
      </c>
      <c r="CH62">
        <f t="shared" si="73"/>
        <v>0</v>
      </c>
      <c r="CI62">
        <f t="shared" si="73"/>
        <v>0</v>
      </c>
      <c r="CJ62">
        <f t="shared" si="73"/>
        <v>0</v>
      </c>
      <c r="CK62">
        <f t="shared" si="73"/>
        <v>0</v>
      </c>
      <c r="CL62">
        <f t="shared" si="74"/>
        <v>0</v>
      </c>
      <c r="CM62">
        <f t="shared" si="74"/>
        <v>0</v>
      </c>
      <c r="CN62">
        <f t="shared" si="74"/>
        <v>0</v>
      </c>
      <c r="CO62">
        <f t="shared" si="74"/>
        <v>0</v>
      </c>
      <c r="CP62">
        <f t="shared" si="74"/>
        <v>0</v>
      </c>
      <c r="CQ62">
        <f t="shared" si="74"/>
        <v>0</v>
      </c>
      <c r="CR62">
        <f t="shared" si="74"/>
        <v>0</v>
      </c>
      <c r="CS62">
        <f t="shared" si="74"/>
        <v>0</v>
      </c>
      <c r="CT62">
        <f t="shared" si="74"/>
        <v>0</v>
      </c>
      <c r="CU62">
        <f t="shared" si="74"/>
        <v>0</v>
      </c>
      <c r="CV62">
        <f t="shared" si="75"/>
        <v>0</v>
      </c>
      <c r="CW62">
        <f t="shared" si="75"/>
        <v>0</v>
      </c>
      <c r="CX62">
        <f t="shared" si="75"/>
        <v>0</v>
      </c>
      <c r="CY62">
        <f t="shared" si="75"/>
        <v>0</v>
      </c>
      <c r="CZ62">
        <f t="shared" si="75"/>
        <v>0</v>
      </c>
      <c r="DA62">
        <f t="shared" si="75"/>
        <v>0</v>
      </c>
      <c r="DB62">
        <f t="shared" si="75"/>
        <v>0</v>
      </c>
      <c r="DC62">
        <f t="shared" si="75"/>
        <v>0</v>
      </c>
      <c r="DD62">
        <f t="shared" si="75"/>
        <v>0</v>
      </c>
      <c r="DE62">
        <f t="shared" si="75"/>
        <v>0</v>
      </c>
      <c r="DF62">
        <f t="shared" si="76"/>
        <v>0</v>
      </c>
      <c r="DG62">
        <f t="shared" si="76"/>
        <v>0</v>
      </c>
      <c r="DH62">
        <f t="shared" si="76"/>
        <v>0</v>
      </c>
      <c r="DI62">
        <f t="shared" si="76"/>
        <v>0</v>
      </c>
      <c r="DJ62">
        <f t="shared" si="76"/>
        <v>0</v>
      </c>
      <c r="DK62">
        <f t="shared" si="76"/>
        <v>0</v>
      </c>
      <c r="DL62">
        <f t="shared" si="76"/>
        <v>0</v>
      </c>
      <c r="DM62">
        <f t="shared" si="76"/>
        <v>0</v>
      </c>
      <c r="DN62">
        <f t="shared" si="76"/>
        <v>0</v>
      </c>
      <c r="DO62">
        <f t="shared" si="76"/>
        <v>0</v>
      </c>
      <c r="DP62">
        <f t="shared" si="77"/>
        <v>0</v>
      </c>
      <c r="DQ62">
        <f t="shared" si="77"/>
        <v>0</v>
      </c>
      <c r="DR62">
        <f t="shared" si="77"/>
        <v>0</v>
      </c>
      <c r="DS62">
        <f t="shared" si="77"/>
        <v>0</v>
      </c>
      <c r="DT62">
        <f t="shared" si="77"/>
        <v>0</v>
      </c>
      <c r="DU62">
        <f t="shared" si="77"/>
        <v>0</v>
      </c>
      <c r="DV62">
        <f t="shared" si="77"/>
        <v>0</v>
      </c>
      <c r="DW62">
        <f t="shared" si="77"/>
        <v>0</v>
      </c>
      <c r="DX62">
        <f t="shared" si="77"/>
        <v>0</v>
      </c>
      <c r="DY62">
        <f t="shared" si="77"/>
        <v>0</v>
      </c>
      <c r="DZ62">
        <f t="shared" si="78"/>
        <v>0</v>
      </c>
      <c r="EA62">
        <f t="shared" si="78"/>
        <v>0</v>
      </c>
      <c r="EB62">
        <f t="shared" si="78"/>
        <v>0</v>
      </c>
      <c r="EC62">
        <f t="shared" si="78"/>
        <v>0</v>
      </c>
      <c r="ED62">
        <f t="shared" si="78"/>
        <v>0</v>
      </c>
      <c r="EE62">
        <f t="shared" si="78"/>
        <v>0</v>
      </c>
      <c r="EF62">
        <f t="shared" si="78"/>
        <v>0</v>
      </c>
      <c r="EG62">
        <f t="shared" si="78"/>
        <v>0</v>
      </c>
      <c r="EH62">
        <f t="shared" si="78"/>
        <v>0</v>
      </c>
      <c r="EI62">
        <f t="shared" si="78"/>
        <v>0</v>
      </c>
      <c r="EJ62">
        <f>SUM(Tabla1[[#This Row],[1]:[130]])</f>
        <v>37</v>
      </c>
    </row>
    <row r="63" spans="1:140" x14ac:dyDescent="0.25">
      <c r="A63" t="str">
        <f>B63&amp;"-"&amp;COUNTIF($B$2:B63,B63)</f>
        <v>I. LOMO 250-3</v>
      </c>
      <c r="B63" s="26" t="s">
        <v>11</v>
      </c>
      <c r="C63">
        <f>VLOOKUP(B63,RECETAS!D62:$E$1700,2,FALSE)</f>
        <v>14</v>
      </c>
      <c r="D63" s="25" t="s">
        <v>22</v>
      </c>
      <c r="G63" t="b">
        <f t="shared" si="0"/>
        <v>1</v>
      </c>
      <c r="I63" s="46" t="s">
        <v>63</v>
      </c>
      <c r="J63">
        <f t="shared" ref="J63:S72" si="79">IFERROR(VLOOKUP($I63&amp;"-"&amp;J$2,$A$3:$C$1700,3,FALSE),0)</f>
        <v>67</v>
      </c>
      <c r="K63">
        <f t="shared" si="79"/>
        <v>16</v>
      </c>
      <c r="L63">
        <f t="shared" si="79"/>
        <v>24</v>
      </c>
      <c r="M63">
        <f t="shared" si="79"/>
        <v>0</v>
      </c>
      <c r="N63">
        <f t="shared" si="79"/>
        <v>0</v>
      </c>
      <c r="O63">
        <f t="shared" si="79"/>
        <v>0</v>
      </c>
      <c r="P63">
        <f t="shared" si="79"/>
        <v>0</v>
      </c>
      <c r="Q63">
        <f t="shared" si="79"/>
        <v>0</v>
      </c>
      <c r="R63">
        <f t="shared" si="79"/>
        <v>0</v>
      </c>
      <c r="S63">
        <f t="shared" si="79"/>
        <v>0</v>
      </c>
      <c r="T63">
        <f t="shared" ref="T63:AC72" si="80">IFERROR(VLOOKUP($I63&amp;"-"&amp;T$2,$A$3:$C$1700,3,FALSE),0)</f>
        <v>0</v>
      </c>
      <c r="U63">
        <f t="shared" si="80"/>
        <v>0</v>
      </c>
      <c r="V63">
        <f t="shared" si="80"/>
        <v>0</v>
      </c>
      <c r="W63">
        <f t="shared" si="80"/>
        <v>0</v>
      </c>
      <c r="X63">
        <f t="shared" si="80"/>
        <v>0</v>
      </c>
      <c r="Y63">
        <f t="shared" si="80"/>
        <v>0</v>
      </c>
      <c r="Z63">
        <f t="shared" si="80"/>
        <v>0</v>
      </c>
      <c r="AA63">
        <f t="shared" si="80"/>
        <v>0</v>
      </c>
      <c r="AB63">
        <f t="shared" si="80"/>
        <v>0</v>
      </c>
      <c r="AC63">
        <f t="shared" si="80"/>
        <v>0</v>
      </c>
      <c r="AD63">
        <f t="shared" ref="AD63:AM72" si="81">IFERROR(VLOOKUP($I63&amp;"-"&amp;AD$2,$A$3:$C$1700,3,FALSE),0)</f>
        <v>0</v>
      </c>
      <c r="AE63">
        <f t="shared" si="81"/>
        <v>0</v>
      </c>
      <c r="AF63">
        <f t="shared" si="81"/>
        <v>0</v>
      </c>
      <c r="AG63">
        <f t="shared" si="81"/>
        <v>0</v>
      </c>
      <c r="AH63">
        <f t="shared" si="81"/>
        <v>0</v>
      </c>
      <c r="AI63">
        <f t="shared" si="81"/>
        <v>0</v>
      </c>
      <c r="AJ63">
        <f t="shared" si="81"/>
        <v>0</v>
      </c>
      <c r="AK63">
        <f t="shared" si="81"/>
        <v>0</v>
      </c>
      <c r="AL63">
        <f t="shared" si="81"/>
        <v>0</v>
      </c>
      <c r="AM63">
        <f t="shared" si="81"/>
        <v>0</v>
      </c>
      <c r="AN63">
        <f t="shared" ref="AN63:AW72" si="82">IFERROR(VLOOKUP($I63&amp;"-"&amp;AN$2,$A$3:$C$1700,3,FALSE),0)</f>
        <v>0</v>
      </c>
      <c r="AO63">
        <f t="shared" si="82"/>
        <v>0</v>
      </c>
      <c r="AP63">
        <f t="shared" si="82"/>
        <v>0</v>
      </c>
      <c r="AQ63">
        <f t="shared" si="82"/>
        <v>0</v>
      </c>
      <c r="AR63">
        <f t="shared" si="82"/>
        <v>0</v>
      </c>
      <c r="AS63">
        <f t="shared" si="82"/>
        <v>0</v>
      </c>
      <c r="AT63">
        <f t="shared" si="82"/>
        <v>0</v>
      </c>
      <c r="AU63">
        <f t="shared" si="82"/>
        <v>0</v>
      </c>
      <c r="AV63">
        <f t="shared" si="82"/>
        <v>0</v>
      </c>
      <c r="AW63">
        <f t="shared" si="82"/>
        <v>0</v>
      </c>
      <c r="AX63">
        <f t="shared" ref="AX63:BG72" si="83">IFERROR(VLOOKUP($I63&amp;"-"&amp;AX$2,$A$3:$C$1700,3,FALSE),0)</f>
        <v>0</v>
      </c>
      <c r="AY63">
        <f t="shared" si="83"/>
        <v>0</v>
      </c>
      <c r="AZ63">
        <f t="shared" si="83"/>
        <v>0</v>
      </c>
      <c r="BA63">
        <f t="shared" si="83"/>
        <v>0</v>
      </c>
      <c r="BB63">
        <f t="shared" si="83"/>
        <v>0</v>
      </c>
      <c r="BC63">
        <f t="shared" si="83"/>
        <v>0</v>
      </c>
      <c r="BD63">
        <f t="shared" si="83"/>
        <v>0</v>
      </c>
      <c r="BE63">
        <f t="shared" si="83"/>
        <v>0</v>
      </c>
      <c r="BF63">
        <f t="shared" si="83"/>
        <v>0</v>
      </c>
      <c r="BG63">
        <f t="shared" si="83"/>
        <v>0</v>
      </c>
      <c r="BH63">
        <f t="shared" ref="BH63:BQ72" si="84">IFERROR(VLOOKUP($I63&amp;"-"&amp;BH$2,$A$3:$C$1700,3,FALSE),0)</f>
        <v>0</v>
      </c>
      <c r="BI63">
        <f t="shared" si="84"/>
        <v>0</v>
      </c>
      <c r="BJ63">
        <f t="shared" si="84"/>
        <v>0</v>
      </c>
      <c r="BK63">
        <f t="shared" si="84"/>
        <v>0</v>
      </c>
      <c r="BL63">
        <f t="shared" si="84"/>
        <v>0</v>
      </c>
      <c r="BM63">
        <f t="shared" si="84"/>
        <v>0</v>
      </c>
      <c r="BN63">
        <f t="shared" si="84"/>
        <v>0</v>
      </c>
      <c r="BO63">
        <f t="shared" si="84"/>
        <v>0</v>
      </c>
      <c r="BP63">
        <f t="shared" si="84"/>
        <v>0</v>
      </c>
      <c r="BQ63">
        <f t="shared" si="84"/>
        <v>0</v>
      </c>
      <c r="BR63">
        <f t="shared" ref="BR63:CA72" si="85">IFERROR(VLOOKUP($I63&amp;"-"&amp;BR$2,$A$3:$C$1700,3,FALSE),0)</f>
        <v>0</v>
      </c>
      <c r="BS63">
        <f t="shared" si="85"/>
        <v>0</v>
      </c>
      <c r="BT63">
        <f t="shared" si="85"/>
        <v>0</v>
      </c>
      <c r="BU63">
        <f t="shared" si="85"/>
        <v>0</v>
      </c>
      <c r="BV63">
        <f t="shared" si="85"/>
        <v>0</v>
      </c>
      <c r="BW63">
        <f t="shared" si="85"/>
        <v>0</v>
      </c>
      <c r="BX63">
        <f t="shared" si="85"/>
        <v>0</v>
      </c>
      <c r="BY63">
        <f t="shared" si="85"/>
        <v>0</v>
      </c>
      <c r="BZ63">
        <f t="shared" si="85"/>
        <v>0</v>
      </c>
      <c r="CA63">
        <f t="shared" si="85"/>
        <v>0</v>
      </c>
      <c r="CB63">
        <f t="shared" ref="CB63:CK72" si="86">IFERROR(VLOOKUP($I63&amp;"-"&amp;CB$2,$A$3:$C$1700,3,FALSE),0)</f>
        <v>0</v>
      </c>
      <c r="CC63">
        <f t="shared" si="86"/>
        <v>0</v>
      </c>
      <c r="CD63">
        <f t="shared" si="86"/>
        <v>0</v>
      </c>
      <c r="CE63">
        <f t="shared" si="86"/>
        <v>0</v>
      </c>
      <c r="CF63">
        <f t="shared" si="86"/>
        <v>0</v>
      </c>
      <c r="CG63">
        <f t="shared" si="86"/>
        <v>0</v>
      </c>
      <c r="CH63">
        <f t="shared" si="86"/>
        <v>0</v>
      </c>
      <c r="CI63">
        <f t="shared" si="86"/>
        <v>0</v>
      </c>
      <c r="CJ63">
        <f t="shared" si="86"/>
        <v>0</v>
      </c>
      <c r="CK63">
        <f t="shared" si="86"/>
        <v>0</v>
      </c>
      <c r="CL63">
        <f t="shared" ref="CL63:CU72" si="87">IFERROR(VLOOKUP($I63&amp;"-"&amp;CL$2,$A$3:$C$1700,3,FALSE),0)</f>
        <v>0</v>
      </c>
      <c r="CM63">
        <f t="shared" si="87"/>
        <v>0</v>
      </c>
      <c r="CN63">
        <f t="shared" si="87"/>
        <v>0</v>
      </c>
      <c r="CO63">
        <f t="shared" si="87"/>
        <v>0</v>
      </c>
      <c r="CP63">
        <f t="shared" si="87"/>
        <v>0</v>
      </c>
      <c r="CQ63">
        <f t="shared" si="87"/>
        <v>0</v>
      </c>
      <c r="CR63">
        <f t="shared" si="87"/>
        <v>0</v>
      </c>
      <c r="CS63">
        <f t="shared" si="87"/>
        <v>0</v>
      </c>
      <c r="CT63">
        <f t="shared" si="87"/>
        <v>0</v>
      </c>
      <c r="CU63">
        <f t="shared" si="87"/>
        <v>0</v>
      </c>
      <c r="CV63">
        <f t="shared" ref="CV63:DE72" si="88">IFERROR(VLOOKUP($I63&amp;"-"&amp;CV$2,$A$3:$C$1700,3,FALSE),0)</f>
        <v>0</v>
      </c>
      <c r="CW63">
        <f t="shared" si="88"/>
        <v>0</v>
      </c>
      <c r="CX63">
        <f t="shared" si="88"/>
        <v>0</v>
      </c>
      <c r="CY63">
        <f t="shared" si="88"/>
        <v>0</v>
      </c>
      <c r="CZ63">
        <f t="shared" si="88"/>
        <v>0</v>
      </c>
      <c r="DA63">
        <f t="shared" si="88"/>
        <v>0</v>
      </c>
      <c r="DB63">
        <f t="shared" si="88"/>
        <v>0</v>
      </c>
      <c r="DC63">
        <f t="shared" si="88"/>
        <v>0</v>
      </c>
      <c r="DD63">
        <f t="shared" si="88"/>
        <v>0</v>
      </c>
      <c r="DE63">
        <f t="shared" si="88"/>
        <v>0</v>
      </c>
      <c r="DF63">
        <f t="shared" ref="DF63:DO72" si="89">IFERROR(VLOOKUP($I63&amp;"-"&amp;DF$2,$A$3:$C$1700,3,FALSE),0)</f>
        <v>0</v>
      </c>
      <c r="DG63">
        <f t="shared" si="89"/>
        <v>0</v>
      </c>
      <c r="DH63">
        <f t="shared" si="89"/>
        <v>0</v>
      </c>
      <c r="DI63">
        <f t="shared" si="89"/>
        <v>0</v>
      </c>
      <c r="DJ63">
        <f t="shared" si="89"/>
        <v>0</v>
      </c>
      <c r="DK63">
        <f t="shared" si="89"/>
        <v>0</v>
      </c>
      <c r="DL63">
        <f t="shared" si="89"/>
        <v>0</v>
      </c>
      <c r="DM63">
        <f t="shared" si="89"/>
        <v>0</v>
      </c>
      <c r="DN63">
        <f t="shared" si="89"/>
        <v>0</v>
      </c>
      <c r="DO63">
        <f t="shared" si="89"/>
        <v>0</v>
      </c>
      <c r="DP63">
        <f t="shared" ref="DP63:DY72" si="90">IFERROR(VLOOKUP($I63&amp;"-"&amp;DP$2,$A$3:$C$1700,3,FALSE),0)</f>
        <v>0</v>
      </c>
      <c r="DQ63">
        <f t="shared" si="90"/>
        <v>0</v>
      </c>
      <c r="DR63">
        <f t="shared" si="90"/>
        <v>0</v>
      </c>
      <c r="DS63">
        <f t="shared" si="90"/>
        <v>0</v>
      </c>
      <c r="DT63">
        <f t="shared" si="90"/>
        <v>0</v>
      </c>
      <c r="DU63">
        <f t="shared" si="90"/>
        <v>0</v>
      </c>
      <c r="DV63">
        <f t="shared" si="90"/>
        <v>0</v>
      </c>
      <c r="DW63">
        <f t="shared" si="90"/>
        <v>0</v>
      </c>
      <c r="DX63">
        <f t="shared" si="90"/>
        <v>0</v>
      </c>
      <c r="DY63">
        <f t="shared" si="90"/>
        <v>0</v>
      </c>
      <c r="DZ63">
        <f t="shared" ref="DZ63:EI72" si="91">IFERROR(VLOOKUP($I63&amp;"-"&amp;DZ$2,$A$3:$C$1700,3,FALSE),0)</f>
        <v>0</v>
      </c>
      <c r="EA63">
        <f t="shared" si="91"/>
        <v>0</v>
      </c>
      <c r="EB63">
        <f t="shared" si="91"/>
        <v>0</v>
      </c>
      <c r="EC63">
        <f t="shared" si="91"/>
        <v>0</v>
      </c>
      <c r="ED63">
        <f t="shared" si="91"/>
        <v>0</v>
      </c>
      <c r="EE63">
        <f t="shared" si="91"/>
        <v>0</v>
      </c>
      <c r="EF63">
        <f t="shared" si="91"/>
        <v>0</v>
      </c>
      <c r="EG63">
        <f t="shared" si="91"/>
        <v>0</v>
      </c>
      <c r="EH63">
        <f t="shared" si="91"/>
        <v>0</v>
      </c>
      <c r="EI63">
        <f t="shared" si="91"/>
        <v>0</v>
      </c>
      <c r="EJ63">
        <f>SUM(Tabla1[[#This Row],[1]:[130]])</f>
        <v>107</v>
      </c>
    </row>
    <row r="64" spans="1:140" x14ac:dyDescent="0.25">
      <c r="A64" t="str">
        <f>B64&amp;"-"&amp;COUNTIF($B$2:B64,B64)</f>
        <v>I. FILETILLO POLLO-2</v>
      </c>
      <c r="B64" s="35" t="s">
        <v>5</v>
      </c>
      <c r="C64">
        <f>VLOOKUP(B64,RECETAS!D63:$E$1700,2,FALSE)</f>
        <v>28</v>
      </c>
      <c r="D64" s="34"/>
      <c r="G64" t="b">
        <f t="shared" si="0"/>
        <v>1</v>
      </c>
      <c r="I64" s="35" t="s">
        <v>64</v>
      </c>
      <c r="J64">
        <f t="shared" si="79"/>
        <v>70</v>
      </c>
      <c r="K64">
        <f t="shared" si="79"/>
        <v>140</v>
      </c>
      <c r="L64">
        <f t="shared" si="79"/>
        <v>10</v>
      </c>
      <c r="M64">
        <f t="shared" si="79"/>
        <v>0</v>
      </c>
      <c r="N64">
        <f t="shared" si="79"/>
        <v>0</v>
      </c>
      <c r="O64">
        <f t="shared" si="79"/>
        <v>0</v>
      </c>
      <c r="P64">
        <f t="shared" si="79"/>
        <v>0</v>
      </c>
      <c r="Q64">
        <f t="shared" si="79"/>
        <v>0</v>
      </c>
      <c r="R64">
        <f t="shared" si="79"/>
        <v>0</v>
      </c>
      <c r="S64">
        <f t="shared" si="79"/>
        <v>0</v>
      </c>
      <c r="T64">
        <f t="shared" si="80"/>
        <v>0</v>
      </c>
      <c r="U64">
        <f t="shared" si="80"/>
        <v>0</v>
      </c>
      <c r="V64">
        <f t="shared" si="80"/>
        <v>0</v>
      </c>
      <c r="W64">
        <f t="shared" si="80"/>
        <v>0</v>
      </c>
      <c r="X64">
        <f t="shared" si="80"/>
        <v>0</v>
      </c>
      <c r="Y64">
        <f t="shared" si="80"/>
        <v>0</v>
      </c>
      <c r="Z64">
        <f t="shared" si="80"/>
        <v>0</v>
      </c>
      <c r="AA64">
        <f t="shared" si="80"/>
        <v>0</v>
      </c>
      <c r="AB64">
        <f t="shared" si="80"/>
        <v>0</v>
      </c>
      <c r="AC64">
        <f t="shared" si="80"/>
        <v>0</v>
      </c>
      <c r="AD64">
        <f t="shared" si="81"/>
        <v>0</v>
      </c>
      <c r="AE64">
        <f t="shared" si="81"/>
        <v>0</v>
      </c>
      <c r="AF64">
        <f t="shared" si="81"/>
        <v>0</v>
      </c>
      <c r="AG64">
        <f t="shared" si="81"/>
        <v>0</v>
      </c>
      <c r="AH64">
        <f t="shared" si="81"/>
        <v>0</v>
      </c>
      <c r="AI64">
        <f t="shared" si="81"/>
        <v>0</v>
      </c>
      <c r="AJ64">
        <f t="shared" si="81"/>
        <v>0</v>
      </c>
      <c r="AK64">
        <f t="shared" si="81"/>
        <v>0</v>
      </c>
      <c r="AL64">
        <f t="shared" si="81"/>
        <v>0</v>
      </c>
      <c r="AM64">
        <f t="shared" si="81"/>
        <v>0</v>
      </c>
      <c r="AN64">
        <f t="shared" si="82"/>
        <v>0</v>
      </c>
      <c r="AO64">
        <f t="shared" si="82"/>
        <v>0</v>
      </c>
      <c r="AP64">
        <f t="shared" si="82"/>
        <v>0</v>
      </c>
      <c r="AQ64">
        <f t="shared" si="82"/>
        <v>0</v>
      </c>
      <c r="AR64">
        <f t="shared" si="82"/>
        <v>0</v>
      </c>
      <c r="AS64">
        <f t="shared" si="82"/>
        <v>0</v>
      </c>
      <c r="AT64">
        <f t="shared" si="82"/>
        <v>0</v>
      </c>
      <c r="AU64">
        <f t="shared" si="82"/>
        <v>0</v>
      </c>
      <c r="AV64">
        <f t="shared" si="82"/>
        <v>0</v>
      </c>
      <c r="AW64">
        <f t="shared" si="82"/>
        <v>0</v>
      </c>
      <c r="AX64">
        <f t="shared" si="83"/>
        <v>0</v>
      </c>
      <c r="AY64">
        <f t="shared" si="83"/>
        <v>0</v>
      </c>
      <c r="AZ64">
        <f t="shared" si="83"/>
        <v>0</v>
      </c>
      <c r="BA64">
        <f t="shared" si="83"/>
        <v>0</v>
      </c>
      <c r="BB64">
        <f t="shared" si="83"/>
        <v>0</v>
      </c>
      <c r="BC64">
        <f t="shared" si="83"/>
        <v>0</v>
      </c>
      <c r="BD64">
        <f t="shared" si="83"/>
        <v>0</v>
      </c>
      <c r="BE64">
        <f t="shared" si="83"/>
        <v>0</v>
      </c>
      <c r="BF64">
        <f t="shared" si="83"/>
        <v>0</v>
      </c>
      <c r="BG64">
        <f t="shared" si="83"/>
        <v>0</v>
      </c>
      <c r="BH64">
        <f t="shared" si="84"/>
        <v>0</v>
      </c>
      <c r="BI64">
        <f t="shared" si="84"/>
        <v>0</v>
      </c>
      <c r="BJ64">
        <f t="shared" si="84"/>
        <v>0</v>
      </c>
      <c r="BK64">
        <f t="shared" si="84"/>
        <v>0</v>
      </c>
      <c r="BL64">
        <f t="shared" si="84"/>
        <v>0</v>
      </c>
      <c r="BM64">
        <f t="shared" si="84"/>
        <v>0</v>
      </c>
      <c r="BN64">
        <f t="shared" si="84"/>
        <v>0</v>
      </c>
      <c r="BO64">
        <f t="shared" si="84"/>
        <v>0</v>
      </c>
      <c r="BP64">
        <f t="shared" si="84"/>
        <v>0</v>
      </c>
      <c r="BQ64">
        <f t="shared" si="84"/>
        <v>0</v>
      </c>
      <c r="BR64">
        <f t="shared" si="85"/>
        <v>0</v>
      </c>
      <c r="BS64">
        <f t="shared" si="85"/>
        <v>0</v>
      </c>
      <c r="BT64">
        <f t="shared" si="85"/>
        <v>0</v>
      </c>
      <c r="BU64">
        <f t="shared" si="85"/>
        <v>0</v>
      </c>
      <c r="BV64">
        <f t="shared" si="85"/>
        <v>0</v>
      </c>
      <c r="BW64">
        <f t="shared" si="85"/>
        <v>0</v>
      </c>
      <c r="BX64">
        <f t="shared" si="85"/>
        <v>0</v>
      </c>
      <c r="BY64">
        <f t="shared" si="85"/>
        <v>0</v>
      </c>
      <c r="BZ64">
        <f t="shared" si="85"/>
        <v>0</v>
      </c>
      <c r="CA64">
        <f t="shared" si="85"/>
        <v>0</v>
      </c>
      <c r="CB64">
        <f t="shared" si="86"/>
        <v>0</v>
      </c>
      <c r="CC64">
        <f t="shared" si="86"/>
        <v>0</v>
      </c>
      <c r="CD64">
        <f t="shared" si="86"/>
        <v>0</v>
      </c>
      <c r="CE64">
        <f t="shared" si="86"/>
        <v>0</v>
      </c>
      <c r="CF64">
        <f t="shared" si="86"/>
        <v>0</v>
      </c>
      <c r="CG64">
        <f t="shared" si="86"/>
        <v>0</v>
      </c>
      <c r="CH64">
        <f t="shared" si="86"/>
        <v>0</v>
      </c>
      <c r="CI64">
        <f t="shared" si="86"/>
        <v>0</v>
      </c>
      <c r="CJ64">
        <f t="shared" si="86"/>
        <v>0</v>
      </c>
      <c r="CK64">
        <f t="shared" si="86"/>
        <v>0</v>
      </c>
      <c r="CL64">
        <f t="shared" si="87"/>
        <v>0</v>
      </c>
      <c r="CM64">
        <f t="shared" si="87"/>
        <v>0</v>
      </c>
      <c r="CN64">
        <f t="shared" si="87"/>
        <v>0</v>
      </c>
      <c r="CO64">
        <f t="shared" si="87"/>
        <v>0</v>
      </c>
      <c r="CP64">
        <f t="shared" si="87"/>
        <v>0</v>
      </c>
      <c r="CQ64">
        <f t="shared" si="87"/>
        <v>0</v>
      </c>
      <c r="CR64">
        <f t="shared" si="87"/>
        <v>0</v>
      </c>
      <c r="CS64">
        <f t="shared" si="87"/>
        <v>0</v>
      </c>
      <c r="CT64">
        <f t="shared" si="87"/>
        <v>0</v>
      </c>
      <c r="CU64">
        <f t="shared" si="87"/>
        <v>0</v>
      </c>
      <c r="CV64">
        <f t="shared" si="88"/>
        <v>0</v>
      </c>
      <c r="CW64">
        <f t="shared" si="88"/>
        <v>0</v>
      </c>
      <c r="CX64">
        <f t="shared" si="88"/>
        <v>0</v>
      </c>
      <c r="CY64">
        <f t="shared" si="88"/>
        <v>0</v>
      </c>
      <c r="CZ64">
        <f t="shared" si="88"/>
        <v>0</v>
      </c>
      <c r="DA64">
        <f t="shared" si="88"/>
        <v>0</v>
      </c>
      <c r="DB64">
        <f t="shared" si="88"/>
        <v>0</v>
      </c>
      <c r="DC64">
        <f t="shared" si="88"/>
        <v>0</v>
      </c>
      <c r="DD64">
        <f t="shared" si="88"/>
        <v>0</v>
      </c>
      <c r="DE64">
        <f t="shared" si="88"/>
        <v>0</v>
      </c>
      <c r="DF64">
        <f t="shared" si="89"/>
        <v>0</v>
      </c>
      <c r="DG64">
        <f t="shared" si="89"/>
        <v>0</v>
      </c>
      <c r="DH64">
        <f t="shared" si="89"/>
        <v>0</v>
      </c>
      <c r="DI64">
        <f t="shared" si="89"/>
        <v>0</v>
      </c>
      <c r="DJ64">
        <f t="shared" si="89"/>
        <v>0</v>
      </c>
      <c r="DK64">
        <f t="shared" si="89"/>
        <v>0</v>
      </c>
      <c r="DL64">
        <f t="shared" si="89"/>
        <v>0</v>
      </c>
      <c r="DM64">
        <f t="shared" si="89"/>
        <v>0</v>
      </c>
      <c r="DN64">
        <f t="shared" si="89"/>
        <v>0</v>
      </c>
      <c r="DO64">
        <f t="shared" si="89"/>
        <v>0</v>
      </c>
      <c r="DP64">
        <f t="shared" si="90"/>
        <v>0</v>
      </c>
      <c r="DQ64">
        <f t="shared" si="90"/>
        <v>0</v>
      </c>
      <c r="DR64">
        <f t="shared" si="90"/>
        <v>0</v>
      </c>
      <c r="DS64">
        <f t="shared" si="90"/>
        <v>0</v>
      </c>
      <c r="DT64">
        <f t="shared" si="90"/>
        <v>0</v>
      </c>
      <c r="DU64">
        <f t="shared" si="90"/>
        <v>0</v>
      </c>
      <c r="DV64">
        <f t="shared" si="90"/>
        <v>0</v>
      </c>
      <c r="DW64">
        <f t="shared" si="90"/>
        <v>0</v>
      </c>
      <c r="DX64">
        <f t="shared" si="90"/>
        <v>0</v>
      </c>
      <c r="DY64">
        <f t="shared" si="90"/>
        <v>0</v>
      </c>
      <c r="DZ64">
        <f t="shared" si="91"/>
        <v>0</v>
      </c>
      <c r="EA64">
        <f t="shared" si="91"/>
        <v>0</v>
      </c>
      <c r="EB64">
        <f t="shared" si="91"/>
        <v>0</v>
      </c>
      <c r="EC64">
        <f t="shared" si="91"/>
        <v>0</v>
      </c>
      <c r="ED64">
        <f t="shared" si="91"/>
        <v>0</v>
      </c>
      <c r="EE64">
        <f t="shared" si="91"/>
        <v>0</v>
      </c>
      <c r="EF64">
        <f t="shared" si="91"/>
        <v>0</v>
      </c>
      <c r="EG64">
        <f t="shared" si="91"/>
        <v>0</v>
      </c>
      <c r="EH64">
        <f t="shared" si="91"/>
        <v>0</v>
      </c>
      <c r="EI64">
        <f t="shared" si="91"/>
        <v>0</v>
      </c>
      <c r="EJ64">
        <f>SUM(Tabla1[[#This Row],[1]:[130]])</f>
        <v>220</v>
      </c>
    </row>
    <row r="65" spans="1:140" x14ac:dyDescent="0.25">
      <c r="A65" t="str">
        <f>B65&amp;"-"&amp;COUNTIF($B$2:B65,B65)</f>
        <v>I. CAMARON PORCION-3</v>
      </c>
      <c r="B65" s="35" t="s">
        <v>6</v>
      </c>
      <c r="C65">
        <f>VLOOKUP(B65,RECETAS!D64:$E$1700,2,FALSE)</f>
        <v>28</v>
      </c>
      <c r="D65" s="34"/>
      <c r="G65" t="b">
        <f t="shared" si="0"/>
        <v>1</v>
      </c>
      <c r="I65" s="36" t="s">
        <v>65</v>
      </c>
      <c r="J65">
        <f t="shared" si="79"/>
        <v>42</v>
      </c>
      <c r="K65">
        <f t="shared" si="79"/>
        <v>11</v>
      </c>
      <c r="L65">
        <f t="shared" si="79"/>
        <v>0</v>
      </c>
      <c r="M65">
        <f t="shared" si="79"/>
        <v>0</v>
      </c>
      <c r="N65">
        <f t="shared" si="79"/>
        <v>0</v>
      </c>
      <c r="O65">
        <f t="shared" si="79"/>
        <v>0</v>
      </c>
      <c r="P65">
        <f t="shared" si="79"/>
        <v>0</v>
      </c>
      <c r="Q65">
        <f t="shared" si="79"/>
        <v>2</v>
      </c>
      <c r="R65">
        <f t="shared" si="79"/>
        <v>7</v>
      </c>
      <c r="S65">
        <f t="shared" si="79"/>
        <v>0</v>
      </c>
      <c r="T65">
        <f t="shared" si="80"/>
        <v>0</v>
      </c>
      <c r="U65">
        <f t="shared" si="80"/>
        <v>0</v>
      </c>
      <c r="V65">
        <f t="shared" si="80"/>
        <v>0</v>
      </c>
      <c r="W65">
        <f t="shared" si="80"/>
        <v>0</v>
      </c>
      <c r="X65">
        <f t="shared" si="80"/>
        <v>0</v>
      </c>
      <c r="Y65">
        <f t="shared" si="80"/>
        <v>0</v>
      </c>
      <c r="Z65">
        <f t="shared" si="80"/>
        <v>0</v>
      </c>
      <c r="AA65">
        <f t="shared" si="80"/>
        <v>0</v>
      </c>
      <c r="AB65">
        <f t="shared" si="80"/>
        <v>0</v>
      </c>
      <c r="AC65">
        <f t="shared" si="80"/>
        <v>0</v>
      </c>
      <c r="AD65">
        <f t="shared" si="81"/>
        <v>0</v>
      </c>
      <c r="AE65">
        <f t="shared" si="81"/>
        <v>0</v>
      </c>
      <c r="AF65">
        <f t="shared" si="81"/>
        <v>0</v>
      </c>
      <c r="AG65">
        <f t="shared" si="81"/>
        <v>0</v>
      </c>
      <c r="AH65">
        <f t="shared" si="81"/>
        <v>0</v>
      </c>
      <c r="AI65">
        <f t="shared" si="81"/>
        <v>0</v>
      </c>
      <c r="AJ65">
        <f t="shared" si="81"/>
        <v>0</v>
      </c>
      <c r="AK65">
        <f t="shared" si="81"/>
        <v>0</v>
      </c>
      <c r="AL65">
        <f t="shared" si="81"/>
        <v>0</v>
      </c>
      <c r="AM65">
        <f t="shared" si="81"/>
        <v>0</v>
      </c>
      <c r="AN65">
        <f t="shared" si="82"/>
        <v>0</v>
      </c>
      <c r="AO65">
        <f t="shared" si="82"/>
        <v>0</v>
      </c>
      <c r="AP65">
        <f t="shared" si="82"/>
        <v>0</v>
      </c>
      <c r="AQ65">
        <f t="shared" si="82"/>
        <v>0</v>
      </c>
      <c r="AR65">
        <f t="shared" si="82"/>
        <v>0</v>
      </c>
      <c r="AS65">
        <f t="shared" si="82"/>
        <v>0</v>
      </c>
      <c r="AT65">
        <f t="shared" si="82"/>
        <v>0</v>
      </c>
      <c r="AU65">
        <f t="shared" si="82"/>
        <v>0</v>
      </c>
      <c r="AV65">
        <f t="shared" si="82"/>
        <v>0</v>
      </c>
      <c r="AW65">
        <f t="shared" si="82"/>
        <v>0</v>
      </c>
      <c r="AX65">
        <f t="shared" si="83"/>
        <v>0</v>
      </c>
      <c r="AY65">
        <f t="shared" si="83"/>
        <v>0</v>
      </c>
      <c r="AZ65">
        <f t="shared" si="83"/>
        <v>0</v>
      </c>
      <c r="BA65">
        <f t="shared" si="83"/>
        <v>0</v>
      </c>
      <c r="BB65">
        <f t="shared" si="83"/>
        <v>0</v>
      </c>
      <c r="BC65">
        <f t="shared" si="83"/>
        <v>0</v>
      </c>
      <c r="BD65">
        <f t="shared" si="83"/>
        <v>0</v>
      </c>
      <c r="BE65">
        <f t="shared" si="83"/>
        <v>0</v>
      </c>
      <c r="BF65">
        <f t="shared" si="83"/>
        <v>0</v>
      </c>
      <c r="BG65">
        <f t="shared" si="83"/>
        <v>0</v>
      </c>
      <c r="BH65">
        <f t="shared" si="84"/>
        <v>0</v>
      </c>
      <c r="BI65">
        <f t="shared" si="84"/>
        <v>0</v>
      </c>
      <c r="BJ65">
        <f t="shared" si="84"/>
        <v>0</v>
      </c>
      <c r="BK65">
        <f t="shared" si="84"/>
        <v>0</v>
      </c>
      <c r="BL65">
        <f t="shared" si="84"/>
        <v>0</v>
      </c>
      <c r="BM65">
        <f t="shared" si="84"/>
        <v>0</v>
      </c>
      <c r="BN65">
        <f t="shared" si="84"/>
        <v>0</v>
      </c>
      <c r="BO65">
        <f t="shared" si="84"/>
        <v>0</v>
      </c>
      <c r="BP65">
        <f t="shared" si="84"/>
        <v>0</v>
      </c>
      <c r="BQ65">
        <f t="shared" si="84"/>
        <v>0</v>
      </c>
      <c r="BR65">
        <f t="shared" si="85"/>
        <v>0</v>
      </c>
      <c r="BS65">
        <f t="shared" si="85"/>
        <v>0</v>
      </c>
      <c r="BT65">
        <f t="shared" si="85"/>
        <v>0</v>
      </c>
      <c r="BU65">
        <f t="shared" si="85"/>
        <v>0</v>
      </c>
      <c r="BV65">
        <f t="shared" si="85"/>
        <v>0</v>
      </c>
      <c r="BW65">
        <f t="shared" si="85"/>
        <v>0</v>
      </c>
      <c r="BX65">
        <f t="shared" si="85"/>
        <v>0</v>
      </c>
      <c r="BY65">
        <f t="shared" si="85"/>
        <v>0</v>
      </c>
      <c r="BZ65">
        <f t="shared" si="85"/>
        <v>0</v>
      </c>
      <c r="CA65">
        <f t="shared" si="85"/>
        <v>0</v>
      </c>
      <c r="CB65">
        <f t="shared" si="86"/>
        <v>0</v>
      </c>
      <c r="CC65">
        <f t="shared" si="86"/>
        <v>0</v>
      </c>
      <c r="CD65">
        <f t="shared" si="86"/>
        <v>0</v>
      </c>
      <c r="CE65">
        <f t="shared" si="86"/>
        <v>0</v>
      </c>
      <c r="CF65">
        <f t="shared" si="86"/>
        <v>0</v>
      </c>
      <c r="CG65">
        <f t="shared" si="86"/>
        <v>0</v>
      </c>
      <c r="CH65">
        <f t="shared" si="86"/>
        <v>0</v>
      </c>
      <c r="CI65">
        <f t="shared" si="86"/>
        <v>0</v>
      </c>
      <c r="CJ65">
        <f t="shared" si="86"/>
        <v>0</v>
      </c>
      <c r="CK65">
        <f t="shared" si="86"/>
        <v>0</v>
      </c>
      <c r="CL65">
        <f t="shared" si="87"/>
        <v>0</v>
      </c>
      <c r="CM65">
        <f t="shared" si="87"/>
        <v>0</v>
      </c>
      <c r="CN65">
        <f t="shared" si="87"/>
        <v>0</v>
      </c>
      <c r="CO65">
        <f t="shared" si="87"/>
        <v>0</v>
      </c>
      <c r="CP65">
        <f t="shared" si="87"/>
        <v>0</v>
      </c>
      <c r="CQ65">
        <f t="shared" si="87"/>
        <v>0</v>
      </c>
      <c r="CR65">
        <f t="shared" si="87"/>
        <v>0</v>
      </c>
      <c r="CS65">
        <f t="shared" si="87"/>
        <v>0</v>
      </c>
      <c r="CT65">
        <f t="shared" si="87"/>
        <v>0</v>
      </c>
      <c r="CU65">
        <f t="shared" si="87"/>
        <v>0</v>
      </c>
      <c r="CV65">
        <f t="shared" si="88"/>
        <v>0</v>
      </c>
      <c r="CW65">
        <f t="shared" si="88"/>
        <v>0</v>
      </c>
      <c r="CX65">
        <f t="shared" si="88"/>
        <v>0</v>
      </c>
      <c r="CY65">
        <f t="shared" si="88"/>
        <v>0</v>
      </c>
      <c r="CZ65">
        <f t="shared" si="88"/>
        <v>0</v>
      </c>
      <c r="DA65">
        <f t="shared" si="88"/>
        <v>0</v>
      </c>
      <c r="DB65">
        <f t="shared" si="88"/>
        <v>0</v>
      </c>
      <c r="DC65">
        <f t="shared" si="88"/>
        <v>0</v>
      </c>
      <c r="DD65">
        <f t="shared" si="88"/>
        <v>0</v>
      </c>
      <c r="DE65">
        <f t="shared" si="88"/>
        <v>0</v>
      </c>
      <c r="DF65">
        <f t="shared" si="89"/>
        <v>0</v>
      </c>
      <c r="DG65">
        <f t="shared" si="89"/>
        <v>0</v>
      </c>
      <c r="DH65">
        <f t="shared" si="89"/>
        <v>0</v>
      </c>
      <c r="DI65">
        <f t="shared" si="89"/>
        <v>0</v>
      </c>
      <c r="DJ65">
        <f t="shared" si="89"/>
        <v>0</v>
      </c>
      <c r="DK65">
        <f t="shared" si="89"/>
        <v>0</v>
      </c>
      <c r="DL65">
        <f t="shared" si="89"/>
        <v>0</v>
      </c>
      <c r="DM65">
        <f t="shared" si="89"/>
        <v>0</v>
      </c>
      <c r="DN65">
        <f t="shared" si="89"/>
        <v>0</v>
      </c>
      <c r="DO65">
        <f t="shared" si="89"/>
        <v>0</v>
      </c>
      <c r="DP65">
        <f t="shared" si="90"/>
        <v>0</v>
      </c>
      <c r="DQ65">
        <f t="shared" si="90"/>
        <v>0</v>
      </c>
      <c r="DR65">
        <f t="shared" si="90"/>
        <v>0</v>
      </c>
      <c r="DS65">
        <f t="shared" si="90"/>
        <v>0</v>
      </c>
      <c r="DT65">
        <f t="shared" si="90"/>
        <v>0</v>
      </c>
      <c r="DU65">
        <f t="shared" si="90"/>
        <v>0</v>
      </c>
      <c r="DV65">
        <f t="shared" si="90"/>
        <v>0</v>
      </c>
      <c r="DW65">
        <f t="shared" si="90"/>
        <v>0</v>
      </c>
      <c r="DX65">
        <f t="shared" si="90"/>
        <v>0</v>
      </c>
      <c r="DY65">
        <f t="shared" si="90"/>
        <v>0</v>
      </c>
      <c r="DZ65">
        <f t="shared" si="91"/>
        <v>0</v>
      </c>
      <c r="EA65">
        <f t="shared" si="91"/>
        <v>0</v>
      </c>
      <c r="EB65">
        <f t="shared" si="91"/>
        <v>0</v>
      </c>
      <c r="EC65">
        <f t="shared" si="91"/>
        <v>0</v>
      </c>
      <c r="ED65">
        <f t="shared" si="91"/>
        <v>0</v>
      </c>
      <c r="EE65">
        <f t="shared" si="91"/>
        <v>0</v>
      </c>
      <c r="EF65">
        <f t="shared" si="91"/>
        <v>0</v>
      </c>
      <c r="EG65">
        <f t="shared" si="91"/>
        <v>0</v>
      </c>
      <c r="EH65">
        <f t="shared" si="91"/>
        <v>0</v>
      </c>
      <c r="EI65">
        <f t="shared" si="91"/>
        <v>0</v>
      </c>
      <c r="EJ65">
        <f>SUM(Tabla1[[#This Row],[1]:[130]])</f>
        <v>62</v>
      </c>
    </row>
    <row r="66" spans="1:140" ht="15.75" thickBot="1" x14ac:dyDescent="0.3">
      <c r="A66" t="str">
        <f>B66&amp;"-"&amp;COUNTIF($B$2:B66,B66)</f>
        <v>I. BAGUETTE-3</v>
      </c>
      <c r="B66" s="33" t="s">
        <v>311</v>
      </c>
      <c r="C66">
        <f>VLOOKUP(B66,RECETAS!D65:$E$1700,2,FALSE)</f>
        <v>84</v>
      </c>
      <c r="D66" s="32"/>
      <c r="G66" t="b">
        <f t="shared" si="0"/>
        <v>1</v>
      </c>
      <c r="I66" s="33" t="s">
        <v>66</v>
      </c>
      <c r="J66">
        <f t="shared" si="79"/>
        <v>0</v>
      </c>
      <c r="K66">
        <f t="shared" si="79"/>
        <v>245</v>
      </c>
      <c r="L66">
        <f t="shared" si="79"/>
        <v>0</v>
      </c>
      <c r="M66">
        <f t="shared" si="79"/>
        <v>0</v>
      </c>
      <c r="N66">
        <f t="shared" si="79"/>
        <v>0</v>
      </c>
      <c r="O66">
        <f t="shared" si="79"/>
        <v>0</v>
      </c>
      <c r="P66">
        <f t="shared" si="79"/>
        <v>0</v>
      </c>
      <c r="Q66">
        <f t="shared" si="79"/>
        <v>0</v>
      </c>
      <c r="R66">
        <f t="shared" si="79"/>
        <v>0</v>
      </c>
      <c r="S66">
        <f t="shared" si="79"/>
        <v>0</v>
      </c>
      <c r="T66">
        <f t="shared" si="80"/>
        <v>0</v>
      </c>
      <c r="U66">
        <f t="shared" si="80"/>
        <v>0</v>
      </c>
      <c r="V66">
        <f t="shared" si="80"/>
        <v>0</v>
      </c>
      <c r="W66">
        <f t="shared" si="80"/>
        <v>0</v>
      </c>
      <c r="X66">
        <f t="shared" si="80"/>
        <v>0</v>
      </c>
      <c r="Y66">
        <f t="shared" si="80"/>
        <v>0</v>
      </c>
      <c r="Z66">
        <f t="shared" si="80"/>
        <v>0</v>
      </c>
      <c r="AA66">
        <f t="shared" si="80"/>
        <v>0</v>
      </c>
      <c r="AB66">
        <f t="shared" si="80"/>
        <v>0</v>
      </c>
      <c r="AC66">
        <f t="shared" si="80"/>
        <v>0</v>
      </c>
      <c r="AD66">
        <f t="shared" si="81"/>
        <v>0</v>
      </c>
      <c r="AE66">
        <f t="shared" si="81"/>
        <v>0</v>
      </c>
      <c r="AF66">
        <f t="shared" si="81"/>
        <v>0</v>
      </c>
      <c r="AG66">
        <f t="shared" si="81"/>
        <v>0</v>
      </c>
      <c r="AH66">
        <f t="shared" si="81"/>
        <v>0</v>
      </c>
      <c r="AI66">
        <f t="shared" si="81"/>
        <v>0</v>
      </c>
      <c r="AJ66">
        <f t="shared" si="81"/>
        <v>0</v>
      </c>
      <c r="AK66">
        <f t="shared" si="81"/>
        <v>0</v>
      </c>
      <c r="AL66">
        <f t="shared" si="81"/>
        <v>0</v>
      </c>
      <c r="AM66">
        <f t="shared" si="81"/>
        <v>0</v>
      </c>
      <c r="AN66">
        <f t="shared" si="82"/>
        <v>0</v>
      </c>
      <c r="AO66">
        <f t="shared" si="82"/>
        <v>0</v>
      </c>
      <c r="AP66">
        <f t="shared" si="82"/>
        <v>0</v>
      </c>
      <c r="AQ66">
        <f t="shared" si="82"/>
        <v>0</v>
      </c>
      <c r="AR66">
        <f t="shared" si="82"/>
        <v>0</v>
      </c>
      <c r="AS66">
        <f t="shared" si="82"/>
        <v>0</v>
      </c>
      <c r="AT66">
        <f t="shared" si="82"/>
        <v>0</v>
      </c>
      <c r="AU66">
        <f t="shared" si="82"/>
        <v>0</v>
      </c>
      <c r="AV66">
        <f t="shared" si="82"/>
        <v>0</v>
      </c>
      <c r="AW66">
        <f t="shared" si="82"/>
        <v>0</v>
      </c>
      <c r="AX66">
        <f t="shared" si="83"/>
        <v>0</v>
      </c>
      <c r="AY66">
        <f t="shared" si="83"/>
        <v>0</v>
      </c>
      <c r="AZ66">
        <f t="shared" si="83"/>
        <v>0</v>
      </c>
      <c r="BA66">
        <f t="shared" si="83"/>
        <v>0</v>
      </c>
      <c r="BB66">
        <f t="shared" si="83"/>
        <v>0</v>
      </c>
      <c r="BC66">
        <f t="shared" si="83"/>
        <v>0</v>
      </c>
      <c r="BD66">
        <f t="shared" si="83"/>
        <v>0</v>
      </c>
      <c r="BE66">
        <f t="shared" si="83"/>
        <v>0</v>
      </c>
      <c r="BF66">
        <f t="shared" si="83"/>
        <v>0</v>
      </c>
      <c r="BG66">
        <f t="shared" si="83"/>
        <v>0</v>
      </c>
      <c r="BH66">
        <f t="shared" si="84"/>
        <v>0</v>
      </c>
      <c r="BI66">
        <f t="shared" si="84"/>
        <v>0</v>
      </c>
      <c r="BJ66">
        <f t="shared" si="84"/>
        <v>0</v>
      </c>
      <c r="BK66">
        <f t="shared" si="84"/>
        <v>0</v>
      </c>
      <c r="BL66">
        <f t="shared" si="84"/>
        <v>0</v>
      </c>
      <c r="BM66">
        <f t="shared" si="84"/>
        <v>0</v>
      </c>
      <c r="BN66">
        <f t="shared" si="84"/>
        <v>0</v>
      </c>
      <c r="BO66">
        <f t="shared" si="84"/>
        <v>0</v>
      </c>
      <c r="BP66">
        <f t="shared" si="84"/>
        <v>0</v>
      </c>
      <c r="BQ66">
        <f t="shared" si="84"/>
        <v>0</v>
      </c>
      <c r="BR66">
        <f t="shared" si="85"/>
        <v>0</v>
      </c>
      <c r="BS66">
        <f t="shared" si="85"/>
        <v>0</v>
      </c>
      <c r="BT66">
        <f t="shared" si="85"/>
        <v>0</v>
      </c>
      <c r="BU66">
        <f t="shared" si="85"/>
        <v>0</v>
      </c>
      <c r="BV66">
        <f t="shared" si="85"/>
        <v>0</v>
      </c>
      <c r="BW66">
        <f t="shared" si="85"/>
        <v>0</v>
      </c>
      <c r="BX66">
        <f t="shared" si="85"/>
        <v>0</v>
      </c>
      <c r="BY66">
        <f t="shared" si="85"/>
        <v>0</v>
      </c>
      <c r="BZ66">
        <f t="shared" si="85"/>
        <v>0</v>
      </c>
      <c r="CA66">
        <f t="shared" si="85"/>
        <v>0</v>
      </c>
      <c r="CB66">
        <f t="shared" si="86"/>
        <v>0</v>
      </c>
      <c r="CC66">
        <f t="shared" si="86"/>
        <v>0</v>
      </c>
      <c r="CD66">
        <f t="shared" si="86"/>
        <v>0</v>
      </c>
      <c r="CE66">
        <f t="shared" si="86"/>
        <v>0</v>
      </c>
      <c r="CF66">
        <f t="shared" si="86"/>
        <v>0</v>
      </c>
      <c r="CG66">
        <f t="shared" si="86"/>
        <v>0</v>
      </c>
      <c r="CH66">
        <f t="shared" si="86"/>
        <v>0</v>
      </c>
      <c r="CI66">
        <f t="shared" si="86"/>
        <v>0</v>
      </c>
      <c r="CJ66">
        <f t="shared" si="86"/>
        <v>0</v>
      </c>
      <c r="CK66">
        <f t="shared" si="86"/>
        <v>0</v>
      </c>
      <c r="CL66">
        <f t="shared" si="87"/>
        <v>0</v>
      </c>
      <c r="CM66">
        <f t="shared" si="87"/>
        <v>0</v>
      </c>
      <c r="CN66">
        <f t="shared" si="87"/>
        <v>0</v>
      </c>
      <c r="CO66">
        <f t="shared" si="87"/>
        <v>0</v>
      </c>
      <c r="CP66">
        <f t="shared" si="87"/>
        <v>0</v>
      </c>
      <c r="CQ66">
        <f t="shared" si="87"/>
        <v>0</v>
      </c>
      <c r="CR66">
        <f t="shared" si="87"/>
        <v>0</v>
      </c>
      <c r="CS66">
        <f t="shared" si="87"/>
        <v>0</v>
      </c>
      <c r="CT66">
        <f t="shared" si="87"/>
        <v>0</v>
      </c>
      <c r="CU66">
        <f t="shared" si="87"/>
        <v>0</v>
      </c>
      <c r="CV66">
        <f t="shared" si="88"/>
        <v>0</v>
      </c>
      <c r="CW66">
        <f t="shared" si="88"/>
        <v>0</v>
      </c>
      <c r="CX66">
        <f t="shared" si="88"/>
        <v>0</v>
      </c>
      <c r="CY66">
        <f t="shared" si="88"/>
        <v>0</v>
      </c>
      <c r="CZ66">
        <f t="shared" si="88"/>
        <v>0</v>
      </c>
      <c r="DA66">
        <f t="shared" si="88"/>
        <v>0</v>
      </c>
      <c r="DB66">
        <f t="shared" si="88"/>
        <v>0</v>
      </c>
      <c r="DC66">
        <f t="shared" si="88"/>
        <v>0</v>
      </c>
      <c r="DD66">
        <f t="shared" si="88"/>
        <v>0</v>
      </c>
      <c r="DE66">
        <f t="shared" si="88"/>
        <v>0</v>
      </c>
      <c r="DF66">
        <f t="shared" si="89"/>
        <v>0</v>
      </c>
      <c r="DG66">
        <f t="shared" si="89"/>
        <v>0</v>
      </c>
      <c r="DH66">
        <f t="shared" si="89"/>
        <v>0</v>
      </c>
      <c r="DI66">
        <f t="shared" si="89"/>
        <v>0</v>
      </c>
      <c r="DJ66">
        <f t="shared" si="89"/>
        <v>0</v>
      </c>
      <c r="DK66">
        <f t="shared" si="89"/>
        <v>0</v>
      </c>
      <c r="DL66">
        <f t="shared" si="89"/>
        <v>0</v>
      </c>
      <c r="DM66">
        <f t="shared" si="89"/>
        <v>0</v>
      </c>
      <c r="DN66">
        <f t="shared" si="89"/>
        <v>0</v>
      </c>
      <c r="DO66">
        <f t="shared" si="89"/>
        <v>0</v>
      </c>
      <c r="DP66">
        <f t="shared" si="90"/>
        <v>0</v>
      </c>
      <c r="DQ66">
        <f t="shared" si="90"/>
        <v>0</v>
      </c>
      <c r="DR66">
        <f t="shared" si="90"/>
        <v>0</v>
      </c>
      <c r="DS66">
        <f t="shared" si="90"/>
        <v>0</v>
      </c>
      <c r="DT66">
        <f t="shared" si="90"/>
        <v>0</v>
      </c>
      <c r="DU66">
        <f t="shared" si="90"/>
        <v>0</v>
      </c>
      <c r="DV66">
        <f t="shared" si="90"/>
        <v>0</v>
      </c>
      <c r="DW66">
        <f t="shared" si="90"/>
        <v>0</v>
      </c>
      <c r="DX66">
        <f t="shared" si="90"/>
        <v>0</v>
      </c>
      <c r="DY66">
        <f t="shared" si="90"/>
        <v>0</v>
      </c>
      <c r="DZ66">
        <f t="shared" si="91"/>
        <v>0</v>
      </c>
      <c r="EA66">
        <f t="shared" si="91"/>
        <v>0</v>
      </c>
      <c r="EB66">
        <f t="shared" si="91"/>
        <v>0</v>
      </c>
      <c r="EC66">
        <f t="shared" si="91"/>
        <v>0</v>
      </c>
      <c r="ED66">
        <f t="shared" si="91"/>
        <v>0</v>
      </c>
      <c r="EE66">
        <f t="shared" si="91"/>
        <v>0</v>
      </c>
      <c r="EF66">
        <f t="shared" si="91"/>
        <v>0</v>
      </c>
      <c r="EG66">
        <f t="shared" si="91"/>
        <v>0</v>
      </c>
      <c r="EH66">
        <f t="shared" si="91"/>
        <v>0</v>
      </c>
      <c r="EI66">
        <f t="shared" si="91"/>
        <v>0</v>
      </c>
      <c r="EJ66">
        <f>SUM(Tabla1[[#This Row],[1]:[130]])</f>
        <v>245</v>
      </c>
    </row>
    <row r="67" spans="1:140" x14ac:dyDescent="0.25">
      <c r="A67" t="str">
        <f>B67&amp;"-"&amp;COUNTIF($B$2:B67,B67)</f>
        <v>I. PAPAS FRITAS-3</v>
      </c>
      <c r="B67" s="26" t="s">
        <v>13</v>
      </c>
      <c r="C67">
        <f>VLOOKUP(B67,RECETAS!D66:$E$1700,2,FALSE)</f>
        <v>110400</v>
      </c>
      <c r="D67" s="25" t="s">
        <v>334</v>
      </c>
      <c r="G67" t="b">
        <f t="shared" ref="G67:G130" si="92">IFERROR(IF(MATCH(B67,I:I,0) &lt;&gt; "", TRUE,""),FALSE)</f>
        <v>1</v>
      </c>
      <c r="I67" s="26" t="s">
        <v>16</v>
      </c>
      <c r="J67">
        <f t="shared" si="79"/>
        <v>300</v>
      </c>
      <c r="K67">
        <f t="shared" si="79"/>
        <v>50</v>
      </c>
      <c r="L67">
        <f t="shared" si="79"/>
        <v>0</v>
      </c>
      <c r="M67">
        <f t="shared" si="79"/>
        <v>0</v>
      </c>
      <c r="N67">
        <f t="shared" si="79"/>
        <v>1650</v>
      </c>
      <c r="O67">
        <f t="shared" si="79"/>
        <v>1000</v>
      </c>
      <c r="P67">
        <f t="shared" si="79"/>
        <v>950</v>
      </c>
      <c r="Q67">
        <f t="shared" si="79"/>
        <v>500</v>
      </c>
      <c r="R67">
        <f t="shared" si="79"/>
        <v>1900</v>
      </c>
      <c r="S67">
        <f t="shared" si="79"/>
        <v>20700</v>
      </c>
      <c r="T67">
        <f t="shared" si="80"/>
        <v>3450</v>
      </c>
      <c r="U67">
        <f t="shared" si="80"/>
        <v>3300</v>
      </c>
      <c r="V67">
        <f t="shared" si="80"/>
        <v>4950</v>
      </c>
      <c r="W67">
        <f t="shared" si="80"/>
        <v>5250</v>
      </c>
      <c r="X67">
        <f t="shared" si="80"/>
        <v>0</v>
      </c>
      <c r="Y67">
        <f t="shared" si="80"/>
        <v>0</v>
      </c>
      <c r="Z67">
        <f t="shared" si="80"/>
        <v>0</v>
      </c>
      <c r="AA67">
        <f t="shared" si="80"/>
        <v>1200</v>
      </c>
      <c r="AB67">
        <f t="shared" si="80"/>
        <v>1700</v>
      </c>
      <c r="AC67">
        <f t="shared" si="80"/>
        <v>300</v>
      </c>
      <c r="AD67">
        <f t="shared" si="81"/>
        <v>700</v>
      </c>
      <c r="AE67">
        <f t="shared" si="81"/>
        <v>0</v>
      </c>
      <c r="AF67">
        <f t="shared" si="81"/>
        <v>1050</v>
      </c>
      <c r="AG67">
        <f t="shared" si="81"/>
        <v>120</v>
      </c>
      <c r="AH67">
        <f t="shared" si="81"/>
        <v>600</v>
      </c>
      <c r="AI67">
        <f t="shared" si="81"/>
        <v>150</v>
      </c>
      <c r="AJ67">
        <f t="shared" si="81"/>
        <v>750</v>
      </c>
      <c r="AK67">
        <f t="shared" si="81"/>
        <v>1950</v>
      </c>
      <c r="AL67">
        <f t="shared" si="81"/>
        <v>600</v>
      </c>
      <c r="AM67">
        <f t="shared" si="81"/>
        <v>150</v>
      </c>
      <c r="AN67">
        <f t="shared" si="82"/>
        <v>50</v>
      </c>
      <c r="AO67">
        <f t="shared" si="82"/>
        <v>100</v>
      </c>
      <c r="AP67">
        <f t="shared" si="82"/>
        <v>0</v>
      </c>
      <c r="AQ67">
        <f t="shared" si="82"/>
        <v>200</v>
      </c>
      <c r="AR67">
        <f t="shared" si="82"/>
        <v>100</v>
      </c>
      <c r="AS67">
        <f t="shared" si="82"/>
        <v>100</v>
      </c>
      <c r="AT67">
        <f t="shared" si="82"/>
        <v>50</v>
      </c>
      <c r="AU67">
        <f t="shared" si="82"/>
        <v>50</v>
      </c>
      <c r="AV67">
        <f t="shared" si="82"/>
        <v>0</v>
      </c>
      <c r="AW67">
        <f t="shared" si="82"/>
        <v>0</v>
      </c>
      <c r="AX67">
        <f t="shared" si="83"/>
        <v>0</v>
      </c>
      <c r="AY67">
        <f t="shared" si="83"/>
        <v>0</v>
      </c>
      <c r="AZ67">
        <f t="shared" si="83"/>
        <v>0</v>
      </c>
      <c r="BA67">
        <f t="shared" si="83"/>
        <v>0</v>
      </c>
      <c r="BB67">
        <f t="shared" si="83"/>
        <v>150</v>
      </c>
      <c r="BC67">
        <f t="shared" si="83"/>
        <v>0</v>
      </c>
      <c r="BD67">
        <f t="shared" si="83"/>
        <v>0</v>
      </c>
      <c r="BE67">
        <f t="shared" si="83"/>
        <v>0</v>
      </c>
      <c r="BF67">
        <f t="shared" si="83"/>
        <v>0</v>
      </c>
      <c r="BG67">
        <f t="shared" si="83"/>
        <v>0</v>
      </c>
      <c r="BH67">
        <f t="shared" si="84"/>
        <v>0</v>
      </c>
      <c r="BI67">
        <f t="shared" si="84"/>
        <v>0</v>
      </c>
      <c r="BJ67">
        <f t="shared" si="84"/>
        <v>0</v>
      </c>
      <c r="BK67">
        <f t="shared" si="84"/>
        <v>0</v>
      </c>
      <c r="BL67">
        <f t="shared" si="84"/>
        <v>0</v>
      </c>
      <c r="BM67">
        <f t="shared" si="84"/>
        <v>0</v>
      </c>
      <c r="BN67">
        <f t="shared" si="84"/>
        <v>0</v>
      </c>
      <c r="BO67">
        <f t="shared" si="84"/>
        <v>0</v>
      </c>
      <c r="BP67">
        <f t="shared" si="84"/>
        <v>0</v>
      </c>
      <c r="BQ67">
        <f t="shared" si="84"/>
        <v>0</v>
      </c>
      <c r="BR67">
        <f t="shared" si="85"/>
        <v>0</v>
      </c>
      <c r="BS67">
        <f t="shared" si="85"/>
        <v>0</v>
      </c>
      <c r="BT67">
        <f t="shared" si="85"/>
        <v>0</v>
      </c>
      <c r="BU67">
        <f t="shared" si="85"/>
        <v>150</v>
      </c>
      <c r="BV67">
        <f t="shared" si="85"/>
        <v>0</v>
      </c>
      <c r="BW67">
        <f t="shared" si="85"/>
        <v>300</v>
      </c>
      <c r="BX67">
        <f t="shared" si="85"/>
        <v>0</v>
      </c>
      <c r="BY67">
        <f t="shared" si="85"/>
        <v>600</v>
      </c>
      <c r="BZ67">
        <f t="shared" si="85"/>
        <v>0</v>
      </c>
      <c r="CA67">
        <f t="shared" si="85"/>
        <v>7</v>
      </c>
      <c r="CB67">
        <f t="shared" si="86"/>
        <v>0</v>
      </c>
      <c r="CC67">
        <f t="shared" si="86"/>
        <v>0</v>
      </c>
      <c r="CD67">
        <f t="shared" si="86"/>
        <v>0</v>
      </c>
      <c r="CE67">
        <f t="shared" si="86"/>
        <v>0</v>
      </c>
      <c r="CF67">
        <f t="shared" si="86"/>
        <v>0</v>
      </c>
      <c r="CG67">
        <f t="shared" si="86"/>
        <v>0</v>
      </c>
      <c r="CH67">
        <f t="shared" si="86"/>
        <v>0</v>
      </c>
      <c r="CI67">
        <f t="shared" si="86"/>
        <v>0</v>
      </c>
      <c r="CJ67">
        <f t="shared" si="86"/>
        <v>0</v>
      </c>
      <c r="CK67">
        <f t="shared" si="86"/>
        <v>0</v>
      </c>
      <c r="CL67">
        <f t="shared" si="87"/>
        <v>600</v>
      </c>
      <c r="CM67">
        <f t="shared" si="87"/>
        <v>0</v>
      </c>
      <c r="CN67">
        <f t="shared" si="87"/>
        <v>0</v>
      </c>
      <c r="CO67">
        <f t="shared" si="87"/>
        <v>0</v>
      </c>
      <c r="CP67">
        <f t="shared" si="87"/>
        <v>0</v>
      </c>
      <c r="CQ67">
        <f t="shared" si="87"/>
        <v>0</v>
      </c>
      <c r="CR67">
        <f t="shared" si="87"/>
        <v>0</v>
      </c>
      <c r="CS67">
        <f t="shared" si="87"/>
        <v>0</v>
      </c>
      <c r="CT67">
        <f t="shared" si="87"/>
        <v>0</v>
      </c>
      <c r="CU67">
        <f t="shared" si="87"/>
        <v>0</v>
      </c>
      <c r="CV67">
        <f t="shared" si="88"/>
        <v>0</v>
      </c>
      <c r="CW67">
        <f t="shared" si="88"/>
        <v>0</v>
      </c>
      <c r="CX67">
        <f t="shared" si="88"/>
        <v>0</v>
      </c>
      <c r="CY67">
        <f t="shared" si="88"/>
        <v>0</v>
      </c>
      <c r="CZ67">
        <f t="shared" si="88"/>
        <v>0</v>
      </c>
      <c r="DA67">
        <f t="shared" si="88"/>
        <v>0</v>
      </c>
      <c r="DB67">
        <f t="shared" si="88"/>
        <v>0</v>
      </c>
      <c r="DC67">
        <f t="shared" si="88"/>
        <v>0</v>
      </c>
      <c r="DD67">
        <f t="shared" si="88"/>
        <v>0</v>
      </c>
      <c r="DE67">
        <f t="shared" si="88"/>
        <v>0</v>
      </c>
      <c r="DF67">
        <f t="shared" si="89"/>
        <v>0</v>
      </c>
      <c r="DG67">
        <f t="shared" si="89"/>
        <v>0</v>
      </c>
      <c r="DH67">
        <f t="shared" si="89"/>
        <v>0</v>
      </c>
      <c r="DI67">
        <f t="shared" si="89"/>
        <v>0</v>
      </c>
      <c r="DJ67">
        <f t="shared" si="89"/>
        <v>0</v>
      </c>
      <c r="DK67">
        <f t="shared" si="89"/>
        <v>0</v>
      </c>
      <c r="DL67">
        <f t="shared" si="89"/>
        <v>0</v>
      </c>
      <c r="DM67">
        <f t="shared" si="89"/>
        <v>0</v>
      </c>
      <c r="DN67">
        <f t="shared" si="89"/>
        <v>0</v>
      </c>
      <c r="DO67">
        <f t="shared" si="89"/>
        <v>0</v>
      </c>
      <c r="DP67">
        <f t="shared" si="90"/>
        <v>0</v>
      </c>
      <c r="DQ67">
        <f t="shared" si="90"/>
        <v>0</v>
      </c>
      <c r="DR67">
        <f t="shared" si="90"/>
        <v>0</v>
      </c>
      <c r="DS67">
        <f t="shared" si="90"/>
        <v>0</v>
      </c>
      <c r="DT67">
        <f t="shared" si="90"/>
        <v>0</v>
      </c>
      <c r="DU67">
        <f t="shared" si="90"/>
        <v>0</v>
      </c>
      <c r="DV67">
        <f t="shared" si="90"/>
        <v>0</v>
      </c>
      <c r="DW67">
        <f t="shared" si="90"/>
        <v>0</v>
      </c>
      <c r="DX67">
        <f t="shared" si="90"/>
        <v>0</v>
      </c>
      <c r="DY67">
        <f t="shared" si="90"/>
        <v>0</v>
      </c>
      <c r="DZ67">
        <f t="shared" si="91"/>
        <v>0</v>
      </c>
      <c r="EA67">
        <f t="shared" si="91"/>
        <v>0</v>
      </c>
      <c r="EB67">
        <f t="shared" si="91"/>
        <v>0</v>
      </c>
      <c r="EC67">
        <f t="shared" si="91"/>
        <v>0</v>
      </c>
      <c r="ED67">
        <f t="shared" si="91"/>
        <v>0</v>
      </c>
      <c r="EE67">
        <f t="shared" si="91"/>
        <v>0</v>
      </c>
      <c r="EF67">
        <f t="shared" si="91"/>
        <v>0</v>
      </c>
      <c r="EG67">
        <f t="shared" si="91"/>
        <v>0</v>
      </c>
      <c r="EH67">
        <f t="shared" si="91"/>
        <v>0</v>
      </c>
      <c r="EI67">
        <f t="shared" si="91"/>
        <v>0</v>
      </c>
      <c r="EJ67">
        <f>SUM(Tabla1[[#This Row],[1]:[130]])</f>
        <v>55727</v>
      </c>
    </row>
    <row r="68" spans="1:140" x14ac:dyDescent="0.25">
      <c r="A68" t="str">
        <f>B68&amp;"-"&amp;COUNTIF($B$2:B68,B68)</f>
        <v>I. QUESO GRANULADO-6</v>
      </c>
      <c r="B68" s="35" t="s">
        <v>9</v>
      </c>
      <c r="C68">
        <f>VLOOKUP(B68,RECETAS!D67:$E$1700,2,FALSE)</f>
        <v>20700</v>
      </c>
      <c r="D68" s="34"/>
      <c r="G68" t="b">
        <f t="shared" si="92"/>
        <v>1</v>
      </c>
      <c r="I68" s="35" t="s">
        <v>14</v>
      </c>
      <c r="J68">
        <f t="shared" si="79"/>
        <v>21</v>
      </c>
      <c r="K68">
        <f t="shared" si="79"/>
        <v>2</v>
      </c>
      <c r="L68">
        <f t="shared" si="79"/>
        <v>2</v>
      </c>
      <c r="M68">
        <f t="shared" si="79"/>
        <v>0</v>
      </c>
      <c r="N68">
        <f t="shared" si="79"/>
        <v>0</v>
      </c>
      <c r="O68">
        <f t="shared" si="79"/>
        <v>0</v>
      </c>
      <c r="P68">
        <f t="shared" si="79"/>
        <v>0</v>
      </c>
      <c r="Q68">
        <f t="shared" si="79"/>
        <v>0</v>
      </c>
      <c r="R68">
        <f t="shared" si="79"/>
        <v>0</v>
      </c>
      <c r="S68">
        <f t="shared" si="79"/>
        <v>0</v>
      </c>
      <c r="T68">
        <f t="shared" si="80"/>
        <v>0</v>
      </c>
      <c r="U68">
        <f t="shared" si="80"/>
        <v>0</v>
      </c>
      <c r="V68">
        <f t="shared" si="80"/>
        <v>0</v>
      </c>
      <c r="W68">
        <f t="shared" si="80"/>
        <v>0</v>
      </c>
      <c r="X68">
        <f t="shared" si="80"/>
        <v>0</v>
      </c>
      <c r="Y68">
        <f t="shared" si="80"/>
        <v>0</v>
      </c>
      <c r="Z68">
        <f t="shared" si="80"/>
        <v>0</v>
      </c>
      <c r="AA68">
        <f t="shared" si="80"/>
        <v>0</v>
      </c>
      <c r="AB68">
        <f t="shared" si="80"/>
        <v>0</v>
      </c>
      <c r="AC68">
        <f t="shared" si="80"/>
        <v>0</v>
      </c>
      <c r="AD68">
        <f t="shared" si="81"/>
        <v>0</v>
      </c>
      <c r="AE68">
        <f t="shared" si="81"/>
        <v>0</v>
      </c>
      <c r="AF68">
        <f t="shared" si="81"/>
        <v>0</v>
      </c>
      <c r="AG68">
        <f t="shared" si="81"/>
        <v>0</v>
      </c>
      <c r="AH68">
        <f t="shared" si="81"/>
        <v>0</v>
      </c>
      <c r="AI68">
        <f t="shared" si="81"/>
        <v>0</v>
      </c>
      <c r="AJ68">
        <f t="shared" si="81"/>
        <v>0</v>
      </c>
      <c r="AK68">
        <f t="shared" si="81"/>
        <v>0</v>
      </c>
      <c r="AL68">
        <f t="shared" si="81"/>
        <v>0</v>
      </c>
      <c r="AM68">
        <f t="shared" si="81"/>
        <v>0</v>
      </c>
      <c r="AN68">
        <f t="shared" si="82"/>
        <v>0</v>
      </c>
      <c r="AO68">
        <f t="shared" si="82"/>
        <v>0</v>
      </c>
      <c r="AP68">
        <f t="shared" si="82"/>
        <v>0</v>
      </c>
      <c r="AQ68">
        <f t="shared" si="82"/>
        <v>0</v>
      </c>
      <c r="AR68">
        <f t="shared" si="82"/>
        <v>0</v>
      </c>
      <c r="AS68">
        <f t="shared" si="82"/>
        <v>0</v>
      </c>
      <c r="AT68">
        <f t="shared" si="82"/>
        <v>0</v>
      </c>
      <c r="AU68">
        <f t="shared" si="82"/>
        <v>0</v>
      </c>
      <c r="AV68">
        <f t="shared" si="82"/>
        <v>0</v>
      </c>
      <c r="AW68">
        <f t="shared" si="82"/>
        <v>0</v>
      </c>
      <c r="AX68">
        <f t="shared" si="83"/>
        <v>0</v>
      </c>
      <c r="AY68">
        <f t="shared" si="83"/>
        <v>0</v>
      </c>
      <c r="AZ68">
        <f t="shared" si="83"/>
        <v>0</v>
      </c>
      <c r="BA68">
        <f t="shared" si="83"/>
        <v>0</v>
      </c>
      <c r="BB68">
        <f t="shared" si="83"/>
        <v>0</v>
      </c>
      <c r="BC68">
        <f t="shared" si="83"/>
        <v>0</v>
      </c>
      <c r="BD68">
        <f t="shared" si="83"/>
        <v>0</v>
      </c>
      <c r="BE68">
        <f t="shared" si="83"/>
        <v>0</v>
      </c>
      <c r="BF68">
        <f t="shared" si="83"/>
        <v>0</v>
      </c>
      <c r="BG68">
        <f t="shared" si="83"/>
        <v>0</v>
      </c>
      <c r="BH68">
        <f t="shared" si="84"/>
        <v>0</v>
      </c>
      <c r="BI68">
        <f t="shared" si="84"/>
        <v>0</v>
      </c>
      <c r="BJ68">
        <f t="shared" si="84"/>
        <v>0</v>
      </c>
      <c r="BK68">
        <f t="shared" si="84"/>
        <v>0</v>
      </c>
      <c r="BL68">
        <f t="shared" si="84"/>
        <v>0</v>
      </c>
      <c r="BM68">
        <f t="shared" si="84"/>
        <v>0</v>
      </c>
      <c r="BN68">
        <f t="shared" si="84"/>
        <v>0</v>
      </c>
      <c r="BO68">
        <f t="shared" si="84"/>
        <v>0</v>
      </c>
      <c r="BP68">
        <f t="shared" si="84"/>
        <v>0</v>
      </c>
      <c r="BQ68">
        <f t="shared" si="84"/>
        <v>0</v>
      </c>
      <c r="BR68">
        <f t="shared" si="85"/>
        <v>0</v>
      </c>
      <c r="BS68">
        <f t="shared" si="85"/>
        <v>0</v>
      </c>
      <c r="BT68">
        <f t="shared" si="85"/>
        <v>0</v>
      </c>
      <c r="BU68">
        <f t="shared" si="85"/>
        <v>0</v>
      </c>
      <c r="BV68">
        <f t="shared" si="85"/>
        <v>0</v>
      </c>
      <c r="BW68">
        <f t="shared" si="85"/>
        <v>0</v>
      </c>
      <c r="BX68">
        <f t="shared" si="85"/>
        <v>0</v>
      </c>
      <c r="BY68">
        <f t="shared" si="85"/>
        <v>0</v>
      </c>
      <c r="BZ68">
        <f t="shared" si="85"/>
        <v>0</v>
      </c>
      <c r="CA68">
        <f t="shared" si="85"/>
        <v>0</v>
      </c>
      <c r="CB68">
        <f t="shared" si="86"/>
        <v>0</v>
      </c>
      <c r="CC68">
        <f t="shared" si="86"/>
        <v>0</v>
      </c>
      <c r="CD68">
        <f t="shared" si="86"/>
        <v>0</v>
      </c>
      <c r="CE68">
        <f t="shared" si="86"/>
        <v>0</v>
      </c>
      <c r="CF68">
        <f t="shared" si="86"/>
        <v>0</v>
      </c>
      <c r="CG68">
        <f t="shared" si="86"/>
        <v>0</v>
      </c>
      <c r="CH68">
        <f t="shared" si="86"/>
        <v>0</v>
      </c>
      <c r="CI68">
        <f t="shared" si="86"/>
        <v>0</v>
      </c>
      <c r="CJ68">
        <f t="shared" si="86"/>
        <v>0</v>
      </c>
      <c r="CK68">
        <f t="shared" si="86"/>
        <v>0</v>
      </c>
      <c r="CL68">
        <f t="shared" si="87"/>
        <v>0</v>
      </c>
      <c r="CM68">
        <f t="shared" si="87"/>
        <v>0</v>
      </c>
      <c r="CN68">
        <f t="shared" si="87"/>
        <v>0</v>
      </c>
      <c r="CO68">
        <f t="shared" si="87"/>
        <v>0</v>
      </c>
      <c r="CP68">
        <f t="shared" si="87"/>
        <v>0</v>
      </c>
      <c r="CQ68">
        <f t="shared" si="87"/>
        <v>0</v>
      </c>
      <c r="CR68">
        <f t="shared" si="87"/>
        <v>0</v>
      </c>
      <c r="CS68">
        <f t="shared" si="87"/>
        <v>0</v>
      </c>
      <c r="CT68">
        <f t="shared" si="87"/>
        <v>0</v>
      </c>
      <c r="CU68">
        <f t="shared" si="87"/>
        <v>0</v>
      </c>
      <c r="CV68">
        <f t="shared" si="88"/>
        <v>0</v>
      </c>
      <c r="CW68">
        <f t="shared" si="88"/>
        <v>0</v>
      </c>
      <c r="CX68">
        <f t="shared" si="88"/>
        <v>0</v>
      </c>
      <c r="CY68">
        <f t="shared" si="88"/>
        <v>0</v>
      </c>
      <c r="CZ68">
        <f t="shared" si="88"/>
        <v>0</v>
      </c>
      <c r="DA68">
        <f t="shared" si="88"/>
        <v>0</v>
      </c>
      <c r="DB68">
        <f t="shared" si="88"/>
        <v>0</v>
      </c>
      <c r="DC68">
        <f t="shared" si="88"/>
        <v>0</v>
      </c>
      <c r="DD68">
        <f t="shared" si="88"/>
        <v>0</v>
      </c>
      <c r="DE68">
        <f t="shared" si="88"/>
        <v>0</v>
      </c>
      <c r="DF68">
        <f t="shared" si="89"/>
        <v>0</v>
      </c>
      <c r="DG68">
        <f t="shared" si="89"/>
        <v>0</v>
      </c>
      <c r="DH68">
        <f t="shared" si="89"/>
        <v>0</v>
      </c>
      <c r="DI68">
        <f t="shared" si="89"/>
        <v>0</v>
      </c>
      <c r="DJ68">
        <f t="shared" si="89"/>
        <v>0</v>
      </c>
      <c r="DK68">
        <f t="shared" si="89"/>
        <v>0</v>
      </c>
      <c r="DL68">
        <f t="shared" si="89"/>
        <v>0</v>
      </c>
      <c r="DM68">
        <f t="shared" si="89"/>
        <v>0</v>
      </c>
      <c r="DN68">
        <f t="shared" si="89"/>
        <v>0</v>
      </c>
      <c r="DO68">
        <f t="shared" si="89"/>
        <v>0</v>
      </c>
      <c r="DP68">
        <f t="shared" si="90"/>
        <v>0</v>
      </c>
      <c r="DQ68">
        <f t="shared" si="90"/>
        <v>0</v>
      </c>
      <c r="DR68">
        <f t="shared" si="90"/>
        <v>0</v>
      </c>
      <c r="DS68">
        <f t="shared" si="90"/>
        <v>0</v>
      </c>
      <c r="DT68">
        <f t="shared" si="90"/>
        <v>0</v>
      </c>
      <c r="DU68">
        <f t="shared" si="90"/>
        <v>0</v>
      </c>
      <c r="DV68">
        <f t="shared" si="90"/>
        <v>0</v>
      </c>
      <c r="DW68">
        <f t="shared" si="90"/>
        <v>0</v>
      </c>
      <c r="DX68">
        <f t="shared" si="90"/>
        <v>0</v>
      </c>
      <c r="DY68">
        <f t="shared" si="90"/>
        <v>0</v>
      </c>
      <c r="DZ68">
        <f t="shared" si="91"/>
        <v>0</v>
      </c>
      <c r="EA68">
        <f t="shared" si="91"/>
        <v>0</v>
      </c>
      <c r="EB68">
        <f t="shared" si="91"/>
        <v>0</v>
      </c>
      <c r="EC68">
        <f t="shared" si="91"/>
        <v>0</v>
      </c>
      <c r="ED68">
        <f t="shared" si="91"/>
        <v>0</v>
      </c>
      <c r="EE68">
        <f t="shared" si="91"/>
        <v>0</v>
      </c>
      <c r="EF68">
        <f t="shared" si="91"/>
        <v>0</v>
      </c>
      <c r="EG68">
        <f t="shared" si="91"/>
        <v>0</v>
      </c>
      <c r="EH68">
        <f t="shared" si="91"/>
        <v>0</v>
      </c>
      <c r="EI68">
        <f t="shared" si="91"/>
        <v>0</v>
      </c>
      <c r="EJ68">
        <f>SUM(Tabla1[[#This Row],[1]:[130]])</f>
        <v>25</v>
      </c>
    </row>
    <row r="69" spans="1:140" ht="15" customHeight="1" x14ac:dyDescent="0.25">
      <c r="A69" t="str">
        <f>B69&amp;"-"&amp;COUNTIF($B$2:B69,B69)</f>
        <v>I. CREMA ESPESA-10</v>
      </c>
      <c r="B69" s="35" t="s">
        <v>16</v>
      </c>
      <c r="C69">
        <f>VLOOKUP(B69,RECETAS!D68:$E$1700,2,FALSE)</f>
        <v>20700</v>
      </c>
      <c r="D69" s="34"/>
      <c r="G69" t="b">
        <f t="shared" si="92"/>
        <v>1</v>
      </c>
      <c r="I69" s="35" t="s">
        <v>67</v>
      </c>
      <c r="J69">
        <f t="shared" si="79"/>
        <v>120</v>
      </c>
      <c r="K69">
        <f t="shared" si="79"/>
        <v>385</v>
      </c>
      <c r="L69">
        <f t="shared" si="79"/>
        <v>140</v>
      </c>
      <c r="M69">
        <f t="shared" si="79"/>
        <v>0</v>
      </c>
      <c r="N69">
        <f t="shared" si="79"/>
        <v>60</v>
      </c>
      <c r="O69">
        <f t="shared" si="79"/>
        <v>0</v>
      </c>
      <c r="P69">
        <f t="shared" si="79"/>
        <v>0</v>
      </c>
      <c r="Q69">
        <f t="shared" si="79"/>
        <v>0</v>
      </c>
      <c r="R69">
        <f t="shared" si="79"/>
        <v>0</v>
      </c>
      <c r="S69">
        <f t="shared" si="79"/>
        <v>0</v>
      </c>
      <c r="T69">
        <f t="shared" si="80"/>
        <v>0</v>
      </c>
      <c r="U69">
        <f t="shared" si="80"/>
        <v>0</v>
      </c>
      <c r="V69">
        <f t="shared" si="80"/>
        <v>0</v>
      </c>
      <c r="W69">
        <f t="shared" si="80"/>
        <v>0</v>
      </c>
      <c r="X69">
        <f t="shared" si="80"/>
        <v>0</v>
      </c>
      <c r="Y69">
        <f t="shared" si="80"/>
        <v>0</v>
      </c>
      <c r="Z69">
        <f t="shared" si="80"/>
        <v>0</v>
      </c>
      <c r="AA69">
        <f t="shared" si="80"/>
        <v>0</v>
      </c>
      <c r="AB69">
        <f t="shared" si="80"/>
        <v>0</v>
      </c>
      <c r="AC69">
        <f t="shared" si="80"/>
        <v>0</v>
      </c>
      <c r="AD69">
        <f t="shared" si="81"/>
        <v>0</v>
      </c>
      <c r="AE69">
        <f t="shared" si="81"/>
        <v>0</v>
      </c>
      <c r="AF69">
        <f t="shared" si="81"/>
        <v>0</v>
      </c>
      <c r="AG69">
        <f t="shared" si="81"/>
        <v>0</v>
      </c>
      <c r="AH69">
        <f t="shared" si="81"/>
        <v>0</v>
      </c>
      <c r="AI69">
        <f t="shared" si="81"/>
        <v>0</v>
      </c>
      <c r="AJ69">
        <f t="shared" si="81"/>
        <v>0</v>
      </c>
      <c r="AK69">
        <f t="shared" si="81"/>
        <v>0</v>
      </c>
      <c r="AL69">
        <f t="shared" si="81"/>
        <v>0</v>
      </c>
      <c r="AM69">
        <f t="shared" si="81"/>
        <v>0</v>
      </c>
      <c r="AN69">
        <f t="shared" si="82"/>
        <v>0</v>
      </c>
      <c r="AO69">
        <f t="shared" si="82"/>
        <v>0</v>
      </c>
      <c r="AP69">
        <f t="shared" si="82"/>
        <v>0</v>
      </c>
      <c r="AQ69">
        <f t="shared" si="82"/>
        <v>0</v>
      </c>
      <c r="AR69">
        <f t="shared" si="82"/>
        <v>0</v>
      </c>
      <c r="AS69">
        <f t="shared" si="82"/>
        <v>0</v>
      </c>
      <c r="AT69">
        <f t="shared" si="82"/>
        <v>0</v>
      </c>
      <c r="AU69">
        <f t="shared" si="82"/>
        <v>0</v>
      </c>
      <c r="AV69">
        <f t="shared" si="82"/>
        <v>0</v>
      </c>
      <c r="AW69">
        <f t="shared" si="82"/>
        <v>0</v>
      </c>
      <c r="AX69">
        <f t="shared" si="83"/>
        <v>0</v>
      </c>
      <c r="AY69">
        <f t="shared" si="83"/>
        <v>0</v>
      </c>
      <c r="AZ69">
        <f t="shared" si="83"/>
        <v>0</v>
      </c>
      <c r="BA69">
        <f t="shared" si="83"/>
        <v>0</v>
      </c>
      <c r="BB69">
        <f t="shared" si="83"/>
        <v>0</v>
      </c>
      <c r="BC69">
        <f t="shared" si="83"/>
        <v>0</v>
      </c>
      <c r="BD69">
        <f t="shared" si="83"/>
        <v>0</v>
      </c>
      <c r="BE69">
        <f t="shared" si="83"/>
        <v>0</v>
      </c>
      <c r="BF69">
        <f t="shared" si="83"/>
        <v>0</v>
      </c>
      <c r="BG69">
        <f t="shared" si="83"/>
        <v>0</v>
      </c>
      <c r="BH69">
        <f t="shared" si="84"/>
        <v>0</v>
      </c>
      <c r="BI69">
        <f t="shared" si="84"/>
        <v>0</v>
      </c>
      <c r="BJ69">
        <f t="shared" si="84"/>
        <v>0</v>
      </c>
      <c r="BK69">
        <f t="shared" si="84"/>
        <v>0</v>
      </c>
      <c r="BL69">
        <f t="shared" si="84"/>
        <v>0</v>
      </c>
      <c r="BM69">
        <f t="shared" si="84"/>
        <v>0</v>
      </c>
      <c r="BN69">
        <f t="shared" si="84"/>
        <v>0</v>
      </c>
      <c r="BO69">
        <f t="shared" si="84"/>
        <v>0</v>
      </c>
      <c r="BP69">
        <f t="shared" si="84"/>
        <v>0</v>
      </c>
      <c r="BQ69">
        <f t="shared" si="84"/>
        <v>0</v>
      </c>
      <c r="BR69">
        <f t="shared" si="85"/>
        <v>0</v>
      </c>
      <c r="BS69">
        <f t="shared" si="85"/>
        <v>0</v>
      </c>
      <c r="BT69">
        <f t="shared" si="85"/>
        <v>0</v>
      </c>
      <c r="BU69">
        <f t="shared" si="85"/>
        <v>0</v>
      </c>
      <c r="BV69">
        <f t="shared" si="85"/>
        <v>0</v>
      </c>
      <c r="BW69">
        <f t="shared" si="85"/>
        <v>0</v>
      </c>
      <c r="BX69">
        <f t="shared" si="85"/>
        <v>0</v>
      </c>
      <c r="BY69">
        <f t="shared" si="85"/>
        <v>0</v>
      </c>
      <c r="BZ69">
        <f t="shared" si="85"/>
        <v>0</v>
      </c>
      <c r="CA69">
        <f t="shared" si="85"/>
        <v>0</v>
      </c>
      <c r="CB69">
        <f t="shared" si="86"/>
        <v>0</v>
      </c>
      <c r="CC69">
        <f t="shared" si="86"/>
        <v>0</v>
      </c>
      <c r="CD69">
        <f t="shared" si="86"/>
        <v>0</v>
      </c>
      <c r="CE69">
        <f t="shared" si="86"/>
        <v>0</v>
      </c>
      <c r="CF69">
        <f t="shared" si="86"/>
        <v>0</v>
      </c>
      <c r="CG69">
        <f t="shared" si="86"/>
        <v>0</v>
      </c>
      <c r="CH69">
        <f t="shared" si="86"/>
        <v>0</v>
      </c>
      <c r="CI69">
        <f t="shared" si="86"/>
        <v>0</v>
      </c>
      <c r="CJ69">
        <f t="shared" si="86"/>
        <v>0</v>
      </c>
      <c r="CK69">
        <f t="shared" si="86"/>
        <v>0</v>
      </c>
      <c r="CL69">
        <f t="shared" si="87"/>
        <v>0</v>
      </c>
      <c r="CM69">
        <f t="shared" si="87"/>
        <v>0</v>
      </c>
      <c r="CN69">
        <f t="shared" si="87"/>
        <v>0</v>
      </c>
      <c r="CO69">
        <f t="shared" si="87"/>
        <v>0</v>
      </c>
      <c r="CP69">
        <f t="shared" si="87"/>
        <v>0</v>
      </c>
      <c r="CQ69">
        <f t="shared" si="87"/>
        <v>0</v>
      </c>
      <c r="CR69">
        <f t="shared" si="87"/>
        <v>0</v>
      </c>
      <c r="CS69">
        <f t="shared" si="87"/>
        <v>0</v>
      </c>
      <c r="CT69">
        <f t="shared" si="87"/>
        <v>0</v>
      </c>
      <c r="CU69">
        <f t="shared" si="87"/>
        <v>0</v>
      </c>
      <c r="CV69">
        <f t="shared" si="88"/>
        <v>0</v>
      </c>
      <c r="CW69">
        <f t="shared" si="88"/>
        <v>0</v>
      </c>
      <c r="CX69">
        <f t="shared" si="88"/>
        <v>0</v>
      </c>
      <c r="CY69">
        <f t="shared" si="88"/>
        <v>0</v>
      </c>
      <c r="CZ69">
        <f t="shared" si="88"/>
        <v>0</v>
      </c>
      <c r="DA69">
        <f t="shared" si="88"/>
        <v>0</v>
      </c>
      <c r="DB69">
        <f t="shared" si="88"/>
        <v>0</v>
      </c>
      <c r="DC69">
        <f t="shared" si="88"/>
        <v>0</v>
      </c>
      <c r="DD69">
        <f t="shared" si="88"/>
        <v>0</v>
      </c>
      <c r="DE69">
        <f t="shared" si="88"/>
        <v>0</v>
      </c>
      <c r="DF69">
        <f t="shared" si="89"/>
        <v>0</v>
      </c>
      <c r="DG69">
        <f t="shared" si="89"/>
        <v>0</v>
      </c>
      <c r="DH69">
        <f t="shared" si="89"/>
        <v>0</v>
      </c>
      <c r="DI69">
        <f t="shared" si="89"/>
        <v>0</v>
      </c>
      <c r="DJ69">
        <f t="shared" si="89"/>
        <v>0</v>
      </c>
      <c r="DK69">
        <f t="shared" si="89"/>
        <v>0</v>
      </c>
      <c r="DL69">
        <f t="shared" si="89"/>
        <v>0</v>
      </c>
      <c r="DM69">
        <f t="shared" si="89"/>
        <v>0</v>
      </c>
      <c r="DN69">
        <f t="shared" si="89"/>
        <v>0</v>
      </c>
      <c r="DO69">
        <f t="shared" si="89"/>
        <v>0</v>
      </c>
      <c r="DP69">
        <f t="shared" si="90"/>
        <v>0</v>
      </c>
      <c r="DQ69">
        <f t="shared" si="90"/>
        <v>0</v>
      </c>
      <c r="DR69">
        <f t="shared" si="90"/>
        <v>0</v>
      </c>
      <c r="DS69">
        <f t="shared" si="90"/>
        <v>0</v>
      </c>
      <c r="DT69">
        <f t="shared" si="90"/>
        <v>0</v>
      </c>
      <c r="DU69">
        <f t="shared" si="90"/>
        <v>0</v>
      </c>
      <c r="DV69">
        <f t="shared" si="90"/>
        <v>0</v>
      </c>
      <c r="DW69">
        <f t="shared" si="90"/>
        <v>0</v>
      </c>
      <c r="DX69">
        <f t="shared" si="90"/>
        <v>0</v>
      </c>
      <c r="DY69">
        <f t="shared" si="90"/>
        <v>0</v>
      </c>
      <c r="DZ69">
        <f t="shared" si="91"/>
        <v>0</v>
      </c>
      <c r="EA69">
        <f t="shared" si="91"/>
        <v>0</v>
      </c>
      <c r="EB69">
        <f t="shared" si="91"/>
        <v>0</v>
      </c>
      <c r="EC69">
        <f t="shared" si="91"/>
        <v>0</v>
      </c>
      <c r="ED69">
        <f t="shared" si="91"/>
        <v>0</v>
      </c>
      <c r="EE69">
        <f t="shared" si="91"/>
        <v>0</v>
      </c>
      <c r="EF69">
        <f t="shared" si="91"/>
        <v>0</v>
      </c>
      <c r="EG69">
        <f t="shared" si="91"/>
        <v>0</v>
      </c>
      <c r="EH69">
        <f t="shared" si="91"/>
        <v>0</v>
      </c>
      <c r="EI69">
        <f t="shared" si="91"/>
        <v>0</v>
      </c>
      <c r="EJ69">
        <f>SUM(Tabla1[[#This Row],[1]:[130]])</f>
        <v>705</v>
      </c>
    </row>
    <row r="70" spans="1:140" ht="15" customHeight="1" x14ac:dyDescent="0.25">
      <c r="A70" t="str">
        <f>B70&amp;"-"&amp;COUNTIF($B$2:B70,B70)</f>
        <v>I. CIBOULET-1</v>
      </c>
      <c r="B70" s="35" t="s">
        <v>23</v>
      </c>
      <c r="C70">
        <f>VLOOKUP(B70,RECETAS!D69:$E$1700,2,FALSE)</f>
        <v>2760</v>
      </c>
      <c r="D70" s="34"/>
      <c r="G70" t="b">
        <f t="shared" si="92"/>
        <v>1</v>
      </c>
      <c r="I70" s="103" t="s">
        <v>661</v>
      </c>
      <c r="J70">
        <f t="shared" si="79"/>
        <v>0</v>
      </c>
      <c r="K70">
        <f t="shared" si="79"/>
        <v>0</v>
      </c>
      <c r="L70">
        <f t="shared" si="79"/>
        <v>0</v>
      </c>
      <c r="M70">
        <f t="shared" si="79"/>
        <v>0</v>
      </c>
      <c r="N70">
        <f t="shared" si="79"/>
        <v>0</v>
      </c>
      <c r="O70">
        <f t="shared" si="79"/>
        <v>0</v>
      </c>
      <c r="P70">
        <f t="shared" si="79"/>
        <v>0</v>
      </c>
      <c r="Q70">
        <f t="shared" si="79"/>
        <v>0</v>
      </c>
      <c r="R70">
        <f t="shared" si="79"/>
        <v>0</v>
      </c>
      <c r="S70">
        <f t="shared" si="79"/>
        <v>0</v>
      </c>
      <c r="T70">
        <f t="shared" si="80"/>
        <v>0</v>
      </c>
      <c r="U70">
        <f t="shared" si="80"/>
        <v>0</v>
      </c>
      <c r="V70">
        <f t="shared" si="80"/>
        <v>0</v>
      </c>
      <c r="W70">
        <f t="shared" si="80"/>
        <v>0</v>
      </c>
      <c r="X70">
        <f t="shared" si="80"/>
        <v>0</v>
      </c>
      <c r="Y70">
        <f t="shared" si="80"/>
        <v>0</v>
      </c>
      <c r="Z70">
        <f t="shared" si="80"/>
        <v>0</v>
      </c>
      <c r="AA70">
        <f t="shared" si="80"/>
        <v>0</v>
      </c>
      <c r="AB70">
        <f t="shared" si="80"/>
        <v>0</v>
      </c>
      <c r="AC70">
        <f t="shared" si="80"/>
        <v>0</v>
      </c>
      <c r="AD70">
        <f t="shared" si="81"/>
        <v>0</v>
      </c>
      <c r="AE70">
        <f t="shared" si="81"/>
        <v>0</v>
      </c>
      <c r="AF70">
        <f t="shared" si="81"/>
        <v>0</v>
      </c>
      <c r="AG70">
        <f t="shared" si="81"/>
        <v>0</v>
      </c>
      <c r="AH70">
        <f t="shared" si="81"/>
        <v>0</v>
      </c>
      <c r="AI70">
        <f t="shared" si="81"/>
        <v>0</v>
      </c>
      <c r="AJ70">
        <f t="shared" si="81"/>
        <v>0</v>
      </c>
      <c r="AK70">
        <f t="shared" si="81"/>
        <v>0</v>
      </c>
      <c r="AL70">
        <f t="shared" si="81"/>
        <v>0</v>
      </c>
      <c r="AM70">
        <f t="shared" si="81"/>
        <v>0</v>
      </c>
      <c r="AN70">
        <f t="shared" si="82"/>
        <v>0</v>
      </c>
      <c r="AO70">
        <f t="shared" si="82"/>
        <v>0</v>
      </c>
      <c r="AP70">
        <f t="shared" si="82"/>
        <v>0</v>
      </c>
      <c r="AQ70">
        <f t="shared" si="82"/>
        <v>0</v>
      </c>
      <c r="AR70">
        <f t="shared" si="82"/>
        <v>0</v>
      </c>
      <c r="AS70">
        <f t="shared" si="82"/>
        <v>0</v>
      </c>
      <c r="AT70">
        <f t="shared" si="82"/>
        <v>0</v>
      </c>
      <c r="AU70">
        <f t="shared" si="82"/>
        <v>0</v>
      </c>
      <c r="AV70">
        <f t="shared" si="82"/>
        <v>0</v>
      </c>
      <c r="AW70">
        <f t="shared" si="82"/>
        <v>0</v>
      </c>
      <c r="AX70">
        <f t="shared" si="83"/>
        <v>0</v>
      </c>
      <c r="AY70">
        <f t="shared" si="83"/>
        <v>0</v>
      </c>
      <c r="AZ70">
        <f t="shared" si="83"/>
        <v>0</v>
      </c>
      <c r="BA70">
        <f t="shared" si="83"/>
        <v>0</v>
      </c>
      <c r="BB70">
        <f t="shared" si="83"/>
        <v>0</v>
      </c>
      <c r="BC70">
        <f t="shared" si="83"/>
        <v>0</v>
      </c>
      <c r="BD70">
        <f t="shared" si="83"/>
        <v>0</v>
      </c>
      <c r="BE70">
        <f t="shared" si="83"/>
        <v>0</v>
      </c>
      <c r="BF70">
        <f t="shared" si="83"/>
        <v>0</v>
      </c>
      <c r="BG70">
        <f t="shared" si="83"/>
        <v>0</v>
      </c>
      <c r="BH70">
        <f t="shared" si="84"/>
        <v>0</v>
      </c>
      <c r="BI70">
        <f t="shared" si="84"/>
        <v>0</v>
      </c>
      <c r="BJ70">
        <f t="shared" si="84"/>
        <v>0</v>
      </c>
      <c r="BK70">
        <f t="shared" si="84"/>
        <v>0</v>
      </c>
      <c r="BL70">
        <f t="shared" si="84"/>
        <v>0</v>
      </c>
      <c r="BM70">
        <f t="shared" si="84"/>
        <v>0</v>
      </c>
      <c r="BN70">
        <f t="shared" si="84"/>
        <v>0</v>
      </c>
      <c r="BO70">
        <f t="shared" si="84"/>
        <v>0</v>
      </c>
      <c r="BP70">
        <f t="shared" si="84"/>
        <v>0</v>
      </c>
      <c r="BQ70">
        <f t="shared" si="84"/>
        <v>0</v>
      </c>
      <c r="BR70">
        <f t="shared" si="85"/>
        <v>0</v>
      </c>
      <c r="BS70">
        <f t="shared" si="85"/>
        <v>0</v>
      </c>
      <c r="BT70">
        <f t="shared" si="85"/>
        <v>0</v>
      </c>
      <c r="BU70">
        <f t="shared" si="85"/>
        <v>0</v>
      </c>
      <c r="BV70">
        <f t="shared" si="85"/>
        <v>0</v>
      </c>
      <c r="BW70">
        <f t="shared" si="85"/>
        <v>0</v>
      </c>
      <c r="BX70">
        <f t="shared" si="85"/>
        <v>0</v>
      </c>
      <c r="BY70">
        <f t="shared" si="85"/>
        <v>0</v>
      </c>
      <c r="BZ70">
        <f t="shared" si="85"/>
        <v>0</v>
      </c>
      <c r="CA70">
        <f t="shared" si="85"/>
        <v>0</v>
      </c>
      <c r="CB70">
        <f t="shared" si="86"/>
        <v>0</v>
      </c>
      <c r="CC70">
        <f t="shared" si="86"/>
        <v>0</v>
      </c>
      <c r="CD70">
        <f t="shared" si="86"/>
        <v>0</v>
      </c>
      <c r="CE70">
        <f t="shared" si="86"/>
        <v>0</v>
      </c>
      <c r="CF70">
        <f t="shared" si="86"/>
        <v>0</v>
      </c>
      <c r="CG70">
        <f t="shared" si="86"/>
        <v>0</v>
      </c>
      <c r="CH70">
        <f t="shared" si="86"/>
        <v>0</v>
      </c>
      <c r="CI70">
        <f t="shared" si="86"/>
        <v>0</v>
      </c>
      <c r="CJ70">
        <f t="shared" si="86"/>
        <v>0</v>
      </c>
      <c r="CK70">
        <f t="shared" si="86"/>
        <v>0</v>
      </c>
      <c r="CL70">
        <f t="shared" si="87"/>
        <v>0</v>
      </c>
      <c r="CM70">
        <f t="shared" si="87"/>
        <v>0</v>
      </c>
      <c r="CN70">
        <f t="shared" si="87"/>
        <v>0</v>
      </c>
      <c r="CO70">
        <f t="shared" si="87"/>
        <v>0</v>
      </c>
      <c r="CP70">
        <f t="shared" si="87"/>
        <v>0</v>
      </c>
      <c r="CQ70">
        <f t="shared" si="87"/>
        <v>0</v>
      </c>
      <c r="CR70">
        <f t="shared" si="87"/>
        <v>0</v>
      </c>
      <c r="CS70">
        <f t="shared" si="87"/>
        <v>0</v>
      </c>
      <c r="CT70">
        <f t="shared" si="87"/>
        <v>0</v>
      </c>
      <c r="CU70">
        <f t="shared" si="87"/>
        <v>0</v>
      </c>
      <c r="CV70">
        <f t="shared" si="88"/>
        <v>0</v>
      </c>
      <c r="CW70">
        <f t="shared" si="88"/>
        <v>0</v>
      </c>
      <c r="CX70">
        <f t="shared" si="88"/>
        <v>0</v>
      </c>
      <c r="CY70">
        <f t="shared" si="88"/>
        <v>0</v>
      </c>
      <c r="CZ70">
        <f t="shared" si="88"/>
        <v>0</v>
      </c>
      <c r="DA70">
        <f t="shared" si="88"/>
        <v>0</v>
      </c>
      <c r="DB70">
        <f t="shared" si="88"/>
        <v>0</v>
      </c>
      <c r="DC70">
        <f t="shared" si="88"/>
        <v>0</v>
      </c>
      <c r="DD70">
        <f t="shared" si="88"/>
        <v>0</v>
      </c>
      <c r="DE70">
        <f t="shared" si="88"/>
        <v>0</v>
      </c>
      <c r="DF70">
        <f t="shared" si="89"/>
        <v>0</v>
      </c>
      <c r="DG70">
        <f t="shared" si="89"/>
        <v>0</v>
      </c>
      <c r="DH70">
        <f t="shared" si="89"/>
        <v>0</v>
      </c>
      <c r="DI70">
        <f t="shared" si="89"/>
        <v>0</v>
      </c>
      <c r="DJ70">
        <f t="shared" si="89"/>
        <v>0</v>
      </c>
      <c r="DK70">
        <f t="shared" si="89"/>
        <v>0</v>
      </c>
      <c r="DL70">
        <f t="shared" si="89"/>
        <v>0</v>
      </c>
      <c r="DM70">
        <f t="shared" si="89"/>
        <v>0</v>
      </c>
      <c r="DN70">
        <f t="shared" si="89"/>
        <v>0</v>
      </c>
      <c r="DO70">
        <f t="shared" si="89"/>
        <v>0</v>
      </c>
      <c r="DP70">
        <f t="shared" si="90"/>
        <v>0</v>
      </c>
      <c r="DQ70">
        <f t="shared" si="90"/>
        <v>0</v>
      </c>
      <c r="DR70">
        <f t="shared" si="90"/>
        <v>0</v>
      </c>
      <c r="DS70">
        <f t="shared" si="90"/>
        <v>0</v>
      </c>
      <c r="DT70">
        <f t="shared" si="90"/>
        <v>0</v>
      </c>
      <c r="DU70">
        <f t="shared" si="90"/>
        <v>0</v>
      </c>
      <c r="DV70">
        <f t="shared" si="90"/>
        <v>0</v>
      </c>
      <c r="DW70">
        <f t="shared" si="90"/>
        <v>0</v>
      </c>
      <c r="DX70">
        <f t="shared" si="90"/>
        <v>0</v>
      </c>
      <c r="DY70">
        <f t="shared" si="90"/>
        <v>0</v>
      </c>
      <c r="DZ70">
        <f t="shared" si="91"/>
        <v>0</v>
      </c>
      <c r="EA70">
        <f t="shared" si="91"/>
        <v>0</v>
      </c>
      <c r="EB70">
        <f t="shared" si="91"/>
        <v>0</v>
      </c>
      <c r="EC70">
        <f t="shared" si="91"/>
        <v>0</v>
      </c>
      <c r="ED70">
        <f t="shared" si="91"/>
        <v>0</v>
      </c>
      <c r="EE70">
        <f t="shared" si="91"/>
        <v>0</v>
      </c>
      <c r="EF70">
        <f t="shared" si="91"/>
        <v>0</v>
      </c>
      <c r="EG70">
        <f t="shared" si="91"/>
        <v>0</v>
      </c>
      <c r="EH70">
        <f t="shared" si="91"/>
        <v>0</v>
      </c>
      <c r="EI70">
        <f t="shared" si="91"/>
        <v>0</v>
      </c>
      <c r="EJ70">
        <f>SUM(Tabla1[[#This Row],[1]:[130]])</f>
        <v>0</v>
      </c>
    </row>
    <row r="71" spans="1:140" ht="15.75" customHeight="1" thickBot="1" x14ac:dyDescent="0.3">
      <c r="A71" t="str">
        <f>B71&amp;"-"&amp;COUNTIF($B$2:B71,B71)</f>
        <v>I. CHURRASCO PORCION-1</v>
      </c>
      <c r="B71" s="40" t="s">
        <v>24</v>
      </c>
      <c r="C71">
        <f>VLOOKUP(B71,RECETAS!D70:$E$1700,2,FALSE)</f>
        <v>138</v>
      </c>
      <c r="D71" s="32"/>
      <c r="G71" t="b">
        <f t="shared" si="92"/>
        <v>1</v>
      </c>
      <c r="I71" s="100" t="s">
        <v>660</v>
      </c>
      <c r="J71">
        <f t="shared" si="79"/>
        <v>1</v>
      </c>
      <c r="K71">
        <f t="shared" si="79"/>
        <v>0</v>
      </c>
      <c r="L71">
        <f t="shared" si="79"/>
        <v>0</v>
      </c>
      <c r="M71">
        <f t="shared" si="79"/>
        <v>0</v>
      </c>
      <c r="N71">
        <f t="shared" si="79"/>
        <v>0</v>
      </c>
      <c r="O71">
        <f t="shared" si="79"/>
        <v>0</v>
      </c>
      <c r="P71">
        <f t="shared" si="79"/>
        <v>0</v>
      </c>
      <c r="Q71">
        <f t="shared" si="79"/>
        <v>0</v>
      </c>
      <c r="R71">
        <f t="shared" si="79"/>
        <v>0</v>
      </c>
      <c r="S71">
        <f t="shared" si="79"/>
        <v>0</v>
      </c>
      <c r="T71">
        <f t="shared" si="80"/>
        <v>0</v>
      </c>
      <c r="U71">
        <f t="shared" si="80"/>
        <v>0</v>
      </c>
      <c r="V71">
        <f t="shared" si="80"/>
        <v>0</v>
      </c>
      <c r="W71">
        <f t="shared" si="80"/>
        <v>0</v>
      </c>
      <c r="X71">
        <f t="shared" si="80"/>
        <v>0</v>
      </c>
      <c r="Y71">
        <f t="shared" si="80"/>
        <v>0</v>
      </c>
      <c r="Z71">
        <f t="shared" si="80"/>
        <v>0</v>
      </c>
      <c r="AA71">
        <f t="shared" si="80"/>
        <v>0</v>
      </c>
      <c r="AB71">
        <f t="shared" si="80"/>
        <v>0</v>
      </c>
      <c r="AC71">
        <f t="shared" si="80"/>
        <v>0</v>
      </c>
      <c r="AD71">
        <f t="shared" si="81"/>
        <v>0</v>
      </c>
      <c r="AE71">
        <f t="shared" si="81"/>
        <v>0</v>
      </c>
      <c r="AF71">
        <f t="shared" si="81"/>
        <v>0</v>
      </c>
      <c r="AG71">
        <f t="shared" si="81"/>
        <v>0</v>
      </c>
      <c r="AH71">
        <f t="shared" si="81"/>
        <v>0</v>
      </c>
      <c r="AI71">
        <f t="shared" si="81"/>
        <v>0</v>
      </c>
      <c r="AJ71">
        <f t="shared" si="81"/>
        <v>0</v>
      </c>
      <c r="AK71">
        <f t="shared" si="81"/>
        <v>0</v>
      </c>
      <c r="AL71">
        <f t="shared" si="81"/>
        <v>0</v>
      </c>
      <c r="AM71">
        <f t="shared" si="81"/>
        <v>0</v>
      </c>
      <c r="AN71">
        <f t="shared" si="82"/>
        <v>0</v>
      </c>
      <c r="AO71">
        <f t="shared" si="82"/>
        <v>0</v>
      </c>
      <c r="AP71">
        <f t="shared" si="82"/>
        <v>0</v>
      </c>
      <c r="AQ71">
        <f t="shared" si="82"/>
        <v>0</v>
      </c>
      <c r="AR71">
        <f t="shared" si="82"/>
        <v>0</v>
      </c>
      <c r="AS71">
        <f t="shared" si="82"/>
        <v>0</v>
      </c>
      <c r="AT71">
        <f t="shared" si="82"/>
        <v>0</v>
      </c>
      <c r="AU71">
        <f t="shared" si="82"/>
        <v>0</v>
      </c>
      <c r="AV71">
        <f t="shared" si="82"/>
        <v>0</v>
      </c>
      <c r="AW71">
        <f t="shared" si="82"/>
        <v>0</v>
      </c>
      <c r="AX71">
        <f t="shared" si="83"/>
        <v>0</v>
      </c>
      <c r="AY71">
        <f t="shared" si="83"/>
        <v>0</v>
      </c>
      <c r="AZ71">
        <f t="shared" si="83"/>
        <v>0</v>
      </c>
      <c r="BA71">
        <f t="shared" si="83"/>
        <v>0</v>
      </c>
      <c r="BB71">
        <f t="shared" si="83"/>
        <v>0</v>
      </c>
      <c r="BC71">
        <f t="shared" si="83"/>
        <v>0</v>
      </c>
      <c r="BD71">
        <f t="shared" si="83"/>
        <v>0</v>
      </c>
      <c r="BE71">
        <f t="shared" si="83"/>
        <v>0</v>
      </c>
      <c r="BF71">
        <f t="shared" si="83"/>
        <v>0</v>
      </c>
      <c r="BG71">
        <f t="shared" si="83"/>
        <v>0</v>
      </c>
      <c r="BH71">
        <f t="shared" si="84"/>
        <v>0</v>
      </c>
      <c r="BI71">
        <f t="shared" si="84"/>
        <v>0</v>
      </c>
      <c r="BJ71">
        <f t="shared" si="84"/>
        <v>0</v>
      </c>
      <c r="BK71">
        <f t="shared" si="84"/>
        <v>0</v>
      </c>
      <c r="BL71">
        <f t="shared" si="84"/>
        <v>0</v>
      </c>
      <c r="BM71">
        <f t="shared" si="84"/>
        <v>0</v>
      </c>
      <c r="BN71">
        <f t="shared" si="84"/>
        <v>0</v>
      </c>
      <c r="BO71">
        <f t="shared" si="84"/>
        <v>0</v>
      </c>
      <c r="BP71">
        <f t="shared" si="84"/>
        <v>0</v>
      </c>
      <c r="BQ71">
        <f t="shared" si="84"/>
        <v>0</v>
      </c>
      <c r="BR71">
        <f t="shared" si="85"/>
        <v>0</v>
      </c>
      <c r="BS71">
        <f t="shared" si="85"/>
        <v>0</v>
      </c>
      <c r="BT71">
        <f t="shared" si="85"/>
        <v>0</v>
      </c>
      <c r="BU71">
        <f t="shared" si="85"/>
        <v>0</v>
      </c>
      <c r="BV71">
        <f t="shared" si="85"/>
        <v>0</v>
      </c>
      <c r="BW71">
        <f t="shared" si="85"/>
        <v>0</v>
      </c>
      <c r="BX71">
        <f t="shared" si="85"/>
        <v>0</v>
      </c>
      <c r="BY71">
        <f t="shared" si="85"/>
        <v>0</v>
      </c>
      <c r="BZ71">
        <f t="shared" si="85"/>
        <v>0</v>
      </c>
      <c r="CA71">
        <f t="shared" si="85"/>
        <v>0</v>
      </c>
      <c r="CB71">
        <f t="shared" si="86"/>
        <v>0</v>
      </c>
      <c r="CC71">
        <f t="shared" si="86"/>
        <v>0</v>
      </c>
      <c r="CD71">
        <f t="shared" si="86"/>
        <v>0</v>
      </c>
      <c r="CE71">
        <f t="shared" si="86"/>
        <v>0</v>
      </c>
      <c r="CF71">
        <f t="shared" si="86"/>
        <v>0</v>
      </c>
      <c r="CG71">
        <f t="shared" si="86"/>
        <v>0</v>
      </c>
      <c r="CH71">
        <f t="shared" si="86"/>
        <v>0</v>
      </c>
      <c r="CI71">
        <f t="shared" si="86"/>
        <v>0</v>
      </c>
      <c r="CJ71">
        <f t="shared" si="86"/>
        <v>0</v>
      </c>
      <c r="CK71">
        <f t="shared" si="86"/>
        <v>0</v>
      </c>
      <c r="CL71">
        <f t="shared" si="87"/>
        <v>0</v>
      </c>
      <c r="CM71">
        <f t="shared" si="87"/>
        <v>0</v>
      </c>
      <c r="CN71">
        <f t="shared" si="87"/>
        <v>0</v>
      </c>
      <c r="CO71">
        <f t="shared" si="87"/>
        <v>0</v>
      </c>
      <c r="CP71">
        <f t="shared" si="87"/>
        <v>0</v>
      </c>
      <c r="CQ71">
        <f t="shared" si="87"/>
        <v>0</v>
      </c>
      <c r="CR71">
        <f t="shared" si="87"/>
        <v>0</v>
      </c>
      <c r="CS71">
        <f t="shared" si="87"/>
        <v>0</v>
      </c>
      <c r="CT71">
        <f t="shared" si="87"/>
        <v>0</v>
      </c>
      <c r="CU71">
        <f t="shared" si="87"/>
        <v>0</v>
      </c>
      <c r="CV71">
        <f t="shared" si="88"/>
        <v>0</v>
      </c>
      <c r="CW71">
        <f t="shared" si="88"/>
        <v>0</v>
      </c>
      <c r="CX71">
        <f t="shared" si="88"/>
        <v>0</v>
      </c>
      <c r="CY71">
        <f t="shared" si="88"/>
        <v>0</v>
      </c>
      <c r="CZ71">
        <f t="shared" si="88"/>
        <v>0</v>
      </c>
      <c r="DA71">
        <f t="shared" si="88"/>
        <v>0</v>
      </c>
      <c r="DB71">
        <f t="shared" si="88"/>
        <v>0</v>
      </c>
      <c r="DC71">
        <f t="shared" si="88"/>
        <v>0</v>
      </c>
      <c r="DD71">
        <f t="shared" si="88"/>
        <v>0</v>
      </c>
      <c r="DE71">
        <f t="shared" si="88"/>
        <v>0</v>
      </c>
      <c r="DF71">
        <f t="shared" si="89"/>
        <v>0</v>
      </c>
      <c r="DG71">
        <f t="shared" si="89"/>
        <v>0</v>
      </c>
      <c r="DH71">
        <f t="shared" si="89"/>
        <v>0</v>
      </c>
      <c r="DI71">
        <f t="shared" si="89"/>
        <v>0</v>
      </c>
      <c r="DJ71">
        <f t="shared" si="89"/>
        <v>0</v>
      </c>
      <c r="DK71">
        <f t="shared" si="89"/>
        <v>0</v>
      </c>
      <c r="DL71">
        <f t="shared" si="89"/>
        <v>0</v>
      </c>
      <c r="DM71">
        <f t="shared" si="89"/>
        <v>0</v>
      </c>
      <c r="DN71">
        <f t="shared" si="89"/>
        <v>0</v>
      </c>
      <c r="DO71">
        <f t="shared" si="89"/>
        <v>0</v>
      </c>
      <c r="DP71">
        <f t="shared" si="90"/>
        <v>0</v>
      </c>
      <c r="DQ71">
        <f t="shared" si="90"/>
        <v>0</v>
      </c>
      <c r="DR71">
        <f t="shared" si="90"/>
        <v>0</v>
      </c>
      <c r="DS71">
        <f t="shared" si="90"/>
        <v>0</v>
      </c>
      <c r="DT71">
        <f t="shared" si="90"/>
        <v>0</v>
      </c>
      <c r="DU71">
        <f t="shared" si="90"/>
        <v>0</v>
      </c>
      <c r="DV71">
        <f t="shared" si="90"/>
        <v>0</v>
      </c>
      <c r="DW71">
        <f t="shared" si="90"/>
        <v>0</v>
      </c>
      <c r="DX71">
        <f t="shared" si="90"/>
        <v>0</v>
      </c>
      <c r="DY71">
        <f t="shared" si="90"/>
        <v>0</v>
      </c>
      <c r="DZ71">
        <f t="shared" si="91"/>
        <v>0</v>
      </c>
      <c r="EA71">
        <f t="shared" si="91"/>
        <v>0</v>
      </c>
      <c r="EB71">
        <f t="shared" si="91"/>
        <v>0</v>
      </c>
      <c r="EC71">
        <f t="shared" si="91"/>
        <v>0</v>
      </c>
      <c r="ED71">
        <f t="shared" si="91"/>
        <v>0</v>
      </c>
      <c r="EE71">
        <f t="shared" si="91"/>
        <v>0</v>
      </c>
      <c r="EF71">
        <f t="shared" si="91"/>
        <v>0</v>
      </c>
      <c r="EG71">
        <f t="shared" si="91"/>
        <v>0</v>
      </c>
      <c r="EH71">
        <f t="shared" si="91"/>
        <v>0</v>
      </c>
      <c r="EI71">
        <f t="shared" si="91"/>
        <v>0</v>
      </c>
      <c r="EJ71">
        <f>SUM(Tabla1[[#This Row],[1]:[130]])</f>
        <v>1</v>
      </c>
    </row>
    <row r="72" spans="1:140" x14ac:dyDescent="0.25">
      <c r="A72" t="str">
        <f>B72&amp;"-"&amp;COUNTIF($B$2:B72,B72)</f>
        <v>I. PAPAS FRITAS-4</v>
      </c>
      <c r="B72" s="26" t="s">
        <v>13</v>
      </c>
      <c r="C72">
        <f>VLOOKUP(B72,RECETAS!D71:$E$1700,2,FALSE)</f>
        <v>18400</v>
      </c>
      <c r="D72" s="25" t="s">
        <v>25</v>
      </c>
      <c r="G72" t="b">
        <f t="shared" si="92"/>
        <v>1</v>
      </c>
      <c r="I72" s="45" t="s">
        <v>662</v>
      </c>
      <c r="J72">
        <f t="shared" si="79"/>
        <v>0</v>
      </c>
      <c r="K72">
        <f t="shared" si="79"/>
        <v>0</v>
      </c>
      <c r="L72">
        <f t="shared" si="79"/>
        <v>0</v>
      </c>
      <c r="M72">
        <f t="shared" si="79"/>
        <v>0</v>
      </c>
      <c r="N72">
        <f t="shared" si="79"/>
        <v>0</v>
      </c>
      <c r="O72">
        <f t="shared" si="79"/>
        <v>0</v>
      </c>
      <c r="P72">
        <f t="shared" si="79"/>
        <v>0</v>
      </c>
      <c r="Q72">
        <f t="shared" si="79"/>
        <v>0</v>
      </c>
      <c r="R72">
        <f t="shared" si="79"/>
        <v>0</v>
      </c>
      <c r="S72">
        <f t="shared" si="79"/>
        <v>0</v>
      </c>
      <c r="T72">
        <f t="shared" si="80"/>
        <v>0</v>
      </c>
      <c r="U72">
        <f t="shared" si="80"/>
        <v>0</v>
      </c>
      <c r="V72">
        <f t="shared" si="80"/>
        <v>0</v>
      </c>
      <c r="W72">
        <f t="shared" si="80"/>
        <v>0</v>
      </c>
      <c r="X72">
        <f t="shared" si="80"/>
        <v>0</v>
      </c>
      <c r="Y72">
        <f t="shared" si="80"/>
        <v>0</v>
      </c>
      <c r="Z72">
        <f t="shared" si="80"/>
        <v>0</v>
      </c>
      <c r="AA72">
        <f t="shared" si="80"/>
        <v>0</v>
      </c>
      <c r="AB72">
        <f t="shared" si="80"/>
        <v>0</v>
      </c>
      <c r="AC72">
        <f t="shared" si="80"/>
        <v>0</v>
      </c>
      <c r="AD72">
        <f t="shared" si="81"/>
        <v>0</v>
      </c>
      <c r="AE72">
        <f t="shared" si="81"/>
        <v>0</v>
      </c>
      <c r="AF72">
        <f t="shared" si="81"/>
        <v>0</v>
      </c>
      <c r="AG72">
        <f t="shared" si="81"/>
        <v>0</v>
      </c>
      <c r="AH72">
        <f t="shared" si="81"/>
        <v>0</v>
      </c>
      <c r="AI72">
        <f t="shared" si="81"/>
        <v>0</v>
      </c>
      <c r="AJ72">
        <f t="shared" si="81"/>
        <v>0</v>
      </c>
      <c r="AK72">
        <f t="shared" si="81"/>
        <v>0</v>
      </c>
      <c r="AL72">
        <f t="shared" si="81"/>
        <v>0</v>
      </c>
      <c r="AM72">
        <f t="shared" si="81"/>
        <v>0</v>
      </c>
      <c r="AN72">
        <f t="shared" si="82"/>
        <v>0</v>
      </c>
      <c r="AO72">
        <f t="shared" si="82"/>
        <v>0</v>
      </c>
      <c r="AP72">
        <f t="shared" si="82"/>
        <v>0</v>
      </c>
      <c r="AQ72">
        <f t="shared" si="82"/>
        <v>0</v>
      </c>
      <c r="AR72">
        <f t="shared" si="82"/>
        <v>0</v>
      </c>
      <c r="AS72">
        <f t="shared" si="82"/>
        <v>0</v>
      </c>
      <c r="AT72">
        <f t="shared" si="82"/>
        <v>0</v>
      </c>
      <c r="AU72">
        <f t="shared" si="82"/>
        <v>0</v>
      </c>
      <c r="AV72">
        <f t="shared" si="82"/>
        <v>0</v>
      </c>
      <c r="AW72">
        <f t="shared" si="82"/>
        <v>0</v>
      </c>
      <c r="AX72">
        <f t="shared" si="83"/>
        <v>0</v>
      </c>
      <c r="AY72">
        <f t="shared" si="83"/>
        <v>0</v>
      </c>
      <c r="AZ72">
        <f t="shared" si="83"/>
        <v>0</v>
      </c>
      <c r="BA72">
        <f t="shared" si="83"/>
        <v>0</v>
      </c>
      <c r="BB72">
        <f t="shared" si="83"/>
        <v>0</v>
      </c>
      <c r="BC72">
        <f t="shared" si="83"/>
        <v>0</v>
      </c>
      <c r="BD72">
        <f t="shared" si="83"/>
        <v>0</v>
      </c>
      <c r="BE72">
        <f t="shared" si="83"/>
        <v>0</v>
      </c>
      <c r="BF72">
        <f t="shared" si="83"/>
        <v>0</v>
      </c>
      <c r="BG72">
        <f t="shared" si="83"/>
        <v>0</v>
      </c>
      <c r="BH72">
        <f t="shared" si="84"/>
        <v>0</v>
      </c>
      <c r="BI72">
        <f t="shared" si="84"/>
        <v>0</v>
      </c>
      <c r="BJ72">
        <f t="shared" si="84"/>
        <v>0</v>
      </c>
      <c r="BK72">
        <f t="shared" si="84"/>
        <v>0</v>
      </c>
      <c r="BL72">
        <f t="shared" si="84"/>
        <v>0</v>
      </c>
      <c r="BM72">
        <f t="shared" si="84"/>
        <v>0</v>
      </c>
      <c r="BN72">
        <f t="shared" si="84"/>
        <v>0</v>
      </c>
      <c r="BO72">
        <f t="shared" si="84"/>
        <v>0</v>
      </c>
      <c r="BP72">
        <f t="shared" si="84"/>
        <v>0</v>
      </c>
      <c r="BQ72">
        <f t="shared" si="84"/>
        <v>0</v>
      </c>
      <c r="BR72">
        <f t="shared" si="85"/>
        <v>0</v>
      </c>
      <c r="BS72">
        <f t="shared" si="85"/>
        <v>0</v>
      </c>
      <c r="BT72">
        <f t="shared" si="85"/>
        <v>0</v>
      </c>
      <c r="BU72">
        <f t="shared" si="85"/>
        <v>0</v>
      </c>
      <c r="BV72">
        <f t="shared" si="85"/>
        <v>0</v>
      </c>
      <c r="BW72">
        <f t="shared" si="85"/>
        <v>0</v>
      </c>
      <c r="BX72">
        <f t="shared" si="85"/>
        <v>0</v>
      </c>
      <c r="BY72">
        <f t="shared" si="85"/>
        <v>0</v>
      </c>
      <c r="BZ72">
        <f t="shared" si="85"/>
        <v>0</v>
      </c>
      <c r="CA72">
        <f t="shared" si="85"/>
        <v>0</v>
      </c>
      <c r="CB72">
        <f t="shared" si="86"/>
        <v>0</v>
      </c>
      <c r="CC72">
        <f t="shared" si="86"/>
        <v>0</v>
      </c>
      <c r="CD72">
        <f t="shared" si="86"/>
        <v>0</v>
      </c>
      <c r="CE72">
        <f t="shared" si="86"/>
        <v>0</v>
      </c>
      <c r="CF72">
        <f t="shared" si="86"/>
        <v>0</v>
      </c>
      <c r="CG72">
        <f t="shared" si="86"/>
        <v>0</v>
      </c>
      <c r="CH72">
        <f t="shared" si="86"/>
        <v>0</v>
      </c>
      <c r="CI72">
        <f t="shared" si="86"/>
        <v>0</v>
      </c>
      <c r="CJ72">
        <f t="shared" si="86"/>
        <v>0</v>
      </c>
      <c r="CK72">
        <f t="shared" si="86"/>
        <v>0</v>
      </c>
      <c r="CL72">
        <f t="shared" si="87"/>
        <v>0</v>
      </c>
      <c r="CM72">
        <f t="shared" si="87"/>
        <v>0</v>
      </c>
      <c r="CN72">
        <f t="shared" si="87"/>
        <v>0</v>
      </c>
      <c r="CO72">
        <f t="shared" si="87"/>
        <v>0</v>
      </c>
      <c r="CP72">
        <f t="shared" si="87"/>
        <v>0</v>
      </c>
      <c r="CQ72">
        <f t="shared" si="87"/>
        <v>0</v>
      </c>
      <c r="CR72">
        <f t="shared" si="87"/>
        <v>0</v>
      </c>
      <c r="CS72">
        <f t="shared" si="87"/>
        <v>0</v>
      </c>
      <c r="CT72">
        <f t="shared" si="87"/>
        <v>0</v>
      </c>
      <c r="CU72">
        <f t="shared" si="87"/>
        <v>0</v>
      </c>
      <c r="CV72">
        <f t="shared" si="88"/>
        <v>0</v>
      </c>
      <c r="CW72">
        <f t="shared" si="88"/>
        <v>0</v>
      </c>
      <c r="CX72">
        <f t="shared" si="88"/>
        <v>0</v>
      </c>
      <c r="CY72">
        <f t="shared" si="88"/>
        <v>0</v>
      </c>
      <c r="CZ72">
        <f t="shared" si="88"/>
        <v>0</v>
      </c>
      <c r="DA72">
        <f t="shared" si="88"/>
        <v>0</v>
      </c>
      <c r="DB72">
        <f t="shared" si="88"/>
        <v>0</v>
      </c>
      <c r="DC72">
        <f t="shared" si="88"/>
        <v>0</v>
      </c>
      <c r="DD72">
        <f t="shared" si="88"/>
        <v>0</v>
      </c>
      <c r="DE72">
        <f t="shared" si="88"/>
        <v>0</v>
      </c>
      <c r="DF72">
        <f t="shared" si="89"/>
        <v>0</v>
      </c>
      <c r="DG72">
        <f t="shared" si="89"/>
        <v>0</v>
      </c>
      <c r="DH72">
        <f t="shared" si="89"/>
        <v>0</v>
      </c>
      <c r="DI72">
        <f t="shared" si="89"/>
        <v>0</v>
      </c>
      <c r="DJ72">
        <f t="shared" si="89"/>
        <v>0</v>
      </c>
      <c r="DK72">
        <f t="shared" si="89"/>
        <v>0</v>
      </c>
      <c r="DL72">
        <f t="shared" si="89"/>
        <v>0</v>
      </c>
      <c r="DM72">
        <f t="shared" si="89"/>
        <v>0</v>
      </c>
      <c r="DN72">
        <f t="shared" si="89"/>
        <v>0</v>
      </c>
      <c r="DO72">
        <f t="shared" si="89"/>
        <v>0</v>
      </c>
      <c r="DP72">
        <f t="shared" si="90"/>
        <v>0</v>
      </c>
      <c r="DQ72">
        <f t="shared" si="90"/>
        <v>0</v>
      </c>
      <c r="DR72">
        <f t="shared" si="90"/>
        <v>0</v>
      </c>
      <c r="DS72">
        <f t="shared" si="90"/>
        <v>0</v>
      </c>
      <c r="DT72">
        <f t="shared" si="90"/>
        <v>0</v>
      </c>
      <c r="DU72">
        <f t="shared" si="90"/>
        <v>0</v>
      </c>
      <c r="DV72">
        <f t="shared" si="90"/>
        <v>0</v>
      </c>
      <c r="DW72">
        <f t="shared" si="90"/>
        <v>0</v>
      </c>
      <c r="DX72">
        <f t="shared" si="90"/>
        <v>0</v>
      </c>
      <c r="DY72">
        <f t="shared" si="90"/>
        <v>0</v>
      </c>
      <c r="DZ72">
        <f t="shared" si="91"/>
        <v>0</v>
      </c>
      <c r="EA72">
        <f t="shared" si="91"/>
        <v>0</v>
      </c>
      <c r="EB72">
        <f t="shared" si="91"/>
        <v>0</v>
      </c>
      <c r="EC72">
        <f t="shared" si="91"/>
        <v>0</v>
      </c>
      <c r="ED72">
        <f t="shared" si="91"/>
        <v>0</v>
      </c>
      <c r="EE72">
        <f t="shared" si="91"/>
        <v>0</v>
      </c>
      <c r="EF72">
        <f t="shared" si="91"/>
        <v>0</v>
      </c>
      <c r="EG72">
        <f t="shared" si="91"/>
        <v>0</v>
      </c>
      <c r="EH72">
        <f t="shared" si="91"/>
        <v>0</v>
      </c>
      <c r="EI72">
        <f t="shared" si="91"/>
        <v>0</v>
      </c>
      <c r="EJ72">
        <f>SUM(Tabla1[[#This Row],[1]:[130]])</f>
        <v>0</v>
      </c>
    </row>
    <row r="73" spans="1:140" x14ac:dyDescent="0.25">
      <c r="A73" t="str">
        <f>B73&amp;"-"&amp;COUNTIF($B$2:B73,B73)</f>
        <v>I. QUESO GRANULADO-7</v>
      </c>
      <c r="B73" s="35" t="s">
        <v>9</v>
      </c>
      <c r="C73">
        <f>VLOOKUP(B73,RECETAS!D72:$E$1700,2,FALSE)</f>
        <v>3450</v>
      </c>
      <c r="D73" s="34"/>
      <c r="G73" t="b">
        <f t="shared" si="92"/>
        <v>1</v>
      </c>
      <c r="I73" s="103" t="s">
        <v>68</v>
      </c>
      <c r="J73">
        <f t="shared" ref="J73:S82" si="93">IFERROR(VLOOKUP($I73&amp;"-"&amp;J$2,$A$3:$C$1700,3,FALSE),0)</f>
        <v>0</v>
      </c>
      <c r="K73">
        <f t="shared" si="93"/>
        <v>0</v>
      </c>
      <c r="L73">
        <f t="shared" si="93"/>
        <v>0</v>
      </c>
      <c r="M73">
        <f t="shared" si="93"/>
        <v>0</v>
      </c>
      <c r="N73">
        <f t="shared" si="93"/>
        <v>0</v>
      </c>
      <c r="O73">
        <f t="shared" si="93"/>
        <v>0</v>
      </c>
      <c r="P73">
        <f t="shared" si="93"/>
        <v>0</v>
      </c>
      <c r="Q73">
        <f t="shared" si="93"/>
        <v>0</v>
      </c>
      <c r="R73">
        <f t="shared" si="93"/>
        <v>0</v>
      </c>
      <c r="S73">
        <f t="shared" si="93"/>
        <v>0</v>
      </c>
      <c r="T73">
        <f t="shared" ref="T73:AC82" si="94">IFERROR(VLOOKUP($I73&amp;"-"&amp;T$2,$A$3:$C$1700,3,FALSE),0)</f>
        <v>0</v>
      </c>
      <c r="U73">
        <f t="shared" si="94"/>
        <v>0</v>
      </c>
      <c r="V73">
        <f t="shared" si="94"/>
        <v>0</v>
      </c>
      <c r="W73">
        <f t="shared" si="94"/>
        <v>0</v>
      </c>
      <c r="X73">
        <f t="shared" si="94"/>
        <v>0</v>
      </c>
      <c r="Y73">
        <f t="shared" si="94"/>
        <v>0</v>
      </c>
      <c r="Z73">
        <f t="shared" si="94"/>
        <v>0</v>
      </c>
      <c r="AA73">
        <f t="shared" si="94"/>
        <v>0</v>
      </c>
      <c r="AB73">
        <f t="shared" si="94"/>
        <v>0</v>
      </c>
      <c r="AC73">
        <f t="shared" si="94"/>
        <v>0</v>
      </c>
      <c r="AD73">
        <f t="shared" ref="AD73:AM82" si="95">IFERROR(VLOOKUP($I73&amp;"-"&amp;AD$2,$A$3:$C$1700,3,FALSE),0)</f>
        <v>0</v>
      </c>
      <c r="AE73">
        <f t="shared" si="95"/>
        <v>0</v>
      </c>
      <c r="AF73">
        <f t="shared" si="95"/>
        <v>0</v>
      </c>
      <c r="AG73">
        <f t="shared" si="95"/>
        <v>0</v>
      </c>
      <c r="AH73">
        <f t="shared" si="95"/>
        <v>0</v>
      </c>
      <c r="AI73">
        <f t="shared" si="95"/>
        <v>0</v>
      </c>
      <c r="AJ73">
        <f t="shared" si="95"/>
        <v>0</v>
      </c>
      <c r="AK73">
        <f t="shared" si="95"/>
        <v>0</v>
      </c>
      <c r="AL73">
        <f t="shared" si="95"/>
        <v>0</v>
      </c>
      <c r="AM73">
        <f t="shared" si="95"/>
        <v>0</v>
      </c>
      <c r="AN73">
        <f t="shared" ref="AN73:AW82" si="96">IFERROR(VLOOKUP($I73&amp;"-"&amp;AN$2,$A$3:$C$1700,3,FALSE),0)</f>
        <v>0</v>
      </c>
      <c r="AO73">
        <f t="shared" si="96"/>
        <v>0</v>
      </c>
      <c r="AP73">
        <f t="shared" si="96"/>
        <v>0</v>
      </c>
      <c r="AQ73">
        <f t="shared" si="96"/>
        <v>0</v>
      </c>
      <c r="AR73">
        <f t="shared" si="96"/>
        <v>0</v>
      </c>
      <c r="AS73">
        <f t="shared" si="96"/>
        <v>0</v>
      </c>
      <c r="AT73">
        <f t="shared" si="96"/>
        <v>0</v>
      </c>
      <c r="AU73">
        <f t="shared" si="96"/>
        <v>0</v>
      </c>
      <c r="AV73">
        <f t="shared" si="96"/>
        <v>0</v>
      </c>
      <c r="AW73">
        <f t="shared" si="96"/>
        <v>0</v>
      </c>
      <c r="AX73">
        <f t="shared" ref="AX73:BG82" si="97">IFERROR(VLOOKUP($I73&amp;"-"&amp;AX$2,$A$3:$C$1700,3,FALSE),0)</f>
        <v>0</v>
      </c>
      <c r="AY73">
        <f t="shared" si="97"/>
        <v>0</v>
      </c>
      <c r="AZ73">
        <f t="shared" si="97"/>
        <v>0</v>
      </c>
      <c r="BA73">
        <f t="shared" si="97"/>
        <v>0</v>
      </c>
      <c r="BB73">
        <f t="shared" si="97"/>
        <v>0</v>
      </c>
      <c r="BC73">
        <f t="shared" si="97"/>
        <v>0</v>
      </c>
      <c r="BD73">
        <f t="shared" si="97"/>
        <v>0</v>
      </c>
      <c r="BE73">
        <f t="shared" si="97"/>
        <v>0</v>
      </c>
      <c r="BF73">
        <f t="shared" si="97"/>
        <v>0</v>
      </c>
      <c r="BG73">
        <f t="shared" si="97"/>
        <v>0</v>
      </c>
      <c r="BH73">
        <f t="shared" ref="BH73:BQ82" si="98">IFERROR(VLOOKUP($I73&amp;"-"&amp;BH$2,$A$3:$C$1700,3,FALSE),0)</f>
        <v>0</v>
      </c>
      <c r="BI73">
        <f t="shared" si="98"/>
        <v>0</v>
      </c>
      <c r="BJ73">
        <f t="shared" si="98"/>
        <v>0</v>
      </c>
      <c r="BK73">
        <f t="shared" si="98"/>
        <v>0</v>
      </c>
      <c r="BL73">
        <f t="shared" si="98"/>
        <v>0</v>
      </c>
      <c r="BM73">
        <f t="shared" si="98"/>
        <v>0</v>
      </c>
      <c r="BN73">
        <f t="shared" si="98"/>
        <v>0</v>
      </c>
      <c r="BO73">
        <f t="shared" si="98"/>
        <v>0</v>
      </c>
      <c r="BP73">
        <f t="shared" si="98"/>
        <v>0</v>
      </c>
      <c r="BQ73">
        <f t="shared" si="98"/>
        <v>0</v>
      </c>
      <c r="BR73">
        <f t="shared" ref="BR73:CA82" si="99">IFERROR(VLOOKUP($I73&amp;"-"&amp;BR$2,$A$3:$C$1700,3,FALSE),0)</f>
        <v>0</v>
      </c>
      <c r="BS73">
        <f t="shared" si="99"/>
        <v>0</v>
      </c>
      <c r="BT73">
        <f t="shared" si="99"/>
        <v>0</v>
      </c>
      <c r="BU73">
        <f t="shared" si="99"/>
        <v>0</v>
      </c>
      <c r="BV73">
        <f t="shared" si="99"/>
        <v>0</v>
      </c>
      <c r="BW73">
        <f t="shared" si="99"/>
        <v>0</v>
      </c>
      <c r="BX73">
        <f t="shared" si="99"/>
        <v>0</v>
      </c>
      <c r="BY73">
        <f t="shared" si="99"/>
        <v>0</v>
      </c>
      <c r="BZ73">
        <f t="shared" si="99"/>
        <v>0</v>
      </c>
      <c r="CA73">
        <f t="shared" si="99"/>
        <v>0</v>
      </c>
      <c r="CB73">
        <f t="shared" ref="CB73:CK82" si="100">IFERROR(VLOOKUP($I73&amp;"-"&amp;CB$2,$A$3:$C$1700,3,FALSE),0)</f>
        <v>0</v>
      </c>
      <c r="CC73">
        <f t="shared" si="100"/>
        <v>0</v>
      </c>
      <c r="CD73">
        <f t="shared" si="100"/>
        <v>0</v>
      </c>
      <c r="CE73">
        <f t="shared" si="100"/>
        <v>0</v>
      </c>
      <c r="CF73">
        <f t="shared" si="100"/>
        <v>0</v>
      </c>
      <c r="CG73">
        <f t="shared" si="100"/>
        <v>0</v>
      </c>
      <c r="CH73">
        <f t="shared" si="100"/>
        <v>0</v>
      </c>
      <c r="CI73">
        <f t="shared" si="100"/>
        <v>0</v>
      </c>
      <c r="CJ73">
        <f t="shared" si="100"/>
        <v>0</v>
      </c>
      <c r="CK73">
        <f t="shared" si="100"/>
        <v>0</v>
      </c>
      <c r="CL73">
        <f t="shared" ref="CL73:CU82" si="101">IFERROR(VLOOKUP($I73&amp;"-"&amp;CL$2,$A$3:$C$1700,3,FALSE),0)</f>
        <v>0</v>
      </c>
      <c r="CM73">
        <f t="shared" si="101"/>
        <v>0</v>
      </c>
      <c r="CN73">
        <f t="shared" si="101"/>
        <v>0</v>
      </c>
      <c r="CO73">
        <f t="shared" si="101"/>
        <v>0</v>
      </c>
      <c r="CP73">
        <f t="shared" si="101"/>
        <v>0</v>
      </c>
      <c r="CQ73">
        <f t="shared" si="101"/>
        <v>0</v>
      </c>
      <c r="CR73">
        <f t="shared" si="101"/>
        <v>0</v>
      </c>
      <c r="CS73">
        <f t="shared" si="101"/>
        <v>0</v>
      </c>
      <c r="CT73">
        <f t="shared" si="101"/>
        <v>0</v>
      </c>
      <c r="CU73">
        <f t="shared" si="101"/>
        <v>0</v>
      </c>
      <c r="CV73">
        <f t="shared" ref="CV73:DE82" si="102">IFERROR(VLOOKUP($I73&amp;"-"&amp;CV$2,$A$3:$C$1700,3,FALSE),0)</f>
        <v>0</v>
      </c>
      <c r="CW73">
        <f t="shared" si="102"/>
        <v>0</v>
      </c>
      <c r="CX73">
        <f t="shared" si="102"/>
        <v>0</v>
      </c>
      <c r="CY73">
        <f t="shared" si="102"/>
        <v>0</v>
      </c>
      <c r="CZ73">
        <f t="shared" si="102"/>
        <v>0</v>
      </c>
      <c r="DA73">
        <f t="shared" si="102"/>
        <v>0</v>
      </c>
      <c r="DB73">
        <f t="shared" si="102"/>
        <v>0</v>
      </c>
      <c r="DC73">
        <f t="shared" si="102"/>
        <v>0</v>
      </c>
      <c r="DD73">
        <f t="shared" si="102"/>
        <v>0</v>
      </c>
      <c r="DE73">
        <f t="shared" si="102"/>
        <v>0</v>
      </c>
      <c r="DF73">
        <f t="shared" ref="DF73:DO82" si="103">IFERROR(VLOOKUP($I73&amp;"-"&amp;DF$2,$A$3:$C$1700,3,FALSE),0)</f>
        <v>0</v>
      </c>
      <c r="DG73">
        <f t="shared" si="103"/>
        <v>0</v>
      </c>
      <c r="DH73">
        <f t="shared" si="103"/>
        <v>0</v>
      </c>
      <c r="DI73">
        <f t="shared" si="103"/>
        <v>0</v>
      </c>
      <c r="DJ73">
        <f t="shared" si="103"/>
        <v>0</v>
      </c>
      <c r="DK73">
        <f t="shared" si="103"/>
        <v>0</v>
      </c>
      <c r="DL73">
        <f t="shared" si="103"/>
        <v>0</v>
      </c>
      <c r="DM73">
        <f t="shared" si="103"/>
        <v>0</v>
      </c>
      <c r="DN73">
        <f t="shared" si="103"/>
        <v>0</v>
      </c>
      <c r="DO73">
        <f t="shared" si="103"/>
        <v>0</v>
      </c>
      <c r="DP73">
        <f t="shared" ref="DP73:DY82" si="104">IFERROR(VLOOKUP($I73&amp;"-"&amp;DP$2,$A$3:$C$1700,3,FALSE),0)</f>
        <v>0</v>
      </c>
      <c r="DQ73">
        <f t="shared" si="104"/>
        <v>0</v>
      </c>
      <c r="DR73">
        <f t="shared" si="104"/>
        <v>0</v>
      </c>
      <c r="DS73">
        <f t="shared" si="104"/>
        <v>0</v>
      </c>
      <c r="DT73">
        <f t="shared" si="104"/>
        <v>0</v>
      </c>
      <c r="DU73">
        <f t="shared" si="104"/>
        <v>0</v>
      </c>
      <c r="DV73">
        <f t="shared" si="104"/>
        <v>0</v>
      </c>
      <c r="DW73">
        <f t="shared" si="104"/>
        <v>0</v>
      </c>
      <c r="DX73">
        <f t="shared" si="104"/>
        <v>0</v>
      </c>
      <c r="DY73">
        <f t="shared" si="104"/>
        <v>0</v>
      </c>
      <c r="DZ73">
        <f t="shared" ref="DZ73:EI82" si="105">IFERROR(VLOOKUP($I73&amp;"-"&amp;DZ$2,$A$3:$C$1700,3,FALSE),0)</f>
        <v>0</v>
      </c>
      <c r="EA73">
        <f t="shared" si="105"/>
        <v>0</v>
      </c>
      <c r="EB73">
        <f t="shared" si="105"/>
        <v>0</v>
      </c>
      <c r="EC73">
        <f t="shared" si="105"/>
        <v>0</v>
      </c>
      <c r="ED73">
        <f t="shared" si="105"/>
        <v>0</v>
      </c>
      <c r="EE73">
        <f t="shared" si="105"/>
        <v>0</v>
      </c>
      <c r="EF73">
        <f t="shared" si="105"/>
        <v>0</v>
      </c>
      <c r="EG73">
        <f t="shared" si="105"/>
        <v>0</v>
      </c>
      <c r="EH73">
        <f t="shared" si="105"/>
        <v>0</v>
      </c>
      <c r="EI73">
        <f t="shared" si="105"/>
        <v>0</v>
      </c>
      <c r="EJ73">
        <f>SUM(Tabla1[[#This Row],[1]:[130]])</f>
        <v>0</v>
      </c>
    </row>
    <row r="74" spans="1:140" x14ac:dyDescent="0.25">
      <c r="A74" t="str">
        <f>B74&amp;"-"&amp;COUNTIF($B$2:B74,B74)</f>
        <v>I. CREMA ESPESA-11</v>
      </c>
      <c r="B74" s="35" t="s">
        <v>16</v>
      </c>
      <c r="C74">
        <f>VLOOKUP(B74,RECETAS!D73:$E$1700,2,FALSE)</f>
        <v>3450</v>
      </c>
      <c r="D74" s="34"/>
      <c r="G74" t="b">
        <f t="shared" si="92"/>
        <v>1</v>
      </c>
      <c r="I74" s="35" t="s">
        <v>0</v>
      </c>
      <c r="J74">
        <f t="shared" si="93"/>
        <v>32</v>
      </c>
      <c r="K74">
        <f t="shared" si="93"/>
        <v>10</v>
      </c>
      <c r="L74">
        <f t="shared" si="93"/>
        <v>38</v>
      </c>
      <c r="M74">
        <f t="shared" si="93"/>
        <v>1</v>
      </c>
      <c r="N74">
        <f t="shared" si="93"/>
        <v>2</v>
      </c>
      <c r="O74">
        <f t="shared" si="93"/>
        <v>2</v>
      </c>
      <c r="P74">
        <f t="shared" si="93"/>
        <v>0</v>
      </c>
      <c r="Q74">
        <f t="shared" si="93"/>
        <v>0</v>
      </c>
      <c r="R74">
        <f t="shared" si="93"/>
        <v>0</v>
      </c>
      <c r="S74">
        <f t="shared" si="93"/>
        <v>0</v>
      </c>
      <c r="T74">
        <f t="shared" si="94"/>
        <v>0</v>
      </c>
      <c r="U74">
        <f t="shared" si="94"/>
        <v>0</v>
      </c>
      <c r="V74">
        <f t="shared" si="94"/>
        <v>0</v>
      </c>
      <c r="W74">
        <f t="shared" si="94"/>
        <v>0</v>
      </c>
      <c r="X74">
        <f t="shared" si="94"/>
        <v>0</v>
      </c>
      <c r="Y74">
        <f t="shared" si="94"/>
        <v>0</v>
      </c>
      <c r="Z74">
        <f t="shared" si="94"/>
        <v>0</v>
      </c>
      <c r="AA74">
        <f t="shared" si="94"/>
        <v>0</v>
      </c>
      <c r="AB74">
        <f t="shared" si="94"/>
        <v>0</v>
      </c>
      <c r="AC74">
        <f t="shared" si="94"/>
        <v>0</v>
      </c>
      <c r="AD74">
        <f t="shared" si="95"/>
        <v>0</v>
      </c>
      <c r="AE74">
        <f t="shared" si="95"/>
        <v>0</v>
      </c>
      <c r="AF74">
        <f t="shared" si="95"/>
        <v>0</v>
      </c>
      <c r="AG74">
        <f t="shared" si="95"/>
        <v>0</v>
      </c>
      <c r="AH74">
        <f t="shared" si="95"/>
        <v>0</v>
      </c>
      <c r="AI74">
        <f t="shared" si="95"/>
        <v>0</v>
      </c>
      <c r="AJ74">
        <f t="shared" si="95"/>
        <v>0</v>
      </c>
      <c r="AK74">
        <f t="shared" si="95"/>
        <v>0</v>
      </c>
      <c r="AL74">
        <f t="shared" si="95"/>
        <v>0</v>
      </c>
      <c r="AM74">
        <f t="shared" si="95"/>
        <v>0</v>
      </c>
      <c r="AN74">
        <f t="shared" si="96"/>
        <v>0</v>
      </c>
      <c r="AO74">
        <f t="shared" si="96"/>
        <v>0</v>
      </c>
      <c r="AP74">
        <f t="shared" si="96"/>
        <v>0</v>
      </c>
      <c r="AQ74">
        <f t="shared" si="96"/>
        <v>0</v>
      </c>
      <c r="AR74">
        <f t="shared" si="96"/>
        <v>0</v>
      </c>
      <c r="AS74">
        <f t="shared" si="96"/>
        <v>0</v>
      </c>
      <c r="AT74">
        <f t="shared" si="96"/>
        <v>0</v>
      </c>
      <c r="AU74">
        <f t="shared" si="96"/>
        <v>0</v>
      </c>
      <c r="AV74">
        <f t="shared" si="96"/>
        <v>0</v>
      </c>
      <c r="AW74">
        <f t="shared" si="96"/>
        <v>0</v>
      </c>
      <c r="AX74">
        <f t="shared" si="97"/>
        <v>0</v>
      </c>
      <c r="AY74">
        <f t="shared" si="97"/>
        <v>0</v>
      </c>
      <c r="AZ74">
        <f t="shared" si="97"/>
        <v>0</v>
      </c>
      <c r="BA74">
        <f t="shared" si="97"/>
        <v>0</v>
      </c>
      <c r="BB74">
        <f t="shared" si="97"/>
        <v>0</v>
      </c>
      <c r="BC74">
        <f t="shared" si="97"/>
        <v>0</v>
      </c>
      <c r="BD74">
        <f t="shared" si="97"/>
        <v>0</v>
      </c>
      <c r="BE74">
        <f t="shared" si="97"/>
        <v>0</v>
      </c>
      <c r="BF74">
        <f t="shared" si="97"/>
        <v>0</v>
      </c>
      <c r="BG74">
        <f t="shared" si="97"/>
        <v>0</v>
      </c>
      <c r="BH74">
        <f t="shared" si="98"/>
        <v>0</v>
      </c>
      <c r="BI74">
        <f t="shared" si="98"/>
        <v>0</v>
      </c>
      <c r="BJ74">
        <f t="shared" si="98"/>
        <v>0</v>
      </c>
      <c r="BK74">
        <f t="shared" si="98"/>
        <v>0</v>
      </c>
      <c r="BL74">
        <f t="shared" si="98"/>
        <v>0</v>
      </c>
      <c r="BM74">
        <f t="shared" si="98"/>
        <v>0</v>
      </c>
      <c r="BN74">
        <f t="shared" si="98"/>
        <v>0</v>
      </c>
      <c r="BO74">
        <f t="shared" si="98"/>
        <v>0</v>
      </c>
      <c r="BP74">
        <f t="shared" si="98"/>
        <v>0</v>
      </c>
      <c r="BQ74">
        <f t="shared" si="98"/>
        <v>0</v>
      </c>
      <c r="BR74">
        <f t="shared" si="99"/>
        <v>0</v>
      </c>
      <c r="BS74">
        <f t="shared" si="99"/>
        <v>0</v>
      </c>
      <c r="BT74">
        <f t="shared" si="99"/>
        <v>0</v>
      </c>
      <c r="BU74">
        <f t="shared" si="99"/>
        <v>0</v>
      </c>
      <c r="BV74">
        <f t="shared" si="99"/>
        <v>0</v>
      </c>
      <c r="BW74">
        <f t="shared" si="99"/>
        <v>0</v>
      </c>
      <c r="BX74">
        <f t="shared" si="99"/>
        <v>0</v>
      </c>
      <c r="BY74">
        <f t="shared" si="99"/>
        <v>0</v>
      </c>
      <c r="BZ74">
        <f t="shared" si="99"/>
        <v>0</v>
      </c>
      <c r="CA74">
        <f t="shared" si="99"/>
        <v>0</v>
      </c>
      <c r="CB74">
        <f t="shared" si="100"/>
        <v>0</v>
      </c>
      <c r="CC74">
        <f t="shared" si="100"/>
        <v>0</v>
      </c>
      <c r="CD74">
        <f t="shared" si="100"/>
        <v>0</v>
      </c>
      <c r="CE74">
        <f t="shared" si="100"/>
        <v>0</v>
      </c>
      <c r="CF74">
        <f t="shared" si="100"/>
        <v>0</v>
      </c>
      <c r="CG74">
        <f t="shared" si="100"/>
        <v>0</v>
      </c>
      <c r="CH74">
        <f t="shared" si="100"/>
        <v>0</v>
      </c>
      <c r="CI74">
        <f t="shared" si="100"/>
        <v>0</v>
      </c>
      <c r="CJ74">
        <f t="shared" si="100"/>
        <v>0</v>
      </c>
      <c r="CK74">
        <f t="shared" si="100"/>
        <v>0</v>
      </c>
      <c r="CL74">
        <f t="shared" si="101"/>
        <v>0</v>
      </c>
      <c r="CM74">
        <f t="shared" si="101"/>
        <v>0</v>
      </c>
      <c r="CN74">
        <f t="shared" si="101"/>
        <v>0</v>
      </c>
      <c r="CO74">
        <f t="shared" si="101"/>
        <v>0</v>
      </c>
      <c r="CP74">
        <f t="shared" si="101"/>
        <v>0</v>
      </c>
      <c r="CQ74">
        <f t="shared" si="101"/>
        <v>0</v>
      </c>
      <c r="CR74">
        <f t="shared" si="101"/>
        <v>0</v>
      </c>
      <c r="CS74">
        <f t="shared" si="101"/>
        <v>0</v>
      </c>
      <c r="CT74">
        <f t="shared" si="101"/>
        <v>0</v>
      </c>
      <c r="CU74">
        <f t="shared" si="101"/>
        <v>0</v>
      </c>
      <c r="CV74">
        <f t="shared" si="102"/>
        <v>0</v>
      </c>
      <c r="CW74">
        <f t="shared" si="102"/>
        <v>0</v>
      </c>
      <c r="CX74">
        <f t="shared" si="102"/>
        <v>0</v>
      </c>
      <c r="CY74">
        <f t="shared" si="102"/>
        <v>0</v>
      </c>
      <c r="CZ74">
        <f t="shared" si="102"/>
        <v>0</v>
      </c>
      <c r="DA74">
        <f t="shared" si="102"/>
        <v>0</v>
      </c>
      <c r="DB74">
        <f t="shared" si="102"/>
        <v>0</v>
      </c>
      <c r="DC74">
        <f t="shared" si="102"/>
        <v>0</v>
      </c>
      <c r="DD74">
        <f t="shared" si="102"/>
        <v>0</v>
      </c>
      <c r="DE74">
        <f t="shared" si="102"/>
        <v>0</v>
      </c>
      <c r="DF74">
        <f t="shared" si="103"/>
        <v>0</v>
      </c>
      <c r="DG74">
        <f t="shared" si="103"/>
        <v>0</v>
      </c>
      <c r="DH74">
        <f t="shared" si="103"/>
        <v>0</v>
      </c>
      <c r="DI74">
        <f t="shared" si="103"/>
        <v>0</v>
      </c>
      <c r="DJ74">
        <f t="shared" si="103"/>
        <v>0</v>
      </c>
      <c r="DK74">
        <f t="shared" si="103"/>
        <v>0</v>
      </c>
      <c r="DL74">
        <f t="shared" si="103"/>
        <v>0</v>
      </c>
      <c r="DM74">
        <f t="shared" si="103"/>
        <v>0</v>
      </c>
      <c r="DN74">
        <f t="shared" si="103"/>
        <v>0</v>
      </c>
      <c r="DO74">
        <f t="shared" si="103"/>
        <v>0</v>
      </c>
      <c r="DP74">
        <f t="shared" si="104"/>
        <v>0</v>
      </c>
      <c r="DQ74">
        <f t="shared" si="104"/>
        <v>0</v>
      </c>
      <c r="DR74">
        <f t="shared" si="104"/>
        <v>0</v>
      </c>
      <c r="DS74">
        <f t="shared" si="104"/>
        <v>0</v>
      </c>
      <c r="DT74">
        <f t="shared" si="104"/>
        <v>0</v>
      </c>
      <c r="DU74">
        <f t="shared" si="104"/>
        <v>0</v>
      </c>
      <c r="DV74">
        <f t="shared" si="104"/>
        <v>0</v>
      </c>
      <c r="DW74">
        <f t="shared" si="104"/>
        <v>0</v>
      </c>
      <c r="DX74">
        <f t="shared" si="104"/>
        <v>0</v>
      </c>
      <c r="DY74">
        <f t="shared" si="104"/>
        <v>0</v>
      </c>
      <c r="DZ74">
        <f t="shared" si="105"/>
        <v>0</v>
      </c>
      <c r="EA74">
        <f t="shared" si="105"/>
        <v>0</v>
      </c>
      <c r="EB74">
        <f t="shared" si="105"/>
        <v>0</v>
      </c>
      <c r="EC74">
        <f t="shared" si="105"/>
        <v>0</v>
      </c>
      <c r="ED74">
        <f t="shared" si="105"/>
        <v>0</v>
      </c>
      <c r="EE74">
        <f t="shared" si="105"/>
        <v>0</v>
      </c>
      <c r="EF74">
        <f t="shared" si="105"/>
        <v>0</v>
      </c>
      <c r="EG74">
        <f t="shared" si="105"/>
        <v>0</v>
      </c>
      <c r="EH74">
        <f t="shared" si="105"/>
        <v>0</v>
      </c>
      <c r="EI74">
        <f t="shared" si="105"/>
        <v>0</v>
      </c>
      <c r="EJ74">
        <f>SUM(Tabla1[[#This Row],[1]:[130]])</f>
        <v>85</v>
      </c>
    </row>
    <row r="75" spans="1:140" ht="15.75" thickBot="1" x14ac:dyDescent="0.3">
      <c r="A75" t="str">
        <f>B75&amp;"-"&amp;COUNTIF($B$2:B75,B75)</f>
        <v>I. CIBOULET-2</v>
      </c>
      <c r="B75" s="33" t="s">
        <v>23</v>
      </c>
      <c r="C75">
        <f>VLOOKUP(B75,RECETAS!D74:$E$1700,2,FALSE)</f>
        <v>460</v>
      </c>
      <c r="D75" s="32"/>
      <c r="G75" t="b">
        <f t="shared" si="92"/>
        <v>1</v>
      </c>
      <c r="I75" s="39" t="s">
        <v>69</v>
      </c>
      <c r="J75">
        <f t="shared" si="93"/>
        <v>0</v>
      </c>
      <c r="K75">
        <f t="shared" si="93"/>
        <v>0</v>
      </c>
      <c r="L75">
        <f t="shared" si="93"/>
        <v>0</v>
      </c>
      <c r="M75">
        <f t="shared" si="93"/>
        <v>0</v>
      </c>
      <c r="N75">
        <f t="shared" si="93"/>
        <v>0</v>
      </c>
      <c r="O75">
        <f t="shared" si="93"/>
        <v>0</v>
      </c>
      <c r="P75">
        <f t="shared" si="93"/>
        <v>0</v>
      </c>
      <c r="Q75">
        <f t="shared" si="93"/>
        <v>0</v>
      </c>
      <c r="R75">
        <f t="shared" si="93"/>
        <v>0</v>
      </c>
      <c r="S75">
        <f t="shared" si="93"/>
        <v>0</v>
      </c>
      <c r="T75">
        <f t="shared" si="94"/>
        <v>0</v>
      </c>
      <c r="U75">
        <f t="shared" si="94"/>
        <v>0</v>
      </c>
      <c r="V75">
        <f t="shared" si="94"/>
        <v>0</v>
      </c>
      <c r="W75">
        <f t="shared" si="94"/>
        <v>0</v>
      </c>
      <c r="X75">
        <f t="shared" si="94"/>
        <v>0</v>
      </c>
      <c r="Y75">
        <f t="shared" si="94"/>
        <v>0</v>
      </c>
      <c r="Z75">
        <f t="shared" si="94"/>
        <v>0</v>
      </c>
      <c r="AA75">
        <f t="shared" si="94"/>
        <v>0</v>
      </c>
      <c r="AB75">
        <f t="shared" si="94"/>
        <v>0</v>
      </c>
      <c r="AC75">
        <f t="shared" si="94"/>
        <v>0</v>
      </c>
      <c r="AD75">
        <f t="shared" si="95"/>
        <v>0</v>
      </c>
      <c r="AE75">
        <f t="shared" si="95"/>
        <v>0</v>
      </c>
      <c r="AF75">
        <f t="shared" si="95"/>
        <v>0</v>
      </c>
      <c r="AG75">
        <f t="shared" si="95"/>
        <v>0</v>
      </c>
      <c r="AH75">
        <f t="shared" si="95"/>
        <v>0</v>
      </c>
      <c r="AI75">
        <f t="shared" si="95"/>
        <v>0</v>
      </c>
      <c r="AJ75">
        <f t="shared" si="95"/>
        <v>0</v>
      </c>
      <c r="AK75">
        <f t="shared" si="95"/>
        <v>0</v>
      </c>
      <c r="AL75">
        <f t="shared" si="95"/>
        <v>0</v>
      </c>
      <c r="AM75">
        <f t="shared" si="95"/>
        <v>0</v>
      </c>
      <c r="AN75">
        <f t="shared" si="96"/>
        <v>0</v>
      </c>
      <c r="AO75">
        <f t="shared" si="96"/>
        <v>0</v>
      </c>
      <c r="AP75">
        <f t="shared" si="96"/>
        <v>0</v>
      </c>
      <c r="AQ75">
        <f t="shared" si="96"/>
        <v>0</v>
      </c>
      <c r="AR75">
        <f t="shared" si="96"/>
        <v>0</v>
      </c>
      <c r="AS75">
        <f t="shared" si="96"/>
        <v>0</v>
      </c>
      <c r="AT75">
        <f t="shared" si="96"/>
        <v>0</v>
      </c>
      <c r="AU75">
        <f t="shared" si="96"/>
        <v>0</v>
      </c>
      <c r="AV75">
        <f t="shared" si="96"/>
        <v>0</v>
      </c>
      <c r="AW75">
        <f t="shared" si="96"/>
        <v>0</v>
      </c>
      <c r="AX75">
        <f t="shared" si="97"/>
        <v>0</v>
      </c>
      <c r="AY75">
        <f t="shared" si="97"/>
        <v>0</v>
      </c>
      <c r="AZ75">
        <f t="shared" si="97"/>
        <v>0</v>
      </c>
      <c r="BA75">
        <f t="shared" si="97"/>
        <v>0</v>
      </c>
      <c r="BB75">
        <f t="shared" si="97"/>
        <v>0</v>
      </c>
      <c r="BC75">
        <f t="shared" si="97"/>
        <v>0</v>
      </c>
      <c r="BD75">
        <f t="shared" si="97"/>
        <v>0</v>
      </c>
      <c r="BE75">
        <f t="shared" si="97"/>
        <v>0</v>
      </c>
      <c r="BF75">
        <f t="shared" si="97"/>
        <v>0</v>
      </c>
      <c r="BG75">
        <f t="shared" si="97"/>
        <v>0</v>
      </c>
      <c r="BH75">
        <f t="shared" si="98"/>
        <v>0</v>
      </c>
      <c r="BI75">
        <f t="shared" si="98"/>
        <v>0</v>
      </c>
      <c r="BJ75">
        <f t="shared" si="98"/>
        <v>0</v>
      </c>
      <c r="BK75">
        <f t="shared" si="98"/>
        <v>0</v>
      </c>
      <c r="BL75">
        <f t="shared" si="98"/>
        <v>0</v>
      </c>
      <c r="BM75">
        <f t="shared" si="98"/>
        <v>0</v>
      </c>
      <c r="BN75">
        <f t="shared" si="98"/>
        <v>0</v>
      </c>
      <c r="BO75">
        <f t="shared" si="98"/>
        <v>0</v>
      </c>
      <c r="BP75">
        <f t="shared" si="98"/>
        <v>0</v>
      </c>
      <c r="BQ75">
        <f t="shared" si="98"/>
        <v>0</v>
      </c>
      <c r="BR75">
        <f t="shared" si="99"/>
        <v>0</v>
      </c>
      <c r="BS75">
        <f t="shared" si="99"/>
        <v>0</v>
      </c>
      <c r="BT75">
        <f t="shared" si="99"/>
        <v>0</v>
      </c>
      <c r="BU75">
        <f t="shared" si="99"/>
        <v>0</v>
      </c>
      <c r="BV75">
        <f t="shared" si="99"/>
        <v>0</v>
      </c>
      <c r="BW75">
        <f t="shared" si="99"/>
        <v>0</v>
      </c>
      <c r="BX75">
        <f t="shared" si="99"/>
        <v>0</v>
      </c>
      <c r="BY75">
        <f t="shared" si="99"/>
        <v>0</v>
      </c>
      <c r="BZ75">
        <f t="shared" si="99"/>
        <v>0</v>
      </c>
      <c r="CA75">
        <f t="shared" si="99"/>
        <v>0</v>
      </c>
      <c r="CB75">
        <f t="shared" si="100"/>
        <v>0</v>
      </c>
      <c r="CC75">
        <f t="shared" si="100"/>
        <v>0</v>
      </c>
      <c r="CD75">
        <f t="shared" si="100"/>
        <v>0</v>
      </c>
      <c r="CE75">
        <f t="shared" si="100"/>
        <v>0</v>
      </c>
      <c r="CF75">
        <f t="shared" si="100"/>
        <v>0</v>
      </c>
      <c r="CG75">
        <f t="shared" si="100"/>
        <v>0</v>
      </c>
      <c r="CH75">
        <f t="shared" si="100"/>
        <v>0</v>
      </c>
      <c r="CI75">
        <f t="shared" si="100"/>
        <v>0</v>
      </c>
      <c r="CJ75">
        <f t="shared" si="100"/>
        <v>0</v>
      </c>
      <c r="CK75">
        <f t="shared" si="100"/>
        <v>0</v>
      </c>
      <c r="CL75">
        <f t="shared" si="101"/>
        <v>0</v>
      </c>
      <c r="CM75">
        <f t="shared" si="101"/>
        <v>0</v>
      </c>
      <c r="CN75">
        <f t="shared" si="101"/>
        <v>0</v>
      </c>
      <c r="CO75">
        <f t="shared" si="101"/>
        <v>0</v>
      </c>
      <c r="CP75">
        <f t="shared" si="101"/>
        <v>0</v>
      </c>
      <c r="CQ75">
        <f t="shared" si="101"/>
        <v>0</v>
      </c>
      <c r="CR75">
        <f t="shared" si="101"/>
        <v>0</v>
      </c>
      <c r="CS75">
        <f t="shared" si="101"/>
        <v>0</v>
      </c>
      <c r="CT75">
        <f t="shared" si="101"/>
        <v>0</v>
      </c>
      <c r="CU75">
        <f t="shared" si="101"/>
        <v>0</v>
      </c>
      <c r="CV75">
        <f t="shared" si="102"/>
        <v>0</v>
      </c>
      <c r="CW75">
        <f t="shared" si="102"/>
        <v>0</v>
      </c>
      <c r="CX75">
        <f t="shared" si="102"/>
        <v>0</v>
      </c>
      <c r="CY75">
        <f t="shared" si="102"/>
        <v>0</v>
      </c>
      <c r="CZ75">
        <f t="shared" si="102"/>
        <v>0</v>
      </c>
      <c r="DA75">
        <f t="shared" si="102"/>
        <v>0</v>
      </c>
      <c r="DB75">
        <f t="shared" si="102"/>
        <v>0</v>
      </c>
      <c r="DC75">
        <f t="shared" si="102"/>
        <v>0</v>
      </c>
      <c r="DD75">
        <f t="shared" si="102"/>
        <v>0</v>
      </c>
      <c r="DE75">
        <f t="shared" si="102"/>
        <v>0</v>
      </c>
      <c r="DF75">
        <f t="shared" si="103"/>
        <v>0</v>
      </c>
      <c r="DG75">
        <f t="shared" si="103"/>
        <v>0</v>
      </c>
      <c r="DH75">
        <f t="shared" si="103"/>
        <v>0</v>
      </c>
      <c r="DI75">
        <f t="shared" si="103"/>
        <v>0</v>
      </c>
      <c r="DJ75">
        <f t="shared" si="103"/>
        <v>0</v>
      </c>
      <c r="DK75">
        <f t="shared" si="103"/>
        <v>0</v>
      </c>
      <c r="DL75">
        <f t="shared" si="103"/>
        <v>0</v>
      </c>
      <c r="DM75">
        <f t="shared" si="103"/>
        <v>0</v>
      </c>
      <c r="DN75">
        <f t="shared" si="103"/>
        <v>0</v>
      </c>
      <c r="DO75">
        <f t="shared" si="103"/>
        <v>0</v>
      </c>
      <c r="DP75">
        <f t="shared" si="104"/>
        <v>0</v>
      </c>
      <c r="DQ75">
        <f t="shared" si="104"/>
        <v>0</v>
      </c>
      <c r="DR75">
        <f t="shared" si="104"/>
        <v>0</v>
      </c>
      <c r="DS75">
        <f t="shared" si="104"/>
        <v>0</v>
      </c>
      <c r="DT75">
        <f t="shared" si="104"/>
        <v>0</v>
      </c>
      <c r="DU75">
        <f t="shared" si="104"/>
        <v>0</v>
      </c>
      <c r="DV75">
        <f t="shared" si="104"/>
        <v>0</v>
      </c>
      <c r="DW75">
        <f t="shared" si="104"/>
        <v>0</v>
      </c>
      <c r="DX75">
        <f t="shared" si="104"/>
        <v>0</v>
      </c>
      <c r="DY75">
        <f t="shared" si="104"/>
        <v>0</v>
      </c>
      <c r="DZ75">
        <f t="shared" si="105"/>
        <v>0</v>
      </c>
      <c r="EA75">
        <f t="shared" si="105"/>
        <v>0</v>
      </c>
      <c r="EB75">
        <f t="shared" si="105"/>
        <v>0</v>
      </c>
      <c r="EC75">
        <f t="shared" si="105"/>
        <v>0</v>
      </c>
      <c r="ED75">
        <f t="shared" si="105"/>
        <v>0</v>
      </c>
      <c r="EE75">
        <f t="shared" si="105"/>
        <v>0</v>
      </c>
      <c r="EF75">
        <f t="shared" si="105"/>
        <v>0</v>
      </c>
      <c r="EG75">
        <f t="shared" si="105"/>
        <v>0</v>
      </c>
      <c r="EH75">
        <f t="shared" si="105"/>
        <v>0</v>
      </c>
      <c r="EI75">
        <f t="shared" si="105"/>
        <v>0</v>
      </c>
      <c r="EJ75">
        <f>SUM(Tabla1[[#This Row],[1]:[130]])</f>
        <v>0</v>
      </c>
    </row>
    <row r="76" spans="1:140" x14ac:dyDescent="0.25">
      <c r="A76" t="str">
        <f>B76&amp;"-"&amp;COUNTIF($B$2:B76,B76)</f>
        <v>I. PAPAS FRITAS-5</v>
      </c>
      <c r="B76" s="26" t="s">
        <v>13</v>
      </c>
      <c r="C76">
        <f>VLOOKUP(B76,RECETAS!D75:$E$1700,2,FALSE)</f>
        <v>17600</v>
      </c>
      <c r="D76" s="25" t="s">
        <v>207</v>
      </c>
      <c r="G76" t="b">
        <f t="shared" si="92"/>
        <v>1</v>
      </c>
      <c r="I76" s="104" t="s">
        <v>70</v>
      </c>
      <c r="J76">
        <f t="shared" si="93"/>
        <v>150</v>
      </c>
      <c r="K76">
        <f t="shared" si="93"/>
        <v>0</v>
      </c>
      <c r="L76">
        <f t="shared" si="93"/>
        <v>0</v>
      </c>
      <c r="M76">
        <f t="shared" si="93"/>
        <v>0</v>
      </c>
      <c r="N76">
        <f t="shared" si="93"/>
        <v>0</v>
      </c>
      <c r="O76">
        <f t="shared" si="93"/>
        <v>0</v>
      </c>
      <c r="P76">
        <f t="shared" si="93"/>
        <v>0</v>
      </c>
      <c r="Q76">
        <f t="shared" si="93"/>
        <v>0</v>
      </c>
      <c r="R76">
        <f t="shared" si="93"/>
        <v>0</v>
      </c>
      <c r="S76">
        <f t="shared" si="93"/>
        <v>0</v>
      </c>
      <c r="T76">
        <f t="shared" si="94"/>
        <v>0</v>
      </c>
      <c r="U76">
        <f t="shared" si="94"/>
        <v>0</v>
      </c>
      <c r="V76">
        <f t="shared" si="94"/>
        <v>0</v>
      </c>
      <c r="W76">
        <f t="shared" si="94"/>
        <v>0</v>
      </c>
      <c r="X76">
        <f t="shared" si="94"/>
        <v>0</v>
      </c>
      <c r="Y76">
        <f t="shared" si="94"/>
        <v>0</v>
      </c>
      <c r="Z76">
        <f t="shared" si="94"/>
        <v>0</v>
      </c>
      <c r="AA76">
        <f t="shared" si="94"/>
        <v>0</v>
      </c>
      <c r="AB76">
        <f t="shared" si="94"/>
        <v>0</v>
      </c>
      <c r="AC76">
        <f t="shared" si="94"/>
        <v>0</v>
      </c>
      <c r="AD76">
        <f t="shared" si="95"/>
        <v>0</v>
      </c>
      <c r="AE76">
        <f t="shared" si="95"/>
        <v>0</v>
      </c>
      <c r="AF76">
        <f t="shared" si="95"/>
        <v>0</v>
      </c>
      <c r="AG76">
        <f t="shared" si="95"/>
        <v>0</v>
      </c>
      <c r="AH76">
        <f t="shared" si="95"/>
        <v>0</v>
      </c>
      <c r="AI76">
        <f t="shared" si="95"/>
        <v>0</v>
      </c>
      <c r="AJ76">
        <f t="shared" si="95"/>
        <v>0</v>
      </c>
      <c r="AK76">
        <f t="shared" si="95"/>
        <v>0</v>
      </c>
      <c r="AL76">
        <f t="shared" si="95"/>
        <v>0</v>
      </c>
      <c r="AM76">
        <f t="shared" si="95"/>
        <v>0</v>
      </c>
      <c r="AN76">
        <f t="shared" si="96"/>
        <v>0</v>
      </c>
      <c r="AO76">
        <f t="shared" si="96"/>
        <v>0</v>
      </c>
      <c r="AP76">
        <f t="shared" si="96"/>
        <v>0</v>
      </c>
      <c r="AQ76">
        <f t="shared" si="96"/>
        <v>0</v>
      </c>
      <c r="AR76">
        <f t="shared" si="96"/>
        <v>0</v>
      </c>
      <c r="AS76">
        <f t="shared" si="96"/>
        <v>0</v>
      </c>
      <c r="AT76">
        <f t="shared" si="96"/>
        <v>0</v>
      </c>
      <c r="AU76">
        <f t="shared" si="96"/>
        <v>0</v>
      </c>
      <c r="AV76">
        <f t="shared" si="96"/>
        <v>0</v>
      </c>
      <c r="AW76">
        <f t="shared" si="96"/>
        <v>0</v>
      </c>
      <c r="AX76">
        <f t="shared" si="97"/>
        <v>0</v>
      </c>
      <c r="AY76">
        <f t="shared" si="97"/>
        <v>0</v>
      </c>
      <c r="AZ76">
        <f t="shared" si="97"/>
        <v>0</v>
      </c>
      <c r="BA76">
        <f t="shared" si="97"/>
        <v>0</v>
      </c>
      <c r="BB76">
        <f t="shared" si="97"/>
        <v>0</v>
      </c>
      <c r="BC76">
        <f t="shared" si="97"/>
        <v>0</v>
      </c>
      <c r="BD76">
        <f t="shared" si="97"/>
        <v>0</v>
      </c>
      <c r="BE76">
        <f t="shared" si="97"/>
        <v>0</v>
      </c>
      <c r="BF76">
        <f t="shared" si="97"/>
        <v>0</v>
      </c>
      <c r="BG76">
        <f t="shared" si="97"/>
        <v>0</v>
      </c>
      <c r="BH76">
        <f t="shared" si="98"/>
        <v>0</v>
      </c>
      <c r="BI76">
        <f t="shared" si="98"/>
        <v>0</v>
      </c>
      <c r="BJ76">
        <f t="shared" si="98"/>
        <v>0</v>
      </c>
      <c r="BK76">
        <f t="shared" si="98"/>
        <v>0</v>
      </c>
      <c r="BL76">
        <f t="shared" si="98"/>
        <v>0</v>
      </c>
      <c r="BM76">
        <f t="shared" si="98"/>
        <v>0</v>
      </c>
      <c r="BN76">
        <f t="shared" si="98"/>
        <v>0</v>
      </c>
      <c r="BO76">
        <f t="shared" si="98"/>
        <v>0</v>
      </c>
      <c r="BP76">
        <f t="shared" si="98"/>
        <v>0</v>
      </c>
      <c r="BQ76">
        <f t="shared" si="98"/>
        <v>0</v>
      </c>
      <c r="BR76">
        <f t="shared" si="99"/>
        <v>0</v>
      </c>
      <c r="BS76">
        <f t="shared" si="99"/>
        <v>0</v>
      </c>
      <c r="BT76">
        <f t="shared" si="99"/>
        <v>0</v>
      </c>
      <c r="BU76">
        <f t="shared" si="99"/>
        <v>0</v>
      </c>
      <c r="BV76">
        <f t="shared" si="99"/>
        <v>0</v>
      </c>
      <c r="BW76">
        <f t="shared" si="99"/>
        <v>0</v>
      </c>
      <c r="BX76">
        <f t="shared" si="99"/>
        <v>0</v>
      </c>
      <c r="BY76">
        <f t="shared" si="99"/>
        <v>0</v>
      </c>
      <c r="BZ76">
        <f t="shared" si="99"/>
        <v>0</v>
      </c>
      <c r="CA76">
        <f t="shared" si="99"/>
        <v>0</v>
      </c>
      <c r="CB76">
        <f t="shared" si="100"/>
        <v>0</v>
      </c>
      <c r="CC76">
        <f t="shared" si="100"/>
        <v>0</v>
      </c>
      <c r="CD76">
        <f t="shared" si="100"/>
        <v>0</v>
      </c>
      <c r="CE76">
        <f t="shared" si="100"/>
        <v>0</v>
      </c>
      <c r="CF76">
        <f t="shared" si="100"/>
        <v>0</v>
      </c>
      <c r="CG76">
        <f t="shared" si="100"/>
        <v>0</v>
      </c>
      <c r="CH76">
        <f t="shared" si="100"/>
        <v>0</v>
      </c>
      <c r="CI76">
        <f t="shared" si="100"/>
        <v>0</v>
      </c>
      <c r="CJ76">
        <f t="shared" si="100"/>
        <v>0</v>
      </c>
      <c r="CK76">
        <f t="shared" si="100"/>
        <v>0</v>
      </c>
      <c r="CL76">
        <f t="shared" si="101"/>
        <v>0</v>
      </c>
      <c r="CM76">
        <f t="shared" si="101"/>
        <v>0</v>
      </c>
      <c r="CN76">
        <f t="shared" si="101"/>
        <v>0</v>
      </c>
      <c r="CO76">
        <f t="shared" si="101"/>
        <v>0</v>
      </c>
      <c r="CP76">
        <f t="shared" si="101"/>
        <v>0</v>
      </c>
      <c r="CQ76">
        <f t="shared" si="101"/>
        <v>0</v>
      </c>
      <c r="CR76">
        <f t="shared" si="101"/>
        <v>0</v>
      </c>
      <c r="CS76">
        <f t="shared" si="101"/>
        <v>0</v>
      </c>
      <c r="CT76">
        <f t="shared" si="101"/>
        <v>0</v>
      </c>
      <c r="CU76">
        <f t="shared" si="101"/>
        <v>0</v>
      </c>
      <c r="CV76">
        <f t="shared" si="102"/>
        <v>0</v>
      </c>
      <c r="CW76">
        <f t="shared" si="102"/>
        <v>0</v>
      </c>
      <c r="CX76">
        <f t="shared" si="102"/>
        <v>0</v>
      </c>
      <c r="CY76">
        <f t="shared" si="102"/>
        <v>0</v>
      </c>
      <c r="CZ76">
        <f t="shared" si="102"/>
        <v>0</v>
      </c>
      <c r="DA76">
        <f t="shared" si="102"/>
        <v>0</v>
      </c>
      <c r="DB76">
        <f t="shared" si="102"/>
        <v>0</v>
      </c>
      <c r="DC76">
        <f t="shared" si="102"/>
        <v>0</v>
      </c>
      <c r="DD76">
        <f t="shared" si="102"/>
        <v>0</v>
      </c>
      <c r="DE76">
        <f t="shared" si="102"/>
        <v>0</v>
      </c>
      <c r="DF76">
        <f t="shared" si="103"/>
        <v>0</v>
      </c>
      <c r="DG76">
        <f t="shared" si="103"/>
        <v>0</v>
      </c>
      <c r="DH76">
        <f t="shared" si="103"/>
        <v>0</v>
      </c>
      <c r="DI76">
        <f t="shared" si="103"/>
        <v>0</v>
      </c>
      <c r="DJ76">
        <f t="shared" si="103"/>
        <v>0</v>
      </c>
      <c r="DK76">
        <f t="shared" si="103"/>
        <v>0</v>
      </c>
      <c r="DL76">
        <f t="shared" si="103"/>
        <v>0</v>
      </c>
      <c r="DM76">
        <f t="shared" si="103"/>
        <v>0</v>
      </c>
      <c r="DN76">
        <f t="shared" si="103"/>
        <v>0</v>
      </c>
      <c r="DO76">
        <f t="shared" si="103"/>
        <v>0</v>
      </c>
      <c r="DP76">
        <f t="shared" si="104"/>
        <v>0</v>
      </c>
      <c r="DQ76">
        <f t="shared" si="104"/>
        <v>0</v>
      </c>
      <c r="DR76">
        <f t="shared" si="104"/>
        <v>0</v>
      </c>
      <c r="DS76">
        <f t="shared" si="104"/>
        <v>0</v>
      </c>
      <c r="DT76">
        <f t="shared" si="104"/>
        <v>0</v>
      </c>
      <c r="DU76">
        <f t="shared" si="104"/>
        <v>0</v>
      </c>
      <c r="DV76">
        <f t="shared" si="104"/>
        <v>0</v>
      </c>
      <c r="DW76">
        <f t="shared" si="104"/>
        <v>0</v>
      </c>
      <c r="DX76">
        <f t="shared" si="104"/>
        <v>0</v>
      </c>
      <c r="DY76">
        <f t="shared" si="104"/>
        <v>0</v>
      </c>
      <c r="DZ76">
        <f t="shared" si="105"/>
        <v>0</v>
      </c>
      <c r="EA76">
        <f t="shared" si="105"/>
        <v>0</v>
      </c>
      <c r="EB76">
        <f t="shared" si="105"/>
        <v>0</v>
      </c>
      <c r="EC76">
        <f t="shared" si="105"/>
        <v>0</v>
      </c>
      <c r="ED76">
        <f t="shared" si="105"/>
        <v>0</v>
      </c>
      <c r="EE76">
        <f t="shared" si="105"/>
        <v>0</v>
      </c>
      <c r="EF76">
        <f t="shared" si="105"/>
        <v>0</v>
      </c>
      <c r="EG76">
        <f t="shared" si="105"/>
        <v>0</v>
      </c>
      <c r="EH76">
        <f t="shared" si="105"/>
        <v>0</v>
      </c>
      <c r="EI76">
        <f t="shared" si="105"/>
        <v>0</v>
      </c>
      <c r="EJ76">
        <f>SUM(Tabla1[[#This Row],[1]:[130]])</f>
        <v>150</v>
      </c>
    </row>
    <row r="77" spans="1:140" x14ac:dyDescent="0.25">
      <c r="A77" t="str">
        <f>B77&amp;"-"&amp;COUNTIF($B$2:B77,B77)</f>
        <v>I. QUESO GRANULADO-8</v>
      </c>
      <c r="B77" s="35" t="s">
        <v>9</v>
      </c>
      <c r="C77">
        <f>VLOOKUP(B77,RECETAS!D76:$E$1700,2,FALSE)</f>
        <v>3300</v>
      </c>
      <c r="D77" s="34"/>
      <c r="G77" t="b">
        <f t="shared" si="92"/>
        <v>1</v>
      </c>
      <c r="I77" s="36" t="s">
        <v>134</v>
      </c>
      <c r="J77">
        <f t="shared" si="93"/>
        <v>120</v>
      </c>
      <c r="K77">
        <f t="shared" si="93"/>
        <v>170</v>
      </c>
      <c r="L77">
        <f t="shared" si="93"/>
        <v>30</v>
      </c>
      <c r="M77">
        <f t="shared" si="93"/>
        <v>70</v>
      </c>
      <c r="N77">
        <f t="shared" si="93"/>
        <v>0</v>
      </c>
      <c r="O77">
        <f t="shared" si="93"/>
        <v>0</v>
      </c>
      <c r="P77">
        <f t="shared" si="93"/>
        <v>0</v>
      </c>
      <c r="Q77">
        <f t="shared" si="93"/>
        <v>0</v>
      </c>
      <c r="R77">
        <f t="shared" si="93"/>
        <v>0</v>
      </c>
      <c r="S77">
        <f t="shared" si="93"/>
        <v>0</v>
      </c>
      <c r="T77">
        <f t="shared" si="94"/>
        <v>0</v>
      </c>
      <c r="U77">
        <f t="shared" si="94"/>
        <v>0</v>
      </c>
      <c r="V77">
        <f t="shared" si="94"/>
        <v>0</v>
      </c>
      <c r="W77">
        <f t="shared" si="94"/>
        <v>0</v>
      </c>
      <c r="X77">
        <f t="shared" si="94"/>
        <v>0</v>
      </c>
      <c r="Y77">
        <f t="shared" si="94"/>
        <v>0</v>
      </c>
      <c r="Z77">
        <f t="shared" si="94"/>
        <v>0</v>
      </c>
      <c r="AA77">
        <f t="shared" si="94"/>
        <v>0</v>
      </c>
      <c r="AB77">
        <f t="shared" si="94"/>
        <v>0</v>
      </c>
      <c r="AC77">
        <f t="shared" si="94"/>
        <v>0</v>
      </c>
      <c r="AD77">
        <f t="shared" si="95"/>
        <v>0</v>
      </c>
      <c r="AE77">
        <f t="shared" si="95"/>
        <v>0</v>
      </c>
      <c r="AF77">
        <f t="shared" si="95"/>
        <v>0</v>
      </c>
      <c r="AG77">
        <f t="shared" si="95"/>
        <v>0</v>
      </c>
      <c r="AH77">
        <f t="shared" si="95"/>
        <v>0</v>
      </c>
      <c r="AI77">
        <f t="shared" si="95"/>
        <v>0</v>
      </c>
      <c r="AJ77">
        <f t="shared" si="95"/>
        <v>0</v>
      </c>
      <c r="AK77">
        <f t="shared" si="95"/>
        <v>0</v>
      </c>
      <c r="AL77">
        <f t="shared" si="95"/>
        <v>0</v>
      </c>
      <c r="AM77">
        <f t="shared" si="95"/>
        <v>0</v>
      </c>
      <c r="AN77">
        <f t="shared" si="96"/>
        <v>0</v>
      </c>
      <c r="AO77">
        <f t="shared" si="96"/>
        <v>0</v>
      </c>
      <c r="AP77">
        <f t="shared" si="96"/>
        <v>0</v>
      </c>
      <c r="AQ77">
        <f t="shared" si="96"/>
        <v>0</v>
      </c>
      <c r="AR77">
        <f t="shared" si="96"/>
        <v>0</v>
      </c>
      <c r="AS77">
        <f t="shared" si="96"/>
        <v>0</v>
      </c>
      <c r="AT77">
        <f t="shared" si="96"/>
        <v>0</v>
      </c>
      <c r="AU77">
        <f t="shared" si="96"/>
        <v>0</v>
      </c>
      <c r="AV77">
        <f t="shared" si="96"/>
        <v>0</v>
      </c>
      <c r="AW77">
        <f t="shared" si="96"/>
        <v>0</v>
      </c>
      <c r="AX77">
        <f t="shared" si="97"/>
        <v>0</v>
      </c>
      <c r="AY77">
        <f t="shared" si="97"/>
        <v>0</v>
      </c>
      <c r="AZ77">
        <f t="shared" si="97"/>
        <v>0</v>
      </c>
      <c r="BA77">
        <f t="shared" si="97"/>
        <v>0</v>
      </c>
      <c r="BB77">
        <f t="shared" si="97"/>
        <v>0</v>
      </c>
      <c r="BC77">
        <f t="shared" si="97"/>
        <v>0</v>
      </c>
      <c r="BD77">
        <f t="shared" si="97"/>
        <v>0</v>
      </c>
      <c r="BE77">
        <f t="shared" si="97"/>
        <v>0</v>
      </c>
      <c r="BF77">
        <f t="shared" si="97"/>
        <v>0</v>
      </c>
      <c r="BG77">
        <f t="shared" si="97"/>
        <v>0</v>
      </c>
      <c r="BH77">
        <f t="shared" si="98"/>
        <v>0</v>
      </c>
      <c r="BI77">
        <f t="shared" si="98"/>
        <v>0</v>
      </c>
      <c r="BJ77">
        <f t="shared" si="98"/>
        <v>0</v>
      </c>
      <c r="BK77">
        <f t="shared" si="98"/>
        <v>0</v>
      </c>
      <c r="BL77">
        <f t="shared" si="98"/>
        <v>0</v>
      </c>
      <c r="BM77">
        <f t="shared" si="98"/>
        <v>0</v>
      </c>
      <c r="BN77">
        <f t="shared" si="98"/>
        <v>0</v>
      </c>
      <c r="BO77">
        <f t="shared" si="98"/>
        <v>0</v>
      </c>
      <c r="BP77">
        <f t="shared" si="98"/>
        <v>0</v>
      </c>
      <c r="BQ77">
        <f t="shared" si="98"/>
        <v>0</v>
      </c>
      <c r="BR77">
        <f t="shared" si="99"/>
        <v>0</v>
      </c>
      <c r="BS77">
        <f t="shared" si="99"/>
        <v>0</v>
      </c>
      <c r="BT77">
        <f t="shared" si="99"/>
        <v>0</v>
      </c>
      <c r="BU77">
        <f t="shared" si="99"/>
        <v>0</v>
      </c>
      <c r="BV77">
        <f t="shared" si="99"/>
        <v>0</v>
      </c>
      <c r="BW77">
        <f t="shared" si="99"/>
        <v>0</v>
      </c>
      <c r="BX77">
        <f t="shared" si="99"/>
        <v>0</v>
      </c>
      <c r="BY77">
        <f t="shared" si="99"/>
        <v>0</v>
      </c>
      <c r="BZ77">
        <f t="shared" si="99"/>
        <v>0</v>
      </c>
      <c r="CA77">
        <f t="shared" si="99"/>
        <v>0</v>
      </c>
      <c r="CB77">
        <f t="shared" si="100"/>
        <v>0</v>
      </c>
      <c r="CC77">
        <f t="shared" si="100"/>
        <v>0</v>
      </c>
      <c r="CD77">
        <f t="shared" si="100"/>
        <v>0</v>
      </c>
      <c r="CE77">
        <f t="shared" si="100"/>
        <v>0</v>
      </c>
      <c r="CF77">
        <f t="shared" si="100"/>
        <v>0</v>
      </c>
      <c r="CG77">
        <f t="shared" si="100"/>
        <v>0</v>
      </c>
      <c r="CH77">
        <f t="shared" si="100"/>
        <v>0</v>
      </c>
      <c r="CI77">
        <f t="shared" si="100"/>
        <v>0</v>
      </c>
      <c r="CJ77">
        <f t="shared" si="100"/>
        <v>0</v>
      </c>
      <c r="CK77">
        <f t="shared" si="100"/>
        <v>0</v>
      </c>
      <c r="CL77">
        <f t="shared" si="101"/>
        <v>0</v>
      </c>
      <c r="CM77">
        <f t="shared" si="101"/>
        <v>0</v>
      </c>
      <c r="CN77">
        <f t="shared" si="101"/>
        <v>0</v>
      </c>
      <c r="CO77">
        <f t="shared" si="101"/>
        <v>0</v>
      </c>
      <c r="CP77">
        <f t="shared" si="101"/>
        <v>0</v>
      </c>
      <c r="CQ77">
        <f t="shared" si="101"/>
        <v>0</v>
      </c>
      <c r="CR77">
        <f t="shared" si="101"/>
        <v>0</v>
      </c>
      <c r="CS77">
        <f t="shared" si="101"/>
        <v>0</v>
      </c>
      <c r="CT77">
        <f t="shared" si="101"/>
        <v>0</v>
      </c>
      <c r="CU77">
        <f t="shared" si="101"/>
        <v>0</v>
      </c>
      <c r="CV77">
        <f t="shared" si="102"/>
        <v>0</v>
      </c>
      <c r="CW77">
        <f t="shared" si="102"/>
        <v>0</v>
      </c>
      <c r="CX77">
        <f t="shared" si="102"/>
        <v>0</v>
      </c>
      <c r="CY77">
        <f t="shared" si="102"/>
        <v>0</v>
      </c>
      <c r="CZ77">
        <f t="shared" si="102"/>
        <v>0</v>
      </c>
      <c r="DA77">
        <f t="shared" si="102"/>
        <v>0</v>
      </c>
      <c r="DB77">
        <f t="shared" si="102"/>
        <v>0</v>
      </c>
      <c r="DC77">
        <f t="shared" si="102"/>
        <v>0</v>
      </c>
      <c r="DD77">
        <f t="shared" si="102"/>
        <v>0</v>
      </c>
      <c r="DE77">
        <f t="shared" si="102"/>
        <v>0</v>
      </c>
      <c r="DF77">
        <f t="shared" si="103"/>
        <v>0</v>
      </c>
      <c r="DG77">
        <f t="shared" si="103"/>
        <v>0</v>
      </c>
      <c r="DH77">
        <f t="shared" si="103"/>
        <v>0</v>
      </c>
      <c r="DI77">
        <f t="shared" si="103"/>
        <v>0</v>
      </c>
      <c r="DJ77">
        <f t="shared" si="103"/>
        <v>0</v>
      </c>
      <c r="DK77">
        <f t="shared" si="103"/>
        <v>0</v>
      </c>
      <c r="DL77">
        <f t="shared" si="103"/>
        <v>0</v>
      </c>
      <c r="DM77">
        <f t="shared" si="103"/>
        <v>0</v>
      </c>
      <c r="DN77">
        <f t="shared" si="103"/>
        <v>0</v>
      </c>
      <c r="DO77">
        <f t="shared" si="103"/>
        <v>0</v>
      </c>
      <c r="DP77">
        <f t="shared" si="104"/>
        <v>0</v>
      </c>
      <c r="DQ77">
        <f t="shared" si="104"/>
        <v>0</v>
      </c>
      <c r="DR77">
        <f t="shared" si="104"/>
        <v>0</v>
      </c>
      <c r="DS77">
        <f t="shared" si="104"/>
        <v>0</v>
      </c>
      <c r="DT77">
        <f t="shared" si="104"/>
        <v>0</v>
      </c>
      <c r="DU77">
        <f t="shared" si="104"/>
        <v>0</v>
      </c>
      <c r="DV77">
        <f t="shared" si="104"/>
        <v>0</v>
      </c>
      <c r="DW77">
        <f t="shared" si="104"/>
        <v>0</v>
      </c>
      <c r="DX77">
        <f t="shared" si="104"/>
        <v>0</v>
      </c>
      <c r="DY77">
        <f t="shared" si="104"/>
        <v>0</v>
      </c>
      <c r="DZ77">
        <f t="shared" si="105"/>
        <v>0</v>
      </c>
      <c r="EA77">
        <f t="shared" si="105"/>
        <v>0</v>
      </c>
      <c r="EB77">
        <f t="shared" si="105"/>
        <v>0</v>
      </c>
      <c r="EC77">
        <f t="shared" si="105"/>
        <v>0</v>
      </c>
      <c r="ED77">
        <f t="shared" si="105"/>
        <v>0</v>
      </c>
      <c r="EE77">
        <f t="shared" si="105"/>
        <v>0</v>
      </c>
      <c r="EF77">
        <f t="shared" si="105"/>
        <v>0</v>
      </c>
      <c r="EG77">
        <f t="shared" si="105"/>
        <v>0</v>
      </c>
      <c r="EH77">
        <f t="shared" si="105"/>
        <v>0</v>
      </c>
      <c r="EI77">
        <f t="shared" si="105"/>
        <v>0</v>
      </c>
      <c r="EJ77">
        <f>SUM(Tabla1[[#This Row],[1]:[130]])</f>
        <v>390</v>
      </c>
    </row>
    <row r="78" spans="1:140" x14ac:dyDescent="0.25">
      <c r="A78" t="str">
        <f>B78&amp;"-"&amp;COUNTIF($B$2:B78,B78)</f>
        <v>I. CREMA ESPESA-12</v>
      </c>
      <c r="B78" s="35" t="s">
        <v>16</v>
      </c>
      <c r="C78">
        <f>VLOOKUP(B78,RECETAS!D77:$E$1700,2,FALSE)</f>
        <v>3300</v>
      </c>
      <c r="D78" s="34"/>
      <c r="G78" t="b">
        <f t="shared" si="92"/>
        <v>1</v>
      </c>
      <c r="I78" s="36" t="s">
        <v>71</v>
      </c>
      <c r="J78">
        <f t="shared" si="93"/>
        <v>5</v>
      </c>
      <c r="K78">
        <f t="shared" si="93"/>
        <v>1</v>
      </c>
      <c r="L78">
        <f t="shared" si="93"/>
        <v>0</v>
      </c>
      <c r="M78">
        <f t="shared" si="93"/>
        <v>0</v>
      </c>
      <c r="N78">
        <f t="shared" si="93"/>
        <v>0</v>
      </c>
      <c r="O78">
        <f t="shared" si="93"/>
        <v>0</v>
      </c>
      <c r="P78">
        <f t="shared" si="93"/>
        <v>0</v>
      </c>
      <c r="Q78">
        <f t="shared" si="93"/>
        <v>0</v>
      </c>
      <c r="R78">
        <f t="shared" si="93"/>
        <v>0</v>
      </c>
      <c r="S78">
        <f t="shared" si="93"/>
        <v>0</v>
      </c>
      <c r="T78">
        <f t="shared" si="94"/>
        <v>0</v>
      </c>
      <c r="U78">
        <f t="shared" si="94"/>
        <v>0</v>
      </c>
      <c r="V78">
        <f t="shared" si="94"/>
        <v>0</v>
      </c>
      <c r="W78">
        <f t="shared" si="94"/>
        <v>0</v>
      </c>
      <c r="X78">
        <f t="shared" si="94"/>
        <v>0</v>
      </c>
      <c r="Y78">
        <f t="shared" si="94"/>
        <v>0</v>
      </c>
      <c r="Z78">
        <f t="shared" si="94"/>
        <v>0</v>
      </c>
      <c r="AA78">
        <f t="shared" si="94"/>
        <v>0</v>
      </c>
      <c r="AB78">
        <f t="shared" si="94"/>
        <v>0</v>
      </c>
      <c r="AC78">
        <f t="shared" si="94"/>
        <v>0</v>
      </c>
      <c r="AD78">
        <f t="shared" si="95"/>
        <v>0</v>
      </c>
      <c r="AE78">
        <f t="shared" si="95"/>
        <v>0</v>
      </c>
      <c r="AF78">
        <f t="shared" si="95"/>
        <v>0</v>
      </c>
      <c r="AG78">
        <f t="shared" si="95"/>
        <v>0</v>
      </c>
      <c r="AH78">
        <f t="shared" si="95"/>
        <v>0</v>
      </c>
      <c r="AI78">
        <f t="shared" si="95"/>
        <v>0</v>
      </c>
      <c r="AJ78">
        <f t="shared" si="95"/>
        <v>0</v>
      </c>
      <c r="AK78">
        <f t="shared" si="95"/>
        <v>0</v>
      </c>
      <c r="AL78">
        <f t="shared" si="95"/>
        <v>0</v>
      </c>
      <c r="AM78">
        <f t="shared" si="95"/>
        <v>0</v>
      </c>
      <c r="AN78">
        <f t="shared" si="96"/>
        <v>0</v>
      </c>
      <c r="AO78">
        <f t="shared" si="96"/>
        <v>0</v>
      </c>
      <c r="AP78">
        <f t="shared" si="96"/>
        <v>0</v>
      </c>
      <c r="AQ78">
        <f t="shared" si="96"/>
        <v>0</v>
      </c>
      <c r="AR78">
        <f t="shared" si="96"/>
        <v>0</v>
      </c>
      <c r="AS78">
        <f t="shared" si="96"/>
        <v>0</v>
      </c>
      <c r="AT78">
        <f t="shared" si="96"/>
        <v>0</v>
      </c>
      <c r="AU78">
        <f t="shared" si="96"/>
        <v>0</v>
      </c>
      <c r="AV78">
        <f t="shared" si="96"/>
        <v>0</v>
      </c>
      <c r="AW78">
        <f t="shared" si="96"/>
        <v>0</v>
      </c>
      <c r="AX78">
        <f t="shared" si="97"/>
        <v>0</v>
      </c>
      <c r="AY78">
        <f t="shared" si="97"/>
        <v>0</v>
      </c>
      <c r="AZ78">
        <f t="shared" si="97"/>
        <v>0</v>
      </c>
      <c r="BA78">
        <f t="shared" si="97"/>
        <v>0</v>
      </c>
      <c r="BB78">
        <f t="shared" si="97"/>
        <v>0</v>
      </c>
      <c r="BC78">
        <f t="shared" si="97"/>
        <v>0</v>
      </c>
      <c r="BD78">
        <f t="shared" si="97"/>
        <v>0</v>
      </c>
      <c r="BE78">
        <f t="shared" si="97"/>
        <v>0</v>
      </c>
      <c r="BF78">
        <f t="shared" si="97"/>
        <v>0</v>
      </c>
      <c r="BG78">
        <f t="shared" si="97"/>
        <v>0</v>
      </c>
      <c r="BH78">
        <f t="shared" si="98"/>
        <v>0</v>
      </c>
      <c r="BI78">
        <f t="shared" si="98"/>
        <v>0</v>
      </c>
      <c r="BJ78">
        <f t="shared" si="98"/>
        <v>0</v>
      </c>
      <c r="BK78">
        <f t="shared" si="98"/>
        <v>0</v>
      </c>
      <c r="BL78">
        <f t="shared" si="98"/>
        <v>0</v>
      </c>
      <c r="BM78">
        <f t="shared" si="98"/>
        <v>0</v>
      </c>
      <c r="BN78">
        <f t="shared" si="98"/>
        <v>0</v>
      </c>
      <c r="BO78">
        <f t="shared" si="98"/>
        <v>0</v>
      </c>
      <c r="BP78">
        <f t="shared" si="98"/>
        <v>0</v>
      </c>
      <c r="BQ78">
        <f t="shared" si="98"/>
        <v>0</v>
      </c>
      <c r="BR78">
        <f t="shared" si="99"/>
        <v>0</v>
      </c>
      <c r="BS78">
        <f t="shared" si="99"/>
        <v>0</v>
      </c>
      <c r="BT78">
        <f t="shared" si="99"/>
        <v>0</v>
      </c>
      <c r="BU78">
        <f t="shared" si="99"/>
        <v>0</v>
      </c>
      <c r="BV78">
        <f t="shared" si="99"/>
        <v>0</v>
      </c>
      <c r="BW78">
        <f t="shared" si="99"/>
        <v>0</v>
      </c>
      <c r="BX78">
        <f t="shared" si="99"/>
        <v>0</v>
      </c>
      <c r="BY78">
        <f t="shared" si="99"/>
        <v>0</v>
      </c>
      <c r="BZ78">
        <f t="shared" si="99"/>
        <v>0</v>
      </c>
      <c r="CA78">
        <f t="shared" si="99"/>
        <v>0</v>
      </c>
      <c r="CB78">
        <f t="shared" si="100"/>
        <v>0</v>
      </c>
      <c r="CC78">
        <f t="shared" si="100"/>
        <v>0</v>
      </c>
      <c r="CD78">
        <f t="shared" si="100"/>
        <v>0</v>
      </c>
      <c r="CE78">
        <f t="shared" si="100"/>
        <v>0</v>
      </c>
      <c r="CF78">
        <f t="shared" si="100"/>
        <v>0</v>
      </c>
      <c r="CG78">
        <f t="shared" si="100"/>
        <v>0</v>
      </c>
      <c r="CH78">
        <f t="shared" si="100"/>
        <v>0</v>
      </c>
      <c r="CI78">
        <f t="shared" si="100"/>
        <v>0</v>
      </c>
      <c r="CJ78">
        <f t="shared" si="100"/>
        <v>0</v>
      </c>
      <c r="CK78">
        <f t="shared" si="100"/>
        <v>0</v>
      </c>
      <c r="CL78">
        <f t="shared" si="101"/>
        <v>0</v>
      </c>
      <c r="CM78">
        <f t="shared" si="101"/>
        <v>0</v>
      </c>
      <c r="CN78">
        <f t="shared" si="101"/>
        <v>0</v>
      </c>
      <c r="CO78">
        <f t="shared" si="101"/>
        <v>0</v>
      </c>
      <c r="CP78">
        <f t="shared" si="101"/>
        <v>0</v>
      </c>
      <c r="CQ78">
        <f t="shared" si="101"/>
        <v>0</v>
      </c>
      <c r="CR78">
        <f t="shared" si="101"/>
        <v>0</v>
      </c>
      <c r="CS78">
        <f t="shared" si="101"/>
        <v>0</v>
      </c>
      <c r="CT78">
        <f t="shared" si="101"/>
        <v>0</v>
      </c>
      <c r="CU78">
        <f t="shared" si="101"/>
        <v>0</v>
      </c>
      <c r="CV78">
        <f t="shared" si="102"/>
        <v>0</v>
      </c>
      <c r="CW78">
        <f t="shared" si="102"/>
        <v>0</v>
      </c>
      <c r="CX78">
        <f t="shared" si="102"/>
        <v>0</v>
      </c>
      <c r="CY78">
        <f t="shared" si="102"/>
        <v>0</v>
      </c>
      <c r="CZ78">
        <f t="shared" si="102"/>
        <v>0</v>
      </c>
      <c r="DA78">
        <f t="shared" si="102"/>
        <v>0</v>
      </c>
      <c r="DB78">
        <f t="shared" si="102"/>
        <v>0</v>
      </c>
      <c r="DC78">
        <f t="shared" si="102"/>
        <v>0</v>
      </c>
      <c r="DD78">
        <f t="shared" si="102"/>
        <v>0</v>
      </c>
      <c r="DE78">
        <f t="shared" si="102"/>
        <v>0</v>
      </c>
      <c r="DF78">
        <f t="shared" si="103"/>
        <v>0</v>
      </c>
      <c r="DG78">
        <f t="shared" si="103"/>
        <v>0</v>
      </c>
      <c r="DH78">
        <f t="shared" si="103"/>
        <v>0</v>
      </c>
      <c r="DI78">
        <f t="shared" si="103"/>
        <v>0</v>
      </c>
      <c r="DJ78">
        <f t="shared" si="103"/>
        <v>0</v>
      </c>
      <c r="DK78">
        <f t="shared" si="103"/>
        <v>0</v>
      </c>
      <c r="DL78">
        <f t="shared" si="103"/>
        <v>0</v>
      </c>
      <c r="DM78">
        <f t="shared" si="103"/>
        <v>0</v>
      </c>
      <c r="DN78">
        <f t="shared" si="103"/>
        <v>0</v>
      </c>
      <c r="DO78">
        <f t="shared" si="103"/>
        <v>0</v>
      </c>
      <c r="DP78">
        <f t="shared" si="104"/>
        <v>0</v>
      </c>
      <c r="DQ78">
        <f t="shared" si="104"/>
        <v>0</v>
      </c>
      <c r="DR78">
        <f t="shared" si="104"/>
        <v>0</v>
      </c>
      <c r="DS78">
        <f t="shared" si="104"/>
        <v>0</v>
      </c>
      <c r="DT78">
        <f t="shared" si="104"/>
        <v>0</v>
      </c>
      <c r="DU78">
        <f t="shared" si="104"/>
        <v>0</v>
      </c>
      <c r="DV78">
        <f t="shared" si="104"/>
        <v>0</v>
      </c>
      <c r="DW78">
        <f t="shared" si="104"/>
        <v>0</v>
      </c>
      <c r="DX78">
        <f t="shared" si="104"/>
        <v>0</v>
      </c>
      <c r="DY78">
        <f t="shared" si="104"/>
        <v>0</v>
      </c>
      <c r="DZ78">
        <f t="shared" si="105"/>
        <v>0</v>
      </c>
      <c r="EA78">
        <f t="shared" si="105"/>
        <v>0</v>
      </c>
      <c r="EB78">
        <f t="shared" si="105"/>
        <v>0</v>
      </c>
      <c r="EC78">
        <f t="shared" si="105"/>
        <v>0</v>
      </c>
      <c r="ED78">
        <f t="shared" si="105"/>
        <v>0</v>
      </c>
      <c r="EE78">
        <f t="shared" si="105"/>
        <v>0</v>
      </c>
      <c r="EF78">
        <f t="shared" si="105"/>
        <v>0</v>
      </c>
      <c r="EG78">
        <f t="shared" si="105"/>
        <v>0</v>
      </c>
      <c r="EH78">
        <f t="shared" si="105"/>
        <v>0</v>
      </c>
      <c r="EI78">
        <f t="shared" si="105"/>
        <v>0</v>
      </c>
      <c r="EJ78">
        <f>SUM(Tabla1[[#This Row],[1]:[130]])</f>
        <v>6</v>
      </c>
    </row>
    <row r="79" spans="1:140" x14ac:dyDescent="0.25">
      <c r="A79" t="str">
        <f>B79&amp;"-"&amp;COUNTIF($B$2:B79,B79)</f>
        <v>I. CIBOULET-3</v>
      </c>
      <c r="B79" s="35" t="s">
        <v>23</v>
      </c>
      <c r="C79">
        <f>VLOOKUP(B79,RECETAS!D78:$E$1700,2,FALSE)</f>
        <v>440</v>
      </c>
      <c r="D79" s="34"/>
      <c r="G79" t="b">
        <f t="shared" si="92"/>
        <v>1</v>
      </c>
      <c r="I79" s="66" t="s">
        <v>72</v>
      </c>
      <c r="J79">
        <f t="shared" si="93"/>
        <v>150</v>
      </c>
      <c r="K79">
        <f t="shared" si="93"/>
        <v>0</v>
      </c>
      <c r="L79">
        <f t="shared" si="93"/>
        <v>0</v>
      </c>
      <c r="M79">
        <f t="shared" si="93"/>
        <v>0</v>
      </c>
      <c r="N79">
        <f t="shared" si="93"/>
        <v>0</v>
      </c>
      <c r="O79">
        <f t="shared" si="93"/>
        <v>0</v>
      </c>
      <c r="P79">
        <f t="shared" si="93"/>
        <v>0</v>
      </c>
      <c r="Q79">
        <f t="shared" si="93"/>
        <v>0</v>
      </c>
      <c r="R79">
        <f t="shared" si="93"/>
        <v>0</v>
      </c>
      <c r="S79">
        <f t="shared" si="93"/>
        <v>0</v>
      </c>
      <c r="T79">
        <f t="shared" si="94"/>
        <v>0</v>
      </c>
      <c r="U79">
        <f t="shared" si="94"/>
        <v>0</v>
      </c>
      <c r="V79">
        <f t="shared" si="94"/>
        <v>0</v>
      </c>
      <c r="W79">
        <f t="shared" si="94"/>
        <v>0</v>
      </c>
      <c r="X79">
        <f t="shared" si="94"/>
        <v>0</v>
      </c>
      <c r="Y79">
        <f t="shared" si="94"/>
        <v>0</v>
      </c>
      <c r="Z79">
        <f t="shared" si="94"/>
        <v>0</v>
      </c>
      <c r="AA79">
        <f t="shared" si="94"/>
        <v>0</v>
      </c>
      <c r="AB79">
        <f t="shared" si="94"/>
        <v>0</v>
      </c>
      <c r="AC79">
        <f t="shared" si="94"/>
        <v>0</v>
      </c>
      <c r="AD79">
        <f t="shared" si="95"/>
        <v>0</v>
      </c>
      <c r="AE79">
        <f t="shared" si="95"/>
        <v>0</v>
      </c>
      <c r="AF79">
        <f t="shared" si="95"/>
        <v>0</v>
      </c>
      <c r="AG79">
        <f t="shared" si="95"/>
        <v>0</v>
      </c>
      <c r="AH79">
        <f t="shared" si="95"/>
        <v>0</v>
      </c>
      <c r="AI79">
        <f t="shared" si="95"/>
        <v>0</v>
      </c>
      <c r="AJ79">
        <f t="shared" si="95"/>
        <v>0</v>
      </c>
      <c r="AK79">
        <f t="shared" si="95"/>
        <v>0</v>
      </c>
      <c r="AL79">
        <f t="shared" si="95"/>
        <v>0</v>
      </c>
      <c r="AM79">
        <f t="shared" si="95"/>
        <v>0</v>
      </c>
      <c r="AN79">
        <f t="shared" si="96"/>
        <v>0</v>
      </c>
      <c r="AO79">
        <f t="shared" si="96"/>
        <v>0</v>
      </c>
      <c r="AP79">
        <f t="shared" si="96"/>
        <v>0</v>
      </c>
      <c r="AQ79">
        <f t="shared" si="96"/>
        <v>0</v>
      </c>
      <c r="AR79">
        <f t="shared" si="96"/>
        <v>0</v>
      </c>
      <c r="AS79">
        <f t="shared" si="96"/>
        <v>0</v>
      </c>
      <c r="AT79">
        <f t="shared" si="96"/>
        <v>0</v>
      </c>
      <c r="AU79">
        <f t="shared" si="96"/>
        <v>0</v>
      </c>
      <c r="AV79">
        <f t="shared" si="96"/>
        <v>0</v>
      </c>
      <c r="AW79">
        <f t="shared" si="96"/>
        <v>0</v>
      </c>
      <c r="AX79">
        <f t="shared" si="97"/>
        <v>0</v>
      </c>
      <c r="AY79">
        <f t="shared" si="97"/>
        <v>0</v>
      </c>
      <c r="AZ79">
        <f t="shared" si="97"/>
        <v>0</v>
      </c>
      <c r="BA79">
        <f t="shared" si="97"/>
        <v>0</v>
      </c>
      <c r="BB79">
        <f t="shared" si="97"/>
        <v>0</v>
      </c>
      <c r="BC79">
        <f t="shared" si="97"/>
        <v>0</v>
      </c>
      <c r="BD79">
        <f t="shared" si="97"/>
        <v>0</v>
      </c>
      <c r="BE79">
        <f t="shared" si="97"/>
        <v>0</v>
      </c>
      <c r="BF79">
        <f t="shared" si="97"/>
        <v>0</v>
      </c>
      <c r="BG79">
        <f t="shared" si="97"/>
        <v>0</v>
      </c>
      <c r="BH79">
        <f t="shared" si="98"/>
        <v>0</v>
      </c>
      <c r="BI79">
        <f t="shared" si="98"/>
        <v>0</v>
      </c>
      <c r="BJ79">
        <f t="shared" si="98"/>
        <v>0</v>
      </c>
      <c r="BK79">
        <f t="shared" si="98"/>
        <v>0</v>
      </c>
      <c r="BL79">
        <f t="shared" si="98"/>
        <v>0</v>
      </c>
      <c r="BM79">
        <f t="shared" si="98"/>
        <v>0</v>
      </c>
      <c r="BN79">
        <f t="shared" si="98"/>
        <v>0</v>
      </c>
      <c r="BO79">
        <f t="shared" si="98"/>
        <v>0</v>
      </c>
      <c r="BP79">
        <f t="shared" si="98"/>
        <v>0</v>
      </c>
      <c r="BQ79">
        <f t="shared" si="98"/>
        <v>0</v>
      </c>
      <c r="BR79">
        <f t="shared" si="99"/>
        <v>0</v>
      </c>
      <c r="BS79">
        <f t="shared" si="99"/>
        <v>0</v>
      </c>
      <c r="BT79">
        <f t="shared" si="99"/>
        <v>0</v>
      </c>
      <c r="BU79">
        <f t="shared" si="99"/>
        <v>0</v>
      </c>
      <c r="BV79">
        <f t="shared" si="99"/>
        <v>0</v>
      </c>
      <c r="BW79">
        <f t="shared" si="99"/>
        <v>0</v>
      </c>
      <c r="BX79">
        <f t="shared" si="99"/>
        <v>0</v>
      </c>
      <c r="BY79">
        <f t="shared" si="99"/>
        <v>0</v>
      </c>
      <c r="BZ79">
        <f t="shared" si="99"/>
        <v>0</v>
      </c>
      <c r="CA79">
        <f t="shared" si="99"/>
        <v>0</v>
      </c>
      <c r="CB79">
        <f t="shared" si="100"/>
        <v>0</v>
      </c>
      <c r="CC79">
        <f t="shared" si="100"/>
        <v>0</v>
      </c>
      <c r="CD79">
        <f t="shared" si="100"/>
        <v>0</v>
      </c>
      <c r="CE79">
        <f t="shared" si="100"/>
        <v>0</v>
      </c>
      <c r="CF79">
        <f t="shared" si="100"/>
        <v>0</v>
      </c>
      <c r="CG79">
        <f t="shared" si="100"/>
        <v>0</v>
      </c>
      <c r="CH79">
        <f t="shared" si="100"/>
        <v>0</v>
      </c>
      <c r="CI79">
        <f t="shared" si="100"/>
        <v>0</v>
      </c>
      <c r="CJ79">
        <f t="shared" si="100"/>
        <v>0</v>
      </c>
      <c r="CK79">
        <f t="shared" si="100"/>
        <v>0</v>
      </c>
      <c r="CL79">
        <f t="shared" si="101"/>
        <v>0</v>
      </c>
      <c r="CM79">
        <f t="shared" si="101"/>
        <v>0</v>
      </c>
      <c r="CN79">
        <f t="shared" si="101"/>
        <v>0</v>
      </c>
      <c r="CO79">
        <f t="shared" si="101"/>
        <v>0</v>
      </c>
      <c r="CP79">
        <f t="shared" si="101"/>
        <v>0</v>
      </c>
      <c r="CQ79">
        <f t="shared" si="101"/>
        <v>0</v>
      </c>
      <c r="CR79">
        <f t="shared" si="101"/>
        <v>0</v>
      </c>
      <c r="CS79">
        <f t="shared" si="101"/>
        <v>0</v>
      </c>
      <c r="CT79">
        <f t="shared" si="101"/>
        <v>0</v>
      </c>
      <c r="CU79">
        <f t="shared" si="101"/>
        <v>0</v>
      </c>
      <c r="CV79">
        <f t="shared" si="102"/>
        <v>0</v>
      </c>
      <c r="CW79">
        <f t="shared" si="102"/>
        <v>0</v>
      </c>
      <c r="CX79">
        <f t="shared" si="102"/>
        <v>0</v>
      </c>
      <c r="CY79">
        <f t="shared" si="102"/>
        <v>0</v>
      </c>
      <c r="CZ79">
        <f t="shared" si="102"/>
        <v>0</v>
      </c>
      <c r="DA79">
        <f t="shared" si="102"/>
        <v>0</v>
      </c>
      <c r="DB79">
        <f t="shared" si="102"/>
        <v>0</v>
      </c>
      <c r="DC79">
        <f t="shared" si="102"/>
        <v>0</v>
      </c>
      <c r="DD79">
        <f t="shared" si="102"/>
        <v>0</v>
      </c>
      <c r="DE79">
        <f t="shared" si="102"/>
        <v>0</v>
      </c>
      <c r="DF79">
        <f t="shared" si="103"/>
        <v>0</v>
      </c>
      <c r="DG79">
        <f t="shared" si="103"/>
        <v>0</v>
      </c>
      <c r="DH79">
        <f t="shared" si="103"/>
        <v>0</v>
      </c>
      <c r="DI79">
        <f t="shared" si="103"/>
        <v>0</v>
      </c>
      <c r="DJ79">
        <f t="shared" si="103"/>
        <v>0</v>
      </c>
      <c r="DK79">
        <f t="shared" si="103"/>
        <v>0</v>
      </c>
      <c r="DL79">
        <f t="shared" si="103"/>
        <v>0</v>
      </c>
      <c r="DM79">
        <f t="shared" si="103"/>
        <v>0</v>
      </c>
      <c r="DN79">
        <f t="shared" si="103"/>
        <v>0</v>
      </c>
      <c r="DO79">
        <f t="shared" si="103"/>
        <v>0</v>
      </c>
      <c r="DP79">
        <f t="shared" si="104"/>
        <v>0</v>
      </c>
      <c r="DQ79">
        <f t="shared" si="104"/>
        <v>0</v>
      </c>
      <c r="DR79">
        <f t="shared" si="104"/>
        <v>0</v>
      </c>
      <c r="DS79">
        <f t="shared" si="104"/>
        <v>0</v>
      </c>
      <c r="DT79">
        <f t="shared" si="104"/>
        <v>0</v>
      </c>
      <c r="DU79">
        <f t="shared" si="104"/>
        <v>0</v>
      </c>
      <c r="DV79">
        <f t="shared" si="104"/>
        <v>0</v>
      </c>
      <c r="DW79">
        <f t="shared" si="104"/>
        <v>0</v>
      </c>
      <c r="DX79">
        <f t="shared" si="104"/>
        <v>0</v>
      </c>
      <c r="DY79">
        <f t="shared" si="104"/>
        <v>0</v>
      </c>
      <c r="DZ79">
        <f t="shared" si="105"/>
        <v>0</v>
      </c>
      <c r="EA79">
        <f t="shared" si="105"/>
        <v>0</v>
      </c>
      <c r="EB79">
        <f t="shared" si="105"/>
        <v>0</v>
      </c>
      <c r="EC79">
        <f t="shared" si="105"/>
        <v>0</v>
      </c>
      <c r="ED79">
        <f t="shared" si="105"/>
        <v>0</v>
      </c>
      <c r="EE79">
        <f t="shared" si="105"/>
        <v>0</v>
      </c>
      <c r="EF79">
        <f t="shared" si="105"/>
        <v>0</v>
      </c>
      <c r="EG79">
        <f t="shared" si="105"/>
        <v>0</v>
      </c>
      <c r="EH79">
        <f t="shared" si="105"/>
        <v>0</v>
      </c>
      <c r="EI79">
        <f t="shared" si="105"/>
        <v>0</v>
      </c>
      <c r="EJ79">
        <f>SUM(Tabla1[[#This Row],[1]:[130]])</f>
        <v>150</v>
      </c>
    </row>
    <row r="80" spans="1:140" ht="15.75" thickBot="1" x14ac:dyDescent="0.3">
      <c r="A80" t="str">
        <f>B80&amp;"-"&amp;COUNTIF($B$2:B80,B80)</f>
        <v>I. CAMARON PORCION-4</v>
      </c>
      <c r="B80" s="33" t="s">
        <v>6</v>
      </c>
      <c r="C80">
        <f>VLOOKUP(B80,RECETAS!D79:$E$1700,2,FALSE)</f>
        <v>66</v>
      </c>
      <c r="D80" s="32"/>
      <c r="G80" t="b">
        <f t="shared" si="92"/>
        <v>1</v>
      </c>
      <c r="I80" s="39" t="s">
        <v>73</v>
      </c>
      <c r="J80">
        <f t="shared" si="93"/>
        <v>0</v>
      </c>
      <c r="K80">
        <f t="shared" si="93"/>
        <v>0</v>
      </c>
      <c r="L80">
        <f t="shared" si="93"/>
        <v>0</v>
      </c>
      <c r="M80">
        <f t="shared" si="93"/>
        <v>0</v>
      </c>
      <c r="N80">
        <f t="shared" si="93"/>
        <v>0</v>
      </c>
      <c r="O80">
        <f t="shared" si="93"/>
        <v>0</v>
      </c>
      <c r="P80">
        <f t="shared" si="93"/>
        <v>0</v>
      </c>
      <c r="Q80">
        <f t="shared" si="93"/>
        <v>0</v>
      </c>
      <c r="R80">
        <f t="shared" si="93"/>
        <v>0</v>
      </c>
      <c r="S80">
        <f t="shared" si="93"/>
        <v>0</v>
      </c>
      <c r="T80">
        <f t="shared" si="94"/>
        <v>0</v>
      </c>
      <c r="U80">
        <f t="shared" si="94"/>
        <v>0</v>
      </c>
      <c r="V80">
        <f t="shared" si="94"/>
        <v>0</v>
      </c>
      <c r="W80">
        <f t="shared" si="94"/>
        <v>0</v>
      </c>
      <c r="X80">
        <f t="shared" si="94"/>
        <v>0</v>
      </c>
      <c r="Y80">
        <f t="shared" si="94"/>
        <v>0</v>
      </c>
      <c r="Z80">
        <f t="shared" si="94"/>
        <v>0</v>
      </c>
      <c r="AA80">
        <f t="shared" si="94"/>
        <v>0</v>
      </c>
      <c r="AB80">
        <f t="shared" si="94"/>
        <v>0</v>
      </c>
      <c r="AC80">
        <f t="shared" si="94"/>
        <v>0</v>
      </c>
      <c r="AD80">
        <f t="shared" si="95"/>
        <v>0</v>
      </c>
      <c r="AE80">
        <f t="shared" si="95"/>
        <v>0</v>
      </c>
      <c r="AF80">
        <f t="shared" si="95"/>
        <v>0</v>
      </c>
      <c r="AG80">
        <f t="shared" si="95"/>
        <v>0</v>
      </c>
      <c r="AH80">
        <f t="shared" si="95"/>
        <v>0</v>
      </c>
      <c r="AI80">
        <f t="shared" si="95"/>
        <v>0</v>
      </c>
      <c r="AJ80">
        <f t="shared" si="95"/>
        <v>0</v>
      </c>
      <c r="AK80">
        <f t="shared" si="95"/>
        <v>0</v>
      </c>
      <c r="AL80">
        <f t="shared" si="95"/>
        <v>0</v>
      </c>
      <c r="AM80">
        <f t="shared" si="95"/>
        <v>0</v>
      </c>
      <c r="AN80">
        <f t="shared" si="96"/>
        <v>0</v>
      </c>
      <c r="AO80">
        <f t="shared" si="96"/>
        <v>0</v>
      </c>
      <c r="AP80">
        <f t="shared" si="96"/>
        <v>0</v>
      </c>
      <c r="AQ80">
        <f t="shared" si="96"/>
        <v>0</v>
      </c>
      <c r="AR80">
        <f t="shared" si="96"/>
        <v>0</v>
      </c>
      <c r="AS80">
        <f t="shared" si="96"/>
        <v>0</v>
      </c>
      <c r="AT80">
        <f t="shared" si="96"/>
        <v>0</v>
      </c>
      <c r="AU80">
        <f t="shared" si="96"/>
        <v>0</v>
      </c>
      <c r="AV80">
        <f t="shared" si="96"/>
        <v>0</v>
      </c>
      <c r="AW80">
        <f t="shared" si="96"/>
        <v>0</v>
      </c>
      <c r="AX80">
        <f t="shared" si="97"/>
        <v>0</v>
      </c>
      <c r="AY80">
        <f t="shared" si="97"/>
        <v>0</v>
      </c>
      <c r="AZ80">
        <f t="shared" si="97"/>
        <v>0</v>
      </c>
      <c r="BA80">
        <f t="shared" si="97"/>
        <v>0</v>
      </c>
      <c r="BB80">
        <f t="shared" si="97"/>
        <v>0</v>
      </c>
      <c r="BC80">
        <f t="shared" si="97"/>
        <v>0</v>
      </c>
      <c r="BD80">
        <f t="shared" si="97"/>
        <v>0</v>
      </c>
      <c r="BE80">
        <f t="shared" si="97"/>
        <v>0</v>
      </c>
      <c r="BF80">
        <f t="shared" si="97"/>
        <v>0</v>
      </c>
      <c r="BG80">
        <f t="shared" si="97"/>
        <v>0</v>
      </c>
      <c r="BH80">
        <f t="shared" si="98"/>
        <v>0</v>
      </c>
      <c r="BI80">
        <f t="shared" si="98"/>
        <v>0</v>
      </c>
      <c r="BJ80">
        <f t="shared" si="98"/>
        <v>0</v>
      </c>
      <c r="BK80">
        <f t="shared" si="98"/>
        <v>0</v>
      </c>
      <c r="BL80">
        <f t="shared" si="98"/>
        <v>0</v>
      </c>
      <c r="BM80">
        <f t="shared" si="98"/>
        <v>0</v>
      </c>
      <c r="BN80">
        <f t="shared" si="98"/>
        <v>0</v>
      </c>
      <c r="BO80">
        <f t="shared" si="98"/>
        <v>0</v>
      </c>
      <c r="BP80">
        <f t="shared" si="98"/>
        <v>0</v>
      </c>
      <c r="BQ80">
        <f t="shared" si="98"/>
        <v>0</v>
      </c>
      <c r="BR80">
        <f t="shared" si="99"/>
        <v>0</v>
      </c>
      <c r="BS80">
        <f t="shared" si="99"/>
        <v>0</v>
      </c>
      <c r="BT80">
        <f t="shared" si="99"/>
        <v>0</v>
      </c>
      <c r="BU80">
        <f t="shared" si="99"/>
        <v>0</v>
      </c>
      <c r="BV80">
        <f t="shared" si="99"/>
        <v>0</v>
      </c>
      <c r="BW80">
        <f t="shared" si="99"/>
        <v>0</v>
      </c>
      <c r="BX80">
        <f t="shared" si="99"/>
        <v>0</v>
      </c>
      <c r="BY80">
        <f t="shared" si="99"/>
        <v>0</v>
      </c>
      <c r="BZ80">
        <f t="shared" si="99"/>
        <v>0</v>
      </c>
      <c r="CA80">
        <f t="shared" si="99"/>
        <v>0</v>
      </c>
      <c r="CB80">
        <f t="shared" si="100"/>
        <v>0</v>
      </c>
      <c r="CC80">
        <f t="shared" si="100"/>
        <v>0</v>
      </c>
      <c r="CD80">
        <f t="shared" si="100"/>
        <v>0</v>
      </c>
      <c r="CE80">
        <f t="shared" si="100"/>
        <v>0</v>
      </c>
      <c r="CF80">
        <f t="shared" si="100"/>
        <v>0</v>
      </c>
      <c r="CG80">
        <f t="shared" si="100"/>
        <v>0</v>
      </c>
      <c r="CH80">
        <f t="shared" si="100"/>
        <v>0</v>
      </c>
      <c r="CI80">
        <f t="shared" si="100"/>
        <v>0</v>
      </c>
      <c r="CJ80">
        <f t="shared" si="100"/>
        <v>0</v>
      </c>
      <c r="CK80">
        <f t="shared" si="100"/>
        <v>0</v>
      </c>
      <c r="CL80">
        <f t="shared" si="101"/>
        <v>0</v>
      </c>
      <c r="CM80">
        <f t="shared" si="101"/>
        <v>0</v>
      </c>
      <c r="CN80">
        <f t="shared" si="101"/>
        <v>0</v>
      </c>
      <c r="CO80">
        <f t="shared" si="101"/>
        <v>0</v>
      </c>
      <c r="CP80">
        <f t="shared" si="101"/>
        <v>0</v>
      </c>
      <c r="CQ80">
        <f t="shared" si="101"/>
        <v>0</v>
      </c>
      <c r="CR80">
        <f t="shared" si="101"/>
        <v>0</v>
      </c>
      <c r="CS80">
        <f t="shared" si="101"/>
        <v>0</v>
      </c>
      <c r="CT80">
        <f t="shared" si="101"/>
        <v>0</v>
      </c>
      <c r="CU80">
        <f t="shared" si="101"/>
        <v>0</v>
      </c>
      <c r="CV80">
        <f t="shared" si="102"/>
        <v>0</v>
      </c>
      <c r="CW80">
        <f t="shared" si="102"/>
        <v>0</v>
      </c>
      <c r="CX80">
        <f t="shared" si="102"/>
        <v>0</v>
      </c>
      <c r="CY80">
        <f t="shared" si="102"/>
        <v>0</v>
      </c>
      <c r="CZ80">
        <f t="shared" si="102"/>
        <v>0</v>
      </c>
      <c r="DA80">
        <f t="shared" si="102"/>
        <v>0</v>
      </c>
      <c r="DB80">
        <f t="shared" si="102"/>
        <v>0</v>
      </c>
      <c r="DC80">
        <f t="shared" si="102"/>
        <v>0</v>
      </c>
      <c r="DD80">
        <f t="shared" si="102"/>
        <v>0</v>
      </c>
      <c r="DE80">
        <f t="shared" si="102"/>
        <v>0</v>
      </c>
      <c r="DF80">
        <f t="shared" si="103"/>
        <v>0</v>
      </c>
      <c r="DG80">
        <f t="shared" si="103"/>
        <v>0</v>
      </c>
      <c r="DH80">
        <f t="shared" si="103"/>
        <v>0</v>
      </c>
      <c r="DI80">
        <f t="shared" si="103"/>
        <v>0</v>
      </c>
      <c r="DJ80">
        <f t="shared" si="103"/>
        <v>0</v>
      </c>
      <c r="DK80">
        <f t="shared" si="103"/>
        <v>0</v>
      </c>
      <c r="DL80">
        <f t="shared" si="103"/>
        <v>0</v>
      </c>
      <c r="DM80">
        <f t="shared" si="103"/>
        <v>0</v>
      </c>
      <c r="DN80">
        <f t="shared" si="103"/>
        <v>0</v>
      </c>
      <c r="DO80">
        <f t="shared" si="103"/>
        <v>0</v>
      </c>
      <c r="DP80">
        <f t="shared" si="104"/>
        <v>0</v>
      </c>
      <c r="DQ80">
        <f t="shared" si="104"/>
        <v>0</v>
      </c>
      <c r="DR80">
        <f t="shared" si="104"/>
        <v>0</v>
      </c>
      <c r="DS80">
        <f t="shared" si="104"/>
        <v>0</v>
      </c>
      <c r="DT80">
        <f t="shared" si="104"/>
        <v>0</v>
      </c>
      <c r="DU80">
        <f t="shared" si="104"/>
        <v>0</v>
      </c>
      <c r="DV80">
        <f t="shared" si="104"/>
        <v>0</v>
      </c>
      <c r="DW80">
        <f t="shared" si="104"/>
        <v>0</v>
      </c>
      <c r="DX80">
        <f t="shared" si="104"/>
        <v>0</v>
      </c>
      <c r="DY80">
        <f t="shared" si="104"/>
        <v>0</v>
      </c>
      <c r="DZ80">
        <f t="shared" si="105"/>
        <v>0</v>
      </c>
      <c r="EA80">
        <f t="shared" si="105"/>
        <v>0</v>
      </c>
      <c r="EB80">
        <f t="shared" si="105"/>
        <v>0</v>
      </c>
      <c r="EC80">
        <f t="shared" si="105"/>
        <v>0</v>
      </c>
      <c r="ED80">
        <f t="shared" si="105"/>
        <v>0</v>
      </c>
      <c r="EE80">
        <f t="shared" si="105"/>
        <v>0</v>
      </c>
      <c r="EF80">
        <f t="shared" si="105"/>
        <v>0</v>
      </c>
      <c r="EG80">
        <f t="shared" si="105"/>
        <v>0</v>
      </c>
      <c r="EH80">
        <f t="shared" si="105"/>
        <v>0</v>
      </c>
      <c r="EI80">
        <f t="shared" si="105"/>
        <v>0</v>
      </c>
      <c r="EJ80">
        <f>SUM(Tabla1[[#This Row],[1]:[130]])</f>
        <v>0</v>
      </c>
    </row>
    <row r="81" spans="1:140" x14ac:dyDescent="0.25">
      <c r="A81" t="str">
        <f>B81&amp;"-"&amp;COUNTIF($B$2:B81,B81)</f>
        <v>I. PAPAS FRITAS-6</v>
      </c>
      <c r="B81" s="26" t="s">
        <v>13</v>
      </c>
      <c r="C81">
        <f>VLOOKUP(B81,RECETAS!D80:$E$1700,2,FALSE)</f>
        <v>26400</v>
      </c>
      <c r="D81" s="25" t="s">
        <v>335</v>
      </c>
      <c r="G81" t="b">
        <f t="shared" si="92"/>
        <v>1</v>
      </c>
      <c r="I81" s="46" t="s">
        <v>15</v>
      </c>
      <c r="J81">
        <f t="shared" si="93"/>
        <v>3</v>
      </c>
      <c r="K81">
        <f t="shared" si="93"/>
        <v>0</v>
      </c>
      <c r="L81">
        <f t="shared" si="93"/>
        <v>0</v>
      </c>
      <c r="M81">
        <f t="shared" si="93"/>
        <v>0</v>
      </c>
      <c r="N81">
        <f t="shared" si="93"/>
        <v>0</v>
      </c>
      <c r="O81">
        <f t="shared" si="93"/>
        <v>0</v>
      </c>
      <c r="P81">
        <f t="shared" si="93"/>
        <v>0</v>
      </c>
      <c r="Q81">
        <f t="shared" si="93"/>
        <v>0</v>
      </c>
      <c r="R81">
        <f t="shared" si="93"/>
        <v>0</v>
      </c>
      <c r="S81">
        <f t="shared" si="93"/>
        <v>0</v>
      </c>
      <c r="T81">
        <f t="shared" si="94"/>
        <v>0</v>
      </c>
      <c r="U81">
        <f t="shared" si="94"/>
        <v>0</v>
      </c>
      <c r="V81">
        <f t="shared" si="94"/>
        <v>0</v>
      </c>
      <c r="W81">
        <f t="shared" si="94"/>
        <v>0</v>
      </c>
      <c r="X81">
        <f t="shared" si="94"/>
        <v>0</v>
      </c>
      <c r="Y81">
        <f t="shared" si="94"/>
        <v>0</v>
      </c>
      <c r="Z81">
        <f t="shared" si="94"/>
        <v>0</v>
      </c>
      <c r="AA81">
        <f t="shared" si="94"/>
        <v>0</v>
      </c>
      <c r="AB81">
        <f t="shared" si="94"/>
        <v>0</v>
      </c>
      <c r="AC81">
        <f t="shared" si="94"/>
        <v>0</v>
      </c>
      <c r="AD81">
        <f t="shared" si="95"/>
        <v>0</v>
      </c>
      <c r="AE81">
        <f t="shared" si="95"/>
        <v>0</v>
      </c>
      <c r="AF81">
        <f t="shared" si="95"/>
        <v>0</v>
      </c>
      <c r="AG81">
        <f t="shared" si="95"/>
        <v>0</v>
      </c>
      <c r="AH81">
        <f t="shared" si="95"/>
        <v>0</v>
      </c>
      <c r="AI81">
        <f t="shared" si="95"/>
        <v>0</v>
      </c>
      <c r="AJ81">
        <f t="shared" si="95"/>
        <v>0</v>
      </c>
      <c r="AK81">
        <f t="shared" si="95"/>
        <v>0</v>
      </c>
      <c r="AL81">
        <f t="shared" si="95"/>
        <v>0</v>
      </c>
      <c r="AM81">
        <f t="shared" si="95"/>
        <v>0</v>
      </c>
      <c r="AN81">
        <f t="shared" si="96"/>
        <v>0</v>
      </c>
      <c r="AO81">
        <f t="shared" si="96"/>
        <v>0</v>
      </c>
      <c r="AP81">
        <f t="shared" si="96"/>
        <v>0</v>
      </c>
      <c r="AQ81">
        <f t="shared" si="96"/>
        <v>0</v>
      </c>
      <c r="AR81">
        <f t="shared" si="96"/>
        <v>0</v>
      </c>
      <c r="AS81">
        <f t="shared" si="96"/>
        <v>0</v>
      </c>
      <c r="AT81">
        <f t="shared" si="96"/>
        <v>0</v>
      </c>
      <c r="AU81">
        <f t="shared" si="96"/>
        <v>0</v>
      </c>
      <c r="AV81">
        <f t="shared" si="96"/>
        <v>0</v>
      </c>
      <c r="AW81">
        <f t="shared" si="96"/>
        <v>0</v>
      </c>
      <c r="AX81">
        <f t="shared" si="97"/>
        <v>0</v>
      </c>
      <c r="AY81">
        <f t="shared" si="97"/>
        <v>0</v>
      </c>
      <c r="AZ81">
        <f t="shared" si="97"/>
        <v>0</v>
      </c>
      <c r="BA81">
        <f t="shared" si="97"/>
        <v>0</v>
      </c>
      <c r="BB81">
        <f t="shared" si="97"/>
        <v>0</v>
      </c>
      <c r="BC81">
        <f t="shared" si="97"/>
        <v>0</v>
      </c>
      <c r="BD81">
        <f t="shared" si="97"/>
        <v>0</v>
      </c>
      <c r="BE81">
        <f t="shared" si="97"/>
        <v>0</v>
      </c>
      <c r="BF81">
        <f t="shared" si="97"/>
        <v>0</v>
      </c>
      <c r="BG81">
        <f t="shared" si="97"/>
        <v>0</v>
      </c>
      <c r="BH81">
        <f t="shared" si="98"/>
        <v>0</v>
      </c>
      <c r="BI81">
        <f t="shared" si="98"/>
        <v>0</v>
      </c>
      <c r="BJ81">
        <f t="shared" si="98"/>
        <v>0</v>
      </c>
      <c r="BK81">
        <f t="shared" si="98"/>
        <v>0</v>
      </c>
      <c r="BL81">
        <f t="shared" si="98"/>
        <v>0</v>
      </c>
      <c r="BM81">
        <f t="shared" si="98"/>
        <v>0</v>
      </c>
      <c r="BN81">
        <f t="shared" si="98"/>
        <v>0</v>
      </c>
      <c r="BO81">
        <f t="shared" si="98"/>
        <v>0</v>
      </c>
      <c r="BP81">
        <f t="shared" si="98"/>
        <v>0</v>
      </c>
      <c r="BQ81">
        <f t="shared" si="98"/>
        <v>0</v>
      </c>
      <c r="BR81">
        <f t="shared" si="99"/>
        <v>0</v>
      </c>
      <c r="BS81">
        <f t="shared" si="99"/>
        <v>0</v>
      </c>
      <c r="BT81">
        <f t="shared" si="99"/>
        <v>0</v>
      </c>
      <c r="BU81">
        <f t="shared" si="99"/>
        <v>0</v>
      </c>
      <c r="BV81">
        <f t="shared" si="99"/>
        <v>0</v>
      </c>
      <c r="BW81">
        <f t="shared" si="99"/>
        <v>0</v>
      </c>
      <c r="BX81">
        <f t="shared" si="99"/>
        <v>0</v>
      </c>
      <c r="BY81">
        <f t="shared" si="99"/>
        <v>0</v>
      </c>
      <c r="BZ81">
        <f t="shared" si="99"/>
        <v>0</v>
      </c>
      <c r="CA81">
        <f t="shared" si="99"/>
        <v>0</v>
      </c>
      <c r="CB81">
        <f t="shared" si="100"/>
        <v>0</v>
      </c>
      <c r="CC81">
        <f t="shared" si="100"/>
        <v>0</v>
      </c>
      <c r="CD81">
        <f t="shared" si="100"/>
        <v>0</v>
      </c>
      <c r="CE81">
        <f t="shared" si="100"/>
        <v>0</v>
      </c>
      <c r="CF81">
        <f t="shared" si="100"/>
        <v>0</v>
      </c>
      <c r="CG81">
        <f t="shared" si="100"/>
        <v>0</v>
      </c>
      <c r="CH81">
        <f t="shared" si="100"/>
        <v>0</v>
      </c>
      <c r="CI81">
        <f t="shared" si="100"/>
        <v>0</v>
      </c>
      <c r="CJ81">
        <f t="shared" si="100"/>
        <v>0</v>
      </c>
      <c r="CK81">
        <f t="shared" si="100"/>
        <v>0</v>
      </c>
      <c r="CL81">
        <f t="shared" si="101"/>
        <v>0</v>
      </c>
      <c r="CM81">
        <f t="shared" si="101"/>
        <v>0</v>
      </c>
      <c r="CN81">
        <f t="shared" si="101"/>
        <v>0</v>
      </c>
      <c r="CO81">
        <f t="shared" si="101"/>
        <v>0</v>
      </c>
      <c r="CP81">
        <f t="shared" si="101"/>
        <v>0</v>
      </c>
      <c r="CQ81">
        <f t="shared" si="101"/>
        <v>0</v>
      </c>
      <c r="CR81">
        <f t="shared" si="101"/>
        <v>0</v>
      </c>
      <c r="CS81">
        <f t="shared" si="101"/>
        <v>0</v>
      </c>
      <c r="CT81">
        <f t="shared" si="101"/>
        <v>0</v>
      </c>
      <c r="CU81">
        <f t="shared" si="101"/>
        <v>0</v>
      </c>
      <c r="CV81">
        <f t="shared" si="102"/>
        <v>0</v>
      </c>
      <c r="CW81">
        <f t="shared" si="102"/>
        <v>0</v>
      </c>
      <c r="CX81">
        <f t="shared" si="102"/>
        <v>0</v>
      </c>
      <c r="CY81">
        <f t="shared" si="102"/>
        <v>0</v>
      </c>
      <c r="CZ81">
        <f t="shared" si="102"/>
        <v>0</v>
      </c>
      <c r="DA81">
        <f t="shared" si="102"/>
        <v>0</v>
      </c>
      <c r="DB81">
        <f t="shared" si="102"/>
        <v>0</v>
      </c>
      <c r="DC81">
        <f t="shared" si="102"/>
        <v>0</v>
      </c>
      <c r="DD81">
        <f t="shared" si="102"/>
        <v>0</v>
      </c>
      <c r="DE81">
        <f t="shared" si="102"/>
        <v>0</v>
      </c>
      <c r="DF81">
        <f t="shared" si="103"/>
        <v>0</v>
      </c>
      <c r="DG81">
        <f t="shared" si="103"/>
        <v>0</v>
      </c>
      <c r="DH81">
        <f t="shared" si="103"/>
        <v>0</v>
      </c>
      <c r="DI81">
        <f t="shared" si="103"/>
        <v>0</v>
      </c>
      <c r="DJ81">
        <f t="shared" si="103"/>
        <v>0</v>
      </c>
      <c r="DK81">
        <f t="shared" si="103"/>
        <v>0</v>
      </c>
      <c r="DL81">
        <f t="shared" si="103"/>
        <v>0</v>
      </c>
      <c r="DM81">
        <f t="shared" si="103"/>
        <v>0</v>
      </c>
      <c r="DN81">
        <f t="shared" si="103"/>
        <v>0</v>
      </c>
      <c r="DO81">
        <f t="shared" si="103"/>
        <v>0</v>
      </c>
      <c r="DP81">
        <f t="shared" si="104"/>
        <v>0</v>
      </c>
      <c r="DQ81">
        <f t="shared" si="104"/>
        <v>0</v>
      </c>
      <c r="DR81">
        <f t="shared" si="104"/>
        <v>0</v>
      </c>
      <c r="DS81">
        <f t="shared" si="104"/>
        <v>0</v>
      </c>
      <c r="DT81">
        <f t="shared" si="104"/>
        <v>0</v>
      </c>
      <c r="DU81">
        <f t="shared" si="104"/>
        <v>0</v>
      </c>
      <c r="DV81">
        <f t="shared" si="104"/>
        <v>0</v>
      </c>
      <c r="DW81">
        <f t="shared" si="104"/>
        <v>0</v>
      </c>
      <c r="DX81">
        <f t="shared" si="104"/>
        <v>0</v>
      </c>
      <c r="DY81">
        <f t="shared" si="104"/>
        <v>0</v>
      </c>
      <c r="DZ81">
        <f t="shared" si="105"/>
        <v>0</v>
      </c>
      <c r="EA81">
        <f t="shared" si="105"/>
        <v>0</v>
      </c>
      <c r="EB81">
        <f t="shared" si="105"/>
        <v>0</v>
      </c>
      <c r="EC81">
        <f t="shared" si="105"/>
        <v>0</v>
      </c>
      <c r="ED81">
        <f t="shared" si="105"/>
        <v>0</v>
      </c>
      <c r="EE81">
        <f t="shared" si="105"/>
        <v>0</v>
      </c>
      <c r="EF81">
        <f t="shared" si="105"/>
        <v>0</v>
      </c>
      <c r="EG81">
        <f t="shared" si="105"/>
        <v>0</v>
      </c>
      <c r="EH81">
        <f t="shared" si="105"/>
        <v>0</v>
      </c>
      <c r="EI81">
        <f t="shared" si="105"/>
        <v>0</v>
      </c>
      <c r="EJ81">
        <f>SUM(Tabla1[[#This Row],[1]:[130]])</f>
        <v>3</v>
      </c>
    </row>
    <row r="82" spans="1:140" ht="15" customHeight="1" x14ac:dyDescent="0.25">
      <c r="A82" t="str">
        <f>B82&amp;"-"&amp;COUNTIF($B$2:B82,B82)</f>
        <v>I. QUESO GRANULADO-9</v>
      </c>
      <c r="B82" s="35" t="s">
        <v>9</v>
      </c>
      <c r="C82">
        <f>VLOOKUP(B82,RECETAS!D81:$E$1700,2,FALSE)</f>
        <v>4950</v>
      </c>
      <c r="D82" s="34"/>
      <c r="G82" t="b">
        <f t="shared" si="92"/>
        <v>1</v>
      </c>
      <c r="I82" s="35" t="s">
        <v>74</v>
      </c>
      <c r="J82">
        <f t="shared" si="93"/>
        <v>33</v>
      </c>
      <c r="K82">
        <f t="shared" si="93"/>
        <v>4</v>
      </c>
      <c r="L82">
        <f t="shared" si="93"/>
        <v>0</v>
      </c>
      <c r="M82">
        <f t="shared" si="93"/>
        <v>0</v>
      </c>
      <c r="N82">
        <f t="shared" si="93"/>
        <v>0</v>
      </c>
      <c r="O82">
        <f t="shared" si="93"/>
        <v>0</v>
      </c>
      <c r="P82">
        <f t="shared" si="93"/>
        <v>0</v>
      </c>
      <c r="Q82">
        <f t="shared" si="93"/>
        <v>0</v>
      </c>
      <c r="R82">
        <f t="shared" si="93"/>
        <v>0</v>
      </c>
      <c r="S82">
        <f t="shared" si="93"/>
        <v>0</v>
      </c>
      <c r="T82">
        <f t="shared" si="94"/>
        <v>0</v>
      </c>
      <c r="U82">
        <f t="shared" si="94"/>
        <v>0</v>
      </c>
      <c r="V82">
        <f t="shared" si="94"/>
        <v>0</v>
      </c>
      <c r="W82">
        <f t="shared" si="94"/>
        <v>0</v>
      </c>
      <c r="X82">
        <f t="shared" si="94"/>
        <v>0</v>
      </c>
      <c r="Y82">
        <f t="shared" si="94"/>
        <v>0</v>
      </c>
      <c r="Z82">
        <f t="shared" si="94"/>
        <v>0</v>
      </c>
      <c r="AA82">
        <f t="shared" si="94"/>
        <v>0</v>
      </c>
      <c r="AB82">
        <f t="shared" si="94"/>
        <v>0</v>
      </c>
      <c r="AC82">
        <f t="shared" si="94"/>
        <v>0</v>
      </c>
      <c r="AD82">
        <f t="shared" si="95"/>
        <v>0</v>
      </c>
      <c r="AE82">
        <f t="shared" si="95"/>
        <v>0</v>
      </c>
      <c r="AF82">
        <f t="shared" si="95"/>
        <v>0</v>
      </c>
      <c r="AG82">
        <f t="shared" si="95"/>
        <v>0</v>
      </c>
      <c r="AH82">
        <f t="shared" si="95"/>
        <v>0</v>
      </c>
      <c r="AI82">
        <f t="shared" si="95"/>
        <v>0</v>
      </c>
      <c r="AJ82">
        <f t="shared" si="95"/>
        <v>0</v>
      </c>
      <c r="AK82">
        <f t="shared" si="95"/>
        <v>0</v>
      </c>
      <c r="AL82">
        <f t="shared" si="95"/>
        <v>0</v>
      </c>
      <c r="AM82">
        <f t="shared" si="95"/>
        <v>0</v>
      </c>
      <c r="AN82">
        <f t="shared" si="96"/>
        <v>0</v>
      </c>
      <c r="AO82">
        <f t="shared" si="96"/>
        <v>0</v>
      </c>
      <c r="AP82">
        <f t="shared" si="96"/>
        <v>0</v>
      </c>
      <c r="AQ82">
        <f t="shared" si="96"/>
        <v>0</v>
      </c>
      <c r="AR82">
        <f t="shared" si="96"/>
        <v>0</v>
      </c>
      <c r="AS82">
        <f t="shared" si="96"/>
        <v>0</v>
      </c>
      <c r="AT82">
        <f t="shared" si="96"/>
        <v>0</v>
      </c>
      <c r="AU82">
        <f t="shared" si="96"/>
        <v>0</v>
      </c>
      <c r="AV82">
        <f t="shared" si="96"/>
        <v>0</v>
      </c>
      <c r="AW82">
        <f t="shared" si="96"/>
        <v>0</v>
      </c>
      <c r="AX82">
        <f t="shared" si="97"/>
        <v>0</v>
      </c>
      <c r="AY82">
        <f t="shared" si="97"/>
        <v>0</v>
      </c>
      <c r="AZ82">
        <f t="shared" si="97"/>
        <v>0</v>
      </c>
      <c r="BA82">
        <f t="shared" si="97"/>
        <v>0</v>
      </c>
      <c r="BB82">
        <f t="shared" si="97"/>
        <v>0</v>
      </c>
      <c r="BC82">
        <f t="shared" si="97"/>
        <v>0</v>
      </c>
      <c r="BD82">
        <f t="shared" si="97"/>
        <v>0</v>
      </c>
      <c r="BE82">
        <f t="shared" si="97"/>
        <v>0</v>
      </c>
      <c r="BF82">
        <f t="shared" si="97"/>
        <v>0</v>
      </c>
      <c r="BG82">
        <f t="shared" si="97"/>
        <v>0</v>
      </c>
      <c r="BH82">
        <f t="shared" si="98"/>
        <v>0</v>
      </c>
      <c r="BI82">
        <f t="shared" si="98"/>
        <v>0</v>
      </c>
      <c r="BJ82">
        <f t="shared" si="98"/>
        <v>0</v>
      </c>
      <c r="BK82">
        <f t="shared" si="98"/>
        <v>0</v>
      </c>
      <c r="BL82">
        <f t="shared" si="98"/>
        <v>0</v>
      </c>
      <c r="BM82">
        <f t="shared" si="98"/>
        <v>0</v>
      </c>
      <c r="BN82">
        <f t="shared" si="98"/>
        <v>0</v>
      </c>
      <c r="BO82">
        <f t="shared" si="98"/>
        <v>0</v>
      </c>
      <c r="BP82">
        <f t="shared" si="98"/>
        <v>0</v>
      </c>
      <c r="BQ82">
        <f t="shared" si="98"/>
        <v>0</v>
      </c>
      <c r="BR82">
        <f t="shared" si="99"/>
        <v>0</v>
      </c>
      <c r="BS82">
        <f t="shared" si="99"/>
        <v>0</v>
      </c>
      <c r="BT82">
        <f t="shared" si="99"/>
        <v>0</v>
      </c>
      <c r="BU82">
        <f t="shared" si="99"/>
        <v>0</v>
      </c>
      <c r="BV82">
        <f t="shared" si="99"/>
        <v>0</v>
      </c>
      <c r="BW82">
        <f t="shared" si="99"/>
        <v>0</v>
      </c>
      <c r="BX82">
        <f t="shared" si="99"/>
        <v>0</v>
      </c>
      <c r="BY82">
        <f t="shared" si="99"/>
        <v>0</v>
      </c>
      <c r="BZ82">
        <f t="shared" si="99"/>
        <v>0</v>
      </c>
      <c r="CA82">
        <f t="shared" si="99"/>
        <v>0</v>
      </c>
      <c r="CB82">
        <f t="shared" si="100"/>
        <v>0</v>
      </c>
      <c r="CC82">
        <f t="shared" si="100"/>
        <v>0</v>
      </c>
      <c r="CD82">
        <f t="shared" si="100"/>
        <v>0</v>
      </c>
      <c r="CE82">
        <f t="shared" si="100"/>
        <v>0</v>
      </c>
      <c r="CF82">
        <f t="shared" si="100"/>
        <v>0</v>
      </c>
      <c r="CG82">
        <f t="shared" si="100"/>
        <v>0</v>
      </c>
      <c r="CH82">
        <f t="shared" si="100"/>
        <v>0</v>
      </c>
      <c r="CI82">
        <f t="shared" si="100"/>
        <v>0</v>
      </c>
      <c r="CJ82">
        <f t="shared" si="100"/>
        <v>0</v>
      </c>
      <c r="CK82">
        <f t="shared" si="100"/>
        <v>0</v>
      </c>
      <c r="CL82">
        <f t="shared" si="101"/>
        <v>0</v>
      </c>
      <c r="CM82">
        <f t="shared" si="101"/>
        <v>0</v>
      </c>
      <c r="CN82">
        <f t="shared" si="101"/>
        <v>0</v>
      </c>
      <c r="CO82">
        <f t="shared" si="101"/>
        <v>0</v>
      </c>
      <c r="CP82">
        <f t="shared" si="101"/>
        <v>0</v>
      </c>
      <c r="CQ82">
        <f t="shared" si="101"/>
        <v>0</v>
      </c>
      <c r="CR82">
        <f t="shared" si="101"/>
        <v>0</v>
      </c>
      <c r="CS82">
        <f t="shared" si="101"/>
        <v>0</v>
      </c>
      <c r="CT82">
        <f t="shared" si="101"/>
        <v>0</v>
      </c>
      <c r="CU82">
        <f t="shared" si="101"/>
        <v>0</v>
      </c>
      <c r="CV82">
        <f t="shared" si="102"/>
        <v>0</v>
      </c>
      <c r="CW82">
        <f t="shared" si="102"/>
        <v>0</v>
      </c>
      <c r="CX82">
        <f t="shared" si="102"/>
        <v>0</v>
      </c>
      <c r="CY82">
        <f t="shared" si="102"/>
        <v>0</v>
      </c>
      <c r="CZ82">
        <f t="shared" si="102"/>
        <v>0</v>
      </c>
      <c r="DA82">
        <f t="shared" si="102"/>
        <v>0</v>
      </c>
      <c r="DB82">
        <f t="shared" si="102"/>
        <v>0</v>
      </c>
      <c r="DC82">
        <f t="shared" si="102"/>
        <v>0</v>
      </c>
      <c r="DD82">
        <f t="shared" si="102"/>
        <v>0</v>
      </c>
      <c r="DE82">
        <f t="shared" si="102"/>
        <v>0</v>
      </c>
      <c r="DF82">
        <f t="shared" si="103"/>
        <v>0</v>
      </c>
      <c r="DG82">
        <f t="shared" si="103"/>
        <v>0</v>
      </c>
      <c r="DH82">
        <f t="shared" si="103"/>
        <v>0</v>
      </c>
      <c r="DI82">
        <f t="shared" si="103"/>
        <v>0</v>
      </c>
      <c r="DJ82">
        <f t="shared" si="103"/>
        <v>0</v>
      </c>
      <c r="DK82">
        <f t="shared" si="103"/>
        <v>0</v>
      </c>
      <c r="DL82">
        <f t="shared" si="103"/>
        <v>0</v>
      </c>
      <c r="DM82">
        <f t="shared" si="103"/>
        <v>0</v>
      </c>
      <c r="DN82">
        <f t="shared" si="103"/>
        <v>0</v>
      </c>
      <c r="DO82">
        <f t="shared" si="103"/>
        <v>0</v>
      </c>
      <c r="DP82">
        <f t="shared" si="104"/>
        <v>0</v>
      </c>
      <c r="DQ82">
        <f t="shared" si="104"/>
        <v>0</v>
      </c>
      <c r="DR82">
        <f t="shared" si="104"/>
        <v>0</v>
      </c>
      <c r="DS82">
        <f t="shared" si="104"/>
        <v>0</v>
      </c>
      <c r="DT82">
        <f t="shared" si="104"/>
        <v>0</v>
      </c>
      <c r="DU82">
        <f t="shared" si="104"/>
        <v>0</v>
      </c>
      <c r="DV82">
        <f t="shared" si="104"/>
        <v>0</v>
      </c>
      <c r="DW82">
        <f t="shared" si="104"/>
        <v>0</v>
      </c>
      <c r="DX82">
        <f t="shared" si="104"/>
        <v>0</v>
      </c>
      <c r="DY82">
        <f t="shared" si="104"/>
        <v>0</v>
      </c>
      <c r="DZ82">
        <f t="shared" si="105"/>
        <v>0</v>
      </c>
      <c r="EA82">
        <f t="shared" si="105"/>
        <v>0</v>
      </c>
      <c r="EB82">
        <f t="shared" si="105"/>
        <v>0</v>
      </c>
      <c r="EC82">
        <f t="shared" si="105"/>
        <v>0</v>
      </c>
      <c r="ED82">
        <f t="shared" si="105"/>
        <v>0</v>
      </c>
      <c r="EE82">
        <f t="shared" si="105"/>
        <v>0</v>
      </c>
      <c r="EF82">
        <f t="shared" si="105"/>
        <v>0</v>
      </c>
      <c r="EG82">
        <f t="shared" si="105"/>
        <v>0</v>
      </c>
      <c r="EH82">
        <f t="shared" si="105"/>
        <v>0</v>
      </c>
      <c r="EI82">
        <f t="shared" si="105"/>
        <v>0</v>
      </c>
      <c r="EJ82">
        <f>SUM(Tabla1[[#This Row],[1]:[130]])</f>
        <v>37</v>
      </c>
    </row>
    <row r="83" spans="1:140" ht="15" customHeight="1" x14ac:dyDescent="0.25">
      <c r="A83" t="str">
        <f>B83&amp;"-"&amp;COUNTIF($B$2:B83,B83)</f>
        <v>I. CREMA ESPESA-13</v>
      </c>
      <c r="B83" s="35" t="s">
        <v>16</v>
      </c>
      <c r="C83">
        <f>VLOOKUP(B83,RECETAS!D82:$E$1700,2,FALSE)</f>
        <v>4950</v>
      </c>
      <c r="D83" s="34"/>
      <c r="G83" t="b">
        <f t="shared" si="92"/>
        <v>1</v>
      </c>
      <c r="I83" s="35" t="s">
        <v>5</v>
      </c>
      <c r="J83">
        <f t="shared" ref="J83:S92" si="106">IFERROR(VLOOKUP($I83&amp;"-"&amp;J$2,$A$3:$C$1700,3,FALSE),0)</f>
        <v>0</v>
      </c>
      <c r="K83">
        <f t="shared" si="106"/>
        <v>28</v>
      </c>
      <c r="L83">
        <f t="shared" si="106"/>
        <v>3</v>
      </c>
      <c r="M83">
        <f t="shared" si="106"/>
        <v>8</v>
      </c>
      <c r="N83">
        <f t="shared" si="106"/>
        <v>6</v>
      </c>
      <c r="O83">
        <f t="shared" si="106"/>
        <v>0</v>
      </c>
      <c r="P83">
        <f t="shared" si="106"/>
        <v>0</v>
      </c>
      <c r="Q83">
        <f t="shared" si="106"/>
        <v>0</v>
      </c>
      <c r="R83">
        <f t="shared" si="106"/>
        <v>0</v>
      </c>
      <c r="S83">
        <f t="shared" si="106"/>
        <v>0</v>
      </c>
      <c r="T83">
        <f t="shared" ref="T83:AC92" si="107">IFERROR(VLOOKUP($I83&amp;"-"&amp;T$2,$A$3:$C$1700,3,FALSE),0)</f>
        <v>0</v>
      </c>
      <c r="U83">
        <f t="shared" si="107"/>
        <v>1</v>
      </c>
      <c r="V83">
        <f t="shared" si="107"/>
        <v>0</v>
      </c>
      <c r="W83">
        <f t="shared" si="107"/>
        <v>0</v>
      </c>
      <c r="X83">
        <f t="shared" si="107"/>
        <v>0</v>
      </c>
      <c r="Y83">
        <f t="shared" si="107"/>
        <v>0</v>
      </c>
      <c r="Z83">
        <f t="shared" si="107"/>
        <v>0</v>
      </c>
      <c r="AA83">
        <f t="shared" si="107"/>
        <v>0</v>
      </c>
      <c r="AB83">
        <f t="shared" si="107"/>
        <v>0</v>
      </c>
      <c r="AC83">
        <f t="shared" si="107"/>
        <v>0</v>
      </c>
      <c r="AD83">
        <f t="shared" ref="AD83:AM92" si="108">IFERROR(VLOOKUP($I83&amp;"-"&amp;AD$2,$A$3:$C$1700,3,FALSE),0)</f>
        <v>0</v>
      </c>
      <c r="AE83">
        <f t="shared" si="108"/>
        <v>0</v>
      </c>
      <c r="AF83">
        <f t="shared" si="108"/>
        <v>0</v>
      </c>
      <c r="AG83">
        <f t="shared" si="108"/>
        <v>0</v>
      </c>
      <c r="AH83">
        <f t="shared" si="108"/>
        <v>0</v>
      </c>
      <c r="AI83">
        <f t="shared" si="108"/>
        <v>0</v>
      </c>
      <c r="AJ83">
        <f t="shared" si="108"/>
        <v>0</v>
      </c>
      <c r="AK83">
        <f t="shared" si="108"/>
        <v>0</v>
      </c>
      <c r="AL83">
        <f t="shared" si="108"/>
        <v>0</v>
      </c>
      <c r="AM83">
        <f t="shared" si="108"/>
        <v>0</v>
      </c>
      <c r="AN83">
        <f t="shared" ref="AN83:AW92" si="109">IFERROR(VLOOKUP($I83&amp;"-"&amp;AN$2,$A$3:$C$1700,3,FALSE),0)</f>
        <v>0</v>
      </c>
      <c r="AO83">
        <f t="shared" si="109"/>
        <v>0</v>
      </c>
      <c r="AP83">
        <f t="shared" si="109"/>
        <v>0</v>
      </c>
      <c r="AQ83">
        <f t="shared" si="109"/>
        <v>0</v>
      </c>
      <c r="AR83">
        <f t="shared" si="109"/>
        <v>0</v>
      </c>
      <c r="AS83">
        <f t="shared" si="109"/>
        <v>0</v>
      </c>
      <c r="AT83">
        <f t="shared" si="109"/>
        <v>0</v>
      </c>
      <c r="AU83">
        <f t="shared" si="109"/>
        <v>0</v>
      </c>
      <c r="AV83">
        <f t="shared" si="109"/>
        <v>0</v>
      </c>
      <c r="AW83">
        <f t="shared" si="109"/>
        <v>0</v>
      </c>
      <c r="AX83">
        <f t="shared" ref="AX83:BG92" si="110">IFERROR(VLOOKUP($I83&amp;"-"&amp;AX$2,$A$3:$C$1700,3,FALSE),0)</f>
        <v>0</v>
      </c>
      <c r="AY83">
        <f t="shared" si="110"/>
        <v>0</v>
      </c>
      <c r="AZ83">
        <f t="shared" si="110"/>
        <v>0</v>
      </c>
      <c r="BA83">
        <f t="shared" si="110"/>
        <v>0</v>
      </c>
      <c r="BB83">
        <f t="shared" si="110"/>
        <v>0</v>
      </c>
      <c r="BC83">
        <f t="shared" si="110"/>
        <v>0</v>
      </c>
      <c r="BD83">
        <f t="shared" si="110"/>
        <v>0</v>
      </c>
      <c r="BE83">
        <f t="shared" si="110"/>
        <v>0</v>
      </c>
      <c r="BF83">
        <f t="shared" si="110"/>
        <v>0</v>
      </c>
      <c r="BG83">
        <f t="shared" si="110"/>
        <v>0</v>
      </c>
      <c r="BH83">
        <f t="shared" ref="BH83:BQ92" si="111">IFERROR(VLOOKUP($I83&amp;"-"&amp;BH$2,$A$3:$C$1700,3,FALSE),0)</f>
        <v>0</v>
      </c>
      <c r="BI83">
        <f t="shared" si="111"/>
        <v>0</v>
      </c>
      <c r="BJ83">
        <f t="shared" si="111"/>
        <v>0</v>
      </c>
      <c r="BK83">
        <f t="shared" si="111"/>
        <v>0</v>
      </c>
      <c r="BL83">
        <f t="shared" si="111"/>
        <v>0</v>
      </c>
      <c r="BM83">
        <f t="shared" si="111"/>
        <v>0</v>
      </c>
      <c r="BN83">
        <f t="shared" si="111"/>
        <v>0</v>
      </c>
      <c r="BO83">
        <f t="shared" si="111"/>
        <v>0</v>
      </c>
      <c r="BP83">
        <f t="shared" si="111"/>
        <v>0</v>
      </c>
      <c r="BQ83">
        <f t="shared" si="111"/>
        <v>0</v>
      </c>
      <c r="BR83">
        <f t="shared" ref="BR83:CA92" si="112">IFERROR(VLOOKUP($I83&amp;"-"&amp;BR$2,$A$3:$C$1700,3,FALSE),0)</f>
        <v>0</v>
      </c>
      <c r="BS83">
        <f t="shared" si="112"/>
        <v>0</v>
      </c>
      <c r="BT83">
        <f t="shared" si="112"/>
        <v>0</v>
      </c>
      <c r="BU83">
        <f t="shared" si="112"/>
        <v>0</v>
      </c>
      <c r="BV83">
        <f t="shared" si="112"/>
        <v>0</v>
      </c>
      <c r="BW83">
        <f t="shared" si="112"/>
        <v>0</v>
      </c>
      <c r="BX83">
        <f t="shared" si="112"/>
        <v>0</v>
      </c>
      <c r="BY83">
        <f t="shared" si="112"/>
        <v>0</v>
      </c>
      <c r="BZ83">
        <f t="shared" si="112"/>
        <v>0</v>
      </c>
      <c r="CA83">
        <f t="shared" si="112"/>
        <v>0</v>
      </c>
      <c r="CB83">
        <f t="shared" ref="CB83:CK92" si="113">IFERROR(VLOOKUP($I83&amp;"-"&amp;CB$2,$A$3:$C$1700,3,FALSE),0)</f>
        <v>0</v>
      </c>
      <c r="CC83">
        <f t="shared" si="113"/>
        <v>0</v>
      </c>
      <c r="CD83">
        <f t="shared" si="113"/>
        <v>0</v>
      </c>
      <c r="CE83">
        <f t="shared" si="113"/>
        <v>0</v>
      </c>
      <c r="CF83">
        <f t="shared" si="113"/>
        <v>0</v>
      </c>
      <c r="CG83">
        <f t="shared" si="113"/>
        <v>0</v>
      </c>
      <c r="CH83">
        <f t="shared" si="113"/>
        <v>0</v>
      </c>
      <c r="CI83">
        <f t="shared" si="113"/>
        <v>0</v>
      </c>
      <c r="CJ83">
        <f t="shared" si="113"/>
        <v>0</v>
      </c>
      <c r="CK83">
        <f t="shared" si="113"/>
        <v>0</v>
      </c>
      <c r="CL83">
        <f t="shared" ref="CL83:CU92" si="114">IFERROR(VLOOKUP($I83&amp;"-"&amp;CL$2,$A$3:$C$1700,3,FALSE),0)</f>
        <v>0</v>
      </c>
      <c r="CM83">
        <f t="shared" si="114"/>
        <v>0</v>
      </c>
      <c r="CN83">
        <f t="shared" si="114"/>
        <v>0</v>
      </c>
      <c r="CO83">
        <f t="shared" si="114"/>
        <v>0</v>
      </c>
      <c r="CP83">
        <f t="shared" si="114"/>
        <v>0</v>
      </c>
      <c r="CQ83">
        <f t="shared" si="114"/>
        <v>0</v>
      </c>
      <c r="CR83">
        <f t="shared" si="114"/>
        <v>0</v>
      </c>
      <c r="CS83">
        <f t="shared" si="114"/>
        <v>0</v>
      </c>
      <c r="CT83">
        <f t="shared" si="114"/>
        <v>0</v>
      </c>
      <c r="CU83">
        <f t="shared" si="114"/>
        <v>0</v>
      </c>
      <c r="CV83">
        <f t="shared" ref="CV83:DE92" si="115">IFERROR(VLOOKUP($I83&amp;"-"&amp;CV$2,$A$3:$C$1700,3,FALSE),0)</f>
        <v>0</v>
      </c>
      <c r="CW83">
        <f t="shared" si="115"/>
        <v>0</v>
      </c>
      <c r="CX83">
        <f t="shared" si="115"/>
        <v>0</v>
      </c>
      <c r="CY83">
        <f t="shared" si="115"/>
        <v>0</v>
      </c>
      <c r="CZ83">
        <f t="shared" si="115"/>
        <v>0</v>
      </c>
      <c r="DA83">
        <f t="shared" si="115"/>
        <v>0</v>
      </c>
      <c r="DB83">
        <f t="shared" si="115"/>
        <v>0</v>
      </c>
      <c r="DC83">
        <f t="shared" si="115"/>
        <v>0</v>
      </c>
      <c r="DD83">
        <f t="shared" si="115"/>
        <v>0</v>
      </c>
      <c r="DE83">
        <f t="shared" si="115"/>
        <v>0</v>
      </c>
      <c r="DF83">
        <f t="shared" ref="DF83:DO92" si="116">IFERROR(VLOOKUP($I83&amp;"-"&amp;DF$2,$A$3:$C$1700,3,FALSE),0)</f>
        <v>0</v>
      </c>
      <c r="DG83">
        <f t="shared" si="116"/>
        <v>0</v>
      </c>
      <c r="DH83">
        <f t="shared" si="116"/>
        <v>0</v>
      </c>
      <c r="DI83">
        <f t="shared" si="116"/>
        <v>0</v>
      </c>
      <c r="DJ83">
        <f t="shared" si="116"/>
        <v>0</v>
      </c>
      <c r="DK83">
        <f t="shared" si="116"/>
        <v>0</v>
      </c>
      <c r="DL83">
        <f t="shared" si="116"/>
        <v>0</v>
      </c>
      <c r="DM83">
        <f t="shared" si="116"/>
        <v>0</v>
      </c>
      <c r="DN83">
        <f t="shared" si="116"/>
        <v>0</v>
      </c>
      <c r="DO83">
        <f t="shared" si="116"/>
        <v>0</v>
      </c>
      <c r="DP83">
        <f t="shared" ref="DP83:DY92" si="117">IFERROR(VLOOKUP($I83&amp;"-"&amp;DP$2,$A$3:$C$1700,3,FALSE),0)</f>
        <v>0</v>
      </c>
      <c r="DQ83">
        <f t="shared" si="117"/>
        <v>0</v>
      </c>
      <c r="DR83">
        <f t="shared" si="117"/>
        <v>0</v>
      </c>
      <c r="DS83">
        <f t="shared" si="117"/>
        <v>0</v>
      </c>
      <c r="DT83">
        <f t="shared" si="117"/>
        <v>0</v>
      </c>
      <c r="DU83">
        <f t="shared" si="117"/>
        <v>0</v>
      </c>
      <c r="DV83">
        <f t="shared" si="117"/>
        <v>0</v>
      </c>
      <c r="DW83">
        <f t="shared" si="117"/>
        <v>0</v>
      </c>
      <c r="DX83">
        <f t="shared" si="117"/>
        <v>0</v>
      </c>
      <c r="DY83">
        <f t="shared" si="117"/>
        <v>0</v>
      </c>
      <c r="DZ83">
        <f t="shared" ref="DZ83:EI92" si="118">IFERROR(VLOOKUP($I83&amp;"-"&amp;DZ$2,$A$3:$C$1700,3,FALSE),0)</f>
        <v>0</v>
      </c>
      <c r="EA83">
        <f t="shared" si="118"/>
        <v>0</v>
      </c>
      <c r="EB83">
        <f t="shared" si="118"/>
        <v>0</v>
      </c>
      <c r="EC83">
        <f t="shared" si="118"/>
        <v>0</v>
      </c>
      <c r="ED83">
        <f t="shared" si="118"/>
        <v>0</v>
      </c>
      <c r="EE83">
        <f t="shared" si="118"/>
        <v>0</v>
      </c>
      <c r="EF83">
        <f t="shared" si="118"/>
        <v>0</v>
      </c>
      <c r="EG83">
        <f t="shared" si="118"/>
        <v>0</v>
      </c>
      <c r="EH83">
        <f t="shared" si="118"/>
        <v>0</v>
      </c>
      <c r="EI83">
        <f t="shared" si="118"/>
        <v>0</v>
      </c>
      <c r="EJ83">
        <f>SUM(Tabla1[[#This Row],[1]:[130]])</f>
        <v>46</v>
      </c>
    </row>
    <row r="84" spans="1:140" ht="15" customHeight="1" x14ac:dyDescent="0.25">
      <c r="A84" t="str">
        <f>B84&amp;"-"&amp;COUNTIF($B$2:B84,B84)</f>
        <v>I. CIBOULET-4</v>
      </c>
      <c r="B84" s="35" t="s">
        <v>23</v>
      </c>
      <c r="C84">
        <f>VLOOKUP(B84,RECETAS!D83:$E$1700,2,FALSE)</f>
        <v>660</v>
      </c>
      <c r="D84" s="34"/>
      <c r="G84" t="b">
        <f t="shared" si="92"/>
        <v>1</v>
      </c>
      <c r="I84" s="38" t="s">
        <v>75</v>
      </c>
      <c r="J84">
        <f t="shared" si="106"/>
        <v>35</v>
      </c>
      <c r="K84">
        <f t="shared" si="106"/>
        <v>360</v>
      </c>
      <c r="L84">
        <f t="shared" si="106"/>
        <v>0</v>
      </c>
      <c r="M84">
        <f t="shared" si="106"/>
        <v>0</v>
      </c>
      <c r="N84">
        <f t="shared" si="106"/>
        <v>0</v>
      </c>
      <c r="O84">
        <f t="shared" si="106"/>
        <v>0</v>
      </c>
      <c r="P84">
        <f t="shared" si="106"/>
        <v>0</v>
      </c>
      <c r="Q84">
        <f t="shared" si="106"/>
        <v>0</v>
      </c>
      <c r="R84">
        <f t="shared" si="106"/>
        <v>0</v>
      </c>
      <c r="S84">
        <f t="shared" si="106"/>
        <v>0</v>
      </c>
      <c r="T84">
        <f t="shared" si="107"/>
        <v>0</v>
      </c>
      <c r="U84">
        <f t="shared" si="107"/>
        <v>0</v>
      </c>
      <c r="V84">
        <f t="shared" si="107"/>
        <v>0</v>
      </c>
      <c r="W84">
        <f t="shared" si="107"/>
        <v>0</v>
      </c>
      <c r="X84">
        <f t="shared" si="107"/>
        <v>0</v>
      </c>
      <c r="Y84">
        <f t="shared" si="107"/>
        <v>0</v>
      </c>
      <c r="Z84">
        <f t="shared" si="107"/>
        <v>0</v>
      </c>
      <c r="AA84">
        <f t="shared" si="107"/>
        <v>0</v>
      </c>
      <c r="AB84">
        <f t="shared" si="107"/>
        <v>0</v>
      </c>
      <c r="AC84">
        <f t="shared" si="107"/>
        <v>0</v>
      </c>
      <c r="AD84">
        <f t="shared" si="108"/>
        <v>0</v>
      </c>
      <c r="AE84">
        <f t="shared" si="108"/>
        <v>0</v>
      </c>
      <c r="AF84">
        <f t="shared" si="108"/>
        <v>0</v>
      </c>
      <c r="AG84">
        <f t="shared" si="108"/>
        <v>0</v>
      </c>
      <c r="AH84">
        <f t="shared" si="108"/>
        <v>0</v>
      </c>
      <c r="AI84">
        <f t="shared" si="108"/>
        <v>0</v>
      </c>
      <c r="AJ84">
        <f t="shared" si="108"/>
        <v>0</v>
      </c>
      <c r="AK84">
        <f t="shared" si="108"/>
        <v>0</v>
      </c>
      <c r="AL84">
        <f t="shared" si="108"/>
        <v>0</v>
      </c>
      <c r="AM84">
        <f t="shared" si="108"/>
        <v>0</v>
      </c>
      <c r="AN84">
        <f t="shared" si="109"/>
        <v>0</v>
      </c>
      <c r="AO84">
        <f t="shared" si="109"/>
        <v>0</v>
      </c>
      <c r="AP84">
        <f t="shared" si="109"/>
        <v>0</v>
      </c>
      <c r="AQ84">
        <f t="shared" si="109"/>
        <v>0</v>
      </c>
      <c r="AR84">
        <f t="shared" si="109"/>
        <v>0</v>
      </c>
      <c r="AS84">
        <f t="shared" si="109"/>
        <v>0</v>
      </c>
      <c r="AT84">
        <f t="shared" si="109"/>
        <v>0</v>
      </c>
      <c r="AU84">
        <f t="shared" si="109"/>
        <v>0</v>
      </c>
      <c r="AV84">
        <f t="shared" si="109"/>
        <v>0</v>
      </c>
      <c r="AW84">
        <f t="shared" si="109"/>
        <v>0</v>
      </c>
      <c r="AX84">
        <f t="shared" si="110"/>
        <v>0</v>
      </c>
      <c r="AY84">
        <f t="shared" si="110"/>
        <v>0</v>
      </c>
      <c r="AZ84">
        <f t="shared" si="110"/>
        <v>0</v>
      </c>
      <c r="BA84">
        <f t="shared" si="110"/>
        <v>0</v>
      </c>
      <c r="BB84">
        <f t="shared" si="110"/>
        <v>0</v>
      </c>
      <c r="BC84">
        <f t="shared" si="110"/>
        <v>0</v>
      </c>
      <c r="BD84">
        <f t="shared" si="110"/>
        <v>0</v>
      </c>
      <c r="BE84">
        <f t="shared" si="110"/>
        <v>0</v>
      </c>
      <c r="BF84">
        <f t="shared" si="110"/>
        <v>0</v>
      </c>
      <c r="BG84">
        <f t="shared" si="110"/>
        <v>0</v>
      </c>
      <c r="BH84">
        <f t="shared" si="111"/>
        <v>0</v>
      </c>
      <c r="BI84">
        <f t="shared" si="111"/>
        <v>0</v>
      </c>
      <c r="BJ84">
        <f t="shared" si="111"/>
        <v>0</v>
      </c>
      <c r="BK84">
        <f t="shared" si="111"/>
        <v>0</v>
      </c>
      <c r="BL84">
        <f t="shared" si="111"/>
        <v>0</v>
      </c>
      <c r="BM84">
        <f t="shared" si="111"/>
        <v>0</v>
      </c>
      <c r="BN84">
        <f t="shared" si="111"/>
        <v>0</v>
      </c>
      <c r="BO84">
        <f t="shared" si="111"/>
        <v>0</v>
      </c>
      <c r="BP84">
        <f t="shared" si="111"/>
        <v>0</v>
      </c>
      <c r="BQ84">
        <f t="shared" si="111"/>
        <v>0</v>
      </c>
      <c r="BR84">
        <f t="shared" si="112"/>
        <v>0</v>
      </c>
      <c r="BS84">
        <f t="shared" si="112"/>
        <v>0</v>
      </c>
      <c r="BT84">
        <f t="shared" si="112"/>
        <v>0</v>
      </c>
      <c r="BU84">
        <f t="shared" si="112"/>
        <v>0</v>
      </c>
      <c r="BV84">
        <f t="shared" si="112"/>
        <v>0</v>
      </c>
      <c r="BW84">
        <f t="shared" si="112"/>
        <v>0</v>
      </c>
      <c r="BX84">
        <f t="shared" si="112"/>
        <v>0</v>
      </c>
      <c r="BY84">
        <f t="shared" si="112"/>
        <v>0</v>
      </c>
      <c r="BZ84">
        <f t="shared" si="112"/>
        <v>0</v>
      </c>
      <c r="CA84">
        <f t="shared" si="112"/>
        <v>0</v>
      </c>
      <c r="CB84">
        <f t="shared" si="113"/>
        <v>0</v>
      </c>
      <c r="CC84">
        <f t="shared" si="113"/>
        <v>0</v>
      </c>
      <c r="CD84">
        <f t="shared" si="113"/>
        <v>0</v>
      </c>
      <c r="CE84">
        <f t="shared" si="113"/>
        <v>0</v>
      </c>
      <c r="CF84">
        <f t="shared" si="113"/>
        <v>0</v>
      </c>
      <c r="CG84">
        <f t="shared" si="113"/>
        <v>0</v>
      </c>
      <c r="CH84">
        <f t="shared" si="113"/>
        <v>0</v>
      </c>
      <c r="CI84">
        <f t="shared" si="113"/>
        <v>0</v>
      </c>
      <c r="CJ84">
        <f t="shared" si="113"/>
        <v>0</v>
      </c>
      <c r="CK84">
        <f t="shared" si="113"/>
        <v>0</v>
      </c>
      <c r="CL84">
        <f t="shared" si="114"/>
        <v>0</v>
      </c>
      <c r="CM84">
        <f t="shared" si="114"/>
        <v>0</v>
      </c>
      <c r="CN84">
        <f t="shared" si="114"/>
        <v>0</v>
      </c>
      <c r="CO84">
        <f t="shared" si="114"/>
        <v>0</v>
      </c>
      <c r="CP84">
        <f t="shared" si="114"/>
        <v>0</v>
      </c>
      <c r="CQ84">
        <f t="shared" si="114"/>
        <v>0</v>
      </c>
      <c r="CR84">
        <f t="shared" si="114"/>
        <v>0</v>
      </c>
      <c r="CS84">
        <f t="shared" si="114"/>
        <v>0</v>
      </c>
      <c r="CT84">
        <f t="shared" si="114"/>
        <v>0</v>
      </c>
      <c r="CU84">
        <f t="shared" si="114"/>
        <v>0</v>
      </c>
      <c r="CV84">
        <f t="shared" si="115"/>
        <v>0</v>
      </c>
      <c r="CW84">
        <f t="shared" si="115"/>
        <v>0</v>
      </c>
      <c r="CX84">
        <f t="shared" si="115"/>
        <v>0</v>
      </c>
      <c r="CY84">
        <f t="shared" si="115"/>
        <v>0</v>
      </c>
      <c r="CZ84">
        <f t="shared" si="115"/>
        <v>0</v>
      </c>
      <c r="DA84">
        <f t="shared" si="115"/>
        <v>0</v>
      </c>
      <c r="DB84">
        <f t="shared" si="115"/>
        <v>0</v>
      </c>
      <c r="DC84">
        <f t="shared" si="115"/>
        <v>0</v>
      </c>
      <c r="DD84">
        <f t="shared" si="115"/>
        <v>0</v>
      </c>
      <c r="DE84">
        <f t="shared" si="115"/>
        <v>0</v>
      </c>
      <c r="DF84">
        <f t="shared" si="116"/>
        <v>0</v>
      </c>
      <c r="DG84">
        <f t="shared" si="116"/>
        <v>0</v>
      </c>
      <c r="DH84">
        <f t="shared" si="116"/>
        <v>0</v>
      </c>
      <c r="DI84">
        <f t="shared" si="116"/>
        <v>0</v>
      </c>
      <c r="DJ84">
        <f t="shared" si="116"/>
        <v>0</v>
      </c>
      <c r="DK84">
        <f t="shared" si="116"/>
        <v>0</v>
      </c>
      <c r="DL84">
        <f t="shared" si="116"/>
        <v>0</v>
      </c>
      <c r="DM84">
        <f t="shared" si="116"/>
        <v>0</v>
      </c>
      <c r="DN84">
        <f t="shared" si="116"/>
        <v>0</v>
      </c>
      <c r="DO84">
        <f t="shared" si="116"/>
        <v>0</v>
      </c>
      <c r="DP84">
        <f t="shared" si="117"/>
        <v>0</v>
      </c>
      <c r="DQ84">
        <f t="shared" si="117"/>
        <v>0</v>
      </c>
      <c r="DR84">
        <f t="shared" si="117"/>
        <v>0</v>
      </c>
      <c r="DS84">
        <f t="shared" si="117"/>
        <v>0</v>
      </c>
      <c r="DT84">
        <f t="shared" si="117"/>
        <v>0</v>
      </c>
      <c r="DU84">
        <f t="shared" si="117"/>
        <v>0</v>
      </c>
      <c r="DV84">
        <f t="shared" si="117"/>
        <v>0</v>
      </c>
      <c r="DW84">
        <f t="shared" si="117"/>
        <v>0</v>
      </c>
      <c r="DX84">
        <f t="shared" si="117"/>
        <v>0</v>
      </c>
      <c r="DY84">
        <f t="shared" si="117"/>
        <v>0</v>
      </c>
      <c r="DZ84">
        <f t="shared" si="118"/>
        <v>0</v>
      </c>
      <c r="EA84">
        <f t="shared" si="118"/>
        <v>0</v>
      </c>
      <c r="EB84">
        <f t="shared" si="118"/>
        <v>0</v>
      </c>
      <c r="EC84">
        <f t="shared" si="118"/>
        <v>0</v>
      </c>
      <c r="ED84">
        <f t="shared" si="118"/>
        <v>0</v>
      </c>
      <c r="EE84">
        <f t="shared" si="118"/>
        <v>0</v>
      </c>
      <c r="EF84">
        <f t="shared" si="118"/>
        <v>0</v>
      </c>
      <c r="EG84">
        <f t="shared" si="118"/>
        <v>0</v>
      </c>
      <c r="EH84">
        <f t="shared" si="118"/>
        <v>0</v>
      </c>
      <c r="EI84">
        <f t="shared" si="118"/>
        <v>0</v>
      </c>
      <c r="EJ84">
        <f>SUM(Tabla1[[#This Row],[1]:[130]])</f>
        <v>395</v>
      </c>
    </row>
    <row r="85" spans="1:140" ht="15.75" customHeight="1" thickBot="1" x14ac:dyDescent="0.3">
      <c r="A85" t="str">
        <f>B85&amp;"-"&amp;COUNTIF($B$2:B85,B85)</f>
        <v>I. CHAMP. PORCION-3</v>
      </c>
      <c r="B85" s="33" t="s">
        <v>8</v>
      </c>
      <c r="C85">
        <f>VLOOKUP(B85,RECETAS!D84:$E$1700,2,FALSE)</f>
        <v>99</v>
      </c>
      <c r="D85" s="32"/>
      <c r="G85" t="b">
        <f t="shared" si="92"/>
        <v>1</v>
      </c>
      <c r="I85" s="172" t="s">
        <v>676</v>
      </c>
      <c r="J85">
        <f t="shared" si="106"/>
        <v>0</v>
      </c>
      <c r="K85">
        <f t="shared" si="106"/>
        <v>0</v>
      </c>
      <c r="L85">
        <f t="shared" si="106"/>
        <v>0</v>
      </c>
      <c r="M85">
        <f t="shared" si="106"/>
        <v>0</v>
      </c>
      <c r="N85">
        <f t="shared" si="106"/>
        <v>0</v>
      </c>
      <c r="O85">
        <f t="shared" si="106"/>
        <v>0</v>
      </c>
      <c r="P85">
        <f t="shared" si="106"/>
        <v>0</v>
      </c>
      <c r="Q85">
        <f t="shared" si="106"/>
        <v>0</v>
      </c>
      <c r="R85">
        <f t="shared" si="106"/>
        <v>0</v>
      </c>
      <c r="S85">
        <f t="shared" si="106"/>
        <v>0</v>
      </c>
      <c r="T85">
        <f t="shared" si="107"/>
        <v>0</v>
      </c>
      <c r="U85">
        <f t="shared" si="107"/>
        <v>0</v>
      </c>
      <c r="V85">
        <f t="shared" si="107"/>
        <v>0</v>
      </c>
      <c r="W85">
        <f t="shared" si="107"/>
        <v>0</v>
      </c>
      <c r="X85">
        <f t="shared" si="107"/>
        <v>0</v>
      </c>
      <c r="Y85">
        <f t="shared" si="107"/>
        <v>0</v>
      </c>
      <c r="Z85">
        <f t="shared" si="107"/>
        <v>0</v>
      </c>
      <c r="AA85">
        <f t="shared" si="107"/>
        <v>0</v>
      </c>
      <c r="AB85">
        <f t="shared" si="107"/>
        <v>0</v>
      </c>
      <c r="AC85">
        <f t="shared" si="107"/>
        <v>0</v>
      </c>
      <c r="AD85">
        <f t="shared" si="108"/>
        <v>0</v>
      </c>
      <c r="AE85">
        <f t="shared" si="108"/>
        <v>0</v>
      </c>
      <c r="AF85">
        <f t="shared" si="108"/>
        <v>0</v>
      </c>
      <c r="AG85">
        <f t="shared" si="108"/>
        <v>0</v>
      </c>
      <c r="AH85">
        <f t="shared" si="108"/>
        <v>0</v>
      </c>
      <c r="AI85">
        <f t="shared" si="108"/>
        <v>0</v>
      </c>
      <c r="AJ85">
        <f t="shared" si="108"/>
        <v>0</v>
      </c>
      <c r="AK85">
        <f t="shared" si="108"/>
        <v>0</v>
      </c>
      <c r="AL85">
        <f t="shared" si="108"/>
        <v>0</v>
      </c>
      <c r="AM85">
        <f t="shared" si="108"/>
        <v>0</v>
      </c>
      <c r="AN85">
        <f t="shared" si="109"/>
        <v>0</v>
      </c>
      <c r="AO85">
        <f t="shared" si="109"/>
        <v>0</v>
      </c>
      <c r="AP85">
        <f t="shared" si="109"/>
        <v>0</v>
      </c>
      <c r="AQ85">
        <f t="shared" si="109"/>
        <v>0</v>
      </c>
      <c r="AR85">
        <f t="shared" si="109"/>
        <v>0</v>
      </c>
      <c r="AS85">
        <f t="shared" si="109"/>
        <v>0</v>
      </c>
      <c r="AT85">
        <f t="shared" si="109"/>
        <v>0</v>
      </c>
      <c r="AU85">
        <f t="shared" si="109"/>
        <v>0</v>
      </c>
      <c r="AV85">
        <f t="shared" si="109"/>
        <v>0</v>
      </c>
      <c r="AW85">
        <f t="shared" si="109"/>
        <v>0</v>
      </c>
      <c r="AX85">
        <f t="shared" si="110"/>
        <v>0</v>
      </c>
      <c r="AY85">
        <f t="shared" si="110"/>
        <v>0</v>
      </c>
      <c r="AZ85">
        <f t="shared" si="110"/>
        <v>0</v>
      </c>
      <c r="BA85">
        <f t="shared" si="110"/>
        <v>0</v>
      </c>
      <c r="BB85">
        <f t="shared" si="110"/>
        <v>0</v>
      </c>
      <c r="BC85">
        <f t="shared" si="110"/>
        <v>0</v>
      </c>
      <c r="BD85">
        <f t="shared" si="110"/>
        <v>0</v>
      </c>
      <c r="BE85">
        <f t="shared" si="110"/>
        <v>0</v>
      </c>
      <c r="BF85">
        <f t="shared" si="110"/>
        <v>0</v>
      </c>
      <c r="BG85">
        <f t="shared" si="110"/>
        <v>0</v>
      </c>
      <c r="BH85">
        <f t="shared" si="111"/>
        <v>0</v>
      </c>
      <c r="BI85">
        <f t="shared" si="111"/>
        <v>0</v>
      </c>
      <c r="BJ85">
        <f t="shared" si="111"/>
        <v>0</v>
      </c>
      <c r="BK85">
        <f t="shared" si="111"/>
        <v>0</v>
      </c>
      <c r="BL85">
        <f t="shared" si="111"/>
        <v>0</v>
      </c>
      <c r="BM85">
        <f t="shared" si="111"/>
        <v>0</v>
      </c>
      <c r="BN85">
        <f t="shared" si="111"/>
        <v>0</v>
      </c>
      <c r="BO85">
        <f t="shared" si="111"/>
        <v>0</v>
      </c>
      <c r="BP85">
        <f t="shared" si="111"/>
        <v>0</v>
      </c>
      <c r="BQ85">
        <f t="shared" si="111"/>
        <v>0</v>
      </c>
      <c r="BR85">
        <f t="shared" si="112"/>
        <v>0</v>
      </c>
      <c r="BS85">
        <f t="shared" si="112"/>
        <v>0</v>
      </c>
      <c r="BT85">
        <f t="shared" si="112"/>
        <v>0</v>
      </c>
      <c r="BU85">
        <f t="shared" si="112"/>
        <v>0</v>
      </c>
      <c r="BV85">
        <f t="shared" si="112"/>
        <v>0</v>
      </c>
      <c r="BW85">
        <f t="shared" si="112"/>
        <v>0</v>
      </c>
      <c r="BX85">
        <f t="shared" si="112"/>
        <v>0</v>
      </c>
      <c r="BY85">
        <f t="shared" si="112"/>
        <v>0</v>
      </c>
      <c r="BZ85">
        <f t="shared" si="112"/>
        <v>0</v>
      </c>
      <c r="CA85">
        <f t="shared" si="112"/>
        <v>0</v>
      </c>
      <c r="CB85">
        <f t="shared" si="113"/>
        <v>0</v>
      </c>
      <c r="CC85">
        <f t="shared" si="113"/>
        <v>0</v>
      </c>
      <c r="CD85">
        <f t="shared" si="113"/>
        <v>0</v>
      </c>
      <c r="CE85">
        <f t="shared" si="113"/>
        <v>0</v>
      </c>
      <c r="CF85">
        <f t="shared" si="113"/>
        <v>0</v>
      </c>
      <c r="CG85">
        <f t="shared" si="113"/>
        <v>0</v>
      </c>
      <c r="CH85">
        <f t="shared" si="113"/>
        <v>0</v>
      </c>
      <c r="CI85">
        <f t="shared" si="113"/>
        <v>0</v>
      </c>
      <c r="CJ85">
        <f t="shared" si="113"/>
        <v>0</v>
      </c>
      <c r="CK85">
        <f t="shared" si="113"/>
        <v>0</v>
      </c>
      <c r="CL85">
        <f t="shared" si="114"/>
        <v>0</v>
      </c>
      <c r="CM85">
        <f t="shared" si="114"/>
        <v>0</v>
      </c>
      <c r="CN85">
        <f t="shared" si="114"/>
        <v>0</v>
      </c>
      <c r="CO85">
        <f t="shared" si="114"/>
        <v>0</v>
      </c>
      <c r="CP85">
        <f t="shared" si="114"/>
        <v>0</v>
      </c>
      <c r="CQ85">
        <f t="shared" si="114"/>
        <v>0</v>
      </c>
      <c r="CR85">
        <f t="shared" si="114"/>
        <v>0</v>
      </c>
      <c r="CS85">
        <f t="shared" si="114"/>
        <v>0</v>
      </c>
      <c r="CT85">
        <f t="shared" si="114"/>
        <v>0</v>
      </c>
      <c r="CU85">
        <f t="shared" si="114"/>
        <v>0</v>
      </c>
      <c r="CV85">
        <f t="shared" si="115"/>
        <v>0</v>
      </c>
      <c r="CW85">
        <f t="shared" si="115"/>
        <v>0</v>
      </c>
      <c r="CX85">
        <f t="shared" si="115"/>
        <v>0</v>
      </c>
      <c r="CY85">
        <f t="shared" si="115"/>
        <v>0</v>
      </c>
      <c r="CZ85">
        <f t="shared" si="115"/>
        <v>0</v>
      </c>
      <c r="DA85">
        <f t="shared" si="115"/>
        <v>0</v>
      </c>
      <c r="DB85">
        <f t="shared" si="115"/>
        <v>0</v>
      </c>
      <c r="DC85">
        <f t="shared" si="115"/>
        <v>0</v>
      </c>
      <c r="DD85">
        <f t="shared" si="115"/>
        <v>0</v>
      </c>
      <c r="DE85">
        <f t="shared" si="115"/>
        <v>0</v>
      </c>
      <c r="DF85">
        <f t="shared" si="116"/>
        <v>0</v>
      </c>
      <c r="DG85">
        <f t="shared" si="116"/>
        <v>0</v>
      </c>
      <c r="DH85">
        <f t="shared" si="116"/>
        <v>0</v>
      </c>
      <c r="DI85">
        <f t="shared" si="116"/>
        <v>0</v>
      </c>
      <c r="DJ85">
        <f t="shared" si="116"/>
        <v>0</v>
      </c>
      <c r="DK85">
        <f t="shared" si="116"/>
        <v>0</v>
      </c>
      <c r="DL85">
        <f t="shared" si="116"/>
        <v>0</v>
      </c>
      <c r="DM85">
        <f t="shared" si="116"/>
        <v>0</v>
      </c>
      <c r="DN85">
        <f t="shared" si="116"/>
        <v>0</v>
      </c>
      <c r="DO85">
        <f t="shared" si="116"/>
        <v>0</v>
      </c>
      <c r="DP85">
        <f t="shared" si="117"/>
        <v>0</v>
      </c>
      <c r="DQ85">
        <f t="shared" si="117"/>
        <v>0</v>
      </c>
      <c r="DR85">
        <f t="shared" si="117"/>
        <v>0</v>
      </c>
      <c r="DS85">
        <f t="shared" si="117"/>
        <v>0</v>
      </c>
      <c r="DT85">
        <f t="shared" si="117"/>
        <v>0</v>
      </c>
      <c r="DU85">
        <f t="shared" si="117"/>
        <v>0</v>
      </c>
      <c r="DV85">
        <f t="shared" si="117"/>
        <v>0</v>
      </c>
      <c r="DW85">
        <f t="shared" si="117"/>
        <v>0</v>
      </c>
      <c r="DX85">
        <f t="shared" si="117"/>
        <v>0</v>
      </c>
      <c r="DY85">
        <f t="shared" si="117"/>
        <v>0</v>
      </c>
      <c r="DZ85">
        <f t="shared" si="118"/>
        <v>0</v>
      </c>
      <c r="EA85">
        <f t="shared" si="118"/>
        <v>0</v>
      </c>
      <c r="EB85">
        <f t="shared" si="118"/>
        <v>0</v>
      </c>
      <c r="EC85">
        <f t="shared" si="118"/>
        <v>0</v>
      </c>
      <c r="ED85">
        <f t="shared" si="118"/>
        <v>0</v>
      </c>
      <c r="EE85">
        <f t="shared" si="118"/>
        <v>0</v>
      </c>
      <c r="EF85">
        <f t="shared" si="118"/>
        <v>0</v>
      </c>
      <c r="EG85">
        <f t="shared" si="118"/>
        <v>0</v>
      </c>
      <c r="EH85">
        <f t="shared" si="118"/>
        <v>0</v>
      </c>
      <c r="EI85">
        <f t="shared" si="118"/>
        <v>0</v>
      </c>
      <c r="EJ85">
        <f>SUM(Tabla1[[#This Row],[1]:[130]])</f>
        <v>0</v>
      </c>
    </row>
    <row r="86" spans="1:140" ht="15" customHeight="1" x14ac:dyDescent="0.25">
      <c r="A86" t="str">
        <f>B86&amp;"-"&amp;COUNTIF($B$2:B86,B86)</f>
        <v>I. PAPAS FRITAS-7</v>
      </c>
      <c r="B86" s="26" t="s">
        <v>13</v>
      </c>
      <c r="C86">
        <f>VLOOKUP(B86,RECETAS!D85:$E$1700,2,FALSE)</f>
        <v>28000</v>
      </c>
      <c r="D86" s="25" t="s">
        <v>336</v>
      </c>
      <c r="G86" t="b">
        <f t="shared" si="92"/>
        <v>1</v>
      </c>
      <c r="I86" s="37" t="s">
        <v>76</v>
      </c>
      <c r="J86">
        <f t="shared" si="106"/>
        <v>450</v>
      </c>
      <c r="K86">
        <f t="shared" si="106"/>
        <v>225</v>
      </c>
      <c r="L86">
        <f t="shared" si="106"/>
        <v>0</v>
      </c>
      <c r="M86">
        <f t="shared" si="106"/>
        <v>0</v>
      </c>
      <c r="N86">
        <f t="shared" si="106"/>
        <v>0</v>
      </c>
      <c r="O86">
        <f t="shared" si="106"/>
        <v>0</v>
      </c>
      <c r="P86">
        <f t="shared" si="106"/>
        <v>0</v>
      </c>
      <c r="Q86">
        <f t="shared" si="106"/>
        <v>0</v>
      </c>
      <c r="R86">
        <f t="shared" si="106"/>
        <v>0</v>
      </c>
      <c r="S86">
        <f t="shared" si="106"/>
        <v>0</v>
      </c>
      <c r="T86">
        <f t="shared" si="107"/>
        <v>0</v>
      </c>
      <c r="U86">
        <f t="shared" si="107"/>
        <v>0</v>
      </c>
      <c r="V86">
        <f t="shared" si="107"/>
        <v>0</v>
      </c>
      <c r="W86">
        <f t="shared" si="107"/>
        <v>0</v>
      </c>
      <c r="X86">
        <f t="shared" si="107"/>
        <v>0</v>
      </c>
      <c r="Y86">
        <f t="shared" si="107"/>
        <v>0</v>
      </c>
      <c r="Z86">
        <f t="shared" si="107"/>
        <v>0</v>
      </c>
      <c r="AA86">
        <f t="shared" si="107"/>
        <v>0</v>
      </c>
      <c r="AB86">
        <f t="shared" si="107"/>
        <v>0</v>
      </c>
      <c r="AC86">
        <f t="shared" si="107"/>
        <v>0</v>
      </c>
      <c r="AD86">
        <f t="shared" si="108"/>
        <v>0</v>
      </c>
      <c r="AE86">
        <f t="shared" si="108"/>
        <v>0</v>
      </c>
      <c r="AF86">
        <f t="shared" si="108"/>
        <v>0</v>
      </c>
      <c r="AG86">
        <f t="shared" si="108"/>
        <v>0</v>
      </c>
      <c r="AH86">
        <f t="shared" si="108"/>
        <v>0</v>
      </c>
      <c r="AI86">
        <f t="shared" si="108"/>
        <v>0</v>
      </c>
      <c r="AJ86">
        <f t="shared" si="108"/>
        <v>0</v>
      </c>
      <c r="AK86">
        <f t="shared" si="108"/>
        <v>0</v>
      </c>
      <c r="AL86">
        <f t="shared" si="108"/>
        <v>0</v>
      </c>
      <c r="AM86">
        <f t="shared" si="108"/>
        <v>0</v>
      </c>
      <c r="AN86">
        <f t="shared" si="109"/>
        <v>0</v>
      </c>
      <c r="AO86">
        <f t="shared" si="109"/>
        <v>0</v>
      </c>
      <c r="AP86">
        <f t="shared" si="109"/>
        <v>0</v>
      </c>
      <c r="AQ86">
        <f t="shared" si="109"/>
        <v>0</v>
      </c>
      <c r="AR86">
        <f t="shared" si="109"/>
        <v>0</v>
      </c>
      <c r="AS86">
        <f t="shared" si="109"/>
        <v>0</v>
      </c>
      <c r="AT86">
        <f t="shared" si="109"/>
        <v>0</v>
      </c>
      <c r="AU86">
        <f t="shared" si="109"/>
        <v>0</v>
      </c>
      <c r="AV86">
        <f t="shared" si="109"/>
        <v>0</v>
      </c>
      <c r="AW86">
        <f t="shared" si="109"/>
        <v>0</v>
      </c>
      <c r="AX86">
        <f t="shared" si="110"/>
        <v>0</v>
      </c>
      <c r="AY86">
        <f t="shared" si="110"/>
        <v>0</v>
      </c>
      <c r="AZ86">
        <f t="shared" si="110"/>
        <v>0</v>
      </c>
      <c r="BA86">
        <f t="shared" si="110"/>
        <v>0</v>
      </c>
      <c r="BB86">
        <f t="shared" si="110"/>
        <v>0</v>
      </c>
      <c r="BC86">
        <f t="shared" si="110"/>
        <v>0</v>
      </c>
      <c r="BD86">
        <f t="shared" si="110"/>
        <v>0</v>
      </c>
      <c r="BE86">
        <f t="shared" si="110"/>
        <v>0</v>
      </c>
      <c r="BF86">
        <f t="shared" si="110"/>
        <v>0</v>
      </c>
      <c r="BG86">
        <f t="shared" si="110"/>
        <v>0</v>
      </c>
      <c r="BH86">
        <f t="shared" si="111"/>
        <v>0</v>
      </c>
      <c r="BI86">
        <f t="shared" si="111"/>
        <v>0</v>
      </c>
      <c r="BJ86">
        <f t="shared" si="111"/>
        <v>0</v>
      </c>
      <c r="BK86">
        <f t="shared" si="111"/>
        <v>0</v>
      </c>
      <c r="BL86">
        <f t="shared" si="111"/>
        <v>0</v>
      </c>
      <c r="BM86">
        <f t="shared" si="111"/>
        <v>0</v>
      </c>
      <c r="BN86">
        <f t="shared" si="111"/>
        <v>0</v>
      </c>
      <c r="BO86">
        <f t="shared" si="111"/>
        <v>0</v>
      </c>
      <c r="BP86">
        <f t="shared" si="111"/>
        <v>0</v>
      </c>
      <c r="BQ86">
        <f t="shared" si="111"/>
        <v>0</v>
      </c>
      <c r="BR86">
        <f t="shared" si="112"/>
        <v>0</v>
      </c>
      <c r="BS86">
        <f t="shared" si="112"/>
        <v>0</v>
      </c>
      <c r="BT86">
        <f t="shared" si="112"/>
        <v>0</v>
      </c>
      <c r="BU86">
        <f t="shared" si="112"/>
        <v>0</v>
      </c>
      <c r="BV86">
        <f t="shared" si="112"/>
        <v>0</v>
      </c>
      <c r="BW86">
        <f t="shared" si="112"/>
        <v>0</v>
      </c>
      <c r="BX86">
        <f t="shared" si="112"/>
        <v>0</v>
      </c>
      <c r="BY86">
        <f t="shared" si="112"/>
        <v>0</v>
      </c>
      <c r="BZ86">
        <f t="shared" si="112"/>
        <v>0</v>
      </c>
      <c r="CA86">
        <f t="shared" si="112"/>
        <v>0</v>
      </c>
      <c r="CB86">
        <f t="shared" si="113"/>
        <v>0</v>
      </c>
      <c r="CC86">
        <f t="shared" si="113"/>
        <v>0</v>
      </c>
      <c r="CD86">
        <f t="shared" si="113"/>
        <v>0</v>
      </c>
      <c r="CE86">
        <f t="shared" si="113"/>
        <v>0</v>
      </c>
      <c r="CF86">
        <f t="shared" si="113"/>
        <v>0</v>
      </c>
      <c r="CG86">
        <f t="shared" si="113"/>
        <v>0</v>
      </c>
      <c r="CH86">
        <f t="shared" si="113"/>
        <v>0</v>
      </c>
      <c r="CI86">
        <f t="shared" si="113"/>
        <v>0</v>
      </c>
      <c r="CJ86">
        <f t="shared" si="113"/>
        <v>0</v>
      </c>
      <c r="CK86">
        <f t="shared" si="113"/>
        <v>0</v>
      </c>
      <c r="CL86">
        <f t="shared" si="114"/>
        <v>0</v>
      </c>
      <c r="CM86">
        <f t="shared" si="114"/>
        <v>0</v>
      </c>
      <c r="CN86">
        <f t="shared" si="114"/>
        <v>0</v>
      </c>
      <c r="CO86">
        <f t="shared" si="114"/>
        <v>0</v>
      </c>
      <c r="CP86">
        <f t="shared" si="114"/>
        <v>0</v>
      </c>
      <c r="CQ86">
        <f t="shared" si="114"/>
        <v>0</v>
      </c>
      <c r="CR86">
        <f t="shared" si="114"/>
        <v>0</v>
      </c>
      <c r="CS86">
        <f t="shared" si="114"/>
        <v>0</v>
      </c>
      <c r="CT86">
        <f t="shared" si="114"/>
        <v>0</v>
      </c>
      <c r="CU86">
        <f t="shared" si="114"/>
        <v>0</v>
      </c>
      <c r="CV86">
        <f t="shared" si="115"/>
        <v>0</v>
      </c>
      <c r="CW86">
        <f t="shared" si="115"/>
        <v>0</v>
      </c>
      <c r="CX86">
        <f t="shared" si="115"/>
        <v>0</v>
      </c>
      <c r="CY86">
        <f t="shared" si="115"/>
        <v>0</v>
      </c>
      <c r="CZ86">
        <f t="shared" si="115"/>
        <v>0</v>
      </c>
      <c r="DA86">
        <f t="shared" si="115"/>
        <v>0</v>
      </c>
      <c r="DB86">
        <f t="shared" si="115"/>
        <v>0</v>
      </c>
      <c r="DC86">
        <f t="shared" si="115"/>
        <v>0</v>
      </c>
      <c r="DD86">
        <f t="shared" si="115"/>
        <v>0</v>
      </c>
      <c r="DE86">
        <f t="shared" si="115"/>
        <v>0</v>
      </c>
      <c r="DF86">
        <f t="shared" si="116"/>
        <v>0</v>
      </c>
      <c r="DG86">
        <f t="shared" si="116"/>
        <v>0</v>
      </c>
      <c r="DH86">
        <f t="shared" si="116"/>
        <v>0</v>
      </c>
      <c r="DI86">
        <f t="shared" si="116"/>
        <v>0</v>
      </c>
      <c r="DJ86">
        <f t="shared" si="116"/>
        <v>0</v>
      </c>
      <c r="DK86">
        <f t="shared" si="116"/>
        <v>0</v>
      </c>
      <c r="DL86">
        <f t="shared" si="116"/>
        <v>0</v>
      </c>
      <c r="DM86">
        <f t="shared" si="116"/>
        <v>0</v>
      </c>
      <c r="DN86">
        <f t="shared" si="116"/>
        <v>0</v>
      </c>
      <c r="DO86">
        <f t="shared" si="116"/>
        <v>0</v>
      </c>
      <c r="DP86">
        <f t="shared" si="117"/>
        <v>0</v>
      </c>
      <c r="DQ86">
        <f t="shared" si="117"/>
        <v>0</v>
      </c>
      <c r="DR86">
        <f t="shared" si="117"/>
        <v>0</v>
      </c>
      <c r="DS86">
        <f t="shared" si="117"/>
        <v>0</v>
      </c>
      <c r="DT86">
        <f t="shared" si="117"/>
        <v>0</v>
      </c>
      <c r="DU86">
        <f t="shared" si="117"/>
        <v>0</v>
      </c>
      <c r="DV86">
        <f t="shared" si="117"/>
        <v>0</v>
      </c>
      <c r="DW86">
        <f t="shared" si="117"/>
        <v>0</v>
      </c>
      <c r="DX86">
        <f t="shared" si="117"/>
        <v>0</v>
      </c>
      <c r="DY86">
        <f t="shared" si="117"/>
        <v>0</v>
      </c>
      <c r="DZ86">
        <f t="shared" si="118"/>
        <v>0</v>
      </c>
      <c r="EA86">
        <f t="shared" si="118"/>
        <v>0</v>
      </c>
      <c r="EB86">
        <f t="shared" si="118"/>
        <v>0</v>
      </c>
      <c r="EC86">
        <f t="shared" si="118"/>
        <v>0</v>
      </c>
      <c r="ED86">
        <f t="shared" si="118"/>
        <v>0</v>
      </c>
      <c r="EE86">
        <f t="shared" si="118"/>
        <v>0</v>
      </c>
      <c r="EF86">
        <f t="shared" si="118"/>
        <v>0</v>
      </c>
      <c r="EG86">
        <f t="shared" si="118"/>
        <v>0</v>
      </c>
      <c r="EH86">
        <f t="shared" si="118"/>
        <v>0</v>
      </c>
      <c r="EI86">
        <f t="shared" si="118"/>
        <v>0</v>
      </c>
      <c r="EJ86">
        <f>SUM(Tabla1[[#This Row],[1]:[130]])</f>
        <v>675</v>
      </c>
    </row>
    <row r="87" spans="1:140" ht="15" customHeight="1" x14ac:dyDescent="0.25">
      <c r="A87" t="str">
        <f>B87&amp;"-"&amp;COUNTIF($B$2:B87,B87)</f>
        <v>I. QUESO GRANULADO-10</v>
      </c>
      <c r="B87" s="35" t="s">
        <v>9</v>
      </c>
      <c r="C87">
        <f>VLOOKUP(B87,RECETAS!D86:$E$1700,2,FALSE)</f>
        <v>5250</v>
      </c>
      <c r="D87" s="34"/>
      <c r="G87" t="b">
        <f t="shared" si="92"/>
        <v>1</v>
      </c>
      <c r="I87" s="103" t="s">
        <v>77</v>
      </c>
      <c r="J87">
        <f t="shared" si="106"/>
        <v>3</v>
      </c>
      <c r="K87">
        <f t="shared" si="106"/>
        <v>7</v>
      </c>
      <c r="L87">
        <f t="shared" si="106"/>
        <v>7</v>
      </c>
      <c r="M87">
        <f t="shared" si="106"/>
        <v>0</v>
      </c>
      <c r="N87">
        <f t="shared" si="106"/>
        <v>0</v>
      </c>
      <c r="O87">
        <f t="shared" si="106"/>
        <v>0</v>
      </c>
      <c r="P87">
        <f t="shared" si="106"/>
        <v>0</v>
      </c>
      <c r="Q87">
        <f t="shared" si="106"/>
        <v>0</v>
      </c>
      <c r="R87">
        <f t="shared" si="106"/>
        <v>0</v>
      </c>
      <c r="S87">
        <f t="shared" si="106"/>
        <v>0</v>
      </c>
      <c r="T87">
        <f t="shared" si="107"/>
        <v>0</v>
      </c>
      <c r="U87">
        <f t="shared" si="107"/>
        <v>0</v>
      </c>
      <c r="V87">
        <f t="shared" si="107"/>
        <v>0</v>
      </c>
      <c r="W87">
        <f t="shared" si="107"/>
        <v>0</v>
      </c>
      <c r="X87">
        <f t="shared" si="107"/>
        <v>0</v>
      </c>
      <c r="Y87">
        <f t="shared" si="107"/>
        <v>0</v>
      </c>
      <c r="Z87">
        <f t="shared" si="107"/>
        <v>0</v>
      </c>
      <c r="AA87">
        <f t="shared" si="107"/>
        <v>0</v>
      </c>
      <c r="AB87">
        <f t="shared" si="107"/>
        <v>0</v>
      </c>
      <c r="AC87">
        <f t="shared" si="107"/>
        <v>0</v>
      </c>
      <c r="AD87">
        <f t="shared" si="108"/>
        <v>0</v>
      </c>
      <c r="AE87">
        <f t="shared" si="108"/>
        <v>0</v>
      </c>
      <c r="AF87">
        <f t="shared" si="108"/>
        <v>0</v>
      </c>
      <c r="AG87">
        <f t="shared" si="108"/>
        <v>0</v>
      </c>
      <c r="AH87">
        <f t="shared" si="108"/>
        <v>0</v>
      </c>
      <c r="AI87">
        <f t="shared" si="108"/>
        <v>0</v>
      </c>
      <c r="AJ87">
        <f t="shared" si="108"/>
        <v>0</v>
      </c>
      <c r="AK87">
        <f t="shared" si="108"/>
        <v>0</v>
      </c>
      <c r="AL87">
        <f t="shared" si="108"/>
        <v>0</v>
      </c>
      <c r="AM87">
        <f t="shared" si="108"/>
        <v>0</v>
      </c>
      <c r="AN87">
        <f t="shared" si="109"/>
        <v>0</v>
      </c>
      <c r="AO87">
        <f t="shared" si="109"/>
        <v>0</v>
      </c>
      <c r="AP87">
        <f t="shared" si="109"/>
        <v>0</v>
      </c>
      <c r="AQ87">
        <f t="shared" si="109"/>
        <v>0</v>
      </c>
      <c r="AR87">
        <f t="shared" si="109"/>
        <v>0</v>
      </c>
      <c r="AS87">
        <f t="shared" si="109"/>
        <v>0</v>
      </c>
      <c r="AT87">
        <f t="shared" si="109"/>
        <v>0</v>
      </c>
      <c r="AU87">
        <f t="shared" si="109"/>
        <v>0</v>
      </c>
      <c r="AV87">
        <f t="shared" si="109"/>
        <v>0</v>
      </c>
      <c r="AW87">
        <f t="shared" si="109"/>
        <v>0</v>
      </c>
      <c r="AX87">
        <f t="shared" si="110"/>
        <v>0</v>
      </c>
      <c r="AY87">
        <f t="shared" si="110"/>
        <v>0</v>
      </c>
      <c r="AZ87">
        <f t="shared" si="110"/>
        <v>0</v>
      </c>
      <c r="BA87">
        <f t="shared" si="110"/>
        <v>0</v>
      </c>
      <c r="BB87">
        <f t="shared" si="110"/>
        <v>0</v>
      </c>
      <c r="BC87">
        <f t="shared" si="110"/>
        <v>0</v>
      </c>
      <c r="BD87">
        <f t="shared" si="110"/>
        <v>0</v>
      </c>
      <c r="BE87">
        <f t="shared" si="110"/>
        <v>0</v>
      </c>
      <c r="BF87">
        <f t="shared" si="110"/>
        <v>0</v>
      </c>
      <c r="BG87">
        <f t="shared" si="110"/>
        <v>0</v>
      </c>
      <c r="BH87">
        <f t="shared" si="111"/>
        <v>0</v>
      </c>
      <c r="BI87">
        <f t="shared" si="111"/>
        <v>0</v>
      </c>
      <c r="BJ87">
        <f t="shared" si="111"/>
        <v>0</v>
      </c>
      <c r="BK87">
        <f t="shared" si="111"/>
        <v>0</v>
      </c>
      <c r="BL87">
        <f t="shared" si="111"/>
        <v>0</v>
      </c>
      <c r="BM87">
        <f t="shared" si="111"/>
        <v>0</v>
      </c>
      <c r="BN87">
        <f t="shared" si="111"/>
        <v>0</v>
      </c>
      <c r="BO87">
        <f t="shared" si="111"/>
        <v>0</v>
      </c>
      <c r="BP87">
        <f t="shared" si="111"/>
        <v>0</v>
      </c>
      <c r="BQ87">
        <f t="shared" si="111"/>
        <v>0</v>
      </c>
      <c r="BR87">
        <f t="shared" si="112"/>
        <v>0</v>
      </c>
      <c r="BS87">
        <f t="shared" si="112"/>
        <v>0</v>
      </c>
      <c r="BT87">
        <f t="shared" si="112"/>
        <v>0</v>
      </c>
      <c r="BU87">
        <f t="shared" si="112"/>
        <v>0</v>
      </c>
      <c r="BV87">
        <f t="shared" si="112"/>
        <v>0</v>
      </c>
      <c r="BW87">
        <f t="shared" si="112"/>
        <v>0</v>
      </c>
      <c r="BX87">
        <f t="shared" si="112"/>
        <v>0</v>
      </c>
      <c r="BY87">
        <f t="shared" si="112"/>
        <v>0</v>
      </c>
      <c r="BZ87">
        <f t="shared" si="112"/>
        <v>0</v>
      </c>
      <c r="CA87">
        <f t="shared" si="112"/>
        <v>0</v>
      </c>
      <c r="CB87">
        <f t="shared" si="113"/>
        <v>0</v>
      </c>
      <c r="CC87">
        <f t="shared" si="113"/>
        <v>0</v>
      </c>
      <c r="CD87">
        <f t="shared" si="113"/>
        <v>0</v>
      </c>
      <c r="CE87">
        <f t="shared" si="113"/>
        <v>0</v>
      </c>
      <c r="CF87">
        <f t="shared" si="113"/>
        <v>0</v>
      </c>
      <c r="CG87">
        <f t="shared" si="113"/>
        <v>0</v>
      </c>
      <c r="CH87">
        <f t="shared" si="113"/>
        <v>0</v>
      </c>
      <c r="CI87">
        <f t="shared" si="113"/>
        <v>0</v>
      </c>
      <c r="CJ87">
        <f t="shared" si="113"/>
        <v>0</v>
      </c>
      <c r="CK87">
        <f t="shared" si="113"/>
        <v>0</v>
      </c>
      <c r="CL87">
        <f t="shared" si="114"/>
        <v>0</v>
      </c>
      <c r="CM87">
        <f t="shared" si="114"/>
        <v>0</v>
      </c>
      <c r="CN87">
        <f t="shared" si="114"/>
        <v>0</v>
      </c>
      <c r="CO87">
        <f t="shared" si="114"/>
        <v>0</v>
      </c>
      <c r="CP87">
        <f t="shared" si="114"/>
        <v>0</v>
      </c>
      <c r="CQ87">
        <f t="shared" si="114"/>
        <v>0</v>
      </c>
      <c r="CR87">
        <f t="shared" si="114"/>
        <v>0</v>
      </c>
      <c r="CS87">
        <f t="shared" si="114"/>
        <v>0</v>
      </c>
      <c r="CT87">
        <f t="shared" si="114"/>
        <v>0</v>
      </c>
      <c r="CU87">
        <f t="shared" si="114"/>
        <v>0</v>
      </c>
      <c r="CV87">
        <f t="shared" si="115"/>
        <v>0</v>
      </c>
      <c r="CW87">
        <f t="shared" si="115"/>
        <v>0</v>
      </c>
      <c r="CX87">
        <f t="shared" si="115"/>
        <v>0</v>
      </c>
      <c r="CY87">
        <f t="shared" si="115"/>
        <v>0</v>
      </c>
      <c r="CZ87">
        <f t="shared" si="115"/>
        <v>0</v>
      </c>
      <c r="DA87">
        <f t="shared" si="115"/>
        <v>0</v>
      </c>
      <c r="DB87">
        <f t="shared" si="115"/>
        <v>0</v>
      </c>
      <c r="DC87">
        <f t="shared" si="115"/>
        <v>0</v>
      </c>
      <c r="DD87">
        <f t="shared" si="115"/>
        <v>0</v>
      </c>
      <c r="DE87">
        <f t="shared" si="115"/>
        <v>0</v>
      </c>
      <c r="DF87">
        <f t="shared" si="116"/>
        <v>0</v>
      </c>
      <c r="DG87">
        <f t="shared" si="116"/>
        <v>0</v>
      </c>
      <c r="DH87">
        <f t="shared" si="116"/>
        <v>0</v>
      </c>
      <c r="DI87">
        <f t="shared" si="116"/>
        <v>0</v>
      </c>
      <c r="DJ87">
        <f t="shared" si="116"/>
        <v>0</v>
      </c>
      <c r="DK87">
        <f t="shared" si="116"/>
        <v>0</v>
      </c>
      <c r="DL87">
        <f t="shared" si="116"/>
        <v>0</v>
      </c>
      <c r="DM87">
        <f t="shared" si="116"/>
        <v>0</v>
      </c>
      <c r="DN87">
        <f t="shared" si="116"/>
        <v>0</v>
      </c>
      <c r="DO87">
        <f t="shared" si="116"/>
        <v>0</v>
      </c>
      <c r="DP87">
        <f t="shared" si="117"/>
        <v>0</v>
      </c>
      <c r="DQ87">
        <f t="shared" si="117"/>
        <v>0</v>
      </c>
      <c r="DR87">
        <f t="shared" si="117"/>
        <v>0</v>
      </c>
      <c r="DS87">
        <f t="shared" si="117"/>
        <v>0</v>
      </c>
      <c r="DT87">
        <f t="shared" si="117"/>
        <v>0</v>
      </c>
      <c r="DU87">
        <f t="shared" si="117"/>
        <v>0</v>
      </c>
      <c r="DV87">
        <f t="shared" si="117"/>
        <v>0</v>
      </c>
      <c r="DW87">
        <f t="shared" si="117"/>
        <v>0</v>
      </c>
      <c r="DX87">
        <f t="shared" si="117"/>
        <v>0</v>
      </c>
      <c r="DY87">
        <f t="shared" si="117"/>
        <v>0</v>
      </c>
      <c r="DZ87">
        <f t="shared" si="118"/>
        <v>0</v>
      </c>
      <c r="EA87">
        <f t="shared" si="118"/>
        <v>0</v>
      </c>
      <c r="EB87">
        <f t="shared" si="118"/>
        <v>0</v>
      </c>
      <c r="EC87">
        <f t="shared" si="118"/>
        <v>0</v>
      </c>
      <c r="ED87">
        <f t="shared" si="118"/>
        <v>0</v>
      </c>
      <c r="EE87">
        <f t="shared" si="118"/>
        <v>0</v>
      </c>
      <c r="EF87">
        <f t="shared" si="118"/>
        <v>0</v>
      </c>
      <c r="EG87">
        <f t="shared" si="118"/>
        <v>0</v>
      </c>
      <c r="EH87">
        <f t="shared" si="118"/>
        <v>0</v>
      </c>
      <c r="EI87">
        <f t="shared" si="118"/>
        <v>0</v>
      </c>
      <c r="EJ87">
        <f>SUM(Tabla1[[#This Row],[1]:[130]])</f>
        <v>17</v>
      </c>
    </row>
    <row r="88" spans="1:140" ht="15" customHeight="1" x14ac:dyDescent="0.25">
      <c r="A88" t="str">
        <f>B88&amp;"-"&amp;COUNTIF($B$2:B88,B88)</f>
        <v>I. CREMA ESPESA-14</v>
      </c>
      <c r="B88" s="35" t="s">
        <v>16</v>
      </c>
      <c r="C88">
        <f>VLOOKUP(B88,RECETAS!D87:$E$1700,2,FALSE)</f>
        <v>5250</v>
      </c>
      <c r="D88" s="34"/>
      <c r="G88" t="b">
        <f t="shared" si="92"/>
        <v>1</v>
      </c>
      <c r="I88" s="38" t="s">
        <v>313</v>
      </c>
      <c r="J88">
        <f t="shared" si="106"/>
        <v>2</v>
      </c>
      <c r="K88">
        <f t="shared" si="106"/>
        <v>0</v>
      </c>
      <c r="L88">
        <f t="shared" si="106"/>
        <v>0</v>
      </c>
      <c r="M88">
        <f t="shared" si="106"/>
        <v>0</v>
      </c>
      <c r="N88">
        <f t="shared" si="106"/>
        <v>0</v>
      </c>
      <c r="O88">
        <f t="shared" si="106"/>
        <v>0</v>
      </c>
      <c r="P88">
        <f t="shared" si="106"/>
        <v>0</v>
      </c>
      <c r="Q88">
        <f t="shared" si="106"/>
        <v>0</v>
      </c>
      <c r="R88">
        <f t="shared" si="106"/>
        <v>0</v>
      </c>
      <c r="S88">
        <f t="shared" si="106"/>
        <v>0</v>
      </c>
      <c r="T88">
        <f t="shared" si="107"/>
        <v>0</v>
      </c>
      <c r="U88">
        <f t="shared" si="107"/>
        <v>0</v>
      </c>
      <c r="V88">
        <f t="shared" si="107"/>
        <v>0</v>
      </c>
      <c r="W88">
        <f t="shared" si="107"/>
        <v>0</v>
      </c>
      <c r="X88">
        <f t="shared" si="107"/>
        <v>0</v>
      </c>
      <c r="Y88">
        <f t="shared" si="107"/>
        <v>0</v>
      </c>
      <c r="Z88">
        <f t="shared" si="107"/>
        <v>0</v>
      </c>
      <c r="AA88">
        <f t="shared" si="107"/>
        <v>0</v>
      </c>
      <c r="AB88">
        <f t="shared" si="107"/>
        <v>0</v>
      </c>
      <c r="AC88">
        <f t="shared" si="107"/>
        <v>0</v>
      </c>
      <c r="AD88">
        <f t="shared" si="108"/>
        <v>0</v>
      </c>
      <c r="AE88">
        <f t="shared" si="108"/>
        <v>0</v>
      </c>
      <c r="AF88">
        <f t="shared" si="108"/>
        <v>0</v>
      </c>
      <c r="AG88">
        <f t="shared" si="108"/>
        <v>0</v>
      </c>
      <c r="AH88">
        <f t="shared" si="108"/>
        <v>0</v>
      </c>
      <c r="AI88">
        <f t="shared" si="108"/>
        <v>0</v>
      </c>
      <c r="AJ88">
        <f t="shared" si="108"/>
        <v>0</v>
      </c>
      <c r="AK88">
        <f t="shared" si="108"/>
        <v>0</v>
      </c>
      <c r="AL88">
        <f t="shared" si="108"/>
        <v>0</v>
      </c>
      <c r="AM88">
        <f t="shared" si="108"/>
        <v>0</v>
      </c>
      <c r="AN88">
        <f t="shared" si="109"/>
        <v>0</v>
      </c>
      <c r="AO88">
        <f t="shared" si="109"/>
        <v>0</v>
      </c>
      <c r="AP88">
        <f t="shared" si="109"/>
        <v>0</v>
      </c>
      <c r="AQ88">
        <f t="shared" si="109"/>
        <v>0</v>
      </c>
      <c r="AR88">
        <f t="shared" si="109"/>
        <v>0</v>
      </c>
      <c r="AS88">
        <f t="shared" si="109"/>
        <v>0</v>
      </c>
      <c r="AT88">
        <f t="shared" si="109"/>
        <v>0</v>
      </c>
      <c r="AU88">
        <f t="shared" si="109"/>
        <v>0</v>
      </c>
      <c r="AV88">
        <f t="shared" si="109"/>
        <v>0</v>
      </c>
      <c r="AW88">
        <f t="shared" si="109"/>
        <v>0</v>
      </c>
      <c r="AX88">
        <f t="shared" si="110"/>
        <v>0</v>
      </c>
      <c r="AY88">
        <f t="shared" si="110"/>
        <v>0</v>
      </c>
      <c r="AZ88">
        <f t="shared" si="110"/>
        <v>0</v>
      </c>
      <c r="BA88">
        <f t="shared" si="110"/>
        <v>0</v>
      </c>
      <c r="BB88">
        <f t="shared" si="110"/>
        <v>0</v>
      </c>
      <c r="BC88">
        <f t="shared" si="110"/>
        <v>0</v>
      </c>
      <c r="BD88">
        <f t="shared" si="110"/>
        <v>0</v>
      </c>
      <c r="BE88">
        <f t="shared" si="110"/>
        <v>0</v>
      </c>
      <c r="BF88">
        <f t="shared" si="110"/>
        <v>0</v>
      </c>
      <c r="BG88">
        <f t="shared" si="110"/>
        <v>0</v>
      </c>
      <c r="BH88">
        <f t="shared" si="111"/>
        <v>0</v>
      </c>
      <c r="BI88">
        <f t="shared" si="111"/>
        <v>0</v>
      </c>
      <c r="BJ88">
        <f t="shared" si="111"/>
        <v>0</v>
      </c>
      <c r="BK88">
        <f t="shared" si="111"/>
        <v>0</v>
      </c>
      <c r="BL88">
        <f t="shared" si="111"/>
        <v>0</v>
      </c>
      <c r="BM88">
        <f t="shared" si="111"/>
        <v>0</v>
      </c>
      <c r="BN88">
        <f t="shared" si="111"/>
        <v>0</v>
      </c>
      <c r="BO88">
        <f t="shared" si="111"/>
        <v>0</v>
      </c>
      <c r="BP88">
        <f t="shared" si="111"/>
        <v>0</v>
      </c>
      <c r="BQ88">
        <f t="shared" si="111"/>
        <v>0</v>
      </c>
      <c r="BR88">
        <f t="shared" si="112"/>
        <v>0</v>
      </c>
      <c r="BS88">
        <f t="shared" si="112"/>
        <v>0</v>
      </c>
      <c r="BT88">
        <f t="shared" si="112"/>
        <v>0</v>
      </c>
      <c r="BU88">
        <f t="shared" si="112"/>
        <v>0</v>
      </c>
      <c r="BV88">
        <f t="shared" si="112"/>
        <v>0</v>
      </c>
      <c r="BW88">
        <f t="shared" si="112"/>
        <v>0</v>
      </c>
      <c r="BX88">
        <f t="shared" si="112"/>
        <v>0</v>
      </c>
      <c r="BY88">
        <f t="shared" si="112"/>
        <v>0</v>
      </c>
      <c r="BZ88">
        <f t="shared" si="112"/>
        <v>0</v>
      </c>
      <c r="CA88">
        <f t="shared" si="112"/>
        <v>0</v>
      </c>
      <c r="CB88">
        <f t="shared" si="113"/>
        <v>0</v>
      </c>
      <c r="CC88">
        <f t="shared" si="113"/>
        <v>0</v>
      </c>
      <c r="CD88">
        <f t="shared" si="113"/>
        <v>0</v>
      </c>
      <c r="CE88">
        <f t="shared" si="113"/>
        <v>0</v>
      </c>
      <c r="CF88">
        <f t="shared" si="113"/>
        <v>0</v>
      </c>
      <c r="CG88">
        <f t="shared" si="113"/>
        <v>0</v>
      </c>
      <c r="CH88">
        <f t="shared" si="113"/>
        <v>0</v>
      </c>
      <c r="CI88">
        <f t="shared" si="113"/>
        <v>0</v>
      </c>
      <c r="CJ88">
        <f t="shared" si="113"/>
        <v>0</v>
      </c>
      <c r="CK88">
        <f t="shared" si="113"/>
        <v>0</v>
      </c>
      <c r="CL88">
        <f t="shared" si="114"/>
        <v>0</v>
      </c>
      <c r="CM88">
        <f t="shared" si="114"/>
        <v>0</v>
      </c>
      <c r="CN88">
        <f t="shared" si="114"/>
        <v>0</v>
      </c>
      <c r="CO88">
        <f t="shared" si="114"/>
        <v>0</v>
      </c>
      <c r="CP88">
        <f t="shared" si="114"/>
        <v>0</v>
      </c>
      <c r="CQ88">
        <f t="shared" si="114"/>
        <v>0</v>
      </c>
      <c r="CR88">
        <f t="shared" si="114"/>
        <v>0</v>
      </c>
      <c r="CS88">
        <f t="shared" si="114"/>
        <v>0</v>
      </c>
      <c r="CT88">
        <f t="shared" si="114"/>
        <v>0</v>
      </c>
      <c r="CU88">
        <f t="shared" si="114"/>
        <v>0</v>
      </c>
      <c r="CV88">
        <f t="shared" si="115"/>
        <v>0</v>
      </c>
      <c r="CW88">
        <f t="shared" si="115"/>
        <v>0</v>
      </c>
      <c r="CX88">
        <f t="shared" si="115"/>
        <v>0</v>
      </c>
      <c r="CY88">
        <f t="shared" si="115"/>
        <v>0</v>
      </c>
      <c r="CZ88">
        <f t="shared" si="115"/>
        <v>0</v>
      </c>
      <c r="DA88">
        <f t="shared" si="115"/>
        <v>0</v>
      </c>
      <c r="DB88">
        <f t="shared" si="115"/>
        <v>0</v>
      </c>
      <c r="DC88">
        <f t="shared" si="115"/>
        <v>0</v>
      </c>
      <c r="DD88">
        <f t="shared" si="115"/>
        <v>0</v>
      </c>
      <c r="DE88">
        <f t="shared" si="115"/>
        <v>0</v>
      </c>
      <c r="DF88">
        <f t="shared" si="116"/>
        <v>0</v>
      </c>
      <c r="DG88">
        <f t="shared" si="116"/>
        <v>0</v>
      </c>
      <c r="DH88">
        <f t="shared" si="116"/>
        <v>0</v>
      </c>
      <c r="DI88">
        <f t="shared" si="116"/>
        <v>0</v>
      </c>
      <c r="DJ88">
        <f t="shared" si="116"/>
        <v>0</v>
      </c>
      <c r="DK88">
        <f t="shared" si="116"/>
        <v>0</v>
      </c>
      <c r="DL88">
        <f t="shared" si="116"/>
        <v>0</v>
      </c>
      <c r="DM88">
        <f t="shared" si="116"/>
        <v>0</v>
      </c>
      <c r="DN88">
        <f t="shared" si="116"/>
        <v>0</v>
      </c>
      <c r="DO88">
        <f t="shared" si="116"/>
        <v>0</v>
      </c>
      <c r="DP88">
        <f t="shared" si="117"/>
        <v>0</v>
      </c>
      <c r="DQ88">
        <f t="shared" si="117"/>
        <v>0</v>
      </c>
      <c r="DR88">
        <f t="shared" si="117"/>
        <v>0</v>
      </c>
      <c r="DS88">
        <f t="shared" si="117"/>
        <v>0</v>
      </c>
      <c r="DT88">
        <f t="shared" si="117"/>
        <v>0</v>
      </c>
      <c r="DU88">
        <f t="shared" si="117"/>
        <v>0</v>
      </c>
      <c r="DV88">
        <f t="shared" si="117"/>
        <v>0</v>
      </c>
      <c r="DW88">
        <f t="shared" si="117"/>
        <v>0</v>
      </c>
      <c r="DX88">
        <f t="shared" si="117"/>
        <v>0</v>
      </c>
      <c r="DY88">
        <f t="shared" si="117"/>
        <v>0</v>
      </c>
      <c r="DZ88">
        <f t="shared" si="118"/>
        <v>0</v>
      </c>
      <c r="EA88">
        <f t="shared" si="118"/>
        <v>0</v>
      </c>
      <c r="EB88">
        <f t="shared" si="118"/>
        <v>0</v>
      </c>
      <c r="EC88">
        <f t="shared" si="118"/>
        <v>0</v>
      </c>
      <c r="ED88">
        <f t="shared" si="118"/>
        <v>0</v>
      </c>
      <c r="EE88">
        <f t="shared" si="118"/>
        <v>0</v>
      </c>
      <c r="EF88">
        <f t="shared" si="118"/>
        <v>0</v>
      </c>
      <c r="EG88">
        <f t="shared" si="118"/>
        <v>0</v>
      </c>
      <c r="EH88">
        <f t="shared" si="118"/>
        <v>0</v>
      </c>
      <c r="EI88">
        <f t="shared" si="118"/>
        <v>0</v>
      </c>
      <c r="EJ88">
        <f>SUM(Tabla1[[#This Row],[1]:[130]])</f>
        <v>2</v>
      </c>
    </row>
    <row r="89" spans="1:140" ht="15.75" customHeight="1" x14ac:dyDescent="0.25">
      <c r="A89" t="str">
        <f>B89&amp;"-"&amp;COUNTIF($B$2:B89,B89)</f>
        <v>I. CIBOULET-5</v>
      </c>
      <c r="B89" s="35" t="s">
        <v>23</v>
      </c>
      <c r="C89">
        <f>VLOOKUP(B89,RECETAS!D88:$E$1700,2,FALSE)</f>
        <v>700</v>
      </c>
      <c r="D89" s="34"/>
      <c r="G89" t="b">
        <f t="shared" si="92"/>
        <v>1</v>
      </c>
      <c r="I89" s="36" t="s">
        <v>78</v>
      </c>
      <c r="J89">
        <f t="shared" si="106"/>
        <v>1</v>
      </c>
      <c r="K89">
        <f t="shared" si="106"/>
        <v>26</v>
      </c>
      <c r="L89">
        <f t="shared" si="106"/>
        <v>1</v>
      </c>
      <c r="M89">
        <f t="shared" si="106"/>
        <v>3</v>
      </c>
      <c r="N89">
        <f t="shared" si="106"/>
        <v>13</v>
      </c>
      <c r="O89">
        <f t="shared" si="106"/>
        <v>0</v>
      </c>
      <c r="P89">
        <f t="shared" si="106"/>
        <v>0</v>
      </c>
      <c r="Q89">
        <f t="shared" si="106"/>
        <v>0</v>
      </c>
      <c r="R89">
        <f t="shared" si="106"/>
        <v>0</v>
      </c>
      <c r="S89">
        <f t="shared" si="106"/>
        <v>0</v>
      </c>
      <c r="T89">
        <f t="shared" si="107"/>
        <v>0</v>
      </c>
      <c r="U89">
        <f t="shared" si="107"/>
        <v>0</v>
      </c>
      <c r="V89">
        <f t="shared" si="107"/>
        <v>0</v>
      </c>
      <c r="W89">
        <f t="shared" si="107"/>
        <v>0</v>
      </c>
      <c r="X89">
        <f t="shared" si="107"/>
        <v>0</v>
      </c>
      <c r="Y89">
        <f t="shared" si="107"/>
        <v>0</v>
      </c>
      <c r="Z89">
        <f t="shared" si="107"/>
        <v>0</v>
      </c>
      <c r="AA89">
        <f t="shared" si="107"/>
        <v>0</v>
      </c>
      <c r="AB89">
        <f t="shared" si="107"/>
        <v>0</v>
      </c>
      <c r="AC89">
        <f t="shared" si="107"/>
        <v>0</v>
      </c>
      <c r="AD89">
        <f t="shared" si="108"/>
        <v>0</v>
      </c>
      <c r="AE89">
        <f t="shared" si="108"/>
        <v>0</v>
      </c>
      <c r="AF89">
        <f t="shared" si="108"/>
        <v>0</v>
      </c>
      <c r="AG89">
        <f t="shared" si="108"/>
        <v>0</v>
      </c>
      <c r="AH89">
        <f t="shared" si="108"/>
        <v>0</v>
      </c>
      <c r="AI89">
        <f t="shared" si="108"/>
        <v>0</v>
      </c>
      <c r="AJ89">
        <f t="shared" si="108"/>
        <v>0</v>
      </c>
      <c r="AK89">
        <f t="shared" si="108"/>
        <v>0</v>
      </c>
      <c r="AL89">
        <f t="shared" si="108"/>
        <v>0</v>
      </c>
      <c r="AM89">
        <f t="shared" si="108"/>
        <v>0</v>
      </c>
      <c r="AN89">
        <f t="shared" si="109"/>
        <v>0</v>
      </c>
      <c r="AO89">
        <f t="shared" si="109"/>
        <v>0</v>
      </c>
      <c r="AP89">
        <f t="shared" si="109"/>
        <v>0</v>
      </c>
      <c r="AQ89">
        <f t="shared" si="109"/>
        <v>0</v>
      </c>
      <c r="AR89">
        <f t="shared" si="109"/>
        <v>0</v>
      </c>
      <c r="AS89">
        <f t="shared" si="109"/>
        <v>0</v>
      </c>
      <c r="AT89">
        <f t="shared" si="109"/>
        <v>0</v>
      </c>
      <c r="AU89">
        <f t="shared" si="109"/>
        <v>0</v>
      </c>
      <c r="AV89">
        <f t="shared" si="109"/>
        <v>0</v>
      </c>
      <c r="AW89">
        <f t="shared" si="109"/>
        <v>0</v>
      </c>
      <c r="AX89">
        <f t="shared" si="110"/>
        <v>0</v>
      </c>
      <c r="AY89">
        <f t="shared" si="110"/>
        <v>0</v>
      </c>
      <c r="AZ89">
        <f t="shared" si="110"/>
        <v>0</v>
      </c>
      <c r="BA89">
        <f t="shared" si="110"/>
        <v>0</v>
      </c>
      <c r="BB89">
        <f t="shared" si="110"/>
        <v>0</v>
      </c>
      <c r="BC89">
        <f t="shared" si="110"/>
        <v>0</v>
      </c>
      <c r="BD89">
        <f t="shared" si="110"/>
        <v>0</v>
      </c>
      <c r="BE89">
        <f t="shared" si="110"/>
        <v>0</v>
      </c>
      <c r="BF89">
        <f t="shared" si="110"/>
        <v>0</v>
      </c>
      <c r="BG89">
        <f t="shared" si="110"/>
        <v>0</v>
      </c>
      <c r="BH89">
        <f t="shared" si="111"/>
        <v>0</v>
      </c>
      <c r="BI89">
        <f t="shared" si="111"/>
        <v>0</v>
      </c>
      <c r="BJ89">
        <f t="shared" si="111"/>
        <v>0</v>
      </c>
      <c r="BK89">
        <f t="shared" si="111"/>
        <v>0</v>
      </c>
      <c r="BL89">
        <f t="shared" si="111"/>
        <v>0</v>
      </c>
      <c r="BM89">
        <f t="shared" si="111"/>
        <v>0</v>
      </c>
      <c r="BN89">
        <f t="shared" si="111"/>
        <v>0</v>
      </c>
      <c r="BO89">
        <f t="shared" si="111"/>
        <v>0</v>
      </c>
      <c r="BP89">
        <f t="shared" si="111"/>
        <v>0</v>
      </c>
      <c r="BQ89">
        <f t="shared" si="111"/>
        <v>0</v>
      </c>
      <c r="BR89">
        <f t="shared" si="112"/>
        <v>0</v>
      </c>
      <c r="BS89">
        <f t="shared" si="112"/>
        <v>0</v>
      </c>
      <c r="BT89">
        <f t="shared" si="112"/>
        <v>0</v>
      </c>
      <c r="BU89">
        <f t="shared" si="112"/>
        <v>0</v>
      </c>
      <c r="BV89">
        <f t="shared" si="112"/>
        <v>0</v>
      </c>
      <c r="BW89">
        <f t="shared" si="112"/>
        <v>0</v>
      </c>
      <c r="BX89">
        <f t="shared" si="112"/>
        <v>0</v>
      </c>
      <c r="BY89">
        <f t="shared" si="112"/>
        <v>0</v>
      </c>
      <c r="BZ89">
        <f t="shared" si="112"/>
        <v>0</v>
      </c>
      <c r="CA89">
        <f t="shared" si="112"/>
        <v>0</v>
      </c>
      <c r="CB89">
        <f t="shared" si="113"/>
        <v>0</v>
      </c>
      <c r="CC89">
        <f t="shared" si="113"/>
        <v>0</v>
      </c>
      <c r="CD89">
        <f t="shared" si="113"/>
        <v>0</v>
      </c>
      <c r="CE89">
        <f t="shared" si="113"/>
        <v>0</v>
      </c>
      <c r="CF89">
        <f t="shared" si="113"/>
        <v>0</v>
      </c>
      <c r="CG89">
        <f t="shared" si="113"/>
        <v>0</v>
      </c>
      <c r="CH89">
        <f t="shared" si="113"/>
        <v>0</v>
      </c>
      <c r="CI89">
        <f t="shared" si="113"/>
        <v>0</v>
      </c>
      <c r="CJ89">
        <f t="shared" si="113"/>
        <v>0</v>
      </c>
      <c r="CK89">
        <f t="shared" si="113"/>
        <v>0</v>
      </c>
      <c r="CL89">
        <f t="shared" si="114"/>
        <v>0</v>
      </c>
      <c r="CM89">
        <f t="shared" si="114"/>
        <v>0</v>
      </c>
      <c r="CN89">
        <f t="shared" si="114"/>
        <v>0</v>
      </c>
      <c r="CO89">
        <f t="shared" si="114"/>
        <v>0</v>
      </c>
      <c r="CP89">
        <f t="shared" si="114"/>
        <v>0</v>
      </c>
      <c r="CQ89">
        <f t="shared" si="114"/>
        <v>0</v>
      </c>
      <c r="CR89">
        <f t="shared" si="114"/>
        <v>0</v>
      </c>
      <c r="CS89">
        <f t="shared" si="114"/>
        <v>0</v>
      </c>
      <c r="CT89">
        <f t="shared" si="114"/>
        <v>0</v>
      </c>
      <c r="CU89">
        <f t="shared" si="114"/>
        <v>0</v>
      </c>
      <c r="CV89">
        <f t="shared" si="115"/>
        <v>0</v>
      </c>
      <c r="CW89">
        <f t="shared" si="115"/>
        <v>0</v>
      </c>
      <c r="CX89">
        <f t="shared" si="115"/>
        <v>0</v>
      </c>
      <c r="CY89">
        <f t="shared" si="115"/>
        <v>0</v>
      </c>
      <c r="CZ89">
        <f t="shared" si="115"/>
        <v>0</v>
      </c>
      <c r="DA89">
        <f t="shared" si="115"/>
        <v>0</v>
      </c>
      <c r="DB89">
        <f t="shared" si="115"/>
        <v>0</v>
      </c>
      <c r="DC89">
        <f t="shared" si="115"/>
        <v>0</v>
      </c>
      <c r="DD89">
        <f t="shared" si="115"/>
        <v>0</v>
      </c>
      <c r="DE89">
        <f t="shared" si="115"/>
        <v>0</v>
      </c>
      <c r="DF89">
        <f t="shared" si="116"/>
        <v>0</v>
      </c>
      <c r="DG89">
        <f t="shared" si="116"/>
        <v>0</v>
      </c>
      <c r="DH89">
        <f t="shared" si="116"/>
        <v>0</v>
      </c>
      <c r="DI89">
        <f t="shared" si="116"/>
        <v>0</v>
      </c>
      <c r="DJ89">
        <f t="shared" si="116"/>
        <v>0</v>
      </c>
      <c r="DK89">
        <f t="shared" si="116"/>
        <v>0</v>
      </c>
      <c r="DL89">
        <f t="shared" si="116"/>
        <v>0</v>
      </c>
      <c r="DM89">
        <f t="shared" si="116"/>
        <v>0</v>
      </c>
      <c r="DN89">
        <f t="shared" si="116"/>
        <v>0</v>
      </c>
      <c r="DO89">
        <f t="shared" si="116"/>
        <v>0</v>
      </c>
      <c r="DP89">
        <f t="shared" si="117"/>
        <v>0</v>
      </c>
      <c r="DQ89">
        <f t="shared" si="117"/>
        <v>0</v>
      </c>
      <c r="DR89">
        <f t="shared" si="117"/>
        <v>0</v>
      </c>
      <c r="DS89">
        <f t="shared" si="117"/>
        <v>0</v>
      </c>
      <c r="DT89">
        <f t="shared" si="117"/>
        <v>0</v>
      </c>
      <c r="DU89">
        <f t="shared" si="117"/>
        <v>0</v>
      </c>
      <c r="DV89">
        <f t="shared" si="117"/>
        <v>0</v>
      </c>
      <c r="DW89">
        <f t="shared" si="117"/>
        <v>0</v>
      </c>
      <c r="DX89">
        <f t="shared" si="117"/>
        <v>0</v>
      </c>
      <c r="DY89">
        <f t="shared" si="117"/>
        <v>0</v>
      </c>
      <c r="DZ89">
        <f t="shared" si="118"/>
        <v>0</v>
      </c>
      <c r="EA89">
        <f t="shared" si="118"/>
        <v>0</v>
      </c>
      <c r="EB89">
        <f t="shared" si="118"/>
        <v>0</v>
      </c>
      <c r="EC89">
        <f t="shared" si="118"/>
        <v>0</v>
      </c>
      <c r="ED89">
        <f t="shared" si="118"/>
        <v>0</v>
      </c>
      <c r="EE89">
        <f t="shared" si="118"/>
        <v>0</v>
      </c>
      <c r="EF89">
        <f t="shared" si="118"/>
        <v>0</v>
      </c>
      <c r="EG89">
        <f t="shared" si="118"/>
        <v>0</v>
      </c>
      <c r="EH89">
        <f t="shared" si="118"/>
        <v>0</v>
      </c>
      <c r="EI89">
        <f t="shared" si="118"/>
        <v>0</v>
      </c>
      <c r="EJ89">
        <f>SUM(Tabla1[[#This Row],[1]:[130]])</f>
        <v>44</v>
      </c>
    </row>
    <row r="90" spans="1:140" ht="15.75" customHeight="1" thickBot="1" x14ac:dyDescent="0.3">
      <c r="A90" t="str">
        <f>B90&amp;"-"&amp;COUNTIF($B$2:B90,B90)</f>
        <v>I. MECHADA MENU-1</v>
      </c>
      <c r="B90" s="28" t="s">
        <v>39</v>
      </c>
      <c r="C90">
        <f>VLOOKUP(B90,RECETAS!D89:$E$1700,2,FALSE)</f>
        <v>0</v>
      </c>
      <c r="D90" s="27"/>
      <c r="G90" t="b">
        <f t="shared" si="92"/>
        <v>1</v>
      </c>
      <c r="I90" s="29" t="s">
        <v>79</v>
      </c>
      <c r="J90">
        <f t="shared" si="106"/>
        <v>0</v>
      </c>
      <c r="K90">
        <f t="shared" si="106"/>
        <v>0</v>
      </c>
      <c r="L90">
        <f t="shared" si="106"/>
        <v>0</v>
      </c>
      <c r="M90">
        <f t="shared" si="106"/>
        <v>0</v>
      </c>
      <c r="N90">
        <f t="shared" si="106"/>
        <v>0</v>
      </c>
      <c r="O90">
        <f t="shared" si="106"/>
        <v>0</v>
      </c>
      <c r="P90">
        <f t="shared" si="106"/>
        <v>0</v>
      </c>
      <c r="Q90">
        <f t="shared" si="106"/>
        <v>0</v>
      </c>
      <c r="R90">
        <f t="shared" si="106"/>
        <v>0</v>
      </c>
      <c r="S90">
        <f t="shared" si="106"/>
        <v>0</v>
      </c>
      <c r="T90">
        <f t="shared" si="107"/>
        <v>0</v>
      </c>
      <c r="U90">
        <f t="shared" si="107"/>
        <v>0</v>
      </c>
      <c r="V90">
        <f t="shared" si="107"/>
        <v>0</v>
      </c>
      <c r="W90">
        <f t="shared" si="107"/>
        <v>0</v>
      </c>
      <c r="X90">
        <f t="shared" si="107"/>
        <v>0</v>
      </c>
      <c r="Y90">
        <f t="shared" si="107"/>
        <v>0</v>
      </c>
      <c r="Z90">
        <f t="shared" si="107"/>
        <v>0</v>
      </c>
      <c r="AA90">
        <f t="shared" si="107"/>
        <v>0</v>
      </c>
      <c r="AB90">
        <f t="shared" si="107"/>
        <v>0</v>
      </c>
      <c r="AC90">
        <f t="shared" si="107"/>
        <v>0</v>
      </c>
      <c r="AD90">
        <f t="shared" si="108"/>
        <v>0</v>
      </c>
      <c r="AE90">
        <f t="shared" si="108"/>
        <v>0</v>
      </c>
      <c r="AF90">
        <f t="shared" si="108"/>
        <v>0</v>
      </c>
      <c r="AG90">
        <f t="shared" si="108"/>
        <v>0</v>
      </c>
      <c r="AH90">
        <f t="shared" si="108"/>
        <v>0</v>
      </c>
      <c r="AI90">
        <f t="shared" si="108"/>
        <v>0</v>
      </c>
      <c r="AJ90">
        <f t="shared" si="108"/>
        <v>0</v>
      </c>
      <c r="AK90">
        <f t="shared" si="108"/>
        <v>0</v>
      </c>
      <c r="AL90">
        <f t="shared" si="108"/>
        <v>0</v>
      </c>
      <c r="AM90">
        <f t="shared" si="108"/>
        <v>0</v>
      </c>
      <c r="AN90">
        <f t="shared" si="109"/>
        <v>0</v>
      </c>
      <c r="AO90">
        <f t="shared" si="109"/>
        <v>0</v>
      </c>
      <c r="AP90">
        <f t="shared" si="109"/>
        <v>0</v>
      </c>
      <c r="AQ90">
        <f t="shared" si="109"/>
        <v>0</v>
      </c>
      <c r="AR90">
        <f t="shared" si="109"/>
        <v>0</v>
      </c>
      <c r="AS90">
        <f t="shared" si="109"/>
        <v>0</v>
      </c>
      <c r="AT90">
        <f t="shared" si="109"/>
        <v>0</v>
      </c>
      <c r="AU90">
        <f t="shared" si="109"/>
        <v>0</v>
      </c>
      <c r="AV90">
        <f t="shared" si="109"/>
        <v>0</v>
      </c>
      <c r="AW90">
        <f t="shared" si="109"/>
        <v>0</v>
      </c>
      <c r="AX90">
        <f t="shared" si="110"/>
        <v>0</v>
      </c>
      <c r="AY90">
        <f t="shared" si="110"/>
        <v>0</v>
      </c>
      <c r="AZ90">
        <f t="shared" si="110"/>
        <v>0</v>
      </c>
      <c r="BA90">
        <f t="shared" si="110"/>
        <v>0</v>
      </c>
      <c r="BB90">
        <f t="shared" si="110"/>
        <v>0</v>
      </c>
      <c r="BC90">
        <f t="shared" si="110"/>
        <v>0</v>
      </c>
      <c r="BD90">
        <f t="shared" si="110"/>
        <v>0</v>
      </c>
      <c r="BE90">
        <f t="shared" si="110"/>
        <v>0</v>
      </c>
      <c r="BF90">
        <f t="shared" si="110"/>
        <v>0</v>
      </c>
      <c r="BG90">
        <f t="shared" si="110"/>
        <v>0</v>
      </c>
      <c r="BH90">
        <f t="shared" si="111"/>
        <v>0</v>
      </c>
      <c r="BI90">
        <f t="shared" si="111"/>
        <v>0</v>
      </c>
      <c r="BJ90">
        <f t="shared" si="111"/>
        <v>0</v>
      </c>
      <c r="BK90">
        <f t="shared" si="111"/>
        <v>0</v>
      </c>
      <c r="BL90">
        <f t="shared" si="111"/>
        <v>0</v>
      </c>
      <c r="BM90">
        <f t="shared" si="111"/>
        <v>0</v>
      </c>
      <c r="BN90">
        <f t="shared" si="111"/>
        <v>0</v>
      </c>
      <c r="BO90">
        <f t="shared" si="111"/>
        <v>0</v>
      </c>
      <c r="BP90">
        <f t="shared" si="111"/>
        <v>0</v>
      </c>
      <c r="BQ90">
        <f t="shared" si="111"/>
        <v>0</v>
      </c>
      <c r="BR90">
        <f t="shared" si="112"/>
        <v>0</v>
      </c>
      <c r="BS90">
        <f t="shared" si="112"/>
        <v>0</v>
      </c>
      <c r="BT90">
        <f t="shared" si="112"/>
        <v>0</v>
      </c>
      <c r="BU90">
        <f t="shared" si="112"/>
        <v>0</v>
      </c>
      <c r="BV90">
        <f t="shared" si="112"/>
        <v>0</v>
      </c>
      <c r="BW90">
        <f t="shared" si="112"/>
        <v>0</v>
      </c>
      <c r="BX90">
        <f t="shared" si="112"/>
        <v>0</v>
      </c>
      <c r="BY90">
        <f t="shared" si="112"/>
        <v>0</v>
      </c>
      <c r="BZ90">
        <f t="shared" si="112"/>
        <v>0</v>
      </c>
      <c r="CA90">
        <f t="shared" si="112"/>
        <v>0</v>
      </c>
      <c r="CB90">
        <f t="shared" si="113"/>
        <v>0</v>
      </c>
      <c r="CC90">
        <f t="shared" si="113"/>
        <v>0</v>
      </c>
      <c r="CD90">
        <f t="shared" si="113"/>
        <v>0</v>
      </c>
      <c r="CE90">
        <f t="shared" si="113"/>
        <v>0</v>
      </c>
      <c r="CF90">
        <f t="shared" si="113"/>
        <v>0</v>
      </c>
      <c r="CG90">
        <f t="shared" si="113"/>
        <v>0</v>
      </c>
      <c r="CH90">
        <f t="shared" si="113"/>
        <v>0</v>
      </c>
      <c r="CI90">
        <f t="shared" si="113"/>
        <v>0</v>
      </c>
      <c r="CJ90">
        <f t="shared" si="113"/>
        <v>0</v>
      </c>
      <c r="CK90">
        <f t="shared" si="113"/>
        <v>0</v>
      </c>
      <c r="CL90">
        <f t="shared" si="114"/>
        <v>0</v>
      </c>
      <c r="CM90">
        <f t="shared" si="114"/>
        <v>0</v>
      </c>
      <c r="CN90">
        <f t="shared" si="114"/>
        <v>0</v>
      </c>
      <c r="CO90">
        <f t="shared" si="114"/>
        <v>0</v>
      </c>
      <c r="CP90">
        <f t="shared" si="114"/>
        <v>0</v>
      </c>
      <c r="CQ90">
        <f t="shared" si="114"/>
        <v>0</v>
      </c>
      <c r="CR90">
        <f t="shared" si="114"/>
        <v>0</v>
      </c>
      <c r="CS90">
        <f t="shared" si="114"/>
        <v>0</v>
      </c>
      <c r="CT90">
        <f t="shared" si="114"/>
        <v>0</v>
      </c>
      <c r="CU90">
        <f t="shared" si="114"/>
        <v>0</v>
      </c>
      <c r="CV90">
        <f t="shared" si="115"/>
        <v>0</v>
      </c>
      <c r="CW90">
        <f t="shared" si="115"/>
        <v>0</v>
      </c>
      <c r="CX90">
        <f t="shared" si="115"/>
        <v>0</v>
      </c>
      <c r="CY90">
        <f t="shared" si="115"/>
        <v>0</v>
      </c>
      <c r="CZ90">
        <f t="shared" si="115"/>
        <v>0</v>
      </c>
      <c r="DA90">
        <f t="shared" si="115"/>
        <v>0</v>
      </c>
      <c r="DB90">
        <f t="shared" si="115"/>
        <v>0</v>
      </c>
      <c r="DC90">
        <f t="shared" si="115"/>
        <v>0</v>
      </c>
      <c r="DD90">
        <f t="shared" si="115"/>
        <v>0</v>
      </c>
      <c r="DE90">
        <f t="shared" si="115"/>
        <v>0</v>
      </c>
      <c r="DF90">
        <f t="shared" si="116"/>
        <v>0</v>
      </c>
      <c r="DG90">
        <f t="shared" si="116"/>
        <v>0</v>
      </c>
      <c r="DH90">
        <f t="shared" si="116"/>
        <v>0</v>
      </c>
      <c r="DI90">
        <f t="shared" si="116"/>
        <v>0</v>
      </c>
      <c r="DJ90">
        <f t="shared" si="116"/>
        <v>0</v>
      </c>
      <c r="DK90">
        <f t="shared" si="116"/>
        <v>0</v>
      </c>
      <c r="DL90">
        <f t="shared" si="116"/>
        <v>0</v>
      </c>
      <c r="DM90">
        <f t="shared" si="116"/>
        <v>0</v>
      </c>
      <c r="DN90">
        <f t="shared" si="116"/>
        <v>0</v>
      </c>
      <c r="DO90">
        <f t="shared" si="116"/>
        <v>0</v>
      </c>
      <c r="DP90">
        <f t="shared" si="117"/>
        <v>0</v>
      </c>
      <c r="DQ90">
        <f t="shared" si="117"/>
        <v>0</v>
      </c>
      <c r="DR90">
        <f t="shared" si="117"/>
        <v>0</v>
      </c>
      <c r="DS90">
        <f t="shared" si="117"/>
        <v>0</v>
      </c>
      <c r="DT90">
        <f t="shared" si="117"/>
        <v>0</v>
      </c>
      <c r="DU90">
        <f t="shared" si="117"/>
        <v>0</v>
      </c>
      <c r="DV90">
        <f t="shared" si="117"/>
        <v>0</v>
      </c>
      <c r="DW90">
        <f t="shared" si="117"/>
        <v>0</v>
      </c>
      <c r="DX90">
        <f t="shared" si="117"/>
        <v>0</v>
      </c>
      <c r="DY90">
        <f t="shared" si="117"/>
        <v>0</v>
      </c>
      <c r="DZ90">
        <f t="shared" si="118"/>
        <v>0</v>
      </c>
      <c r="EA90">
        <f t="shared" si="118"/>
        <v>0</v>
      </c>
      <c r="EB90">
        <f t="shared" si="118"/>
        <v>0</v>
      </c>
      <c r="EC90">
        <f t="shared" si="118"/>
        <v>0</v>
      </c>
      <c r="ED90">
        <f t="shared" si="118"/>
        <v>0</v>
      </c>
      <c r="EE90">
        <f t="shared" si="118"/>
        <v>0</v>
      </c>
      <c r="EF90">
        <f t="shared" si="118"/>
        <v>0</v>
      </c>
      <c r="EG90">
        <f t="shared" si="118"/>
        <v>0</v>
      </c>
      <c r="EH90">
        <f t="shared" si="118"/>
        <v>0</v>
      </c>
      <c r="EI90">
        <f t="shared" si="118"/>
        <v>0</v>
      </c>
      <c r="EJ90">
        <f>SUM(Tabla1[[#This Row],[1]:[130]])</f>
        <v>0</v>
      </c>
    </row>
    <row r="91" spans="1:140" ht="15.75" customHeight="1" thickBot="1" x14ac:dyDescent="0.3">
      <c r="A91" t="str">
        <f>B91&amp;"-"&amp;COUNTIF($B$2:B91,B91)</f>
        <v>I. PAPAS FRITAS-8</v>
      </c>
      <c r="B91" s="42" t="s">
        <v>13</v>
      </c>
      <c r="C91">
        <f>VLOOKUP(B91,RECETAS!D90:$E$1700,2,FALSE)</f>
        <v>8800</v>
      </c>
      <c r="D91" s="22" t="s">
        <v>337</v>
      </c>
      <c r="G91" t="b">
        <f t="shared" si="92"/>
        <v>1</v>
      </c>
      <c r="I91" s="74" t="s">
        <v>80</v>
      </c>
      <c r="J91">
        <f t="shared" si="106"/>
        <v>0</v>
      </c>
      <c r="K91">
        <f t="shared" si="106"/>
        <v>0</v>
      </c>
      <c r="L91">
        <f t="shared" si="106"/>
        <v>0</v>
      </c>
      <c r="M91">
        <f t="shared" si="106"/>
        <v>0</v>
      </c>
      <c r="N91">
        <f t="shared" si="106"/>
        <v>0</v>
      </c>
      <c r="O91">
        <f t="shared" si="106"/>
        <v>0</v>
      </c>
      <c r="P91">
        <f t="shared" si="106"/>
        <v>0</v>
      </c>
      <c r="Q91">
        <f t="shared" si="106"/>
        <v>0</v>
      </c>
      <c r="R91">
        <f t="shared" si="106"/>
        <v>0</v>
      </c>
      <c r="S91">
        <f t="shared" si="106"/>
        <v>0</v>
      </c>
      <c r="T91">
        <f t="shared" si="107"/>
        <v>0</v>
      </c>
      <c r="U91">
        <f t="shared" si="107"/>
        <v>0</v>
      </c>
      <c r="V91">
        <f t="shared" si="107"/>
        <v>0</v>
      </c>
      <c r="W91">
        <f t="shared" si="107"/>
        <v>0</v>
      </c>
      <c r="X91">
        <f t="shared" si="107"/>
        <v>0</v>
      </c>
      <c r="Y91">
        <f t="shared" si="107"/>
        <v>0</v>
      </c>
      <c r="Z91">
        <f t="shared" si="107"/>
        <v>0</v>
      </c>
      <c r="AA91">
        <f t="shared" si="107"/>
        <v>0</v>
      </c>
      <c r="AB91">
        <f t="shared" si="107"/>
        <v>0</v>
      </c>
      <c r="AC91">
        <f t="shared" si="107"/>
        <v>0</v>
      </c>
      <c r="AD91">
        <f t="shared" si="108"/>
        <v>0</v>
      </c>
      <c r="AE91">
        <f t="shared" si="108"/>
        <v>0</v>
      </c>
      <c r="AF91">
        <f t="shared" si="108"/>
        <v>0</v>
      </c>
      <c r="AG91">
        <f t="shared" si="108"/>
        <v>0</v>
      </c>
      <c r="AH91">
        <f t="shared" si="108"/>
        <v>0</v>
      </c>
      <c r="AI91">
        <f t="shared" si="108"/>
        <v>0</v>
      </c>
      <c r="AJ91">
        <f t="shared" si="108"/>
        <v>0</v>
      </c>
      <c r="AK91">
        <f t="shared" si="108"/>
        <v>0</v>
      </c>
      <c r="AL91">
        <f t="shared" si="108"/>
        <v>0</v>
      </c>
      <c r="AM91">
        <f t="shared" si="108"/>
        <v>0</v>
      </c>
      <c r="AN91">
        <f t="shared" si="109"/>
        <v>0</v>
      </c>
      <c r="AO91">
        <f t="shared" si="109"/>
        <v>0</v>
      </c>
      <c r="AP91">
        <f t="shared" si="109"/>
        <v>0</v>
      </c>
      <c r="AQ91">
        <f t="shared" si="109"/>
        <v>0</v>
      </c>
      <c r="AR91">
        <f t="shared" si="109"/>
        <v>0</v>
      </c>
      <c r="AS91">
        <f t="shared" si="109"/>
        <v>0</v>
      </c>
      <c r="AT91">
        <f t="shared" si="109"/>
        <v>0</v>
      </c>
      <c r="AU91">
        <f t="shared" si="109"/>
        <v>0</v>
      </c>
      <c r="AV91">
        <f t="shared" si="109"/>
        <v>0</v>
      </c>
      <c r="AW91">
        <f t="shared" si="109"/>
        <v>0</v>
      </c>
      <c r="AX91">
        <f t="shared" si="110"/>
        <v>0</v>
      </c>
      <c r="AY91">
        <f t="shared" si="110"/>
        <v>0</v>
      </c>
      <c r="AZ91">
        <f t="shared" si="110"/>
        <v>0</v>
      </c>
      <c r="BA91">
        <f t="shared" si="110"/>
        <v>0</v>
      </c>
      <c r="BB91">
        <f t="shared" si="110"/>
        <v>0</v>
      </c>
      <c r="BC91">
        <f t="shared" si="110"/>
        <v>0</v>
      </c>
      <c r="BD91">
        <f t="shared" si="110"/>
        <v>0</v>
      </c>
      <c r="BE91">
        <f t="shared" si="110"/>
        <v>0</v>
      </c>
      <c r="BF91">
        <f t="shared" si="110"/>
        <v>0</v>
      </c>
      <c r="BG91">
        <f t="shared" si="110"/>
        <v>0</v>
      </c>
      <c r="BH91">
        <f t="shared" si="111"/>
        <v>0</v>
      </c>
      <c r="BI91">
        <f t="shared" si="111"/>
        <v>0</v>
      </c>
      <c r="BJ91">
        <f t="shared" si="111"/>
        <v>0</v>
      </c>
      <c r="BK91">
        <f t="shared" si="111"/>
        <v>0</v>
      </c>
      <c r="BL91">
        <f t="shared" si="111"/>
        <v>0</v>
      </c>
      <c r="BM91">
        <f t="shared" si="111"/>
        <v>0</v>
      </c>
      <c r="BN91">
        <f t="shared" si="111"/>
        <v>0</v>
      </c>
      <c r="BO91">
        <f t="shared" si="111"/>
        <v>0</v>
      </c>
      <c r="BP91">
        <f t="shared" si="111"/>
        <v>0</v>
      </c>
      <c r="BQ91">
        <f t="shared" si="111"/>
        <v>0</v>
      </c>
      <c r="BR91">
        <f t="shared" si="112"/>
        <v>0</v>
      </c>
      <c r="BS91">
        <f t="shared" si="112"/>
        <v>0</v>
      </c>
      <c r="BT91">
        <f t="shared" si="112"/>
        <v>0</v>
      </c>
      <c r="BU91">
        <f t="shared" si="112"/>
        <v>0</v>
      </c>
      <c r="BV91">
        <f t="shared" si="112"/>
        <v>0</v>
      </c>
      <c r="BW91">
        <f t="shared" si="112"/>
        <v>0</v>
      </c>
      <c r="BX91">
        <f t="shared" si="112"/>
        <v>0</v>
      </c>
      <c r="BY91">
        <f t="shared" si="112"/>
        <v>0</v>
      </c>
      <c r="BZ91">
        <f t="shared" si="112"/>
        <v>0</v>
      </c>
      <c r="CA91">
        <f t="shared" si="112"/>
        <v>0</v>
      </c>
      <c r="CB91">
        <f t="shared" si="113"/>
        <v>0</v>
      </c>
      <c r="CC91">
        <f t="shared" si="113"/>
        <v>0</v>
      </c>
      <c r="CD91">
        <f t="shared" si="113"/>
        <v>0</v>
      </c>
      <c r="CE91">
        <f t="shared" si="113"/>
        <v>0</v>
      </c>
      <c r="CF91">
        <f t="shared" si="113"/>
        <v>0</v>
      </c>
      <c r="CG91">
        <f t="shared" si="113"/>
        <v>0</v>
      </c>
      <c r="CH91">
        <f t="shared" si="113"/>
        <v>0</v>
      </c>
      <c r="CI91">
        <f t="shared" si="113"/>
        <v>0</v>
      </c>
      <c r="CJ91">
        <f t="shared" si="113"/>
        <v>0</v>
      </c>
      <c r="CK91">
        <f t="shared" si="113"/>
        <v>0</v>
      </c>
      <c r="CL91">
        <f t="shared" si="114"/>
        <v>0</v>
      </c>
      <c r="CM91">
        <f t="shared" si="114"/>
        <v>0</v>
      </c>
      <c r="CN91">
        <f t="shared" si="114"/>
        <v>0</v>
      </c>
      <c r="CO91">
        <f t="shared" si="114"/>
        <v>0</v>
      </c>
      <c r="CP91">
        <f t="shared" si="114"/>
        <v>0</v>
      </c>
      <c r="CQ91">
        <f t="shared" si="114"/>
        <v>0</v>
      </c>
      <c r="CR91">
        <f t="shared" si="114"/>
        <v>0</v>
      </c>
      <c r="CS91">
        <f t="shared" si="114"/>
        <v>0</v>
      </c>
      <c r="CT91">
        <f t="shared" si="114"/>
        <v>0</v>
      </c>
      <c r="CU91">
        <f t="shared" si="114"/>
        <v>0</v>
      </c>
      <c r="CV91">
        <f t="shared" si="115"/>
        <v>0</v>
      </c>
      <c r="CW91">
        <f t="shared" si="115"/>
        <v>0</v>
      </c>
      <c r="CX91">
        <f t="shared" si="115"/>
        <v>0</v>
      </c>
      <c r="CY91">
        <f t="shared" si="115"/>
        <v>0</v>
      </c>
      <c r="CZ91">
        <f t="shared" si="115"/>
        <v>0</v>
      </c>
      <c r="DA91">
        <f t="shared" si="115"/>
        <v>0</v>
      </c>
      <c r="DB91">
        <f t="shared" si="115"/>
        <v>0</v>
      </c>
      <c r="DC91">
        <f t="shared" si="115"/>
        <v>0</v>
      </c>
      <c r="DD91">
        <f t="shared" si="115"/>
        <v>0</v>
      </c>
      <c r="DE91">
        <f t="shared" si="115"/>
        <v>0</v>
      </c>
      <c r="DF91">
        <f t="shared" si="116"/>
        <v>0</v>
      </c>
      <c r="DG91">
        <f t="shared" si="116"/>
        <v>0</v>
      </c>
      <c r="DH91">
        <f t="shared" si="116"/>
        <v>0</v>
      </c>
      <c r="DI91">
        <f t="shared" si="116"/>
        <v>0</v>
      </c>
      <c r="DJ91">
        <f t="shared" si="116"/>
        <v>0</v>
      </c>
      <c r="DK91">
        <f t="shared" si="116"/>
        <v>0</v>
      </c>
      <c r="DL91">
        <f t="shared" si="116"/>
        <v>0</v>
      </c>
      <c r="DM91">
        <f t="shared" si="116"/>
        <v>0</v>
      </c>
      <c r="DN91">
        <f t="shared" si="116"/>
        <v>0</v>
      </c>
      <c r="DO91">
        <f t="shared" si="116"/>
        <v>0</v>
      </c>
      <c r="DP91">
        <f t="shared" si="117"/>
        <v>0</v>
      </c>
      <c r="DQ91">
        <f t="shared" si="117"/>
        <v>0</v>
      </c>
      <c r="DR91">
        <f t="shared" si="117"/>
        <v>0</v>
      </c>
      <c r="DS91">
        <f t="shared" si="117"/>
        <v>0</v>
      </c>
      <c r="DT91">
        <f t="shared" si="117"/>
        <v>0</v>
      </c>
      <c r="DU91">
        <f t="shared" si="117"/>
        <v>0</v>
      </c>
      <c r="DV91">
        <f t="shared" si="117"/>
        <v>0</v>
      </c>
      <c r="DW91">
        <f t="shared" si="117"/>
        <v>0</v>
      </c>
      <c r="DX91">
        <f t="shared" si="117"/>
        <v>0</v>
      </c>
      <c r="DY91">
        <f t="shared" si="117"/>
        <v>0</v>
      </c>
      <c r="DZ91">
        <f t="shared" si="118"/>
        <v>0</v>
      </c>
      <c r="EA91">
        <f t="shared" si="118"/>
        <v>0</v>
      </c>
      <c r="EB91">
        <f t="shared" si="118"/>
        <v>0</v>
      </c>
      <c r="EC91">
        <f t="shared" si="118"/>
        <v>0</v>
      </c>
      <c r="ED91">
        <f t="shared" si="118"/>
        <v>0</v>
      </c>
      <c r="EE91">
        <f t="shared" si="118"/>
        <v>0</v>
      </c>
      <c r="EF91">
        <f t="shared" si="118"/>
        <v>0</v>
      </c>
      <c r="EG91">
        <f t="shared" si="118"/>
        <v>0</v>
      </c>
      <c r="EH91">
        <f t="shared" si="118"/>
        <v>0</v>
      </c>
      <c r="EI91">
        <f t="shared" si="118"/>
        <v>0</v>
      </c>
      <c r="EJ91">
        <f>SUM(Tabla1[[#This Row],[1]:[130]])</f>
        <v>0</v>
      </c>
    </row>
    <row r="92" spans="1:140" ht="15" customHeight="1" x14ac:dyDescent="0.25">
      <c r="A92" t="str">
        <f>B92&amp;"-"&amp;COUNTIF($B$2:B92,B92)</f>
        <v>I. MECHADA SAND-1</v>
      </c>
      <c r="B92" s="26" t="s">
        <v>31</v>
      </c>
      <c r="C92">
        <f>VLOOKUP(B92,RECETAS!D91:$E$1700,2,FALSE)</f>
        <v>16</v>
      </c>
      <c r="D92" s="25" t="s">
        <v>33</v>
      </c>
      <c r="G92" t="b">
        <f t="shared" si="92"/>
        <v>1</v>
      </c>
      <c r="I92" s="46" t="s">
        <v>81</v>
      </c>
      <c r="J92">
        <f t="shared" si="106"/>
        <v>0</v>
      </c>
      <c r="K92">
        <f t="shared" si="106"/>
        <v>0</v>
      </c>
      <c r="L92">
        <f t="shared" si="106"/>
        <v>0</v>
      </c>
      <c r="M92">
        <f t="shared" si="106"/>
        <v>0</v>
      </c>
      <c r="N92">
        <f t="shared" si="106"/>
        <v>0</v>
      </c>
      <c r="O92">
        <f t="shared" si="106"/>
        <v>0</v>
      </c>
      <c r="P92">
        <f t="shared" si="106"/>
        <v>0</v>
      </c>
      <c r="Q92">
        <f t="shared" si="106"/>
        <v>0</v>
      </c>
      <c r="R92">
        <f t="shared" si="106"/>
        <v>0</v>
      </c>
      <c r="S92">
        <f t="shared" si="106"/>
        <v>0</v>
      </c>
      <c r="T92">
        <f t="shared" si="107"/>
        <v>0</v>
      </c>
      <c r="U92">
        <f t="shared" si="107"/>
        <v>0</v>
      </c>
      <c r="V92">
        <f t="shared" si="107"/>
        <v>0</v>
      </c>
      <c r="W92">
        <f t="shared" si="107"/>
        <v>0</v>
      </c>
      <c r="X92">
        <f t="shared" si="107"/>
        <v>0</v>
      </c>
      <c r="Y92">
        <f t="shared" si="107"/>
        <v>0</v>
      </c>
      <c r="Z92">
        <f t="shared" si="107"/>
        <v>0</v>
      </c>
      <c r="AA92">
        <f t="shared" si="107"/>
        <v>0</v>
      </c>
      <c r="AB92">
        <f t="shared" si="107"/>
        <v>0</v>
      </c>
      <c r="AC92">
        <f t="shared" si="107"/>
        <v>0</v>
      </c>
      <c r="AD92">
        <f t="shared" si="108"/>
        <v>0</v>
      </c>
      <c r="AE92">
        <f t="shared" si="108"/>
        <v>0</v>
      </c>
      <c r="AF92">
        <f t="shared" si="108"/>
        <v>0</v>
      </c>
      <c r="AG92">
        <f t="shared" si="108"/>
        <v>0</v>
      </c>
      <c r="AH92">
        <f t="shared" si="108"/>
        <v>0</v>
      </c>
      <c r="AI92">
        <f t="shared" si="108"/>
        <v>0</v>
      </c>
      <c r="AJ92">
        <f t="shared" si="108"/>
        <v>0</v>
      </c>
      <c r="AK92">
        <f t="shared" si="108"/>
        <v>0</v>
      </c>
      <c r="AL92">
        <f t="shared" si="108"/>
        <v>0</v>
      </c>
      <c r="AM92">
        <f t="shared" si="108"/>
        <v>0</v>
      </c>
      <c r="AN92">
        <f t="shared" si="109"/>
        <v>0</v>
      </c>
      <c r="AO92">
        <f t="shared" si="109"/>
        <v>0</v>
      </c>
      <c r="AP92">
        <f t="shared" si="109"/>
        <v>0</v>
      </c>
      <c r="AQ92">
        <f t="shared" si="109"/>
        <v>0</v>
      </c>
      <c r="AR92">
        <f t="shared" si="109"/>
        <v>0</v>
      </c>
      <c r="AS92">
        <f t="shared" si="109"/>
        <v>0</v>
      </c>
      <c r="AT92">
        <f t="shared" si="109"/>
        <v>0</v>
      </c>
      <c r="AU92">
        <f t="shared" si="109"/>
        <v>0</v>
      </c>
      <c r="AV92">
        <f t="shared" si="109"/>
        <v>0</v>
      </c>
      <c r="AW92">
        <f t="shared" si="109"/>
        <v>0</v>
      </c>
      <c r="AX92">
        <f t="shared" si="110"/>
        <v>0</v>
      </c>
      <c r="AY92">
        <f t="shared" si="110"/>
        <v>0</v>
      </c>
      <c r="AZ92">
        <f t="shared" si="110"/>
        <v>0</v>
      </c>
      <c r="BA92">
        <f t="shared" si="110"/>
        <v>0</v>
      </c>
      <c r="BB92">
        <f t="shared" si="110"/>
        <v>0</v>
      </c>
      <c r="BC92">
        <f t="shared" si="110"/>
        <v>0</v>
      </c>
      <c r="BD92">
        <f t="shared" si="110"/>
        <v>0</v>
      </c>
      <c r="BE92">
        <f t="shared" si="110"/>
        <v>0</v>
      </c>
      <c r="BF92">
        <f t="shared" si="110"/>
        <v>0</v>
      </c>
      <c r="BG92">
        <f t="shared" si="110"/>
        <v>0</v>
      </c>
      <c r="BH92">
        <f t="shared" si="111"/>
        <v>0</v>
      </c>
      <c r="BI92">
        <f t="shared" si="111"/>
        <v>0</v>
      </c>
      <c r="BJ92">
        <f t="shared" si="111"/>
        <v>0</v>
      </c>
      <c r="BK92">
        <f t="shared" si="111"/>
        <v>0</v>
      </c>
      <c r="BL92">
        <f t="shared" si="111"/>
        <v>0</v>
      </c>
      <c r="BM92">
        <f t="shared" si="111"/>
        <v>0</v>
      </c>
      <c r="BN92">
        <f t="shared" si="111"/>
        <v>0</v>
      </c>
      <c r="BO92">
        <f t="shared" si="111"/>
        <v>0</v>
      </c>
      <c r="BP92">
        <f t="shared" si="111"/>
        <v>0</v>
      </c>
      <c r="BQ92">
        <f t="shared" si="111"/>
        <v>0</v>
      </c>
      <c r="BR92">
        <f t="shared" si="112"/>
        <v>0</v>
      </c>
      <c r="BS92">
        <f t="shared" si="112"/>
        <v>0</v>
      </c>
      <c r="BT92">
        <f t="shared" si="112"/>
        <v>0</v>
      </c>
      <c r="BU92">
        <f t="shared" si="112"/>
        <v>0</v>
      </c>
      <c r="BV92">
        <f t="shared" si="112"/>
        <v>0</v>
      </c>
      <c r="BW92">
        <f t="shared" si="112"/>
        <v>0</v>
      </c>
      <c r="BX92">
        <f t="shared" si="112"/>
        <v>0</v>
      </c>
      <c r="BY92">
        <f t="shared" si="112"/>
        <v>0</v>
      </c>
      <c r="BZ92">
        <f t="shared" si="112"/>
        <v>0</v>
      </c>
      <c r="CA92">
        <f t="shared" si="112"/>
        <v>0</v>
      </c>
      <c r="CB92">
        <f t="shared" si="113"/>
        <v>0</v>
      </c>
      <c r="CC92">
        <f t="shared" si="113"/>
        <v>0</v>
      </c>
      <c r="CD92">
        <f t="shared" si="113"/>
        <v>0</v>
      </c>
      <c r="CE92">
        <f t="shared" si="113"/>
        <v>0</v>
      </c>
      <c r="CF92">
        <f t="shared" si="113"/>
        <v>0</v>
      </c>
      <c r="CG92">
        <f t="shared" si="113"/>
        <v>0</v>
      </c>
      <c r="CH92">
        <f t="shared" si="113"/>
        <v>0</v>
      </c>
      <c r="CI92">
        <f t="shared" si="113"/>
        <v>0</v>
      </c>
      <c r="CJ92">
        <f t="shared" si="113"/>
        <v>0</v>
      </c>
      <c r="CK92">
        <f t="shared" si="113"/>
        <v>0</v>
      </c>
      <c r="CL92">
        <f t="shared" si="114"/>
        <v>0</v>
      </c>
      <c r="CM92">
        <f t="shared" si="114"/>
        <v>0</v>
      </c>
      <c r="CN92">
        <f t="shared" si="114"/>
        <v>0</v>
      </c>
      <c r="CO92">
        <f t="shared" si="114"/>
        <v>0</v>
      </c>
      <c r="CP92">
        <f t="shared" si="114"/>
        <v>0</v>
      </c>
      <c r="CQ92">
        <f t="shared" si="114"/>
        <v>0</v>
      </c>
      <c r="CR92">
        <f t="shared" si="114"/>
        <v>0</v>
      </c>
      <c r="CS92">
        <f t="shared" si="114"/>
        <v>0</v>
      </c>
      <c r="CT92">
        <f t="shared" si="114"/>
        <v>0</v>
      </c>
      <c r="CU92">
        <f t="shared" si="114"/>
        <v>0</v>
      </c>
      <c r="CV92">
        <f t="shared" si="115"/>
        <v>0</v>
      </c>
      <c r="CW92">
        <f t="shared" si="115"/>
        <v>0</v>
      </c>
      <c r="CX92">
        <f t="shared" si="115"/>
        <v>0</v>
      </c>
      <c r="CY92">
        <f t="shared" si="115"/>
        <v>0</v>
      </c>
      <c r="CZ92">
        <f t="shared" si="115"/>
        <v>0</v>
      </c>
      <c r="DA92">
        <f t="shared" si="115"/>
        <v>0</v>
      </c>
      <c r="DB92">
        <f t="shared" si="115"/>
        <v>0</v>
      </c>
      <c r="DC92">
        <f t="shared" si="115"/>
        <v>0</v>
      </c>
      <c r="DD92">
        <f t="shared" si="115"/>
        <v>0</v>
      </c>
      <c r="DE92">
        <f t="shared" si="115"/>
        <v>0</v>
      </c>
      <c r="DF92">
        <f t="shared" si="116"/>
        <v>0</v>
      </c>
      <c r="DG92">
        <f t="shared" si="116"/>
        <v>0</v>
      </c>
      <c r="DH92">
        <f t="shared" si="116"/>
        <v>0</v>
      </c>
      <c r="DI92">
        <f t="shared" si="116"/>
        <v>0</v>
      </c>
      <c r="DJ92">
        <f t="shared" si="116"/>
        <v>0</v>
      </c>
      <c r="DK92">
        <f t="shared" si="116"/>
        <v>0</v>
      </c>
      <c r="DL92">
        <f t="shared" si="116"/>
        <v>0</v>
      </c>
      <c r="DM92">
        <f t="shared" si="116"/>
        <v>0</v>
      </c>
      <c r="DN92">
        <f t="shared" si="116"/>
        <v>0</v>
      </c>
      <c r="DO92">
        <f t="shared" si="116"/>
        <v>0</v>
      </c>
      <c r="DP92">
        <f t="shared" si="117"/>
        <v>0</v>
      </c>
      <c r="DQ92">
        <f t="shared" si="117"/>
        <v>0</v>
      </c>
      <c r="DR92">
        <f t="shared" si="117"/>
        <v>0</v>
      </c>
      <c r="DS92">
        <f t="shared" si="117"/>
        <v>0</v>
      </c>
      <c r="DT92">
        <f t="shared" si="117"/>
        <v>0</v>
      </c>
      <c r="DU92">
        <f t="shared" si="117"/>
        <v>0</v>
      </c>
      <c r="DV92">
        <f t="shared" si="117"/>
        <v>0</v>
      </c>
      <c r="DW92">
        <f t="shared" si="117"/>
        <v>0</v>
      </c>
      <c r="DX92">
        <f t="shared" si="117"/>
        <v>0</v>
      </c>
      <c r="DY92">
        <f t="shared" si="117"/>
        <v>0</v>
      </c>
      <c r="DZ92">
        <f t="shared" si="118"/>
        <v>0</v>
      </c>
      <c r="EA92">
        <f t="shared" si="118"/>
        <v>0</v>
      </c>
      <c r="EB92">
        <f t="shared" si="118"/>
        <v>0</v>
      </c>
      <c r="EC92">
        <f t="shared" si="118"/>
        <v>0</v>
      </c>
      <c r="ED92">
        <f t="shared" si="118"/>
        <v>0</v>
      </c>
      <c r="EE92">
        <f t="shared" si="118"/>
        <v>0</v>
      </c>
      <c r="EF92">
        <f t="shared" si="118"/>
        <v>0</v>
      </c>
      <c r="EG92">
        <f t="shared" si="118"/>
        <v>0</v>
      </c>
      <c r="EH92">
        <f t="shared" si="118"/>
        <v>0</v>
      </c>
      <c r="EI92">
        <f t="shared" si="118"/>
        <v>0</v>
      </c>
      <c r="EJ92">
        <f>SUM(Tabla1[[#This Row],[1]:[130]])</f>
        <v>0</v>
      </c>
    </row>
    <row r="93" spans="1:140" ht="15.75" customHeight="1" x14ac:dyDescent="0.25">
      <c r="A93" t="str">
        <f>B93&amp;"-"&amp;COUNTIF($B$2:B93,B93)</f>
        <v>I. TOMATE-2</v>
      </c>
      <c r="B93" s="35" t="s">
        <v>34</v>
      </c>
      <c r="C93">
        <f>VLOOKUP(B93,RECETAS!D92:$E$1700,2,FALSE)</f>
        <v>0</v>
      </c>
      <c r="D93" s="34"/>
      <c r="G93" t="b">
        <f t="shared" si="92"/>
        <v>1</v>
      </c>
      <c r="I93" s="36" t="s">
        <v>82</v>
      </c>
      <c r="J93">
        <f t="shared" ref="J93:S102" si="119">IFERROR(VLOOKUP($I93&amp;"-"&amp;J$2,$A$3:$C$1700,3,FALSE),0)</f>
        <v>30</v>
      </c>
      <c r="K93">
        <f t="shared" si="119"/>
        <v>210</v>
      </c>
      <c r="L93">
        <f t="shared" si="119"/>
        <v>450</v>
      </c>
      <c r="M93">
        <f t="shared" si="119"/>
        <v>30</v>
      </c>
      <c r="N93">
        <f t="shared" si="119"/>
        <v>210</v>
      </c>
      <c r="O93">
        <f t="shared" si="119"/>
        <v>420</v>
      </c>
      <c r="P93">
        <f t="shared" si="119"/>
        <v>30</v>
      </c>
      <c r="Q93">
        <f t="shared" si="119"/>
        <v>0</v>
      </c>
      <c r="R93">
        <f t="shared" si="119"/>
        <v>0</v>
      </c>
      <c r="S93">
        <f t="shared" si="119"/>
        <v>0</v>
      </c>
      <c r="T93">
        <f t="shared" ref="T93:AC102" si="120">IFERROR(VLOOKUP($I93&amp;"-"&amp;T$2,$A$3:$C$1700,3,FALSE),0)</f>
        <v>0</v>
      </c>
      <c r="U93">
        <f t="shared" si="120"/>
        <v>0</v>
      </c>
      <c r="V93">
        <f t="shared" si="120"/>
        <v>0</v>
      </c>
      <c r="W93">
        <f t="shared" si="120"/>
        <v>0</v>
      </c>
      <c r="X93">
        <f t="shared" si="120"/>
        <v>0</v>
      </c>
      <c r="Y93">
        <f t="shared" si="120"/>
        <v>0</v>
      </c>
      <c r="Z93">
        <f t="shared" si="120"/>
        <v>0</v>
      </c>
      <c r="AA93">
        <f t="shared" si="120"/>
        <v>0</v>
      </c>
      <c r="AB93">
        <f t="shared" si="120"/>
        <v>0</v>
      </c>
      <c r="AC93">
        <f t="shared" si="120"/>
        <v>0</v>
      </c>
      <c r="AD93">
        <f t="shared" ref="AD93:AM102" si="121">IFERROR(VLOOKUP($I93&amp;"-"&amp;AD$2,$A$3:$C$1700,3,FALSE),0)</f>
        <v>0</v>
      </c>
      <c r="AE93">
        <f t="shared" si="121"/>
        <v>0</v>
      </c>
      <c r="AF93">
        <f t="shared" si="121"/>
        <v>0</v>
      </c>
      <c r="AG93">
        <f t="shared" si="121"/>
        <v>0</v>
      </c>
      <c r="AH93">
        <f t="shared" si="121"/>
        <v>0</v>
      </c>
      <c r="AI93">
        <f t="shared" si="121"/>
        <v>0</v>
      </c>
      <c r="AJ93">
        <f t="shared" si="121"/>
        <v>0</v>
      </c>
      <c r="AK93">
        <f t="shared" si="121"/>
        <v>0</v>
      </c>
      <c r="AL93">
        <f t="shared" si="121"/>
        <v>0</v>
      </c>
      <c r="AM93">
        <f t="shared" si="121"/>
        <v>0</v>
      </c>
      <c r="AN93">
        <f t="shared" ref="AN93:AW102" si="122">IFERROR(VLOOKUP($I93&amp;"-"&amp;AN$2,$A$3:$C$1700,3,FALSE),0)</f>
        <v>0</v>
      </c>
      <c r="AO93">
        <f t="shared" si="122"/>
        <v>0</v>
      </c>
      <c r="AP93">
        <f t="shared" si="122"/>
        <v>0</v>
      </c>
      <c r="AQ93">
        <f t="shared" si="122"/>
        <v>0</v>
      </c>
      <c r="AR93">
        <f t="shared" si="122"/>
        <v>0</v>
      </c>
      <c r="AS93">
        <f t="shared" si="122"/>
        <v>0</v>
      </c>
      <c r="AT93">
        <f t="shared" si="122"/>
        <v>0</v>
      </c>
      <c r="AU93">
        <f t="shared" si="122"/>
        <v>0</v>
      </c>
      <c r="AV93">
        <f t="shared" si="122"/>
        <v>0</v>
      </c>
      <c r="AW93">
        <f t="shared" si="122"/>
        <v>0</v>
      </c>
      <c r="AX93">
        <f t="shared" ref="AX93:BG102" si="123">IFERROR(VLOOKUP($I93&amp;"-"&amp;AX$2,$A$3:$C$1700,3,FALSE),0)</f>
        <v>0</v>
      </c>
      <c r="AY93">
        <f t="shared" si="123"/>
        <v>0</v>
      </c>
      <c r="AZ93">
        <f t="shared" si="123"/>
        <v>0</v>
      </c>
      <c r="BA93">
        <f t="shared" si="123"/>
        <v>0</v>
      </c>
      <c r="BB93">
        <f t="shared" si="123"/>
        <v>0</v>
      </c>
      <c r="BC93">
        <f t="shared" si="123"/>
        <v>0</v>
      </c>
      <c r="BD93">
        <f t="shared" si="123"/>
        <v>0</v>
      </c>
      <c r="BE93">
        <f t="shared" si="123"/>
        <v>0</v>
      </c>
      <c r="BF93">
        <f t="shared" si="123"/>
        <v>0</v>
      </c>
      <c r="BG93">
        <f t="shared" si="123"/>
        <v>0</v>
      </c>
      <c r="BH93">
        <f t="shared" ref="BH93:BQ102" si="124">IFERROR(VLOOKUP($I93&amp;"-"&amp;BH$2,$A$3:$C$1700,3,FALSE),0)</f>
        <v>0</v>
      </c>
      <c r="BI93">
        <f t="shared" si="124"/>
        <v>0</v>
      </c>
      <c r="BJ93">
        <f t="shared" si="124"/>
        <v>0</v>
      </c>
      <c r="BK93">
        <f t="shared" si="124"/>
        <v>0</v>
      </c>
      <c r="BL93">
        <f t="shared" si="124"/>
        <v>0</v>
      </c>
      <c r="BM93">
        <f t="shared" si="124"/>
        <v>0</v>
      </c>
      <c r="BN93">
        <f t="shared" si="124"/>
        <v>0</v>
      </c>
      <c r="BO93">
        <f t="shared" si="124"/>
        <v>0</v>
      </c>
      <c r="BP93">
        <f t="shared" si="124"/>
        <v>0</v>
      </c>
      <c r="BQ93">
        <f t="shared" si="124"/>
        <v>0</v>
      </c>
      <c r="BR93">
        <f t="shared" ref="BR93:CA102" si="125">IFERROR(VLOOKUP($I93&amp;"-"&amp;BR$2,$A$3:$C$1700,3,FALSE),0)</f>
        <v>0</v>
      </c>
      <c r="BS93">
        <f t="shared" si="125"/>
        <v>0</v>
      </c>
      <c r="BT93">
        <f t="shared" si="125"/>
        <v>0</v>
      </c>
      <c r="BU93">
        <f t="shared" si="125"/>
        <v>0</v>
      </c>
      <c r="BV93">
        <f t="shared" si="125"/>
        <v>0</v>
      </c>
      <c r="BW93">
        <f t="shared" si="125"/>
        <v>0</v>
      </c>
      <c r="BX93">
        <f t="shared" si="125"/>
        <v>0</v>
      </c>
      <c r="BY93">
        <f t="shared" si="125"/>
        <v>0</v>
      </c>
      <c r="BZ93">
        <f t="shared" si="125"/>
        <v>0</v>
      </c>
      <c r="CA93">
        <f t="shared" si="125"/>
        <v>0</v>
      </c>
      <c r="CB93">
        <f t="shared" ref="CB93:CK102" si="126">IFERROR(VLOOKUP($I93&amp;"-"&amp;CB$2,$A$3:$C$1700,3,FALSE),0)</f>
        <v>0</v>
      </c>
      <c r="CC93">
        <f t="shared" si="126"/>
        <v>0</v>
      </c>
      <c r="CD93">
        <f t="shared" si="126"/>
        <v>0</v>
      </c>
      <c r="CE93">
        <f t="shared" si="126"/>
        <v>0</v>
      </c>
      <c r="CF93">
        <f t="shared" si="126"/>
        <v>0</v>
      </c>
      <c r="CG93">
        <f t="shared" si="126"/>
        <v>0</v>
      </c>
      <c r="CH93">
        <f t="shared" si="126"/>
        <v>0</v>
      </c>
      <c r="CI93">
        <f t="shared" si="126"/>
        <v>0</v>
      </c>
      <c r="CJ93">
        <f t="shared" si="126"/>
        <v>0</v>
      </c>
      <c r="CK93">
        <f t="shared" si="126"/>
        <v>0</v>
      </c>
      <c r="CL93">
        <f t="shared" ref="CL93:CU102" si="127">IFERROR(VLOOKUP($I93&amp;"-"&amp;CL$2,$A$3:$C$1700,3,FALSE),0)</f>
        <v>0</v>
      </c>
      <c r="CM93">
        <f t="shared" si="127"/>
        <v>0</v>
      </c>
      <c r="CN93">
        <f t="shared" si="127"/>
        <v>0</v>
      </c>
      <c r="CO93">
        <f t="shared" si="127"/>
        <v>0</v>
      </c>
      <c r="CP93">
        <f t="shared" si="127"/>
        <v>0</v>
      </c>
      <c r="CQ93">
        <f t="shared" si="127"/>
        <v>0</v>
      </c>
      <c r="CR93">
        <f t="shared" si="127"/>
        <v>0</v>
      </c>
      <c r="CS93">
        <f t="shared" si="127"/>
        <v>0</v>
      </c>
      <c r="CT93">
        <f t="shared" si="127"/>
        <v>0</v>
      </c>
      <c r="CU93">
        <f t="shared" si="127"/>
        <v>0</v>
      </c>
      <c r="CV93">
        <f t="shared" ref="CV93:DE102" si="128">IFERROR(VLOOKUP($I93&amp;"-"&amp;CV$2,$A$3:$C$1700,3,FALSE),0)</f>
        <v>0</v>
      </c>
      <c r="CW93">
        <f t="shared" si="128"/>
        <v>0</v>
      </c>
      <c r="CX93">
        <f t="shared" si="128"/>
        <v>0</v>
      </c>
      <c r="CY93">
        <f t="shared" si="128"/>
        <v>0</v>
      </c>
      <c r="CZ93">
        <f t="shared" si="128"/>
        <v>0</v>
      </c>
      <c r="DA93">
        <f t="shared" si="128"/>
        <v>0</v>
      </c>
      <c r="DB93">
        <f t="shared" si="128"/>
        <v>0</v>
      </c>
      <c r="DC93">
        <f t="shared" si="128"/>
        <v>0</v>
      </c>
      <c r="DD93">
        <f t="shared" si="128"/>
        <v>0</v>
      </c>
      <c r="DE93">
        <f t="shared" si="128"/>
        <v>0</v>
      </c>
      <c r="DF93">
        <f t="shared" ref="DF93:DO102" si="129">IFERROR(VLOOKUP($I93&amp;"-"&amp;DF$2,$A$3:$C$1700,3,FALSE),0)</f>
        <v>0</v>
      </c>
      <c r="DG93">
        <f t="shared" si="129"/>
        <v>0</v>
      </c>
      <c r="DH93">
        <f t="shared" si="129"/>
        <v>0</v>
      </c>
      <c r="DI93">
        <f t="shared" si="129"/>
        <v>0</v>
      </c>
      <c r="DJ93">
        <f t="shared" si="129"/>
        <v>0</v>
      </c>
      <c r="DK93">
        <f t="shared" si="129"/>
        <v>0</v>
      </c>
      <c r="DL93">
        <f t="shared" si="129"/>
        <v>0</v>
      </c>
      <c r="DM93">
        <f t="shared" si="129"/>
        <v>0</v>
      </c>
      <c r="DN93">
        <f t="shared" si="129"/>
        <v>0</v>
      </c>
      <c r="DO93">
        <f t="shared" si="129"/>
        <v>0</v>
      </c>
      <c r="DP93">
        <f t="shared" ref="DP93:DY102" si="130">IFERROR(VLOOKUP($I93&amp;"-"&amp;DP$2,$A$3:$C$1700,3,FALSE),0)</f>
        <v>0</v>
      </c>
      <c r="DQ93">
        <f t="shared" si="130"/>
        <v>0</v>
      </c>
      <c r="DR93">
        <f t="shared" si="130"/>
        <v>0</v>
      </c>
      <c r="DS93">
        <f t="shared" si="130"/>
        <v>0</v>
      </c>
      <c r="DT93">
        <f t="shared" si="130"/>
        <v>0</v>
      </c>
      <c r="DU93">
        <f t="shared" si="130"/>
        <v>0</v>
      </c>
      <c r="DV93">
        <f t="shared" si="130"/>
        <v>0</v>
      </c>
      <c r="DW93">
        <f t="shared" si="130"/>
        <v>0</v>
      </c>
      <c r="DX93">
        <f t="shared" si="130"/>
        <v>0</v>
      </c>
      <c r="DY93">
        <f t="shared" si="130"/>
        <v>0</v>
      </c>
      <c r="DZ93">
        <f t="shared" ref="DZ93:EI102" si="131">IFERROR(VLOOKUP($I93&amp;"-"&amp;DZ$2,$A$3:$C$1700,3,FALSE),0)</f>
        <v>0</v>
      </c>
      <c r="EA93">
        <f t="shared" si="131"/>
        <v>0</v>
      </c>
      <c r="EB93">
        <f t="shared" si="131"/>
        <v>0</v>
      </c>
      <c r="EC93">
        <f t="shared" si="131"/>
        <v>0</v>
      </c>
      <c r="ED93">
        <f t="shared" si="131"/>
        <v>0</v>
      </c>
      <c r="EE93">
        <f t="shared" si="131"/>
        <v>0</v>
      </c>
      <c r="EF93">
        <f t="shared" si="131"/>
        <v>0</v>
      </c>
      <c r="EG93">
        <f t="shared" si="131"/>
        <v>0</v>
      </c>
      <c r="EH93">
        <f t="shared" si="131"/>
        <v>0</v>
      </c>
      <c r="EI93">
        <f t="shared" si="131"/>
        <v>0</v>
      </c>
      <c r="EJ93">
        <f>SUM(Tabla1[[#This Row],[1]:[130]])</f>
        <v>1380</v>
      </c>
    </row>
    <row r="94" spans="1:140" ht="15" customHeight="1" x14ac:dyDescent="0.25">
      <c r="A94" t="str">
        <f>B94&amp;"-"&amp;COUNTIF($B$2:B94,B94)</f>
        <v>I. LECHUGA HIDROPONICA-1</v>
      </c>
      <c r="B94" s="35" t="s">
        <v>571</v>
      </c>
      <c r="C94">
        <f>VLOOKUP(B94,RECETAS!D93:$E$1700,2,FALSE)</f>
        <v>480</v>
      </c>
      <c r="D94" s="34"/>
      <c r="G94" t="b">
        <f t="shared" si="92"/>
        <v>1</v>
      </c>
      <c r="I94" s="35" t="s">
        <v>26</v>
      </c>
      <c r="J94">
        <f t="shared" si="119"/>
        <v>28</v>
      </c>
      <c r="K94">
        <f t="shared" si="119"/>
        <v>20</v>
      </c>
      <c r="L94">
        <f t="shared" si="119"/>
        <v>0</v>
      </c>
      <c r="M94">
        <f t="shared" si="119"/>
        <v>0</v>
      </c>
      <c r="N94">
        <f t="shared" si="119"/>
        <v>2</v>
      </c>
      <c r="O94">
        <f t="shared" si="119"/>
        <v>0</v>
      </c>
      <c r="P94">
        <f t="shared" si="119"/>
        <v>20</v>
      </c>
      <c r="Q94">
        <f t="shared" si="119"/>
        <v>0</v>
      </c>
      <c r="R94">
        <f t="shared" si="119"/>
        <v>0</v>
      </c>
      <c r="S94">
        <f t="shared" si="119"/>
        <v>0</v>
      </c>
      <c r="T94">
        <f t="shared" si="120"/>
        <v>0</v>
      </c>
      <c r="U94">
        <f t="shared" si="120"/>
        <v>0</v>
      </c>
      <c r="V94">
        <f t="shared" si="120"/>
        <v>0</v>
      </c>
      <c r="W94">
        <f t="shared" si="120"/>
        <v>0</v>
      </c>
      <c r="X94">
        <f t="shared" si="120"/>
        <v>0</v>
      </c>
      <c r="Y94">
        <f t="shared" si="120"/>
        <v>0</v>
      </c>
      <c r="Z94">
        <f t="shared" si="120"/>
        <v>0</v>
      </c>
      <c r="AA94">
        <f t="shared" si="120"/>
        <v>0</v>
      </c>
      <c r="AB94">
        <f t="shared" si="120"/>
        <v>0</v>
      </c>
      <c r="AC94">
        <f t="shared" si="120"/>
        <v>0</v>
      </c>
      <c r="AD94">
        <f t="shared" si="121"/>
        <v>0</v>
      </c>
      <c r="AE94">
        <f t="shared" si="121"/>
        <v>0</v>
      </c>
      <c r="AF94">
        <f t="shared" si="121"/>
        <v>0</v>
      </c>
      <c r="AG94">
        <f t="shared" si="121"/>
        <v>0</v>
      </c>
      <c r="AH94">
        <f t="shared" si="121"/>
        <v>0</v>
      </c>
      <c r="AI94">
        <f t="shared" si="121"/>
        <v>0</v>
      </c>
      <c r="AJ94">
        <f t="shared" si="121"/>
        <v>0</v>
      </c>
      <c r="AK94">
        <f t="shared" si="121"/>
        <v>0</v>
      </c>
      <c r="AL94">
        <f t="shared" si="121"/>
        <v>0</v>
      </c>
      <c r="AM94">
        <f t="shared" si="121"/>
        <v>0</v>
      </c>
      <c r="AN94">
        <f t="shared" si="122"/>
        <v>0</v>
      </c>
      <c r="AO94">
        <f t="shared" si="122"/>
        <v>0</v>
      </c>
      <c r="AP94">
        <f t="shared" si="122"/>
        <v>0</v>
      </c>
      <c r="AQ94">
        <f t="shared" si="122"/>
        <v>0</v>
      </c>
      <c r="AR94">
        <f t="shared" si="122"/>
        <v>0</v>
      </c>
      <c r="AS94">
        <f t="shared" si="122"/>
        <v>0</v>
      </c>
      <c r="AT94">
        <f t="shared" si="122"/>
        <v>0</v>
      </c>
      <c r="AU94">
        <f t="shared" si="122"/>
        <v>0</v>
      </c>
      <c r="AV94">
        <f t="shared" si="122"/>
        <v>0</v>
      </c>
      <c r="AW94">
        <f t="shared" si="122"/>
        <v>0</v>
      </c>
      <c r="AX94">
        <f t="shared" si="123"/>
        <v>0</v>
      </c>
      <c r="AY94">
        <f t="shared" si="123"/>
        <v>0</v>
      </c>
      <c r="AZ94">
        <f t="shared" si="123"/>
        <v>0</v>
      </c>
      <c r="BA94">
        <f t="shared" si="123"/>
        <v>0</v>
      </c>
      <c r="BB94">
        <f t="shared" si="123"/>
        <v>0</v>
      </c>
      <c r="BC94">
        <f t="shared" si="123"/>
        <v>0</v>
      </c>
      <c r="BD94">
        <f t="shared" si="123"/>
        <v>0</v>
      </c>
      <c r="BE94">
        <f t="shared" si="123"/>
        <v>0</v>
      </c>
      <c r="BF94">
        <f t="shared" si="123"/>
        <v>0</v>
      </c>
      <c r="BG94">
        <f t="shared" si="123"/>
        <v>0</v>
      </c>
      <c r="BH94">
        <f t="shared" si="124"/>
        <v>0</v>
      </c>
      <c r="BI94">
        <f t="shared" si="124"/>
        <v>0</v>
      </c>
      <c r="BJ94">
        <f t="shared" si="124"/>
        <v>0</v>
      </c>
      <c r="BK94">
        <f t="shared" si="124"/>
        <v>0</v>
      </c>
      <c r="BL94">
        <f t="shared" si="124"/>
        <v>0</v>
      </c>
      <c r="BM94">
        <f t="shared" si="124"/>
        <v>0</v>
      </c>
      <c r="BN94">
        <f t="shared" si="124"/>
        <v>0</v>
      </c>
      <c r="BO94">
        <f t="shared" si="124"/>
        <v>0</v>
      </c>
      <c r="BP94">
        <f t="shared" si="124"/>
        <v>0</v>
      </c>
      <c r="BQ94">
        <f t="shared" si="124"/>
        <v>0</v>
      </c>
      <c r="BR94">
        <f t="shared" si="125"/>
        <v>0</v>
      </c>
      <c r="BS94">
        <f t="shared" si="125"/>
        <v>0</v>
      </c>
      <c r="BT94">
        <f t="shared" si="125"/>
        <v>0</v>
      </c>
      <c r="BU94">
        <f t="shared" si="125"/>
        <v>0</v>
      </c>
      <c r="BV94">
        <f t="shared" si="125"/>
        <v>0</v>
      </c>
      <c r="BW94">
        <f t="shared" si="125"/>
        <v>0</v>
      </c>
      <c r="BX94">
        <f t="shared" si="125"/>
        <v>0</v>
      </c>
      <c r="BY94">
        <f t="shared" si="125"/>
        <v>0</v>
      </c>
      <c r="BZ94">
        <f t="shared" si="125"/>
        <v>0</v>
      </c>
      <c r="CA94">
        <f t="shared" si="125"/>
        <v>0</v>
      </c>
      <c r="CB94">
        <f t="shared" si="126"/>
        <v>0</v>
      </c>
      <c r="CC94">
        <f t="shared" si="126"/>
        <v>0</v>
      </c>
      <c r="CD94">
        <f t="shared" si="126"/>
        <v>0</v>
      </c>
      <c r="CE94">
        <f t="shared" si="126"/>
        <v>0</v>
      </c>
      <c r="CF94">
        <f t="shared" si="126"/>
        <v>0</v>
      </c>
      <c r="CG94">
        <f t="shared" si="126"/>
        <v>0</v>
      </c>
      <c r="CH94">
        <f t="shared" si="126"/>
        <v>0</v>
      </c>
      <c r="CI94">
        <f t="shared" si="126"/>
        <v>0</v>
      </c>
      <c r="CJ94">
        <f t="shared" si="126"/>
        <v>0</v>
      </c>
      <c r="CK94">
        <f t="shared" si="126"/>
        <v>0</v>
      </c>
      <c r="CL94">
        <f t="shared" si="127"/>
        <v>0</v>
      </c>
      <c r="CM94">
        <f t="shared" si="127"/>
        <v>0</v>
      </c>
      <c r="CN94">
        <f t="shared" si="127"/>
        <v>0</v>
      </c>
      <c r="CO94">
        <f t="shared" si="127"/>
        <v>0</v>
      </c>
      <c r="CP94">
        <f t="shared" si="127"/>
        <v>0</v>
      </c>
      <c r="CQ94">
        <f t="shared" si="127"/>
        <v>0</v>
      </c>
      <c r="CR94">
        <f t="shared" si="127"/>
        <v>0</v>
      </c>
      <c r="CS94">
        <f t="shared" si="127"/>
        <v>0</v>
      </c>
      <c r="CT94">
        <f t="shared" si="127"/>
        <v>0</v>
      </c>
      <c r="CU94">
        <f t="shared" si="127"/>
        <v>0</v>
      </c>
      <c r="CV94">
        <f t="shared" si="128"/>
        <v>0</v>
      </c>
      <c r="CW94">
        <f t="shared" si="128"/>
        <v>0</v>
      </c>
      <c r="CX94">
        <f t="shared" si="128"/>
        <v>0</v>
      </c>
      <c r="CY94">
        <f t="shared" si="128"/>
        <v>0</v>
      </c>
      <c r="CZ94">
        <f t="shared" si="128"/>
        <v>0</v>
      </c>
      <c r="DA94">
        <f t="shared" si="128"/>
        <v>0</v>
      </c>
      <c r="DB94">
        <f t="shared" si="128"/>
        <v>0</v>
      </c>
      <c r="DC94">
        <f t="shared" si="128"/>
        <v>0</v>
      </c>
      <c r="DD94">
        <f t="shared" si="128"/>
        <v>0</v>
      </c>
      <c r="DE94">
        <f t="shared" si="128"/>
        <v>0</v>
      </c>
      <c r="DF94">
        <f t="shared" si="129"/>
        <v>0</v>
      </c>
      <c r="DG94">
        <f t="shared" si="129"/>
        <v>0</v>
      </c>
      <c r="DH94">
        <f t="shared" si="129"/>
        <v>0</v>
      </c>
      <c r="DI94">
        <f t="shared" si="129"/>
        <v>0</v>
      </c>
      <c r="DJ94">
        <f t="shared" si="129"/>
        <v>0</v>
      </c>
      <c r="DK94">
        <f t="shared" si="129"/>
        <v>0</v>
      </c>
      <c r="DL94">
        <f t="shared" si="129"/>
        <v>0</v>
      </c>
      <c r="DM94">
        <f t="shared" si="129"/>
        <v>0</v>
      </c>
      <c r="DN94">
        <f t="shared" si="129"/>
        <v>0</v>
      </c>
      <c r="DO94">
        <f t="shared" si="129"/>
        <v>0</v>
      </c>
      <c r="DP94">
        <f t="shared" si="130"/>
        <v>0</v>
      </c>
      <c r="DQ94">
        <f t="shared" si="130"/>
        <v>0</v>
      </c>
      <c r="DR94">
        <f t="shared" si="130"/>
        <v>0</v>
      </c>
      <c r="DS94">
        <f t="shared" si="130"/>
        <v>0</v>
      </c>
      <c r="DT94">
        <f t="shared" si="130"/>
        <v>0</v>
      </c>
      <c r="DU94">
        <f t="shared" si="130"/>
        <v>0</v>
      </c>
      <c r="DV94">
        <f t="shared" si="130"/>
        <v>0</v>
      </c>
      <c r="DW94">
        <f t="shared" si="130"/>
        <v>0</v>
      </c>
      <c r="DX94">
        <f t="shared" si="130"/>
        <v>0</v>
      </c>
      <c r="DY94">
        <f t="shared" si="130"/>
        <v>0</v>
      </c>
      <c r="DZ94">
        <f t="shared" si="131"/>
        <v>0</v>
      </c>
      <c r="EA94">
        <f t="shared" si="131"/>
        <v>0</v>
      </c>
      <c r="EB94">
        <f t="shared" si="131"/>
        <v>0</v>
      </c>
      <c r="EC94">
        <f t="shared" si="131"/>
        <v>0</v>
      </c>
      <c r="ED94">
        <f t="shared" si="131"/>
        <v>0</v>
      </c>
      <c r="EE94">
        <f t="shared" si="131"/>
        <v>0</v>
      </c>
      <c r="EF94">
        <f t="shared" si="131"/>
        <v>0</v>
      </c>
      <c r="EG94">
        <f t="shared" si="131"/>
        <v>0</v>
      </c>
      <c r="EH94">
        <f t="shared" si="131"/>
        <v>0</v>
      </c>
      <c r="EI94">
        <f t="shared" si="131"/>
        <v>0</v>
      </c>
      <c r="EJ94">
        <f>SUM(Tabla1[[#This Row],[1]:[130]])</f>
        <v>70</v>
      </c>
    </row>
    <row r="95" spans="1:140" ht="15" customHeight="1" x14ac:dyDescent="0.25">
      <c r="A95" t="str">
        <f>B95&amp;"-"&amp;COUNTIF($B$2:B95,B95)</f>
        <v>I. QUESO GRANULADO-11</v>
      </c>
      <c r="B95" s="35" t="s">
        <v>9</v>
      </c>
      <c r="C95">
        <f>VLOOKUP(B95,RECETAS!D94:$E$1700,2,FALSE)</f>
        <v>480</v>
      </c>
      <c r="D95" s="34"/>
      <c r="G95" t="b">
        <f t="shared" si="92"/>
        <v>1</v>
      </c>
      <c r="I95" s="38" t="s">
        <v>286</v>
      </c>
      <c r="J95">
        <f t="shared" si="119"/>
        <v>0</v>
      </c>
      <c r="K95">
        <f t="shared" si="119"/>
        <v>0</v>
      </c>
      <c r="L95">
        <f t="shared" si="119"/>
        <v>0</v>
      </c>
      <c r="M95">
        <f t="shared" si="119"/>
        <v>1</v>
      </c>
      <c r="N95">
        <f t="shared" si="119"/>
        <v>0</v>
      </c>
      <c r="O95">
        <f t="shared" si="119"/>
        <v>0</v>
      </c>
      <c r="P95">
        <f t="shared" si="119"/>
        <v>0</v>
      </c>
      <c r="Q95">
        <f t="shared" si="119"/>
        <v>0</v>
      </c>
      <c r="R95">
        <f t="shared" si="119"/>
        <v>0</v>
      </c>
      <c r="S95">
        <f t="shared" si="119"/>
        <v>0</v>
      </c>
      <c r="T95">
        <f t="shared" si="120"/>
        <v>0</v>
      </c>
      <c r="U95">
        <f t="shared" si="120"/>
        <v>0</v>
      </c>
      <c r="V95">
        <f t="shared" si="120"/>
        <v>0</v>
      </c>
      <c r="W95">
        <f t="shared" si="120"/>
        <v>0</v>
      </c>
      <c r="X95">
        <f t="shared" si="120"/>
        <v>0</v>
      </c>
      <c r="Y95">
        <f t="shared" si="120"/>
        <v>0</v>
      </c>
      <c r="Z95">
        <f t="shared" si="120"/>
        <v>0</v>
      </c>
      <c r="AA95">
        <f t="shared" si="120"/>
        <v>0</v>
      </c>
      <c r="AB95">
        <f t="shared" si="120"/>
        <v>0</v>
      </c>
      <c r="AC95">
        <f t="shared" si="120"/>
        <v>0</v>
      </c>
      <c r="AD95">
        <f t="shared" si="121"/>
        <v>0</v>
      </c>
      <c r="AE95">
        <f t="shared" si="121"/>
        <v>0</v>
      </c>
      <c r="AF95">
        <f t="shared" si="121"/>
        <v>0</v>
      </c>
      <c r="AG95">
        <f t="shared" si="121"/>
        <v>0</v>
      </c>
      <c r="AH95">
        <f t="shared" si="121"/>
        <v>0</v>
      </c>
      <c r="AI95">
        <f t="shared" si="121"/>
        <v>0</v>
      </c>
      <c r="AJ95">
        <f t="shared" si="121"/>
        <v>0</v>
      </c>
      <c r="AK95">
        <f t="shared" si="121"/>
        <v>0</v>
      </c>
      <c r="AL95">
        <f t="shared" si="121"/>
        <v>0</v>
      </c>
      <c r="AM95">
        <f t="shared" si="121"/>
        <v>0</v>
      </c>
      <c r="AN95">
        <f t="shared" si="122"/>
        <v>0</v>
      </c>
      <c r="AO95">
        <f t="shared" si="122"/>
        <v>0</v>
      </c>
      <c r="AP95">
        <f t="shared" si="122"/>
        <v>0</v>
      </c>
      <c r="AQ95">
        <f t="shared" si="122"/>
        <v>0</v>
      </c>
      <c r="AR95">
        <f t="shared" si="122"/>
        <v>0</v>
      </c>
      <c r="AS95">
        <f t="shared" si="122"/>
        <v>0</v>
      </c>
      <c r="AT95">
        <f t="shared" si="122"/>
        <v>0</v>
      </c>
      <c r="AU95">
        <f t="shared" si="122"/>
        <v>0</v>
      </c>
      <c r="AV95">
        <f t="shared" si="122"/>
        <v>0</v>
      </c>
      <c r="AW95">
        <f t="shared" si="122"/>
        <v>0</v>
      </c>
      <c r="AX95">
        <f t="shared" si="123"/>
        <v>0</v>
      </c>
      <c r="AY95">
        <f t="shared" si="123"/>
        <v>0</v>
      </c>
      <c r="AZ95">
        <f t="shared" si="123"/>
        <v>0</v>
      </c>
      <c r="BA95">
        <f t="shared" si="123"/>
        <v>0</v>
      </c>
      <c r="BB95">
        <f t="shared" si="123"/>
        <v>0</v>
      </c>
      <c r="BC95">
        <f t="shared" si="123"/>
        <v>0</v>
      </c>
      <c r="BD95">
        <f t="shared" si="123"/>
        <v>0</v>
      </c>
      <c r="BE95">
        <f t="shared" si="123"/>
        <v>0</v>
      </c>
      <c r="BF95">
        <f t="shared" si="123"/>
        <v>0</v>
      </c>
      <c r="BG95">
        <f t="shared" si="123"/>
        <v>0</v>
      </c>
      <c r="BH95">
        <f t="shared" si="124"/>
        <v>0</v>
      </c>
      <c r="BI95">
        <f t="shared" si="124"/>
        <v>0</v>
      </c>
      <c r="BJ95">
        <f t="shared" si="124"/>
        <v>0</v>
      </c>
      <c r="BK95">
        <f t="shared" si="124"/>
        <v>0</v>
      </c>
      <c r="BL95">
        <f t="shared" si="124"/>
        <v>0</v>
      </c>
      <c r="BM95">
        <f t="shared" si="124"/>
        <v>0</v>
      </c>
      <c r="BN95">
        <f t="shared" si="124"/>
        <v>0</v>
      </c>
      <c r="BO95">
        <f t="shared" si="124"/>
        <v>0</v>
      </c>
      <c r="BP95">
        <f t="shared" si="124"/>
        <v>0</v>
      </c>
      <c r="BQ95">
        <f t="shared" si="124"/>
        <v>0</v>
      </c>
      <c r="BR95">
        <f t="shared" si="125"/>
        <v>0</v>
      </c>
      <c r="BS95">
        <f t="shared" si="125"/>
        <v>0</v>
      </c>
      <c r="BT95">
        <f t="shared" si="125"/>
        <v>0</v>
      </c>
      <c r="BU95">
        <f t="shared" si="125"/>
        <v>0</v>
      </c>
      <c r="BV95">
        <f t="shared" si="125"/>
        <v>0</v>
      </c>
      <c r="BW95">
        <f t="shared" si="125"/>
        <v>0</v>
      </c>
      <c r="BX95">
        <f t="shared" si="125"/>
        <v>0</v>
      </c>
      <c r="BY95">
        <f t="shared" si="125"/>
        <v>0</v>
      </c>
      <c r="BZ95">
        <f t="shared" si="125"/>
        <v>0</v>
      </c>
      <c r="CA95">
        <f t="shared" si="125"/>
        <v>0</v>
      </c>
      <c r="CB95">
        <f t="shared" si="126"/>
        <v>0</v>
      </c>
      <c r="CC95">
        <f t="shared" si="126"/>
        <v>0</v>
      </c>
      <c r="CD95">
        <f t="shared" si="126"/>
        <v>0</v>
      </c>
      <c r="CE95">
        <f t="shared" si="126"/>
        <v>0</v>
      </c>
      <c r="CF95">
        <f t="shared" si="126"/>
        <v>0</v>
      </c>
      <c r="CG95">
        <f t="shared" si="126"/>
        <v>0</v>
      </c>
      <c r="CH95">
        <f t="shared" si="126"/>
        <v>0</v>
      </c>
      <c r="CI95">
        <f t="shared" si="126"/>
        <v>0</v>
      </c>
      <c r="CJ95">
        <f t="shared" si="126"/>
        <v>0</v>
      </c>
      <c r="CK95">
        <f t="shared" si="126"/>
        <v>0</v>
      </c>
      <c r="CL95">
        <f t="shared" si="127"/>
        <v>0</v>
      </c>
      <c r="CM95">
        <f t="shared" si="127"/>
        <v>0</v>
      </c>
      <c r="CN95">
        <f t="shared" si="127"/>
        <v>0</v>
      </c>
      <c r="CO95">
        <f t="shared" si="127"/>
        <v>0</v>
      </c>
      <c r="CP95">
        <f t="shared" si="127"/>
        <v>0</v>
      </c>
      <c r="CQ95">
        <f t="shared" si="127"/>
        <v>0</v>
      </c>
      <c r="CR95">
        <f t="shared" si="127"/>
        <v>0</v>
      </c>
      <c r="CS95">
        <f t="shared" si="127"/>
        <v>0</v>
      </c>
      <c r="CT95">
        <f t="shared" si="127"/>
        <v>0</v>
      </c>
      <c r="CU95">
        <f t="shared" si="127"/>
        <v>0</v>
      </c>
      <c r="CV95">
        <f t="shared" si="128"/>
        <v>0</v>
      </c>
      <c r="CW95">
        <f t="shared" si="128"/>
        <v>0</v>
      </c>
      <c r="CX95">
        <f t="shared" si="128"/>
        <v>0</v>
      </c>
      <c r="CY95">
        <f t="shared" si="128"/>
        <v>0</v>
      </c>
      <c r="CZ95">
        <f t="shared" si="128"/>
        <v>0</v>
      </c>
      <c r="DA95">
        <f t="shared" si="128"/>
        <v>0</v>
      </c>
      <c r="DB95">
        <f t="shared" si="128"/>
        <v>0</v>
      </c>
      <c r="DC95">
        <f t="shared" si="128"/>
        <v>0</v>
      </c>
      <c r="DD95">
        <f t="shared" si="128"/>
        <v>0</v>
      </c>
      <c r="DE95">
        <f t="shared" si="128"/>
        <v>0</v>
      </c>
      <c r="DF95">
        <f t="shared" si="129"/>
        <v>0</v>
      </c>
      <c r="DG95">
        <f t="shared" si="129"/>
        <v>0</v>
      </c>
      <c r="DH95">
        <f t="shared" si="129"/>
        <v>0</v>
      </c>
      <c r="DI95">
        <f t="shared" si="129"/>
        <v>0</v>
      </c>
      <c r="DJ95">
        <f t="shared" si="129"/>
        <v>0</v>
      </c>
      <c r="DK95">
        <f t="shared" si="129"/>
        <v>0</v>
      </c>
      <c r="DL95">
        <f t="shared" si="129"/>
        <v>0</v>
      </c>
      <c r="DM95">
        <f t="shared" si="129"/>
        <v>0</v>
      </c>
      <c r="DN95">
        <f t="shared" si="129"/>
        <v>0</v>
      </c>
      <c r="DO95">
        <f t="shared" si="129"/>
        <v>0</v>
      </c>
      <c r="DP95">
        <f t="shared" si="130"/>
        <v>0</v>
      </c>
      <c r="DQ95">
        <f t="shared" si="130"/>
        <v>0</v>
      </c>
      <c r="DR95">
        <f t="shared" si="130"/>
        <v>0</v>
      </c>
      <c r="DS95">
        <f t="shared" si="130"/>
        <v>0</v>
      </c>
      <c r="DT95">
        <f t="shared" si="130"/>
        <v>0</v>
      </c>
      <c r="DU95">
        <f t="shared" si="130"/>
        <v>0</v>
      </c>
      <c r="DV95">
        <f t="shared" si="130"/>
        <v>0</v>
      </c>
      <c r="DW95">
        <f t="shared" si="130"/>
        <v>0</v>
      </c>
      <c r="DX95">
        <f t="shared" si="130"/>
        <v>0</v>
      </c>
      <c r="DY95">
        <f t="shared" si="130"/>
        <v>0</v>
      </c>
      <c r="DZ95">
        <f t="shared" si="131"/>
        <v>0</v>
      </c>
      <c r="EA95">
        <f t="shared" si="131"/>
        <v>0</v>
      </c>
      <c r="EB95">
        <f t="shared" si="131"/>
        <v>0</v>
      </c>
      <c r="EC95">
        <f t="shared" si="131"/>
        <v>0</v>
      </c>
      <c r="ED95">
        <f t="shared" si="131"/>
        <v>0</v>
      </c>
      <c r="EE95">
        <f t="shared" si="131"/>
        <v>0</v>
      </c>
      <c r="EF95">
        <f t="shared" si="131"/>
        <v>0</v>
      </c>
      <c r="EG95">
        <f t="shared" si="131"/>
        <v>0</v>
      </c>
      <c r="EH95">
        <f t="shared" si="131"/>
        <v>0</v>
      </c>
      <c r="EI95">
        <f t="shared" si="131"/>
        <v>0</v>
      </c>
      <c r="EJ95">
        <f>SUM(Tabla1[[#This Row],[1]:[130]])</f>
        <v>1</v>
      </c>
    </row>
    <row r="96" spans="1:140" ht="15" customHeight="1" x14ac:dyDescent="0.25">
      <c r="A96" t="str">
        <f>B96&amp;"-"&amp;COUNTIF($B$2:B96,B96)</f>
        <v>I. PAN FRICA-1</v>
      </c>
      <c r="B96" s="35" t="s">
        <v>28</v>
      </c>
      <c r="C96">
        <f>VLOOKUP(B96,RECETAS!D95:$E$1700,2,FALSE)</f>
        <v>16</v>
      </c>
      <c r="D96" s="34"/>
      <c r="G96" t="b">
        <f t="shared" si="92"/>
        <v>1</v>
      </c>
      <c r="I96" s="38" t="s">
        <v>209</v>
      </c>
      <c r="J96">
        <f t="shared" si="119"/>
        <v>10</v>
      </c>
      <c r="K96">
        <f t="shared" si="119"/>
        <v>10</v>
      </c>
      <c r="L96">
        <f t="shared" si="119"/>
        <v>14</v>
      </c>
      <c r="M96">
        <f t="shared" si="119"/>
        <v>6</v>
      </c>
      <c r="N96">
        <f t="shared" si="119"/>
        <v>0</v>
      </c>
      <c r="O96">
        <f t="shared" si="119"/>
        <v>0</v>
      </c>
      <c r="P96">
        <f t="shared" si="119"/>
        <v>0</v>
      </c>
      <c r="Q96">
        <f t="shared" si="119"/>
        <v>0</v>
      </c>
      <c r="R96">
        <f t="shared" si="119"/>
        <v>0</v>
      </c>
      <c r="S96">
        <f t="shared" si="119"/>
        <v>0</v>
      </c>
      <c r="T96">
        <f t="shared" si="120"/>
        <v>0</v>
      </c>
      <c r="U96">
        <f t="shared" si="120"/>
        <v>0</v>
      </c>
      <c r="V96">
        <f t="shared" si="120"/>
        <v>0</v>
      </c>
      <c r="W96">
        <f t="shared" si="120"/>
        <v>0</v>
      </c>
      <c r="X96">
        <f t="shared" si="120"/>
        <v>0</v>
      </c>
      <c r="Y96">
        <f t="shared" si="120"/>
        <v>0</v>
      </c>
      <c r="Z96">
        <f t="shared" si="120"/>
        <v>0</v>
      </c>
      <c r="AA96">
        <f t="shared" si="120"/>
        <v>0</v>
      </c>
      <c r="AB96">
        <f t="shared" si="120"/>
        <v>0</v>
      </c>
      <c r="AC96">
        <f t="shared" si="120"/>
        <v>0</v>
      </c>
      <c r="AD96">
        <f t="shared" si="121"/>
        <v>0</v>
      </c>
      <c r="AE96">
        <f t="shared" si="121"/>
        <v>0</v>
      </c>
      <c r="AF96">
        <f t="shared" si="121"/>
        <v>0</v>
      </c>
      <c r="AG96">
        <f t="shared" si="121"/>
        <v>0</v>
      </c>
      <c r="AH96">
        <f t="shared" si="121"/>
        <v>0</v>
      </c>
      <c r="AI96">
        <f t="shared" si="121"/>
        <v>0</v>
      </c>
      <c r="AJ96">
        <f t="shared" si="121"/>
        <v>0</v>
      </c>
      <c r="AK96">
        <f t="shared" si="121"/>
        <v>0</v>
      </c>
      <c r="AL96">
        <f t="shared" si="121"/>
        <v>0</v>
      </c>
      <c r="AM96">
        <f t="shared" si="121"/>
        <v>0</v>
      </c>
      <c r="AN96">
        <f t="shared" si="122"/>
        <v>0</v>
      </c>
      <c r="AO96">
        <f t="shared" si="122"/>
        <v>0</v>
      </c>
      <c r="AP96">
        <f t="shared" si="122"/>
        <v>0</v>
      </c>
      <c r="AQ96">
        <f t="shared" si="122"/>
        <v>0</v>
      </c>
      <c r="AR96">
        <f t="shared" si="122"/>
        <v>0</v>
      </c>
      <c r="AS96">
        <f t="shared" si="122"/>
        <v>0</v>
      </c>
      <c r="AT96">
        <f t="shared" si="122"/>
        <v>0</v>
      </c>
      <c r="AU96">
        <f t="shared" si="122"/>
        <v>0</v>
      </c>
      <c r="AV96">
        <f t="shared" si="122"/>
        <v>0</v>
      </c>
      <c r="AW96">
        <f t="shared" si="122"/>
        <v>0</v>
      </c>
      <c r="AX96">
        <f t="shared" si="123"/>
        <v>0</v>
      </c>
      <c r="AY96">
        <f t="shared" si="123"/>
        <v>0</v>
      </c>
      <c r="AZ96">
        <f t="shared" si="123"/>
        <v>0</v>
      </c>
      <c r="BA96">
        <f t="shared" si="123"/>
        <v>0</v>
      </c>
      <c r="BB96">
        <f t="shared" si="123"/>
        <v>0</v>
      </c>
      <c r="BC96">
        <f t="shared" si="123"/>
        <v>0</v>
      </c>
      <c r="BD96">
        <f t="shared" si="123"/>
        <v>0</v>
      </c>
      <c r="BE96">
        <f t="shared" si="123"/>
        <v>0</v>
      </c>
      <c r="BF96">
        <f t="shared" si="123"/>
        <v>0</v>
      </c>
      <c r="BG96">
        <f t="shared" si="123"/>
        <v>0</v>
      </c>
      <c r="BH96">
        <f t="shared" si="124"/>
        <v>0</v>
      </c>
      <c r="BI96">
        <f t="shared" si="124"/>
        <v>0</v>
      </c>
      <c r="BJ96">
        <f t="shared" si="124"/>
        <v>0</v>
      </c>
      <c r="BK96">
        <f t="shared" si="124"/>
        <v>0</v>
      </c>
      <c r="BL96">
        <f t="shared" si="124"/>
        <v>0</v>
      </c>
      <c r="BM96">
        <f t="shared" si="124"/>
        <v>0</v>
      </c>
      <c r="BN96">
        <f t="shared" si="124"/>
        <v>0</v>
      </c>
      <c r="BO96">
        <f t="shared" si="124"/>
        <v>0</v>
      </c>
      <c r="BP96">
        <f t="shared" si="124"/>
        <v>0</v>
      </c>
      <c r="BQ96">
        <f t="shared" si="124"/>
        <v>0</v>
      </c>
      <c r="BR96">
        <f t="shared" si="125"/>
        <v>0</v>
      </c>
      <c r="BS96">
        <f t="shared" si="125"/>
        <v>0</v>
      </c>
      <c r="BT96">
        <f t="shared" si="125"/>
        <v>0</v>
      </c>
      <c r="BU96">
        <f t="shared" si="125"/>
        <v>0</v>
      </c>
      <c r="BV96">
        <f t="shared" si="125"/>
        <v>0</v>
      </c>
      <c r="BW96">
        <f t="shared" si="125"/>
        <v>0</v>
      </c>
      <c r="BX96">
        <f t="shared" si="125"/>
        <v>0</v>
      </c>
      <c r="BY96">
        <f t="shared" si="125"/>
        <v>0</v>
      </c>
      <c r="BZ96">
        <f t="shared" si="125"/>
        <v>0</v>
      </c>
      <c r="CA96">
        <f t="shared" si="125"/>
        <v>0</v>
      </c>
      <c r="CB96">
        <f t="shared" si="126"/>
        <v>0</v>
      </c>
      <c r="CC96">
        <f t="shared" si="126"/>
        <v>0</v>
      </c>
      <c r="CD96">
        <f t="shared" si="126"/>
        <v>0</v>
      </c>
      <c r="CE96">
        <f t="shared" si="126"/>
        <v>0</v>
      </c>
      <c r="CF96">
        <f t="shared" si="126"/>
        <v>0</v>
      </c>
      <c r="CG96">
        <f t="shared" si="126"/>
        <v>0</v>
      </c>
      <c r="CH96">
        <f t="shared" si="126"/>
        <v>0</v>
      </c>
      <c r="CI96">
        <f t="shared" si="126"/>
        <v>0</v>
      </c>
      <c r="CJ96">
        <f t="shared" si="126"/>
        <v>0</v>
      </c>
      <c r="CK96">
        <f t="shared" si="126"/>
        <v>0</v>
      </c>
      <c r="CL96">
        <f t="shared" si="127"/>
        <v>0</v>
      </c>
      <c r="CM96">
        <f t="shared" si="127"/>
        <v>0</v>
      </c>
      <c r="CN96">
        <f t="shared" si="127"/>
        <v>0</v>
      </c>
      <c r="CO96">
        <f t="shared" si="127"/>
        <v>0</v>
      </c>
      <c r="CP96">
        <f t="shared" si="127"/>
        <v>0</v>
      </c>
      <c r="CQ96">
        <f t="shared" si="127"/>
        <v>0</v>
      </c>
      <c r="CR96">
        <f t="shared" si="127"/>
        <v>0</v>
      </c>
      <c r="CS96">
        <f t="shared" si="127"/>
        <v>0</v>
      </c>
      <c r="CT96">
        <f t="shared" si="127"/>
        <v>0</v>
      </c>
      <c r="CU96">
        <f t="shared" si="127"/>
        <v>0</v>
      </c>
      <c r="CV96">
        <f t="shared" si="128"/>
        <v>0</v>
      </c>
      <c r="CW96">
        <f t="shared" si="128"/>
        <v>0</v>
      </c>
      <c r="CX96">
        <f t="shared" si="128"/>
        <v>0</v>
      </c>
      <c r="CY96">
        <f t="shared" si="128"/>
        <v>0</v>
      </c>
      <c r="CZ96">
        <f t="shared" si="128"/>
        <v>0</v>
      </c>
      <c r="DA96">
        <f t="shared" si="128"/>
        <v>0</v>
      </c>
      <c r="DB96">
        <f t="shared" si="128"/>
        <v>0</v>
      </c>
      <c r="DC96">
        <f t="shared" si="128"/>
        <v>0</v>
      </c>
      <c r="DD96">
        <f t="shared" si="128"/>
        <v>0</v>
      </c>
      <c r="DE96">
        <f t="shared" si="128"/>
        <v>0</v>
      </c>
      <c r="DF96">
        <f t="shared" si="129"/>
        <v>0</v>
      </c>
      <c r="DG96">
        <f t="shared" si="129"/>
        <v>0</v>
      </c>
      <c r="DH96">
        <f t="shared" si="129"/>
        <v>0</v>
      </c>
      <c r="DI96">
        <f t="shared" si="129"/>
        <v>0</v>
      </c>
      <c r="DJ96">
        <f t="shared" si="129"/>
        <v>0</v>
      </c>
      <c r="DK96">
        <f t="shared" si="129"/>
        <v>0</v>
      </c>
      <c r="DL96">
        <f t="shared" si="129"/>
        <v>0</v>
      </c>
      <c r="DM96">
        <f t="shared" si="129"/>
        <v>0</v>
      </c>
      <c r="DN96">
        <f t="shared" si="129"/>
        <v>0</v>
      </c>
      <c r="DO96">
        <f t="shared" si="129"/>
        <v>0</v>
      </c>
      <c r="DP96">
        <f t="shared" si="130"/>
        <v>0</v>
      </c>
      <c r="DQ96">
        <f t="shared" si="130"/>
        <v>0</v>
      </c>
      <c r="DR96">
        <f t="shared" si="130"/>
        <v>0</v>
      </c>
      <c r="DS96">
        <f t="shared" si="130"/>
        <v>0</v>
      </c>
      <c r="DT96">
        <f t="shared" si="130"/>
        <v>0</v>
      </c>
      <c r="DU96">
        <f t="shared" si="130"/>
        <v>0</v>
      </c>
      <c r="DV96">
        <f t="shared" si="130"/>
        <v>0</v>
      </c>
      <c r="DW96">
        <f t="shared" si="130"/>
        <v>0</v>
      </c>
      <c r="DX96">
        <f t="shared" si="130"/>
        <v>0</v>
      </c>
      <c r="DY96">
        <f t="shared" si="130"/>
        <v>0</v>
      </c>
      <c r="DZ96">
        <f t="shared" si="131"/>
        <v>0</v>
      </c>
      <c r="EA96">
        <f t="shared" si="131"/>
        <v>0</v>
      </c>
      <c r="EB96">
        <f t="shared" si="131"/>
        <v>0</v>
      </c>
      <c r="EC96">
        <f t="shared" si="131"/>
        <v>0</v>
      </c>
      <c r="ED96">
        <f t="shared" si="131"/>
        <v>0</v>
      </c>
      <c r="EE96">
        <f t="shared" si="131"/>
        <v>0</v>
      </c>
      <c r="EF96">
        <f t="shared" si="131"/>
        <v>0</v>
      </c>
      <c r="EG96">
        <f t="shared" si="131"/>
        <v>0</v>
      </c>
      <c r="EH96">
        <f t="shared" si="131"/>
        <v>0</v>
      </c>
      <c r="EI96">
        <f t="shared" si="131"/>
        <v>0</v>
      </c>
      <c r="EJ96">
        <f>SUM(Tabla1[[#This Row],[1]:[130]])</f>
        <v>40</v>
      </c>
    </row>
    <row r="97" spans="1:140" ht="15.75" customHeight="1" thickBot="1" x14ac:dyDescent="0.3">
      <c r="A97" t="str">
        <f>B97&amp;"-"&amp;COUNTIF($B$2:B97,B97)</f>
        <v>I. PAPAS FRITAS-9</v>
      </c>
      <c r="B97" s="33" t="s">
        <v>13</v>
      </c>
      <c r="C97">
        <f>VLOOKUP(B97,RECETAS!D96:$E$1700,2,FALSE)</f>
        <v>1920</v>
      </c>
      <c r="D97" s="32"/>
      <c r="G97" t="b">
        <f t="shared" si="92"/>
        <v>1</v>
      </c>
      <c r="I97" s="33" t="s">
        <v>83</v>
      </c>
      <c r="J97">
        <f t="shared" si="119"/>
        <v>450</v>
      </c>
      <c r="K97">
        <f t="shared" si="119"/>
        <v>75</v>
      </c>
      <c r="L97">
        <f t="shared" si="119"/>
        <v>150</v>
      </c>
      <c r="M97">
        <f t="shared" si="119"/>
        <v>0</v>
      </c>
      <c r="N97">
        <f t="shared" si="119"/>
        <v>0</v>
      </c>
      <c r="O97">
        <f t="shared" si="119"/>
        <v>0</v>
      </c>
      <c r="P97">
        <f t="shared" si="119"/>
        <v>0</v>
      </c>
      <c r="Q97">
        <f t="shared" si="119"/>
        <v>0</v>
      </c>
      <c r="R97">
        <f t="shared" si="119"/>
        <v>0</v>
      </c>
      <c r="S97">
        <f t="shared" si="119"/>
        <v>0</v>
      </c>
      <c r="T97">
        <f t="shared" si="120"/>
        <v>0</v>
      </c>
      <c r="U97">
        <f t="shared" si="120"/>
        <v>0</v>
      </c>
      <c r="V97">
        <f t="shared" si="120"/>
        <v>0</v>
      </c>
      <c r="W97">
        <f t="shared" si="120"/>
        <v>0</v>
      </c>
      <c r="X97">
        <f t="shared" si="120"/>
        <v>0</v>
      </c>
      <c r="Y97">
        <f t="shared" si="120"/>
        <v>0</v>
      </c>
      <c r="Z97">
        <f t="shared" si="120"/>
        <v>0</v>
      </c>
      <c r="AA97">
        <f t="shared" si="120"/>
        <v>0</v>
      </c>
      <c r="AB97">
        <f t="shared" si="120"/>
        <v>0</v>
      </c>
      <c r="AC97">
        <f t="shared" si="120"/>
        <v>0</v>
      </c>
      <c r="AD97">
        <f t="shared" si="121"/>
        <v>0</v>
      </c>
      <c r="AE97">
        <f t="shared" si="121"/>
        <v>0</v>
      </c>
      <c r="AF97">
        <f t="shared" si="121"/>
        <v>0</v>
      </c>
      <c r="AG97">
        <f t="shared" si="121"/>
        <v>0</v>
      </c>
      <c r="AH97">
        <f t="shared" si="121"/>
        <v>0</v>
      </c>
      <c r="AI97">
        <f t="shared" si="121"/>
        <v>0</v>
      </c>
      <c r="AJ97">
        <f t="shared" si="121"/>
        <v>0</v>
      </c>
      <c r="AK97">
        <f t="shared" si="121"/>
        <v>0</v>
      </c>
      <c r="AL97">
        <f t="shared" si="121"/>
        <v>0</v>
      </c>
      <c r="AM97">
        <f t="shared" si="121"/>
        <v>0</v>
      </c>
      <c r="AN97">
        <f t="shared" si="122"/>
        <v>0</v>
      </c>
      <c r="AO97">
        <f t="shared" si="122"/>
        <v>0</v>
      </c>
      <c r="AP97">
        <f t="shared" si="122"/>
        <v>0</v>
      </c>
      <c r="AQ97">
        <f t="shared" si="122"/>
        <v>0</v>
      </c>
      <c r="AR97">
        <f t="shared" si="122"/>
        <v>0</v>
      </c>
      <c r="AS97">
        <f t="shared" si="122"/>
        <v>0</v>
      </c>
      <c r="AT97">
        <f t="shared" si="122"/>
        <v>0</v>
      </c>
      <c r="AU97">
        <f t="shared" si="122"/>
        <v>0</v>
      </c>
      <c r="AV97">
        <f t="shared" si="122"/>
        <v>0</v>
      </c>
      <c r="AW97">
        <f t="shared" si="122"/>
        <v>0</v>
      </c>
      <c r="AX97">
        <f t="shared" si="123"/>
        <v>0</v>
      </c>
      <c r="AY97">
        <f t="shared" si="123"/>
        <v>0</v>
      </c>
      <c r="AZ97">
        <f t="shared" si="123"/>
        <v>0</v>
      </c>
      <c r="BA97">
        <f t="shared" si="123"/>
        <v>0</v>
      </c>
      <c r="BB97">
        <f t="shared" si="123"/>
        <v>0</v>
      </c>
      <c r="BC97">
        <f t="shared" si="123"/>
        <v>0</v>
      </c>
      <c r="BD97">
        <f t="shared" si="123"/>
        <v>0</v>
      </c>
      <c r="BE97">
        <f t="shared" si="123"/>
        <v>0</v>
      </c>
      <c r="BF97">
        <f t="shared" si="123"/>
        <v>0</v>
      </c>
      <c r="BG97">
        <f t="shared" si="123"/>
        <v>0</v>
      </c>
      <c r="BH97">
        <f t="shared" si="124"/>
        <v>0</v>
      </c>
      <c r="BI97">
        <f t="shared" si="124"/>
        <v>0</v>
      </c>
      <c r="BJ97">
        <f t="shared" si="124"/>
        <v>0</v>
      </c>
      <c r="BK97">
        <f t="shared" si="124"/>
        <v>0</v>
      </c>
      <c r="BL97">
        <f t="shared" si="124"/>
        <v>0</v>
      </c>
      <c r="BM97">
        <f t="shared" si="124"/>
        <v>0</v>
      </c>
      <c r="BN97">
        <f t="shared" si="124"/>
        <v>0</v>
      </c>
      <c r="BO97">
        <f t="shared" si="124"/>
        <v>0</v>
      </c>
      <c r="BP97">
        <f t="shared" si="124"/>
        <v>0</v>
      </c>
      <c r="BQ97">
        <f t="shared" si="124"/>
        <v>0</v>
      </c>
      <c r="BR97">
        <f t="shared" si="125"/>
        <v>0</v>
      </c>
      <c r="BS97">
        <f t="shared" si="125"/>
        <v>0</v>
      </c>
      <c r="BT97">
        <f t="shared" si="125"/>
        <v>0</v>
      </c>
      <c r="BU97">
        <f t="shared" si="125"/>
        <v>0</v>
      </c>
      <c r="BV97">
        <f t="shared" si="125"/>
        <v>0</v>
      </c>
      <c r="BW97">
        <f t="shared" si="125"/>
        <v>0</v>
      </c>
      <c r="BX97">
        <f t="shared" si="125"/>
        <v>0</v>
      </c>
      <c r="BY97">
        <f t="shared" si="125"/>
        <v>0</v>
      </c>
      <c r="BZ97">
        <f t="shared" si="125"/>
        <v>0</v>
      </c>
      <c r="CA97">
        <f t="shared" si="125"/>
        <v>0</v>
      </c>
      <c r="CB97">
        <f t="shared" si="126"/>
        <v>0</v>
      </c>
      <c r="CC97">
        <f t="shared" si="126"/>
        <v>0</v>
      </c>
      <c r="CD97">
        <f t="shared" si="126"/>
        <v>0</v>
      </c>
      <c r="CE97">
        <f t="shared" si="126"/>
        <v>0</v>
      </c>
      <c r="CF97">
        <f t="shared" si="126"/>
        <v>0</v>
      </c>
      <c r="CG97">
        <f t="shared" si="126"/>
        <v>0</v>
      </c>
      <c r="CH97">
        <f t="shared" si="126"/>
        <v>0</v>
      </c>
      <c r="CI97">
        <f t="shared" si="126"/>
        <v>0</v>
      </c>
      <c r="CJ97">
        <f t="shared" si="126"/>
        <v>0</v>
      </c>
      <c r="CK97">
        <f t="shared" si="126"/>
        <v>0</v>
      </c>
      <c r="CL97">
        <f t="shared" si="127"/>
        <v>0</v>
      </c>
      <c r="CM97">
        <f t="shared" si="127"/>
        <v>0</v>
      </c>
      <c r="CN97">
        <f t="shared" si="127"/>
        <v>0</v>
      </c>
      <c r="CO97">
        <f t="shared" si="127"/>
        <v>0</v>
      </c>
      <c r="CP97">
        <f t="shared" si="127"/>
        <v>0</v>
      </c>
      <c r="CQ97">
        <f t="shared" si="127"/>
        <v>0</v>
      </c>
      <c r="CR97">
        <f t="shared" si="127"/>
        <v>0</v>
      </c>
      <c r="CS97">
        <f t="shared" si="127"/>
        <v>0</v>
      </c>
      <c r="CT97">
        <f t="shared" si="127"/>
        <v>0</v>
      </c>
      <c r="CU97">
        <f t="shared" si="127"/>
        <v>0</v>
      </c>
      <c r="CV97">
        <f t="shared" si="128"/>
        <v>0</v>
      </c>
      <c r="CW97">
        <f t="shared" si="128"/>
        <v>0</v>
      </c>
      <c r="CX97">
        <f t="shared" si="128"/>
        <v>0</v>
      </c>
      <c r="CY97">
        <f t="shared" si="128"/>
        <v>0</v>
      </c>
      <c r="CZ97">
        <f t="shared" si="128"/>
        <v>0</v>
      </c>
      <c r="DA97">
        <f t="shared" si="128"/>
        <v>0</v>
      </c>
      <c r="DB97">
        <f t="shared" si="128"/>
        <v>0</v>
      </c>
      <c r="DC97">
        <f t="shared" si="128"/>
        <v>0</v>
      </c>
      <c r="DD97">
        <f t="shared" si="128"/>
        <v>0</v>
      </c>
      <c r="DE97">
        <f t="shared" si="128"/>
        <v>0</v>
      </c>
      <c r="DF97">
        <f t="shared" si="129"/>
        <v>0</v>
      </c>
      <c r="DG97">
        <f t="shared" si="129"/>
        <v>0</v>
      </c>
      <c r="DH97">
        <f t="shared" si="129"/>
        <v>0</v>
      </c>
      <c r="DI97">
        <f t="shared" si="129"/>
        <v>0</v>
      </c>
      <c r="DJ97">
        <f t="shared" si="129"/>
        <v>0</v>
      </c>
      <c r="DK97">
        <f t="shared" si="129"/>
        <v>0</v>
      </c>
      <c r="DL97">
        <f t="shared" si="129"/>
        <v>0</v>
      </c>
      <c r="DM97">
        <f t="shared" si="129"/>
        <v>0</v>
      </c>
      <c r="DN97">
        <f t="shared" si="129"/>
        <v>0</v>
      </c>
      <c r="DO97">
        <f t="shared" si="129"/>
        <v>0</v>
      </c>
      <c r="DP97">
        <f t="shared" si="130"/>
        <v>0</v>
      </c>
      <c r="DQ97">
        <f t="shared" si="130"/>
        <v>0</v>
      </c>
      <c r="DR97">
        <f t="shared" si="130"/>
        <v>0</v>
      </c>
      <c r="DS97">
        <f t="shared" si="130"/>
        <v>0</v>
      </c>
      <c r="DT97">
        <f t="shared" si="130"/>
        <v>0</v>
      </c>
      <c r="DU97">
        <f t="shared" si="130"/>
        <v>0</v>
      </c>
      <c r="DV97">
        <f t="shared" si="130"/>
        <v>0</v>
      </c>
      <c r="DW97">
        <f t="shared" si="130"/>
        <v>0</v>
      </c>
      <c r="DX97">
        <f t="shared" si="130"/>
        <v>0</v>
      </c>
      <c r="DY97">
        <f t="shared" si="130"/>
        <v>0</v>
      </c>
      <c r="DZ97">
        <f t="shared" si="131"/>
        <v>0</v>
      </c>
      <c r="EA97">
        <f t="shared" si="131"/>
        <v>0</v>
      </c>
      <c r="EB97">
        <f t="shared" si="131"/>
        <v>0</v>
      </c>
      <c r="EC97">
        <f t="shared" si="131"/>
        <v>0</v>
      </c>
      <c r="ED97">
        <f t="shared" si="131"/>
        <v>0</v>
      </c>
      <c r="EE97">
        <f t="shared" si="131"/>
        <v>0</v>
      </c>
      <c r="EF97">
        <f t="shared" si="131"/>
        <v>0</v>
      </c>
      <c r="EG97">
        <f t="shared" si="131"/>
        <v>0</v>
      </c>
      <c r="EH97">
        <f t="shared" si="131"/>
        <v>0</v>
      </c>
      <c r="EI97">
        <f t="shared" si="131"/>
        <v>0</v>
      </c>
      <c r="EJ97">
        <f>SUM(Tabla1[[#This Row],[1]:[130]])</f>
        <v>675</v>
      </c>
    </row>
    <row r="98" spans="1:140" ht="15" customHeight="1" x14ac:dyDescent="0.25">
      <c r="A98" t="str">
        <f>B98&amp;"-"&amp;COUNTIF($B$2:B98,B98)</f>
        <v>I. HAMBURGUESA-1</v>
      </c>
      <c r="B98" s="26" t="s">
        <v>26</v>
      </c>
      <c r="C98">
        <f>VLOOKUP(B98,RECETAS!D97:$E$1700,2,FALSE)</f>
        <v>28</v>
      </c>
      <c r="D98" s="25" t="s">
        <v>572</v>
      </c>
      <c r="G98" t="b">
        <f t="shared" si="92"/>
        <v>1</v>
      </c>
      <c r="I98" s="26" t="s">
        <v>84</v>
      </c>
      <c r="J98">
        <f t="shared" si="119"/>
        <v>0</v>
      </c>
      <c r="K98">
        <f t="shared" si="119"/>
        <v>75</v>
      </c>
      <c r="L98">
        <f t="shared" si="119"/>
        <v>0</v>
      </c>
      <c r="M98">
        <f t="shared" si="119"/>
        <v>0</v>
      </c>
      <c r="N98">
        <f t="shared" si="119"/>
        <v>0</v>
      </c>
      <c r="O98">
        <f t="shared" si="119"/>
        <v>0</v>
      </c>
      <c r="P98">
        <f t="shared" si="119"/>
        <v>0</v>
      </c>
      <c r="Q98">
        <f t="shared" si="119"/>
        <v>0</v>
      </c>
      <c r="R98">
        <f t="shared" si="119"/>
        <v>0</v>
      </c>
      <c r="S98">
        <f t="shared" si="119"/>
        <v>0</v>
      </c>
      <c r="T98">
        <f t="shared" si="120"/>
        <v>0</v>
      </c>
      <c r="U98">
        <f t="shared" si="120"/>
        <v>0</v>
      </c>
      <c r="V98">
        <f t="shared" si="120"/>
        <v>0</v>
      </c>
      <c r="W98">
        <f t="shared" si="120"/>
        <v>0</v>
      </c>
      <c r="X98">
        <f t="shared" si="120"/>
        <v>0</v>
      </c>
      <c r="Y98">
        <f t="shared" si="120"/>
        <v>0</v>
      </c>
      <c r="Z98">
        <f t="shared" si="120"/>
        <v>0</v>
      </c>
      <c r="AA98">
        <f t="shared" si="120"/>
        <v>0</v>
      </c>
      <c r="AB98">
        <f t="shared" si="120"/>
        <v>0</v>
      </c>
      <c r="AC98">
        <f t="shared" si="120"/>
        <v>0</v>
      </c>
      <c r="AD98">
        <f t="shared" si="121"/>
        <v>0</v>
      </c>
      <c r="AE98">
        <f t="shared" si="121"/>
        <v>0</v>
      </c>
      <c r="AF98">
        <f t="shared" si="121"/>
        <v>0</v>
      </c>
      <c r="AG98">
        <f t="shared" si="121"/>
        <v>0</v>
      </c>
      <c r="AH98">
        <f t="shared" si="121"/>
        <v>0</v>
      </c>
      <c r="AI98">
        <f t="shared" si="121"/>
        <v>0</v>
      </c>
      <c r="AJ98">
        <f t="shared" si="121"/>
        <v>0</v>
      </c>
      <c r="AK98">
        <f t="shared" si="121"/>
        <v>0</v>
      </c>
      <c r="AL98">
        <f t="shared" si="121"/>
        <v>0</v>
      </c>
      <c r="AM98">
        <f t="shared" si="121"/>
        <v>0</v>
      </c>
      <c r="AN98">
        <f t="shared" si="122"/>
        <v>0</v>
      </c>
      <c r="AO98">
        <f t="shared" si="122"/>
        <v>0</v>
      </c>
      <c r="AP98">
        <f t="shared" si="122"/>
        <v>0</v>
      </c>
      <c r="AQ98">
        <f t="shared" si="122"/>
        <v>0</v>
      </c>
      <c r="AR98">
        <f t="shared" si="122"/>
        <v>0</v>
      </c>
      <c r="AS98">
        <f t="shared" si="122"/>
        <v>0</v>
      </c>
      <c r="AT98">
        <f t="shared" si="122"/>
        <v>0</v>
      </c>
      <c r="AU98">
        <f t="shared" si="122"/>
        <v>0</v>
      </c>
      <c r="AV98">
        <f t="shared" si="122"/>
        <v>0</v>
      </c>
      <c r="AW98">
        <f t="shared" si="122"/>
        <v>0</v>
      </c>
      <c r="AX98">
        <f t="shared" si="123"/>
        <v>0</v>
      </c>
      <c r="AY98">
        <f t="shared" si="123"/>
        <v>0</v>
      </c>
      <c r="AZ98">
        <f t="shared" si="123"/>
        <v>0</v>
      </c>
      <c r="BA98">
        <f t="shared" si="123"/>
        <v>0</v>
      </c>
      <c r="BB98">
        <f t="shared" si="123"/>
        <v>0</v>
      </c>
      <c r="BC98">
        <f t="shared" si="123"/>
        <v>0</v>
      </c>
      <c r="BD98">
        <f t="shared" si="123"/>
        <v>0</v>
      </c>
      <c r="BE98">
        <f t="shared" si="123"/>
        <v>0</v>
      </c>
      <c r="BF98">
        <f t="shared" si="123"/>
        <v>0</v>
      </c>
      <c r="BG98">
        <f t="shared" si="123"/>
        <v>0</v>
      </c>
      <c r="BH98">
        <f t="shared" si="124"/>
        <v>0</v>
      </c>
      <c r="BI98">
        <f t="shared" si="124"/>
        <v>0</v>
      </c>
      <c r="BJ98">
        <f t="shared" si="124"/>
        <v>0</v>
      </c>
      <c r="BK98">
        <f t="shared" si="124"/>
        <v>0</v>
      </c>
      <c r="BL98">
        <f t="shared" si="124"/>
        <v>0</v>
      </c>
      <c r="BM98">
        <f t="shared" si="124"/>
        <v>0</v>
      </c>
      <c r="BN98">
        <f t="shared" si="124"/>
        <v>0</v>
      </c>
      <c r="BO98">
        <f t="shared" si="124"/>
        <v>0</v>
      </c>
      <c r="BP98">
        <f t="shared" si="124"/>
        <v>0</v>
      </c>
      <c r="BQ98">
        <f t="shared" si="124"/>
        <v>0</v>
      </c>
      <c r="BR98">
        <f t="shared" si="125"/>
        <v>0</v>
      </c>
      <c r="BS98">
        <f t="shared" si="125"/>
        <v>0</v>
      </c>
      <c r="BT98">
        <f t="shared" si="125"/>
        <v>0</v>
      </c>
      <c r="BU98">
        <f t="shared" si="125"/>
        <v>0</v>
      </c>
      <c r="BV98">
        <f t="shared" si="125"/>
        <v>0</v>
      </c>
      <c r="BW98">
        <f t="shared" si="125"/>
        <v>0</v>
      </c>
      <c r="BX98">
        <f t="shared" si="125"/>
        <v>0</v>
      </c>
      <c r="BY98">
        <f t="shared" si="125"/>
        <v>0</v>
      </c>
      <c r="BZ98">
        <f t="shared" si="125"/>
        <v>0</v>
      </c>
      <c r="CA98">
        <f t="shared" si="125"/>
        <v>0</v>
      </c>
      <c r="CB98">
        <f t="shared" si="126"/>
        <v>0</v>
      </c>
      <c r="CC98">
        <f t="shared" si="126"/>
        <v>0</v>
      </c>
      <c r="CD98">
        <f t="shared" si="126"/>
        <v>0</v>
      </c>
      <c r="CE98">
        <f t="shared" si="126"/>
        <v>0</v>
      </c>
      <c r="CF98">
        <f t="shared" si="126"/>
        <v>0</v>
      </c>
      <c r="CG98">
        <f t="shared" si="126"/>
        <v>0</v>
      </c>
      <c r="CH98">
        <f t="shared" si="126"/>
        <v>0</v>
      </c>
      <c r="CI98">
        <f t="shared" si="126"/>
        <v>0</v>
      </c>
      <c r="CJ98">
        <f t="shared" si="126"/>
        <v>0</v>
      </c>
      <c r="CK98">
        <f t="shared" si="126"/>
        <v>0</v>
      </c>
      <c r="CL98">
        <f t="shared" si="127"/>
        <v>0</v>
      </c>
      <c r="CM98">
        <f t="shared" si="127"/>
        <v>0</v>
      </c>
      <c r="CN98">
        <f t="shared" si="127"/>
        <v>0</v>
      </c>
      <c r="CO98">
        <f t="shared" si="127"/>
        <v>0</v>
      </c>
      <c r="CP98">
        <f t="shared" si="127"/>
        <v>0</v>
      </c>
      <c r="CQ98">
        <f t="shared" si="127"/>
        <v>0</v>
      </c>
      <c r="CR98">
        <f t="shared" si="127"/>
        <v>0</v>
      </c>
      <c r="CS98">
        <f t="shared" si="127"/>
        <v>0</v>
      </c>
      <c r="CT98">
        <f t="shared" si="127"/>
        <v>0</v>
      </c>
      <c r="CU98">
        <f t="shared" si="127"/>
        <v>0</v>
      </c>
      <c r="CV98">
        <f t="shared" si="128"/>
        <v>0</v>
      </c>
      <c r="CW98">
        <f t="shared" si="128"/>
        <v>0</v>
      </c>
      <c r="CX98">
        <f t="shared" si="128"/>
        <v>0</v>
      </c>
      <c r="CY98">
        <f t="shared" si="128"/>
        <v>0</v>
      </c>
      <c r="CZ98">
        <f t="shared" si="128"/>
        <v>0</v>
      </c>
      <c r="DA98">
        <f t="shared" si="128"/>
        <v>0</v>
      </c>
      <c r="DB98">
        <f t="shared" si="128"/>
        <v>0</v>
      </c>
      <c r="DC98">
        <f t="shared" si="128"/>
        <v>0</v>
      </c>
      <c r="DD98">
        <f t="shared" si="128"/>
        <v>0</v>
      </c>
      <c r="DE98">
        <f t="shared" si="128"/>
        <v>0</v>
      </c>
      <c r="DF98">
        <f t="shared" si="129"/>
        <v>0</v>
      </c>
      <c r="DG98">
        <f t="shared" si="129"/>
        <v>0</v>
      </c>
      <c r="DH98">
        <f t="shared" si="129"/>
        <v>0</v>
      </c>
      <c r="DI98">
        <f t="shared" si="129"/>
        <v>0</v>
      </c>
      <c r="DJ98">
        <f t="shared" si="129"/>
        <v>0</v>
      </c>
      <c r="DK98">
        <f t="shared" si="129"/>
        <v>0</v>
      </c>
      <c r="DL98">
        <f t="shared" si="129"/>
        <v>0</v>
      </c>
      <c r="DM98">
        <f t="shared" si="129"/>
        <v>0</v>
      </c>
      <c r="DN98">
        <f t="shared" si="129"/>
        <v>0</v>
      </c>
      <c r="DO98">
        <f t="shared" si="129"/>
        <v>0</v>
      </c>
      <c r="DP98">
        <f t="shared" si="130"/>
        <v>0</v>
      </c>
      <c r="DQ98">
        <f t="shared" si="130"/>
        <v>0</v>
      </c>
      <c r="DR98">
        <f t="shared" si="130"/>
        <v>0</v>
      </c>
      <c r="DS98">
        <f t="shared" si="130"/>
        <v>0</v>
      </c>
      <c r="DT98">
        <f t="shared" si="130"/>
        <v>0</v>
      </c>
      <c r="DU98">
        <f t="shared" si="130"/>
        <v>0</v>
      </c>
      <c r="DV98">
        <f t="shared" si="130"/>
        <v>0</v>
      </c>
      <c r="DW98">
        <f t="shared" si="130"/>
        <v>0</v>
      </c>
      <c r="DX98">
        <f t="shared" si="130"/>
        <v>0</v>
      </c>
      <c r="DY98">
        <f t="shared" si="130"/>
        <v>0</v>
      </c>
      <c r="DZ98">
        <f t="shared" si="131"/>
        <v>0</v>
      </c>
      <c r="EA98">
        <f t="shared" si="131"/>
        <v>0</v>
      </c>
      <c r="EB98">
        <f t="shared" si="131"/>
        <v>0</v>
      </c>
      <c r="EC98">
        <f t="shared" si="131"/>
        <v>0</v>
      </c>
      <c r="ED98">
        <f t="shared" si="131"/>
        <v>0</v>
      </c>
      <c r="EE98">
        <f t="shared" si="131"/>
        <v>0</v>
      </c>
      <c r="EF98">
        <f t="shared" si="131"/>
        <v>0</v>
      </c>
      <c r="EG98">
        <f t="shared" si="131"/>
        <v>0</v>
      </c>
      <c r="EH98">
        <f t="shared" si="131"/>
        <v>0</v>
      </c>
      <c r="EI98">
        <f t="shared" si="131"/>
        <v>0</v>
      </c>
      <c r="EJ98">
        <f>SUM(Tabla1[[#This Row],[1]:[130]])</f>
        <v>75</v>
      </c>
    </row>
    <row r="99" spans="1:140" ht="15" customHeight="1" x14ac:dyDescent="0.25">
      <c r="A99" t="str">
        <f>B99&amp;"-"&amp;COUNTIF($B$2:B99,B99)</f>
        <v>I. QUESO CHEDAR-1</v>
      </c>
      <c r="B99" s="35" t="s">
        <v>27</v>
      </c>
      <c r="C99">
        <f>VLOOKUP(B99,RECETAS!D98:$E$1700,2,FALSE)</f>
        <v>28</v>
      </c>
      <c r="D99" s="34"/>
      <c r="G99" t="b">
        <f t="shared" si="92"/>
        <v>1</v>
      </c>
      <c r="I99" s="35" t="s">
        <v>85</v>
      </c>
      <c r="J99">
        <f t="shared" si="119"/>
        <v>300</v>
      </c>
      <c r="K99">
        <f t="shared" si="119"/>
        <v>0</v>
      </c>
      <c r="L99">
        <f t="shared" si="119"/>
        <v>0</v>
      </c>
      <c r="M99">
        <f t="shared" si="119"/>
        <v>0</v>
      </c>
      <c r="N99">
        <f t="shared" si="119"/>
        <v>0</v>
      </c>
      <c r="O99">
        <f t="shared" si="119"/>
        <v>0</v>
      </c>
      <c r="P99">
        <f t="shared" si="119"/>
        <v>0</v>
      </c>
      <c r="Q99">
        <f t="shared" si="119"/>
        <v>0</v>
      </c>
      <c r="R99">
        <f t="shared" si="119"/>
        <v>0</v>
      </c>
      <c r="S99">
        <f t="shared" si="119"/>
        <v>0</v>
      </c>
      <c r="T99">
        <f t="shared" si="120"/>
        <v>0</v>
      </c>
      <c r="U99">
        <f t="shared" si="120"/>
        <v>0</v>
      </c>
      <c r="V99">
        <f t="shared" si="120"/>
        <v>0</v>
      </c>
      <c r="W99">
        <f t="shared" si="120"/>
        <v>0</v>
      </c>
      <c r="X99">
        <f t="shared" si="120"/>
        <v>0</v>
      </c>
      <c r="Y99">
        <f t="shared" si="120"/>
        <v>0</v>
      </c>
      <c r="Z99">
        <f t="shared" si="120"/>
        <v>0</v>
      </c>
      <c r="AA99">
        <f t="shared" si="120"/>
        <v>0</v>
      </c>
      <c r="AB99">
        <f t="shared" si="120"/>
        <v>0</v>
      </c>
      <c r="AC99">
        <f t="shared" si="120"/>
        <v>0</v>
      </c>
      <c r="AD99">
        <f t="shared" si="121"/>
        <v>0</v>
      </c>
      <c r="AE99">
        <f t="shared" si="121"/>
        <v>0</v>
      </c>
      <c r="AF99">
        <f t="shared" si="121"/>
        <v>0</v>
      </c>
      <c r="AG99">
        <f t="shared" si="121"/>
        <v>0</v>
      </c>
      <c r="AH99">
        <f t="shared" si="121"/>
        <v>0</v>
      </c>
      <c r="AI99">
        <f t="shared" si="121"/>
        <v>0</v>
      </c>
      <c r="AJ99">
        <f t="shared" si="121"/>
        <v>0</v>
      </c>
      <c r="AK99">
        <f t="shared" si="121"/>
        <v>0</v>
      </c>
      <c r="AL99">
        <f t="shared" si="121"/>
        <v>0</v>
      </c>
      <c r="AM99">
        <f t="shared" si="121"/>
        <v>0</v>
      </c>
      <c r="AN99">
        <f t="shared" si="122"/>
        <v>0</v>
      </c>
      <c r="AO99">
        <f t="shared" si="122"/>
        <v>0</v>
      </c>
      <c r="AP99">
        <f t="shared" si="122"/>
        <v>0</v>
      </c>
      <c r="AQ99">
        <f t="shared" si="122"/>
        <v>0</v>
      </c>
      <c r="AR99">
        <f t="shared" si="122"/>
        <v>0</v>
      </c>
      <c r="AS99">
        <f t="shared" si="122"/>
        <v>0</v>
      </c>
      <c r="AT99">
        <f t="shared" si="122"/>
        <v>0</v>
      </c>
      <c r="AU99">
        <f t="shared" si="122"/>
        <v>0</v>
      </c>
      <c r="AV99">
        <f t="shared" si="122"/>
        <v>0</v>
      </c>
      <c r="AW99">
        <f t="shared" si="122"/>
        <v>0</v>
      </c>
      <c r="AX99">
        <f t="shared" si="123"/>
        <v>0</v>
      </c>
      <c r="AY99">
        <f t="shared" si="123"/>
        <v>0</v>
      </c>
      <c r="AZ99">
        <f t="shared" si="123"/>
        <v>0</v>
      </c>
      <c r="BA99">
        <f t="shared" si="123"/>
        <v>0</v>
      </c>
      <c r="BB99">
        <f t="shared" si="123"/>
        <v>0</v>
      </c>
      <c r="BC99">
        <f t="shared" si="123"/>
        <v>0</v>
      </c>
      <c r="BD99">
        <f t="shared" si="123"/>
        <v>0</v>
      </c>
      <c r="BE99">
        <f t="shared" si="123"/>
        <v>0</v>
      </c>
      <c r="BF99">
        <f t="shared" si="123"/>
        <v>0</v>
      </c>
      <c r="BG99">
        <f t="shared" si="123"/>
        <v>0</v>
      </c>
      <c r="BH99">
        <f t="shared" si="124"/>
        <v>0</v>
      </c>
      <c r="BI99">
        <f t="shared" si="124"/>
        <v>0</v>
      </c>
      <c r="BJ99">
        <f t="shared" si="124"/>
        <v>0</v>
      </c>
      <c r="BK99">
        <f t="shared" si="124"/>
        <v>0</v>
      </c>
      <c r="BL99">
        <f t="shared" si="124"/>
        <v>0</v>
      </c>
      <c r="BM99">
        <f t="shared" si="124"/>
        <v>0</v>
      </c>
      <c r="BN99">
        <f t="shared" si="124"/>
        <v>0</v>
      </c>
      <c r="BO99">
        <f t="shared" si="124"/>
        <v>0</v>
      </c>
      <c r="BP99">
        <f t="shared" si="124"/>
        <v>0</v>
      </c>
      <c r="BQ99">
        <f t="shared" si="124"/>
        <v>0</v>
      </c>
      <c r="BR99">
        <f t="shared" si="125"/>
        <v>0</v>
      </c>
      <c r="BS99">
        <f t="shared" si="125"/>
        <v>0</v>
      </c>
      <c r="BT99">
        <f t="shared" si="125"/>
        <v>0</v>
      </c>
      <c r="BU99">
        <f t="shared" si="125"/>
        <v>0</v>
      </c>
      <c r="BV99">
        <f t="shared" si="125"/>
        <v>0</v>
      </c>
      <c r="BW99">
        <f t="shared" si="125"/>
        <v>0</v>
      </c>
      <c r="BX99">
        <f t="shared" si="125"/>
        <v>0</v>
      </c>
      <c r="BY99">
        <f t="shared" si="125"/>
        <v>0</v>
      </c>
      <c r="BZ99">
        <f t="shared" si="125"/>
        <v>0</v>
      </c>
      <c r="CA99">
        <f t="shared" si="125"/>
        <v>0</v>
      </c>
      <c r="CB99">
        <f t="shared" si="126"/>
        <v>0</v>
      </c>
      <c r="CC99">
        <f t="shared" si="126"/>
        <v>0</v>
      </c>
      <c r="CD99">
        <f t="shared" si="126"/>
        <v>0</v>
      </c>
      <c r="CE99">
        <f t="shared" si="126"/>
        <v>0</v>
      </c>
      <c r="CF99">
        <f t="shared" si="126"/>
        <v>0</v>
      </c>
      <c r="CG99">
        <f t="shared" si="126"/>
        <v>0</v>
      </c>
      <c r="CH99">
        <f t="shared" si="126"/>
        <v>0</v>
      </c>
      <c r="CI99">
        <f t="shared" si="126"/>
        <v>0</v>
      </c>
      <c r="CJ99">
        <f t="shared" si="126"/>
        <v>0</v>
      </c>
      <c r="CK99">
        <f t="shared" si="126"/>
        <v>0</v>
      </c>
      <c r="CL99">
        <f t="shared" si="127"/>
        <v>0</v>
      </c>
      <c r="CM99">
        <f t="shared" si="127"/>
        <v>0</v>
      </c>
      <c r="CN99">
        <f t="shared" si="127"/>
        <v>0</v>
      </c>
      <c r="CO99">
        <f t="shared" si="127"/>
        <v>0</v>
      </c>
      <c r="CP99">
        <f t="shared" si="127"/>
        <v>0</v>
      </c>
      <c r="CQ99">
        <f t="shared" si="127"/>
        <v>0</v>
      </c>
      <c r="CR99">
        <f t="shared" si="127"/>
        <v>0</v>
      </c>
      <c r="CS99">
        <f t="shared" si="127"/>
        <v>0</v>
      </c>
      <c r="CT99">
        <f t="shared" si="127"/>
        <v>0</v>
      </c>
      <c r="CU99">
        <f t="shared" si="127"/>
        <v>0</v>
      </c>
      <c r="CV99">
        <f t="shared" si="128"/>
        <v>0</v>
      </c>
      <c r="CW99">
        <f t="shared" si="128"/>
        <v>0</v>
      </c>
      <c r="CX99">
        <f t="shared" si="128"/>
        <v>0</v>
      </c>
      <c r="CY99">
        <f t="shared" si="128"/>
        <v>0</v>
      </c>
      <c r="CZ99">
        <f t="shared" si="128"/>
        <v>0</v>
      </c>
      <c r="DA99">
        <f t="shared" si="128"/>
        <v>0</v>
      </c>
      <c r="DB99">
        <f t="shared" si="128"/>
        <v>0</v>
      </c>
      <c r="DC99">
        <f t="shared" si="128"/>
        <v>0</v>
      </c>
      <c r="DD99">
        <f t="shared" si="128"/>
        <v>0</v>
      </c>
      <c r="DE99">
        <f t="shared" si="128"/>
        <v>0</v>
      </c>
      <c r="DF99">
        <f t="shared" si="129"/>
        <v>0</v>
      </c>
      <c r="DG99">
        <f t="shared" si="129"/>
        <v>0</v>
      </c>
      <c r="DH99">
        <f t="shared" si="129"/>
        <v>0</v>
      </c>
      <c r="DI99">
        <f t="shared" si="129"/>
        <v>0</v>
      </c>
      <c r="DJ99">
        <f t="shared" si="129"/>
        <v>0</v>
      </c>
      <c r="DK99">
        <f t="shared" si="129"/>
        <v>0</v>
      </c>
      <c r="DL99">
        <f t="shared" si="129"/>
        <v>0</v>
      </c>
      <c r="DM99">
        <f t="shared" si="129"/>
        <v>0</v>
      </c>
      <c r="DN99">
        <f t="shared" si="129"/>
        <v>0</v>
      </c>
      <c r="DO99">
        <f t="shared" si="129"/>
        <v>0</v>
      </c>
      <c r="DP99">
        <f t="shared" si="130"/>
        <v>0</v>
      </c>
      <c r="DQ99">
        <f t="shared" si="130"/>
        <v>0</v>
      </c>
      <c r="DR99">
        <f t="shared" si="130"/>
        <v>0</v>
      </c>
      <c r="DS99">
        <f t="shared" si="130"/>
        <v>0</v>
      </c>
      <c r="DT99">
        <f t="shared" si="130"/>
        <v>0</v>
      </c>
      <c r="DU99">
        <f t="shared" si="130"/>
        <v>0</v>
      </c>
      <c r="DV99">
        <f t="shared" si="130"/>
        <v>0</v>
      </c>
      <c r="DW99">
        <f t="shared" si="130"/>
        <v>0</v>
      </c>
      <c r="DX99">
        <f t="shared" si="130"/>
        <v>0</v>
      </c>
      <c r="DY99">
        <f t="shared" si="130"/>
        <v>0</v>
      </c>
      <c r="DZ99">
        <f t="shared" si="131"/>
        <v>0</v>
      </c>
      <c r="EA99">
        <f t="shared" si="131"/>
        <v>0</v>
      </c>
      <c r="EB99">
        <f t="shared" si="131"/>
        <v>0</v>
      </c>
      <c r="EC99">
        <f t="shared" si="131"/>
        <v>0</v>
      </c>
      <c r="ED99">
        <f t="shared" si="131"/>
        <v>0</v>
      </c>
      <c r="EE99">
        <f t="shared" si="131"/>
        <v>0</v>
      </c>
      <c r="EF99">
        <f t="shared" si="131"/>
        <v>0</v>
      </c>
      <c r="EG99">
        <f t="shared" si="131"/>
        <v>0</v>
      </c>
      <c r="EH99">
        <f t="shared" si="131"/>
        <v>0</v>
      </c>
      <c r="EI99">
        <f t="shared" si="131"/>
        <v>0</v>
      </c>
      <c r="EJ99">
        <f>SUM(Tabla1[[#This Row],[1]:[130]])</f>
        <v>300</v>
      </c>
    </row>
    <row r="100" spans="1:140" ht="15.75" customHeight="1" x14ac:dyDescent="0.25">
      <c r="A100" t="str">
        <f>B100&amp;"-"&amp;COUNTIF($B$2:B100,B100)</f>
        <v>I. TOCINO PORCION-1</v>
      </c>
      <c r="B100" s="35" t="s">
        <v>32</v>
      </c>
      <c r="C100">
        <f>VLOOKUP(B100,RECETAS!D99:$E$1700,2,FALSE)</f>
        <v>14</v>
      </c>
      <c r="D100" s="34"/>
      <c r="G100" t="b">
        <f t="shared" si="92"/>
        <v>1</v>
      </c>
      <c r="I100" s="35" t="s">
        <v>86</v>
      </c>
      <c r="J100">
        <f t="shared" si="119"/>
        <v>225</v>
      </c>
      <c r="K100">
        <f t="shared" si="119"/>
        <v>300</v>
      </c>
      <c r="L100">
        <f t="shared" si="119"/>
        <v>0</v>
      </c>
      <c r="M100">
        <f t="shared" si="119"/>
        <v>0</v>
      </c>
      <c r="N100">
        <f t="shared" si="119"/>
        <v>225</v>
      </c>
      <c r="O100">
        <f t="shared" si="119"/>
        <v>0</v>
      </c>
      <c r="P100">
        <f t="shared" si="119"/>
        <v>0</v>
      </c>
      <c r="Q100">
        <f t="shared" si="119"/>
        <v>0</v>
      </c>
      <c r="R100">
        <f t="shared" si="119"/>
        <v>0</v>
      </c>
      <c r="S100">
        <f t="shared" si="119"/>
        <v>225</v>
      </c>
      <c r="T100">
        <f t="shared" si="120"/>
        <v>0</v>
      </c>
      <c r="U100">
        <f t="shared" si="120"/>
        <v>0</v>
      </c>
      <c r="V100">
        <f t="shared" si="120"/>
        <v>0</v>
      </c>
      <c r="W100">
        <f t="shared" si="120"/>
        <v>0</v>
      </c>
      <c r="X100">
        <f t="shared" si="120"/>
        <v>0</v>
      </c>
      <c r="Y100">
        <f t="shared" si="120"/>
        <v>0</v>
      </c>
      <c r="Z100">
        <f t="shared" si="120"/>
        <v>0</v>
      </c>
      <c r="AA100">
        <f t="shared" si="120"/>
        <v>0</v>
      </c>
      <c r="AB100">
        <f t="shared" si="120"/>
        <v>0</v>
      </c>
      <c r="AC100">
        <f t="shared" si="120"/>
        <v>0</v>
      </c>
      <c r="AD100">
        <f t="shared" si="121"/>
        <v>0</v>
      </c>
      <c r="AE100">
        <f t="shared" si="121"/>
        <v>0</v>
      </c>
      <c r="AF100">
        <f t="shared" si="121"/>
        <v>0</v>
      </c>
      <c r="AG100">
        <f t="shared" si="121"/>
        <v>0</v>
      </c>
      <c r="AH100">
        <f t="shared" si="121"/>
        <v>0</v>
      </c>
      <c r="AI100">
        <f t="shared" si="121"/>
        <v>0</v>
      </c>
      <c r="AJ100">
        <f t="shared" si="121"/>
        <v>0</v>
      </c>
      <c r="AK100">
        <f t="shared" si="121"/>
        <v>0</v>
      </c>
      <c r="AL100">
        <f t="shared" si="121"/>
        <v>0</v>
      </c>
      <c r="AM100">
        <f t="shared" si="121"/>
        <v>0</v>
      </c>
      <c r="AN100">
        <f t="shared" si="122"/>
        <v>0</v>
      </c>
      <c r="AO100">
        <f t="shared" si="122"/>
        <v>0</v>
      </c>
      <c r="AP100">
        <f t="shared" si="122"/>
        <v>0</v>
      </c>
      <c r="AQ100">
        <f t="shared" si="122"/>
        <v>0</v>
      </c>
      <c r="AR100">
        <f t="shared" si="122"/>
        <v>0</v>
      </c>
      <c r="AS100">
        <f t="shared" si="122"/>
        <v>0</v>
      </c>
      <c r="AT100">
        <f t="shared" si="122"/>
        <v>0</v>
      </c>
      <c r="AU100">
        <f t="shared" si="122"/>
        <v>0</v>
      </c>
      <c r="AV100">
        <f t="shared" si="122"/>
        <v>0</v>
      </c>
      <c r="AW100">
        <f t="shared" si="122"/>
        <v>0</v>
      </c>
      <c r="AX100">
        <f t="shared" si="123"/>
        <v>0</v>
      </c>
      <c r="AY100">
        <f t="shared" si="123"/>
        <v>0</v>
      </c>
      <c r="AZ100">
        <f t="shared" si="123"/>
        <v>0</v>
      </c>
      <c r="BA100">
        <f t="shared" si="123"/>
        <v>0</v>
      </c>
      <c r="BB100">
        <f t="shared" si="123"/>
        <v>0</v>
      </c>
      <c r="BC100">
        <f t="shared" si="123"/>
        <v>0</v>
      </c>
      <c r="BD100">
        <f t="shared" si="123"/>
        <v>0</v>
      </c>
      <c r="BE100">
        <f t="shared" si="123"/>
        <v>0</v>
      </c>
      <c r="BF100">
        <f t="shared" si="123"/>
        <v>0</v>
      </c>
      <c r="BG100">
        <f t="shared" si="123"/>
        <v>0</v>
      </c>
      <c r="BH100">
        <f t="shared" si="124"/>
        <v>0</v>
      </c>
      <c r="BI100">
        <f t="shared" si="124"/>
        <v>0</v>
      </c>
      <c r="BJ100">
        <f t="shared" si="124"/>
        <v>0</v>
      </c>
      <c r="BK100">
        <f t="shared" si="124"/>
        <v>0</v>
      </c>
      <c r="BL100">
        <f t="shared" si="124"/>
        <v>0</v>
      </c>
      <c r="BM100">
        <f t="shared" si="124"/>
        <v>0</v>
      </c>
      <c r="BN100">
        <f t="shared" si="124"/>
        <v>0</v>
      </c>
      <c r="BO100">
        <f t="shared" si="124"/>
        <v>0</v>
      </c>
      <c r="BP100">
        <f t="shared" si="124"/>
        <v>0</v>
      </c>
      <c r="BQ100">
        <f t="shared" si="124"/>
        <v>0</v>
      </c>
      <c r="BR100">
        <f t="shared" si="125"/>
        <v>0</v>
      </c>
      <c r="BS100">
        <f t="shared" si="125"/>
        <v>0</v>
      </c>
      <c r="BT100">
        <f t="shared" si="125"/>
        <v>0</v>
      </c>
      <c r="BU100">
        <f t="shared" si="125"/>
        <v>0</v>
      </c>
      <c r="BV100">
        <f t="shared" si="125"/>
        <v>0</v>
      </c>
      <c r="BW100">
        <f t="shared" si="125"/>
        <v>0</v>
      </c>
      <c r="BX100">
        <f t="shared" si="125"/>
        <v>0</v>
      </c>
      <c r="BY100">
        <f t="shared" si="125"/>
        <v>0</v>
      </c>
      <c r="BZ100">
        <f t="shared" si="125"/>
        <v>0</v>
      </c>
      <c r="CA100">
        <f t="shared" si="125"/>
        <v>0</v>
      </c>
      <c r="CB100">
        <f t="shared" si="126"/>
        <v>0</v>
      </c>
      <c r="CC100">
        <f t="shared" si="126"/>
        <v>0</v>
      </c>
      <c r="CD100">
        <f t="shared" si="126"/>
        <v>0</v>
      </c>
      <c r="CE100">
        <f t="shared" si="126"/>
        <v>0</v>
      </c>
      <c r="CF100">
        <f t="shared" si="126"/>
        <v>0</v>
      </c>
      <c r="CG100">
        <f t="shared" si="126"/>
        <v>0</v>
      </c>
      <c r="CH100">
        <f t="shared" si="126"/>
        <v>0</v>
      </c>
      <c r="CI100">
        <f t="shared" si="126"/>
        <v>0</v>
      </c>
      <c r="CJ100">
        <f t="shared" si="126"/>
        <v>0</v>
      </c>
      <c r="CK100">
        <f t="shared" si="126"/>
        <v>0</v>
      </c>
      <c r="CL100">
        <f t="shared" si="127"/>
        <v>0</v>
      </c>
      <c r="CM100">
        <f t="shared" si="127"/>
        <v>0</v>
      </c>
      <c r="CN100">
        <f t="shared" si="127"/>
        <v>0</v>
      </c>
      <c r="CO100">
        <f t="shared" si="127"/>
        <v>0</v>
      </c>
      <c r="CP100">
        <f t="shared" si="127"/>
        <v>0</v>
      </c>
      <c r="CQ100">
        <f t="shared" si="127"/>
        <v>0</v>
      </c>
      <c r="CR100">
        <f t="shared" si="127"/>
        <v>0</v>
      </c>
      <c r="CS100">
        <f t="shared" si="127"/>
        <v>0</v>
      </c>
      <c r="CT100">
        <f t="shared" si="127"/>
        <v>0</v>
      </c>
      <c r="CU100">
        <f t="shared" si="127"/>
        <v>0</v>
      </c>
      <c r="CV100">
        <f t="shared" si="128"/>
        <v>0</v>
      </c>
      <c r="CW100">
        <f t="shared" si="128"/>
        <v>0</v>
      </c>
      <c r="CX100">
        <f t="shared" si="128"/>
        <v>0</v>
      </c>
      <c r="CY100">
        <f t="shared" si="128"/>
        <v>0</v>
      </c>
      <c r="CZ100">
        <f t="shared" si="128"/>
        <v>0</v>
      </c>
      <c r="DA100">
        <f t="shared" si="128"/>
        <v>0</v>
      </c>
      <c r="DB100">
        <f t="shared" si="128"/>
        <v>0</v>
      </c>
      <c r="DC100">
        <f t="shared" si="128"/>
        <v>0</v>
      </c>
      <c r="DD100">
        <f t="shared" si="128"/>
        <v>0</v>
      </c>
      <c r="DE100">
        <f t="shared" si="128"/>
        <v>0</v>
      </c>
      <c r="DF100">
        <f t="shared" si="129"/>
        <v>0</v>
      </c>
      <c r="DG100">
        <f t="shared" si="129"/>
        <v>0</v>
      </c>
      <c r="DH100">
        <f t="shared" si="129"/>
        <v>0</v>
      </c>
      <c r="DI100">
        <f t="shared" si="129"/>
        <v>0</v>
      </c>
      <c r="DJ100">
        <f t="shared" si="129"/>
        <v>0</v>
      </c>
      <c r="DK100">
        <f t="shared" si="129"/>
        <v>0</v>
      </c>
      <c r="DL100">
        <f t="shared" si="129"/>
        <v>0</v>
      </c>
      <c r="DM100">
        <f t="shared" si="129"/>
        <v>0</v>
      </c>
      <c r="DN100">
        <f t="shared" si="129"/>
        <v>0</v>
      </c>
      <c r="DO100">
        <f t="shared" si="129"/>
        <v>0</v>
      </c>
      <c r="DP100">
        <f t="shared" si="130"/>
        <v>0</v>
      </c>
      <c r="DQ100">
        <f t="shared" si="130"/>
        <v>0</v>
      </c>
      <c r="DR100">
        <f t="shared" si="130"/>
        <v>0</v>
      </c>
      <c r="DS100">
        <f t="shared" si="130"/>
        <v>0</v>
      </c>
      <c r="DT100">
        <f t="shared" si="130"/>
        <v>0</v>
      </c>
      <c r="DU100">
        <f t="shared" si="130"/>
        <v>0</v>
      </c>
      <c r="DV100">
        <f t="shared" si="130"/>
        <v>0</v>
      </c>
      <c r="DW100">
        <f t="shared" si="130"/>
        <v>0</v>
      </c>
      <c r="DX100">
        <f t="shared" si="130"/>
        <v>0</v>
      </c>
      <c r="DY100">
        <f t="shared" si="130"/>
        <v>0</v>
      </c>
      <c r="DZ100">
        <f t="shared" si="131"/>
        <v>0</v>
      </c>
      <c r="EA100">
        <f t="shared" si="131"/>
        <v>0</v>
      </c>
      <c r="EB100">
        <f t="shared" si="131"/>
        <v>0</v>
      </c>
      <c r="EC100">
        <f t="shared" si="131"/>
        <v>0</v>
      </c>
      <c r="ED100">
        <f t="shared" si="131"/>
        <v>0</v>
      </c>
      <c r="EE100">
        <f t="shared" si="131"/>
        <v>0</v>
      </c>
      <c r="EF100">
        <f t="shared" si="131"/>
        <v>0</v>
      </c>
      <c r="EG100">
        <f t="shared" si="131"/>
        <v>0</v>
      </c>
      <c r="EH100">
        <f t="shared" si="131"/>
        <v>0</v>
      </c>
      <c r="EI100">
        <f t="shared" si="131"/>
        <v>0</v>
      </c>
      <c r="EJ100">
        <f>SUM(Tabla1[[#This Row],[1]:[130]])</f>
        <v>975</v>
      </c>
    </row>
    <row r="101" spans="1:140" x14ac:dyDescent="0.25">
      <c r="A101" t="str">
        <f>B101&amp;"-"&amp;COUNTIF($B$2:B101,B101)</f>
        <v>I. PAN FRICA-2</v>
      </c>
      <c r="B101" s="35" t="s">
        <v>28</v>
      </c>
      <c r="C101">
        <f>VLOOKUP(B101,RECETAS!D100:$E$1700,2,FALSE)</f>
        <v>14</v>
      </c>
      <c r="D101" s="34"/>
      <c r="G101" t="b">
        <f t="shared" si="92"/>
        <v>1</v>
      </c>
      <c r="I101" s="35" t="s">
        <v>30</v>
      </c>
      <c r="J101">
        <f t="shared" si="119"/>
        <v>0</v>
      </c>
      <c r="K101">
        <f t="shared" si="119"/>
        <v>0</v>
      </c>
      <c r="L101">
        <f t="shared" si="119"/>
        <v>0</v>
      </c>
      <c r="M101">
        <f t="shared" si="119"/>
        <v>4</v>
      </c>
      <c r="N101">
        <f t="shared" si="119"/>
        <v>0</v>
      </c>
      <c r="O101">
        <f t="shared" si="119"/>
        <v>0</v>
      </c>
      <c r="P101">
        <f t="shared" si="119"/>
        <v>0</v>
      </c>
      <c r="Q101">
        <f t="shared" si="119"/>
        <v>0</v>
      </c>
      <c r="R101">
        <f t="shared" si="119"/>
        <v>0</v>
      </c>
      <c r="S101">
        <f t="shared" si="119"/>
        <v>0</v>
      </c>
      <c r="T101">
        <f t="shared" si="120"/>
        <v>0</v>
      </c>
      <c r="U101">
        <f t="shared" si="120"/>
        <v>0</v>
      </c>
      <c r="V101">
        <f t="shared" si="120"/>
        <v>0</v>
      </c>
      <c r="W101">
        <f t="shared" si="120"/>
        <v>0</v>
      </c>
      <c r="X101">
        <f t="shared" si="120"/>
        <v>0</v>
      </c>
      <c r="Y101">
        <f t="shared" si="120"/>
        <v>0</v>
      </c>
      <c r="Z101">
        <f t="shared" si="120"/>
        <v>0</v>
      </c>
      <c r="AA101">
        <f t="shared" si="120"/>
        <v>0</v>
      </c>
      <c r="AB101">
        <f t="shared" si="120"/>
        <v>0</v>
      </c>
      <c r="AC101">
        <f t="shared" si="120"/>
        <v>0</v>
      </c>
      <c r="AD101">
        <f t="shared" si="121"/>
        <v>0</v>
      </c>
      <c r="AE101">
        <f t="shared" si="121"/>
        <v>0</v>
      </c>
      <c r="AF101">
        <f t="shared" si="121"/>
        <v>0</v>
      </c>
      <c r="AG101">
        <f t="shared" si="121"/>
        <v>0</v>
      </c>
      <c r="AH101">
        <f t="shared" si="121"/>
        <v>0</v>
      </c>
      <c r="AI101">
        <f t="shared" si="121"/>
        <v>0</v>
      </c>
      <c r="AJ101">
        <f t="shared" si="121"/>
        <v>0</v>
      </c>
      <c r="AK101">
        <f t="shared" si="121"/>
        <v>0</v>
      </c>
      <c r="AL101">
        <f t="shared" si="121"/>
        <v>0</v>
      </c>
      <c r="AM101">
        <f t="shared" si="121"/>
        <v>0</v>
      </c>
      <c r="AN101">
        <f t="shared" si="122"/>
        <v>0</v>
      </c>
      <c r="AO101">
        <f t="shared" si="122"/>
        <v>0</v>
      </c>
      <c r="AP101">
        <f t="shared" si="122"/>
        <v>0</v>
      </c>
      <c r="AQ101">
        <f t="shared" si="122"/>
        <v>0</v>
      </c>
      <c r="AR101">
        <f t="shared" si="122"/>
        <v>0</v>
      </c>
      <c r="AS101">
        <f t="shared" si="122"/>
        <v>0</v>
      </c>
      <c r="AT101">
        <f t="shared" si="122"/>
        <v>0</v>
      </c>
      <c r="AU101">
        <f t="shared" si="122"/>
        <v>0</v>
      </c>
      <c r="AV101">
        <f t="shared" si="122"/>
        <v>0</v>
      </c>
      <c r="AW101">
        <f t="shared" si="122"/>
        <v>0</v>
      </c>
      <c r="AX101">
        <f t="shared" si="123"/>
        <v>0</v>
      </c>
      <c r="AY101">
        <f t="shared" si="123"/>
        <v>0</v>
      </c>
      <c r="AZ101">
        <f t="shared" si="123"/>
        <v>0</v>
      </c>
      <c r="BA101">
        <f t="shared" si="123"/>
        <v>0</v>
      </c>
      <c r="BB101">
        <f t="shared" si="123"/>
        <v>0</v>
      </c>
      <c r="BC101">
        <f t="shared" si="123"/>
        <v>0</v>
      </c>
      <c r="BD101">
        <f t="shared" si="123"/>
        <v>0</v>
      </c>
      <c r="BE101">
        <f t="shared" si="123"/>
        <v>0</v>
      </c>
      <c r="BF101">
        <f t="shared" si="123"/>
        <v>0</v>
      </c>
      <c r="BG101">
        <f t="shared" si="123"/>
        <v>0</v>
      </c>
      <c r="BH101">
        <f t="shared" si="124"/>
        <v>0</v>
      </c>
      <c r="BI101">
        <f t="shared" si="124"/>
        <v>0</v>
      </c>
      <c r="BJ101">
        <f t="shared" si="124"/>
        <v>0</v>
      </c>
      <c r="BK101">
        <f t="shared" si="124"/>
        <v>0</v>
      </c>
      <c r="BL101">
        <f t="shared" si="124"/>
        <v>0</v>
      </c>
      <c r="BM101">
        <f t="shared" si="124"/>
        <v>0</v>
      </c>
      <c r="BN101">
        <f t="shared" si="124"/>
        <v>0</v>
      </c>
      <c r="BO101">
        <f t="shared" si="124"/>
        <v>0</v>
      </c>
      <c r="BP101">
        <f t="shared" si="124"/>
        <v>0</v>
      </c>
      <c r="BQ101">
        <f t="shared" si="124"/>
        <v>0</v>
      </c>
      <c r="BR101">
        <f t="shared" si="125"/>
        <v>0</v>
      </c>
      <c r="BS101">
        <f t="shared" si="125"/>
        <v>0</v>
      </c>
      <c r="BT101">
        <f t="shared" si="125"/>
        <v>0</v>
      </c>
      <c r="BU101">
        <f t="shared" si="125"/>
        <v>0</v>
      </c>
      <c r="BV101">
        <f t="shared" si="125"/>
        <v>0</v>
      </c>
      <c r="BW101">
        <f t="shared" si="125"/>
        <v>0</v>
      </c>
      <c r="BX101">
        <f t="shared" si="125"/>
        <v>0</v>
      </c>
      <c r="BY101">
        <f t="shared" si="125"/>
        <v>0</v>
      </c>
      <c r="BZ101">
        <f t="shared" si="125"/>
        <v>0</v>
      </c>
      <c r="CA101">
        <f t="shared" si="125"/>
        <v>0</v>
      </c>
      <c r="CB101">
        <f t="shared" si="126"/>
        <v>0</v>
      </c>
      <c r="CC101">
        <f t="shared" si="126"/>
        <v>0</v>
      </c>
      <c r="CD101">
        <f t="shared" si="126"/>
        <v>0</v>
      </c>
      <c r="CE101">
        <f t="shared" si="126"/>
        <v>0</v>
      </c>
      <c r="CF101">
        <f t="shared" si="126"/>
        <v>0</v>
      </c>
      <c r="CG101">
        <f t="shared" si="126"/>
        <v>0</v>
      </c>
      <c r="CH101">
        <f t="shared" si="126"/>
        <v>0</v>
      </c>
      <c r="CI101">
        <f t="shared" si="126"/>
        <v>0</v>
      </c>
      <c r="CJ101">
        <f t="shared" si="126"/>
        <v>0</v>
      </c>
      <c r="CK101">
        <f t="shared" si="126"/>
        <v>0</v>
      </c>
      <c r="CL101">
        <f t="shared" si="127"/>
        <v>0</v>
      </c>
      <c r="CM101">
        <f t="shared" si="127"/>
        <v>0</v>
      </c>
      <c r="CN101">
        <f t="shared" si="127"/>
        <v>0</v>
      </c>
      <c r="CO101">
        <f t="shared" si="127"/>
        <v>0</v>
      </c>
      <c r="CP101">
        <f t="shared" si="127"/>
        <v>0</v>
      </c>
      <c r="CQ101">
        <f t="shared" si="127"/>
        <v>0</v>
      </c>
      <c r="CR101">
        <f t="shared" si="127"/>
        <v>0</v>
      </c>
      <c r="CS101">
        <f t="shared" si="127"/>
        <v>0</v>
      </c>
      <c r="CT101">
        <f t="shared" si="127"/>
        <v>0</v>
      </c>
      <c r="CU101">
        <f t="shared" si="127"/>
        <v>0</v>
      </c>
      <c r="CV101">
        <f t="shared" si="128"/>
        <v>0</v>
      </c>
      <c r="CW101">
        <f t="shared" si="128"/>
        <v>0</v>
      </c>
      <c r="CX101">
        <f t="shared" si="128"/>
        <v>0</v>
      </c>
      <c r="CY101">
        <f t="shared" si="128"/>
        <v>0</v>
      </c>
      <c r="CZ101">
        <f t="shared" si="128"/>
        <v>0</v>
      </c>
      <c r="DA101">
        <f t="shared" si="128"/>
        <v>0</v>
      </c>
      <c r="DB101">
        <f t="shared" si="128"/>
        <v>0</v>
      </c>
      <c r="DC101">
        <f t="shared" si="128"/>
        <v>0</v>
      </c>
      <c r="DD101">
        <f t="shared" si="128"/>
        <v>0</v>
      </c>
      <c r="DE101">
        <f t="shared" si="128"/>
        <v>0</v>
      </c>
      <c r="DF101">
        <f t="shared" si="129"/>
        <v>0</v>
      </c>
      <c r="DG101">
        <f t="shared" si="129"/>
        <v>0</v>
      </c>
      <c r="DH101">
        <f t="shared" si="129"/>
        <v>0</v>
      </c>
      <c r="DI101">
        <f t="shared" si="129"/>
        <v>0</v>
      </c>
      <c r="DJ101">
        <f t="shared" si="129"/>
        <v>0</v>
      </c>
      <c r="DK101">
        <f t="shared" si="129"/>
        <v>0</v>
      </c>
      <c r="DL101">
        <f t="shared" si="129"/>
        <v>0</v>
      </c>
      <c r="DM101">
        <f t="shared" si="129"/>
        <v>0</v>
      </c>
      <c r="DN101">
        <f t="shared" si="129"/>
        <v>0</v>
      </c>
      <c r="DO101">
        <f t="shared" si="129"/>
        <v>0</v>
      </c>
      <c r="DP101">
        <f t="shared" si="130"/>
        <v>0</v>
      </c>
      <c r="DQ101">
        <f t="shared" si="130"/>
        <v>0</v>
      </c>
      <c r="DR101">
        <f t="shared" si="130"/>
        <v>0</v>
      </c>
      <c r="DS101">
        <f t="shared" si="130"/>
        <v>0</v>
      </c>
      <c r="DT101">
        <f t="shared" si="130"/>
        <v>0</v>
      </c>
      <c r="DU101">
        <f t="shared" si="130"/>
        <v>0</v>
      </c>
      <c r="DV101">
        <f t="shared" si="130"/>
        <v>0</v>
      </c>
      <c r="DW101">
        <f t="shared" si="130"/>
        <v>0</v>
      </c>
      <c r="DX101">
        <f t="shared" si="130"/>
        <v>0</v>
      </c>
      <c r="DY101">
        <f t="shared" si="130"/>
        <v>0</v>
      </c>
      <c r="DZ101">
        <f t="shared" si="131"/>
        <v>0</v>
      </c>
      <c r="EA101">
        <f t="shared" si="131"/>
        <v>0</v>
      </c>
      <c r="EB101">
        <f t="shared" si="131"/>
        <v>0</v>
      </c>
      <c r="EC101">
        <f t="shared" si="131"/>
        <v>0</v>
      </c>
      <c r="ED101">
        <f t="shared" si="131"/>
        <v>0</v>
      </c>
      <c r="EE101">
        <f t="shared" si="131"/>
        <v>0</v>
      </c>
      <c r="EF101">
        <f t="shared" si="131"/>
        <v>0</v>
      </c>
      <c r="EG101">
        <f t="shared" si="131"/>
        <v>0</v>
      </c>
      <c r="EH101">
        <f t="shared" si="131"/>
        <v>0</v>
      </c>
      <c r="EI101">
        <f t="shared" si="131"/>
        <v>0</v>
      </c>
      <c r="EJ101">
        <f>SUM(Tabla1[[#This Row],[1]:[130]])</f>
        <v>4</v>
      </c>
    </row>
    <row r="102" spans="1:140" ht="15.75" thickBot="1" x14ac:dyDescent="0.3">
      <c r="A102" t="str">
        <f>B102&amp;"-"&amp;COUNTIF($B$2:B102,B102)</f>
        <v>I. PAPAS FRITAS-10</v>
      </c>
      <c r="B102" s="33" t="s">
        <v>13</v>
      </c>
      <c r="C102">
        <f>VLOOKUP(B102,RECETAS!D101:$E$1700,2,FALSE)</f>
        <v>1680</v>
      </c>
      <c r="D102" s="32"/>
      <c r="G102" t="b">
        <f t="shared" si="92"/>
        <v>1</v>
      </c>
      <c r="I102" s="248" t="s">
        <v>824</v>
      </c>
      <c r="J102">
        <f t="shared" si="119"/>
        <v>0</v>
      </c>
      <c r="K102">
        <f t="shared" si="119"/>
        <v>0</v>
      </c>
      <c r="L102">
        <f t="shared" si="119"/>
        <v>0</v>
      </c>
      <c r="M102">
        <f t="shared" si="119"/>
        <v>0</v>
      </c>
      <c r="N102">
        <f t="shared" si="119"/>
        <v>0</v>
      </c>
      <c r="O102">
        <f t="shared" si="119"/>
        <v>0</v>
      </c>
      <c r="P102">
        <f t="shared" si="119"/>
        <v>0</v>
      </c>
      <c r="Q102">
        <f t="shared" si="119"/>
        <v>0</v>
      </c>
      <c r="R102">
        <f t="shared" si="119"/>
        <v>0</v>
      </c>
      <c r="S102">
        <f t="shared" si="119"/>
        <v>0</v>
      </c>
      <c r="T102">
        <f t="shared" si="120"/>
        <v>0</v>
      </c>
      <c r="U102">
        <f t="shared" si="120"/>
        <v>0</v>
      </c>
      <c r="V102">
        <f t="shared" si="120"/>
        <v>0</v>
      </c>
      <c r="W102">
        <f t="shared" si="120"/>
        <v>0</v>
      </c>
      <c r="X102">
        <f t="shared" si="120"/>
        <v>0</v>
      </c>
      <c r="Y102">
        <f t="shared" si="120"/>
        <v>0</v>
      </c>
      <c r="Z102">
        <f t="shared" si="120"/>
        <v>0</v>
      </c>
      <c r="AA102">
        <f t="shared" si="120"/>
        <v>0</v>
      </c>
      <c r="AB102">
        <f t="shared" si="120"/>
        <v>0</v>
      </c>
      <c r="AC102">
        <f t="shared" si="120"/>
        <v>0</v>
      </c>
      <c r="AD102">
        <f t="shared" si="121"/>
        <v>0</v>
      </c>
      <c r="AE102">
        <f t="shared" si="121"/>
        <v>0</v>
      </c>
      <c r="AF102">
        <f t="shared" si="121"/>
        <v>0</v>
      </c>
      <c r="AG102">
        <f t="shared" si="121"/>
        <v>0</v>
      </c>
      <c r="AH102">
        <f t="shared" si="121"/>
        <v>0</v>
      </c>
      <c r="AI102">
        <f t="shared" si="121"/>
        <v>0</v>
      </c>
      <c r="AJ102">
        <f t="shared" si="121"/>
        <v>0</v>
      </c>
      <c r="AK102">
        <f t="shared" si="121"/>
        <v>0</v>
      </c>
      <c r="AL102">
        <f t="shared" si="121"/>
        <v>0</v>
      </c>
      <c r="AM102">
        <f t="shared" si="121"/>
        <v>0</v>
      </c>
      <c r="AN102">
        <f t="shared" si="122"/>
        <v>0</v>
      </c>
      <c r="AO102">
        <f t="shared" si="122"/>
        <v>0</v>
      </c>
      <c r="AP102">
        <f t="shared" si="122"/>
        <v>0</v>
      </c>
      <c r="AQ102">
        <f t="shared" si="122"/>
        <v>0</v>
      </c>
      <c r="AR102">
        <f t="shared" si="122"/>
        <v>0</v>
      </c>
      <c r="AS102">
        <f t="shared" si="122"/>
        <v>0</v>
      </c>
      <c r="AT102">
        <f t="shared" si="122"/>
        <v>0</v>
      </c>
      <c r="AU102">
        <f t="shared" si="122"/>
        <v>0</v>
      </c>
      <c r="AV102">
        <f t="shared" si="122"/>
        <v>0</v>
      </c>
      <c r="AW102">
        <f t="shared" si="122"/>
        <v>0</v>
      </c>
      <c r="AX102">
        <f t="shared" si="123"/>
        <v>0</v>
      </c>
      <c r="AY102">
        <f t="shared" si="123"/>
        <v>0</v>
      </c>
      <c r="AZ102">
        <f t="shared" si="123"/>
        <v>0</v>
      </c>
      <c r="BA102">
        <f t="shared" si="123"/>
        <v>0</v>
      </c>
      <c r="BB102">
        <f t="shared" si="123"/>
        <v>0</v>
      </c>
      <c r="BC102">
        <f t="shared" si="123"/>
        <v>0</v>
      </c>
      <c r="BD102">
        <f t="shared" si="123"/>
        <v>0</v>
      </c>
      <c r="BE102">
        <f t="shared" si="123"/>
        <v>0</v>
      </c>
      <c r="BF102">
        <f t="shared" si="123"/>
        <v>0</v>
      </c>
      <c r="BG102">
        <f t="shared" si="123"/>
        <v>0</v>
      </c>
      <c r="BH102">
        <f t="shared" si="124"/>
        <v>0</v>
      </c>
      <c r="BI102">
        <f t="shared" si="124"/>
        <v>0</v>
      </c>
      <c r="BJ102">
        <f t="shared" si="124"/>
        <v>0</v>
      </c>
      <c r="BK102">
        <f t="shared" si="124"/>
        <v>0</v>
      </c>
      <c r="BL102">
        <f t="shared" si="124"/>
        <v>0</v>
      </c>
      <c r="BM102">
        <f t="shared" si="124"/>
        <v>0</v>
      </c>
      <c r="BN102">
        <f t="shared" si="124"/>
        <v>0</v>
      </c>
      <c r="BO102">
        <f t="shared" si="124"/>
        <v>0</v>
      </c>
      <c r="BP102">
        <f t="shared" si="124"/>
        <v>0</v>
      </c>
      <c r="BQ102">
        <f t="shared" si="124"/>
        <v>0</v>
      </c>
      <c r="BR102">
        <f t="shared" si="125"/>
        <v>0</v>
      </c>
      <c r="BS102">
        <f t="shared" si="125"/>
        <v>0</v>
      </c>
      <c r="BT102">
        <f t="shared" si="125"/>
        <v>0</v>
      </c>
      <c r="BU102">
        <f t="shared" si="125"/>
        <v>0</v>
      </c>
      <c r="BV102">
        <f t="shared" si="125"/>
        <v>0</v>
      </c>
      <c r="BW102">
        <f t="shared" si="125"/>
        <v>0</v>
      </c>
      <c r="BX102">
        <f t="shared" si="125"/>
        <v>0</v>
      </c>
      <c r="BY102">
        <f t="shared" si="125"/>
        <v>0</v>
      </c>
      <c r="BZ102">
        <f t="shared" si="125"/>
        <v>0</v>
      </c>
      <c r="CA102">
        <f t="shared" si="125"/>
        <v>0</v>
      </c>
      <c r="CB102">
        <f t="shared" si="126"/>
        <v>0</v>
      </c>
      <c r="CC102">
        <f t="shared" si="126"/>
        <v>0</v>
      </c>
      <c r="CD102">
        <f t="shared" si="126"/>
        <v>0</v>
      </c>
      <c r="CE102">
        <f t="shared" si="126"/>
        <v>0</v>
      </c>
      <c r="CF102">
        <f t="shared" si="126"/>
        <v>0</v>
      </c>
      <c r="CG102">
        <f t="shared" si="126"/>
        <v>0</v>
      </c>
      <c r="CH102">
        <f t="shared" si="126"/>
        <v>0</v>
      </c>
      <c r="CI102">
        <f t="shared" si="126"/>
        <v>0</v>
      </c>
      <c r="CJ102">
        <f t="shared" si="126"/>
        <v>0</v>
      </c>
      <c r="CK102">
        <f t="shared" si="126"/>
        <v>0</v>
      </c>
      <c r="CL102">
        <f t="shared" si="127"/>
        <v>0</v>
      </c>
      <c r="CM102">
        <f t="shared" si="127"/>
        <v>0</v>
      </c>
      <c r="CN102">
        <f t="shared" si="127"/>
        <v>0</v>
      </c>
      <c r="CO102">
        <f t="shared" si="127"/>
        <v>0</v>
      </c>
      <c r="CP102">
        <f t="shared" si="127"/>
        <v>0</v>
      </c>
      <c r="CQ102">
        <f t="shared" si="127"/>
        <v>0</v>
      </c>
      <c r="CR102">
        <f t="shared" si="127"/>
        <v>0</v>
      </c>
      <c r="CS102">
        <f t="shared" si="127"/>
        <v>0</v>
      </c>
      <c r="CT102">
        <f t="shared" si="127"/>
        <v>0</v>
      </c>
      <c r="CU102">
        <f t="shared" si="127"/>
        <v>0</v>
      </c>
      <c r="CV102">
        <f t="shared" si="128"/>
        <v>0</v>
      </c>
      <c r="CW102">
        <f t="shared" si="128"/>
        <v>0</v>
      </c>
      <c r="CX102">
        <f t="shared" si="128"/>
        <v>0</v>
      </c>
      <c r="CY102">
        <f t="shared" si="128"/>
        <v>0</v>
      </c>
      <c r="CZ102">
        <f t="shared" si="128"/>
        <v>0</v>
      </c>
      <c r="DA102">
        <f t="shared" si="128"/>
        <v>0</v>
      </c>
      <c r="DB102">
        <f t="shared" si="128"/>
        <v>0</v>
      </c>
      <c r="DC102">
        <f t="shared" si="128"/>
        <v>0</v>
      </c>
      <c r="DD102">
        <f t="shared" si="128"/>
        <v>0</v>
      </c>
      <c r="DE102">
        <f t="shared" si="128"/>
        <v>0</v>
      </c>
      <c r="DF102">
        <f t="shared" si="129"/>
        <v>0</v>
      </c>
      <c r="DG102">
        <f t="shared" si="129"/>
        <v>0</v>
      </c>
      <c r="DH102">
        <f t="shared" si="129"/>
        <v>0</v>
      </c>
      <c r="DI102">
        <f t="shared" si="129"/>
        <v>0</v>
      </c>
      <c r="DJ102">
        <f t="shared" si="129"/>
        <v>0</v>
      </c>
      <c r="DK102">
        <f t="shared" si="129"/>
        <v>0</v>
      </c>
      <c r="DL102">
        <f t="shared" si="129"/>
        <v>0</v>
      </c>
      <c r="DM102">
        <f t="shared" si="129"/>
        <v>0</v>
      </c>
      <c r="DN102">
        <f t="shared" si="129"/>
        <v>0</v>
      </c>
      <c r="DO102">
        <f t="shared" si="129"/>
        <v>0</v>
      </c>
      <c r="DP102">
        <f t="shared" si="130"/>
        <v>0</v>
      </c>
      <c r="DQ102">
        <f t="shared" si="130"/>
        <v>0</v>
      </c>
      <c r="DR102">
        <f t="shared" si="130"/>
        <v>0</v>
      </c>
      <c r="DS102">
        <f t="shared" si="130"/>
        <v>0</v>
      </c>
      <c r="DT102">
        <f t="shared" si="130"/>
        <v>0</v>
      </c>
      <c r="DU102">
        <f t="shared" si="130"/>
        <v>0</v>
      </c>
      <c r="DV102">
        <f t="shared" si="130"/>
        <v>0</v>
      </c>
      <c r="DW102">
        <f t="shared" si="130"/>
        <v>0</v>
      </c>
      <c r="DX102">
        <f t="shared" si="130"/>
        <v>0</v>
      </c>
      <c r="DY102">
        <f t="shared" si="130"/>
        <v>0</v>
      </c>
      <c r="DZ102">
        <f t="shared" si="131"/>
        <v>0</v>
      </c>
      <c r="EA102">
        <f t="shared" si="131"/>
        <v>0</v>
      </c>
      <c r="EB102">
        <f t="shared" si="131"/>
        <v>0</v>
      </c>
      <c r="EC102">
        <f t="shared" si="131"/>
        <v>0</v>
      </c>
      <c r="ED102">
        <f t="shared" si="131"/>
        <v>0</v>
      </c>
      <c r="EE102">
        <f t="shared" si="131"/>
        <v>0</v>
      </c>
      <c r="EF102">
        <f t="shared" si="131"/>
        <v>0</v>
      </c>
      <c r="EG102">
        <f t="shared" si="131"/>
        <v>0</v>
      </c>
      <c r="EH102">
        <f t="shared" si="131"/>
        <v>0</v>
      </c>
      <c r="EI102">
        <f t="shared" si="131"/>
        <v>0</v>
      </c>
      <c r="EJ102">
        <f>SUM(Tabla1[[#This Row],[1]:[130]])</f>
        <v>0</v>
      </c>
    </row>
    <row r="103" spans="1:140" x14ac:dyDescent="0.25">
      <c r="A103" t="str">
        <f>B103&amp;"-"&amp;COUNTIF($B$2:B103,B103)</f>
        <v>I. HAMBURGUESA-2</v>
      </c>
      <c r="B103" s="26" t="s">
        <v>26</v>
      </c>
      <c r="C103">
        <f>VLOOKUP(B103,RECETAS!D102:$E$1700,2,FALSE)</f>
        <v>20</v>
      </c>
      <c r="D103" s="25" t="s">
        <v>29</v>
      </c>
      <c r="G103" t="b">
        <f t="shared" si="92"/>
        <v>1</v>
      </c>
      <c r="I103" s="46" t="s">
        <v>87</v>
      </c>
      <c r="J103">
        <f t="shared" ref="J103:S112" si="132">IFERROR(VLOOKUP($I103&amp;"-"&amp;J$2,$A$3:$C$1700,3,FALSE),0)</f>
        <v>375</v>
      </c>
      <c r="K103">
        <f t="shared" si="132"/>
        <v>0</v>
      </c>
      <c r="L103">
        <f t="shared" si="132"/>
        <v>0</v>
      </c>
      <c r="M103">
        <f t="shared" si="132"/>
        <v>0</v>
      </c>
      <c r="N103">
        <f t="shared" si="132"/>
        <v>0</v>
      </c>
      <c r="O103">
        <f t="shared" si="132"/>
        <v>0</v>
      </c>
      <c r="P103">
        <f t="shared" si="132"/>
        <v>0</v>
      </c>
      <c r="Q103">
        <f t="shared" si="132"/>
        <v>0</v>
      </c>
      <c r="R103">
        <f t="shared" si="132"/>
        <v>0</v>
      </c>
      <c r="S103">
        <f t="shared" si="132"/>
        <v>0</v>
      </c>
      <c r="T103">
        <f t="shared" ref="T103:AC112" si="133">IFERROR(VLOOKUP($I103&amp;"-"&amp;T$2,$A$3:$C$1700,3,FALSE),0)</f>
        <v>0</v>
      </c>
      <c r="U103">
        <f t="shared" si="133"/>
        <v>0</v>
      </c>
      <c r="V103">
        <f t="shared" si="133"/>
        <v>0</v>
      </c>
      <c r="W103">
        <f t="shared" si="133"/>
        <v>0</v>
      </c>
      <c r="X103">
        <f t="shared" si="133"/>
        <v>0</v>
      </c>
      <c r="Y103">
        <f t="shared" si="133"/>
        <v>0</v>
      </c>
      <c r="Z103">
        <f t="shared" si="133"/>
        <v>0</v>
      </c>
      <c r="AA103">
        <f t="shared" si="133"/>
        <v>0</v>
      </c>
      <c r="AB103">
        <f t="shared" si="133"/>
        <v>0</v>
      </c>
      <c r="AC103">
        <f t="shared" si="133"/>
        <v>0</v>
      </c>
      <c r="AD103">
        <f t="shared" ref="AD103:AM112" si="134">IFERROR(VLOOKUP($I103&amp;"-"&amp;AD$2,$A$3:$C$1700,3,FALSE),0)</f>
        <v>0</v>
      </c>
      <c r="AE103">
        <f t="shared" si="134"/>
        <v>0</v>
      </c>
      <c r="AF103">
        <f t="shared" si="134"/>
        <v>0</v>
      </c>
      <c r="AG103">
        <f t="shared" si="134"/>
        <v>0</v>
      </c>
      <c r="AH103">
        <f t="shared" si="134"/>
        <v>0</v>
      </c>
      <c r="AI103">
        <f t="shared" si="134"/>
        <v>0</v>
      </c>
      <c r="AJ103">
        <f t="shared" si="134"/>
        <v>0</v>
      </c>
      <c r="AK103">
        <f t="shared" si="134"/>
        <v>0</v>
      </c>
      <c r="AL103">
        <f t="shared" si="134"/>
        <v>0</v>
      </c>
      <c r="AM103">
        <f t="shared" si="134"/>
        <v>0</v>
      </c>
      <c r="AN103">
        <f t="shared" ref="AN103:AW112" si="135">IFERROR(VLOOKUP($I103&amp;"-"&amp;AN$2,$A$3:$C$1700,3,FALSE),0)</f>
        <v>0</v>
      </c>
      <c r="AO103">
        <f t="shared" si="135"/>
        <v>0</v>
      </c>
      <c r="AP103">
        <f t="shared" si="135"/>
        <v>0</v>
      </c>
      <c r="AQ103">
        <f t="shared" si="135"/>
        <v>0</v>
      </c>
      <c r="AR103">
        <f t="shared" si="135"/>
        <v>0</v>
      </c>
      <c r="AS103">
        <f t="shared" si="135"/>
        <v>0</v>
      </c>
      <c r="AT103">
        <f t="shared" si="135"/>
        <v>0</v>
      </c>
      <c r="AU103">
        <f t="shared" si="135"/>
        <v>0</v>
      </c>
      <c r="AV103">
        <f t="shared" si="135"/>
        <v>0</v>
      </c>
      <c r="AW103">
        <f t="shared" si="135"/>
        <v>0</v>
      </c>
      <c r="AX103">
        <f t="shared" ref="AX103:BG112" si="136">IFERROR(VLOOKUP($I103&amp;"-"&amp;AX$2,$A$3:$C$1700,3,FALSE),0)</f>
        <v>0</v>
      </c>
      <c r="AY103">
        <f t="shared" si="136"/>
        <v>0</v>
      </c>
      <c r="AZ103">
        <f t="shared" si="136"/>
        <v>0</v>
      </c>
      <c r="BA103">
        <f t="shared" si="136"/>
        <v>0</v>
      </c>
      <c r="BB103">
        <f t="shared" si="136"/>
        <v>0</v>
      </c>
      <c r="BC103">
        <f t="shared" si="136"/>
        <v>0</v>
      </c>
      <c r="BD103">
        <f t="shared" si="136"/>
        <v>0</v>
      </c>
      <c r="BE103">
        <f t="shared" si="136"/>
        <v>0</v>
      </c>
      <c r="BF103">
        <f t="shared" si="136"/>
        <v>0</v>
      </c>
      <c r="BG103">
        <f t="shared" si="136"/>
        <v>0</v>
      </c>
      <c r="BH103">
        <f t="shared" ref="BH103:BQ112" si="137">IFERROR(VLOOKUP($I103&amp;"-"&amp;BH$2,$A$3:$C$1700,3,FALSE),0)</f>
        <v>0</v>
      </c>
      <c r="BI103">
        <f t="shared" si="137"/>
        <v>0</v>
      </c>
      <c r="BJ103">
        <f t="shared" si="137"/>
        <v>0</v>
      </c>
      <c r="BK103">
        <f t="shared" si="137"/>
        <v>0</v>
      </c>
      <c r="BL103">
        <f t="shared" si="137"/>
        <v>0</v>
      </c>
      <c r="BM103">
        <f t="shared" si="137"/>
        <v>0</v>
      </c>
      <c r="BN103">
        <f t="shared" si="137"/>
        <v>0</v>
      </c>
      <c r="BO103">
        <f t="shared" si="137"/>
        <v>0</v>
      </c>
      <c r="BP103">
        <f t="shared" si="137"/>
        <v>0</v>
      </c>
      <c r="BQ103">
        <f t="shared" si="137"/>
        <v>0</v>
      </c>
      <c r="BR103">
        <f t="shared" ref="BR103:CA112" si="138">IFERROR(VLOOKUP($I103&amp;"-"&amp;BR$2,$A$3:$C$1700,3,FALSE),0)</f>
        <v>0</v>
      </c>
      <c r="BS103">
        <f t="shared" si="138"/>
        <v>0</v>
      </c>
      <c r="BT103">
        <f t="shared" si="138"/>
        <v>0</v>
      </c>
      <c r="BU103">
        <f t="shared" si="138"/>
        <v>0</v>
      </c>
      <c r="BV103">
        <f t="shared" si="138"/>
        <v>0</v>
      </c>
      <c r="BW103">
        <f t="shared" si="138"/>
        <v>0</v>
      </c>
      <c r="BX103">
        <f t="shared" si="138"/>
        <v>0</v>
      </c>
      <c r="BY103">
        <f t="shared" si="138"/>
        <v>0</v>
      </c>
      <c r="BZ103">
        <f t="shared" si="138"/>
        <v>0</v>
      </c>
      <c r="CA103">
        <f t="shared" si="138"/>
        <v>0</v>
      </c>
      <c r="CB103">
        <f t="shared" ref="CB103:CK112" si="139">IFERROR(VLOOKUP($I103&amp;"-"&amp;CB$2,$A$3:$C$1700,3,FALSE),0)</f>
        <v>0</v>
      </c>
      <c r="CC103">
        <f t="shared" si="139"/>
        <v>0</v>
      </c>
      <c r="CD103">
        <f t="shared" si="139"/>
        <v>0</v>
      </c>
      <c r="CE103">
        <f t="shared" si="139"/>
        <v>0</v>
      </c>
      <c r="CF103">
        <f t="shared" si="139"/>
        <v>0</v>
      </c>
      <c r="CG103">
        <f t="shared" si="139"/>
        <v>0</v>
      </c>
      <c r="CH103">
        <f t="shared" si="139"/>
        <v>0</v>
      </c>
      <c r="CI103">
        <f t="shared" si="139"/>
        <v>0</v>
      </c>
      <c r="CJ103">
        <f t="shared" si="139"/>
        <v>0</v>
      </c>
      <c r="CK103">
        <f t="shared" si="139"/>
        <v>0</v>
      </c>
      <c r="CL103">
        <f t="shared" ref="CL103:CU112" si="140">IFERROR(VLOOKUP($I103&amp;"-"&amp;CL$2,$A$3:$C$1700,3,FALSE),0)</f>
        <v>0</v>
      </c>
      <c r="CM103">
        <f t="shared" si="140"/>
        <v>0</v>
      </c>
      <c r="CN103">
        <f t="shared" si="140"/>
        <v>0</v>
      </c>
      <c r="CO103">
        <f t="shared" si="140"/>
        <v>0</v>
      </c>
      <c r="CP103">
        <f t="shared" si="140"/>
        <v>0</v>
      </c>
      <c r="CQ103">
        <f t="shared" si="140"/>
        <v>0</v>
      </c>
      <c r="CR103">
        <f t="shared" si="140"/>
        <v>0</v>
      </c>
      <c r="CS103">
        <f t="shared" si="140"/>
        <v>0</v>
      </c>
      <c r="CT103">
        <f t="shared" si="140"/>
        <v>0</v>
      </c>
      <c r="CU103">
        <f t="shared" si="140"/>
        <v>0</v>
      </c>
      <c r="CV103">
        <f t="shared" ref="CV103:DE112" si="141">IFERROR(VLOOKUP($I103&amp;"-"&amp;CV$2,$A$3:$C$1700,3,FALSE),0)</f>
        <v>0</v>
      </c>
      <c r="CW103">
        <f t="shared" si="141"/>
        <v>0</v>
      </c>
      <c r="CX103">
        <f t="shared" si="141"/>
        <v>0</v>
      </c>
      <c r="CY103">
        <f t="shared" si="141"/>
        <v>0</v>
      </c>
      <c r="CZ103">
        <f t="shared" si="141"/>
        <v>0</v>
      </c>
      <c r="DA103">
        <f t="shared" si="141"/>
        <v>0</v>
      </c>
      <c r="DB103">
        <f t="shared" si="141"/>
        <v>0</v>
      </c>
      <c r="DC103">
        <f t="shared" si="141"/>
        <v>0</v>
      </c>
      <c r="DD103">
        <f t="shared" si="141"/>
        <v>0</v>
      </c>
      <c r="DE103">
        <f t="shared" si="141"/>
        <v>0</v>
      </c>
      <c r="DF103">
        <f t="shared" ref="DF103:DO112" si="142">IFERROR(VLOOKUP($I103&amp;"-"&amp;DF$2,$A$3:$C$1700,3,FALSE),0)</f>
        <v>0</v>
      </c>
      <c r="DG103">
        <f t="shared" si="142"/>
        <v>0</v>
      </c>
      <c r="DH103">
        <f t="shared" si="142"/>
        <v>0</v>
      </c>
      <c r="DI103">
        <f t="shared" si="142"/>
        <v>0</v>
      </c>
      <c r="DJ103">
        <f t="shared" si="142"/>
        <v>0</v>
      </c>
      <c r="DK103">
        <f t="shared" si="142"/>
        <v>0</v>
      </c>
      <c r="DL103">
        <f t="shared" si="142"/>
        <v>0</v>
      </c>
      <c r="DM103">
        <f t="shared" si="142"/>
        <v>0</v>
      </c>
      <c r="DN103">
        <f t="shared" si="142"/>
        <v>0</v>
      </c>
      <c r="DO103">
        <f t="shared" si="142"/>
        <v>0</v>
      </c>
      <c r="DP103">
        <f t="shared" ref="DP103:DY112" si="143">IFERROR(VLOOKUP($I103&amp;"-"&amp;DP$2,$A$3:$C$1700,3,FALSE),0)</f>
        <v>0</v>
      </c>
      <c r="DQ103">
        <f t="shared" si="143"/>
        <v>0</v>
      </c>
      <c r="DR103">
        <f t="shared" si="143"/>
        <v>0</v>
      </c>
      <c r="DS103">
        <f t="shared" si="143"/>
        <v>0</v>
      </c>
      <c r="DT103">
        <f t="shared" si="143"/>
        <v>0</v>
      </c>
      <c r="DU103">
        <f t="shared" si="143"/>
        <v>0</v>
      </c>
      <c r="DV103">
        <f t="shared" si="143"/>
        <v>0</v>
      </c>
      <c r="DW103">
        <f t="shared" si="143"/>
        <v>0</v>
      </c>
      <c r="DX103">
        <f t="shared" si="143"/>
        <v>0</v>
      </c>
      <c r="DY103">
        <f t="shared" si="143"/>
        <v>0</v>
      </c>
      <c r="DZ103">
        <f t="shared" ref="DZ103:EI112" si="144">IFERROR(VLOOKUP($I103&amp;"-"&amp;DZ$2,$A$3:$C$1700,3,FALSE),0)</f>
        <v>0</v>
      </c>
      <c r="EA103">
        <f t="shared" si="144"/>
        <v>0</v>
      </c>
      <c r="EB103">
        <f t="shared" si="144"/>
        <v>0</v>
      </c>
      <c r="EC103">
        <f t="shared" si="144"/>
        <v>0</v>
      </c>
      <c r="ED103">
        <f t="shared" si="144"/>
        <v>0</v>
      </c>
      <c r="EE103">
        <f t="shared" si="144"/>
        <v>0</v>
      </c>
      <c r="EF103">
        <f t="shared" si="144"/>
        <v>0</v>
      </c>
      <c r="EG103">
        <f t="shared" si="144"/>
        <v>0</v>
      </c>
      <c r="EH103">
        <f t="shared" si="144"/>
        <v>0</v>
      </c>
      <c r="EI103">
        <f t="shared" si="144"/>
        <v>0</v>
      </c>
      <c r="EJ103">
        <f>SUM(Tabla1[[#This Row],[1]:[130]])</f>
        <v>375</v>
      </c>
    </row>
    <row r="104" spans="1:140" x14ac:dyDescent="0.25">
      <c r="A104" t="str">
        <f>B104&amp;"-"&amp;COUNTIF($B$2:B104,B104)</f>
        <v>I. QUESO CHEDAR-2</v>
      </c>
      <c r="B104" s="35" t="s">
        <v>27</v>
      </c>
      <c r="C104">
        <f>VLOOKUP(B104,RECETAS!D103:$E$1700,2,FALSE)</f>
        <v>20</v>
      </c>
      <c r="D104" s="34"/>
      <c r="G104" t="b">
        <f t="shared" si="92"/>
        <v>1</v>
      </c>
      <c r="I104" s="36" t="s">
        <v>88</v>
      </c>
      <c r="J104">
        <f t="shared" si="132"/>
        <v>75</v>
      </c>
      <c r="K104">
        <f t="shared" si="132"/>
        <v>0</v>
      </c>
      <c r="L104">
        <f t="shared" si="132"/>
        <v>0</v>
      </c>
      <c r="M104">
        <f t="shared" si="132"/>
        <v>0</v>
      </c>
      <c r="N104">
        <f t="shared" si="132"/>
        <v>0</v>
      </c>
      <c r="O104">
        <f t="shared" si="132"/>
        <v>0</v>
      </c>
      <c r="P104">
        <f t="shared" si="132"/>
        <v>0</v>
      </c>
      <c r="Q104">
        <f t="shared" si="132"/>
        <v>0</v>
      </c>
      <c r="R104">
        <f t="shared" si="132"/>
        <v>0</v>
      </c>
      <c r="S104">
        <f t="shared" si="132"/>
        <v>0</v>
      </c>
      <c r="T104">
        <f t="shared" si="133"/>
        <v>0</v>
      </c>
      <c r="U104">
        <f t="shared" si="133"/>
        <v>0</v>
      </c>
      <c r="V104">
        <f t="shared" si="133"/>
        <v>0</v>
      </c>
      <c r="W104">
        <f t="shared" si="133"/>
        <v>0</v>
      </c>
      <c r="X104">
        <f t="shared" si="133"/>
        <v>0</v>
      </c>
      <c r="Y104">
        <f t="shared" si="133"/>
        <v>0</v>
      </c>
      <c r="Z104">
        <f t="shared" si="133"/>
        <v>0</v>
      </c>
      <c r="AA104">
        <f t="shared" si="133"/>
        <v>0</v>
      </c>
      <c r="AB104">
        <f t="shared" si="133"/>
        <v>0</v>
      </c>
      <c r="AC104">
        <f t="shared" si="133"/>
        <v>0</v>
      </c>
      <c r="AD104">
        <f t="shared" si="134"/>
        <v>0</v>
      </c>
      <c r="AE104">
        <f t="shared" si="134"/>
        <v>0</v>
      </c>
      <c r="AF104">
        <f t="shared" si="134"/>
        <v>0</v>
      </c>
      <c r="AG104">
        <f t="shared" si="134"/>
        <v>0</v>
      </c>
      <c r="AH104">
        <f t="shared" si="134"/>
        <v>0</v>
      </c>
      <c r="AI104">
        <f t="shared" si="134"/>
        <v>0</v>
      </c>
      <c r="AJ104">
        <f t="shared" si="134"/>
        <v>0</v>
      </c>
      <c r="AK104">
        <f t="shared" si="134"/>
        <v>0</v>
      </c>
      <c r="AL104">
        <f t="shared" si="134"/>
        <v>0</v>
      </c>
      <c r="AM104">
        <f t="shared" si="134"/>
        <v>0</v>
      </c>
      <c r="AN104">
        <f t="shared" si="135"/>
        <v>0</v>
      </c>
      <c r="AO104">
        <f t="shared" si="135"/>
        <v>0</v>
      </c>
      <c r="AP104">
        <f t="shared" si="135"/>
        <v>0</v>
      </c>
      <c r="AQ104">
        <f t="shared" si="135"/>
        <v>0</v>
      </c>
      <c r="AR104">
        <f t="shared" si="135"/>
        <v>0</v>
      </c>
      <c r="AS104">
        <f t="shared" si="135"/>
        <v>0</v>
      </c>
      <c r="AT104">
        <f t="shared" si="135"/>
        <v>0</v>
      </c>
      <c r="AU104">
        <f t="shared" si="135"/>
        <v>0</v>
      </c>
      <c r="AV104">
        <f t="shared" si="135"/>
        <v>0</v>
      </c>
      <c r="AW104">
        <f t="shared" si="135"/>
        <v>0</v>
      </c>
      <c r="AX104">
        <f t="shared" si="136"/>
        <v>0</v>
      </c>
      <c r="AY104">
        <f t="shared" si="136"/>
        <v>0</v>
      </c>
      <c r="AZ104">
        <f t="shared" si="136"/>
        <v>0</v>
      </c>
      <c r="BA104">
        <f t="shared" si="136"/>
        <v>0</v>
      </c>
      <c r="BB104">
        <f t="shared" si="136"/>
        <v>0</v>
      </c>
      <c r="BC104">
        <f t="shared" si="136"/>
        <v>0</v>
      </c>
      <c r="BD104">
        <f t="shared" si="136"/>
        <v>0</v>
      </c>
      <c r="BE104">
        <f t="shared" si="136"/>
        <v>0</v>
      </c>
      <c r="BF104">
        <f t="shared" si="136"/>
        <v>0</v>
      </c>
      <c r="BG104">
        <f t="shared" si="136"/>
        <v>0</v>
      </c>
      <c r="BH104">
        <f t="shared" si="137"/>
        <v>0</v>
      </c>
      <c r="BI104">
        <f t="shared" si="137"/>
        <v>0</v>
      </c>
      <c r="BJ104">
        <f t="shared" si="137"/>
        <v>0</v>
      </c>
      <c r="BK104">
        <f t="shared" si="137"/>
        <v>0</v>
      </c>
      <c r="BL104">
        <f t="shared" si="137"/>
        <v>0</v>
      </c>
      <c r="BM104">
        <f t="shared" si="137"/>
        <v>0</v>
      </c>
      <c r="BN104">
        <f t="shared" si="137"/>
        <v>0</v>
      </c>
      <c r="BO104">
        <f t="shared" si="137"/>
        <v>0</v>
      </c>
      <c r="BP104">
        <f t="shared" si="137"/>
        <v>0</v>
      </c>
      <c r="BQ104">
        <f t="shared" si="137"/>
        <v>0</v>
      </c>
      <c r="BR104">
        <f t="shared" si="138"/>
        <v>0</v>
      </c>
      <c r="BS104">
        <f t="shared" si="138"/>
        <v>0</v>
      </c>
      <c r="BT104">
        <f t="shared" si="138"/>
        <v>0</v>
      </c>
      <c r="BU104">
        <f t="shared" si="138"/>
        <v>0</v>
      </c>
      <c r="BV104">
        <f t="shared" si="138"/>
        <v>0</v>
      </c>
      <c r="BW104">
        <f t="shared" si="138"/>
        <v>0</v>
      </c>
      <c r="BX104">
        <f t="shared" si="138"/>
        <v>0</v>
      </c>
      <c r="BY104">
        <f t="shared" si="138"/>
        <v>0</v>
      </c>
      <c r="BZ104">
        <f t="shared" si="138"/>
        <v>0</v>
      </c>
      <c r="CA104">
        <f t="shared" si="138"/>
        <v>0</v>
      </c>
      <c r="CB104">
        <f t="shared" si="139"/>
        <v>0</v>
      </c>
      <c r="CC104">
        <f t="shared" si="139"/>
        <v>0</v>
      </c>
      <c r="CD104">
        <f t="shared" si="139"/>
        <v>0</v>
      </c>
      <c r="CE104">
        <f t="shared" si="139"/>
        <v>0</v>
      </c>
      <c r="CF104">
        <f t="shared" si="139"/>
        <v>0</v>
      </c>
      <c r="CG104">
        <f t="shared" si="139"/>
        <v>0</v>
      </c>
      <c r="CH104">
        <f t="shared" si="139"/>
        <v>0</v>
      </c>
      <c r="CI104">
        <f t="shared" si="139"/>
        <v>0</v>
      </c>
      <c r="CJ104">
        <f t="shared" si="139"/>
        <v>0</v>
      </c>
      <c r="CK104">
        <f t="shared" si="139"/>
        <v>0</v>
      </c>
      <c r="CL104">
        <f t="shared" si="140"/>
        <v>0</v>
      </c>
      <c r="CM104">
        <f t="shared" si="140"/>
        <v>0</v>
      </c>
      <c r="CN104">
        <f t="shared" si="140"/>
        <v>0</v>
      </c>
      <c r="CO104">
        <f t="shared" si="140"/>
        <v>0</v>
      </c>
      <c r="CP104">
        <f t="shared" si="140"/>
        <v>0</v>
      </c>
      <c r="CQ104">
        <f t="shared" si="140"/>
        <v>0</v>
      </c>
      <c r="CR104">
        <f t="shared" si="140"/>
        <v>0</v>
      </c>
      <c r="CS104">
        <f t="shared" si="140"/>
        <v>0</v>
      </c>
      <c r="CT104">
        <f t="shared" si="140"/>
        <v>0</v>
      </c>
      <c r="CU104">
        <f t="shared" si="140"/>
        <v>0</v>
      </c>
      <c r="CV104">
        <f t="shared" si="141"/>
        <v>0</v>
      </c>
      <c r="CW104">
        <f t="shared" si="141"/>
        <v>0</v>
      </c>
      <c r="CX104">
        <f t="shared" si="141"/>
        <v>0</v>
      </c>
      <c r="CY104">
        <f t="shared" si="141"/>
        <v>0</v>
      </c>
      <c r="CZ104">
        <f t="shared" si="141"/>
        <v>0</v>
      </c>
      <c r="DA104">
        <f t="shared" si="141"/>
        <v>0</v>
      </c>
      <c r="DB104">
        <f t="shared" si="141"/>
        <v>0</v>
      </c>
      <c r="DC104">
        <f t="shared" si="141"/>
        <v>0</v>
      </c>
      <c r="DD104">
        <f t="shared" si="141"/>
        <v>0</v>
      </c>
      <c r="DE104">
        <f t="shared" si="141"/>
        <v>0</v>
      </c>
      <c r="DF104">
        <f t="shared" si="142"/>
        <v>0</v>
      </c>
      <c r="DG104">
        <f t="shared" si="142"/>
        <v>0</v>
      </c>
      <c r="DH104">
        <f t="shared" si="142"/>
        <v>0</v>
      </c>
      <c r="DI104">
        <f t="shared" si="142"/>
        <v>0</v>
      </c>
      <c r="DJ104">
        <f t="shared" si="142"/>
        <v>0</v>
      </c>
      <c r="DK104">
        <f t="shared" si="142"/>
        <v>0</v>
      </c>
      <c r="DL104">
        <f t="shared" si="142"/>
        <v>0</v>
      </c>
      <c r="DM104">
        <f t="shared" si="142"/>
        <v>0</v>
      </c>
      <c r="DN104">
        <f t="shared" si="142"/>
        <v>0</v>
      </c>
      <c r="DO104">
        <f t="shared" si="142"/>
        <v>0</v>
      </c>
      <c r="DP104">
        <f t="shared" si="143"/>
        <v>0</v>
      </c>
      <c r="DQ104">
        <f t="shared" si="143"/>
        <v>0</v>
      </c>
      <c r="DR104">
        <f t="shared" si="143"/>
        <v>0</v>
      </c>
      <c r="DS104">
        <f t="shared" si="143"/>
        <v>0</v>
      </c>
      <c r="DT104">
        <f t="shared" si="143"/>
        <v>0</v>
      </c>
      <c r="DU104">
        <f t="shared" si="143"/>
        <v>0</v>
      </c>
      <c r="DV104">
        <f t="shared" si="143"/>
        <v>0</v>
      </c>
      <c r="DW104">
        <f t="shared" si="143"/>
        <v>0</v>
      </c>
      <c r="DX104">
        <f t="shared" si="143"/>
        <v>0</v>
      </c>
      <c r="DY104">
        <f t="shared" si="143"/>
        <v>0</v>
      </c>
      <c r="DZ104">
        <f t="shared" si="144"/>
        <v>0</v>
      </c>
      <c r="EA104">
        <f t="shared" si="144"/>
        <v>0</v>
      </c>
      <c r="EB104">
        <f t="shared" si="144"/>
        <v>0</v>
      </c>
      <c r="EC104">
        <f t="shared" si="144"/>
        <v>0</v>
      </c>
      <c r="ED104">
        <f t="shared" si="144"/>
        <v>0</v>
      </c>
      <c r="EE104">
        <f t="shared" si="144"/>
        <v>0</v>
      </c>
      <c r="EF104">
        <f t="shared" si="144"/>
        <v>0</v>
      </c>
      <c r="EG104">
        <f t="shared" si="144"/>
        <v>0</v>
      </c>
      <c r="EH104">
        <f t="shared" si="144"/>
        <v>0</v>
      </c>
      <c r="EI104">
        <f t="shared" si="144"/>
        <v>0</v>
      </c>
      <c r="EJ104">
        <f>SUM(Tabla1[[#This Row],[1]:[130]])</f>
        <v>75</v>
      </c>
    </row>
    <row r="105" spans="1:140" ht="15" customHeight="1" x14ac:dyDescent="0.25">
      <c r="A105" t="str">
        <f>B105&amp;"-"&amp;COUNTIF($B$2:B105,B105)</f>
        <v>I. PAN FRICA-3</v>
      </c>
      <c r="B105" s="35" t="s">
        <v>28</v>
      </c>
      <c r="C105">
        <f>VLOOKUP(B105,RECETAS!D104:$E$1700,2,FALSE)</f>
        <v>20</v>
      </c>
      <c r="D105" s="34"/>
      <c r="G105" t="b">
        <f t="shared" si="92"/>
        <v>1</v>
      </c>
      <c r="I105" s="36" t="s">
        <v>89</v>
      </c>
      <c r="J105">
        <f t="shared" si="132"/>
        <v>100</v>
      </c>
      <c r="K105">
        <f t="shared" si="132"/>
        <v>75</v>
      </c>
      <c r="L105">
        <f t="shared" si="132"/>
        <v>1125</v>
      </c>
      <c r="M105">
        <f t="shared" si="132"/>
        <v>0</v>
      </c>
      <c r="N105">
        <f t="shared" si="132"/>
        <v>75</v>
      </c>
      <c r="O105">
        <f t="shared" si="132"/>
        <v>525</v>
      </c>
      <c r="P105">
        <f t="shared" si="132"/>
        <v>840</v>
      </c>
      <c r="Q105">
        <f t="shared" si="132"/>
        <v>60</v>
      </c>
      <c r="R105">
        <f t="shared" si="132"/>
        <v>0</v>
      </c>
      <c r="S105">
        <f t="shared" si="132"/>
        <v>0</v>
      </c>
      <c r="T105">
        <f t="shared" si="133"/>
        <v>0</v>
      </c>
      <c r="U105">
        <f t="shared" si="133"/>
        <v>0</v>
      </c>
      <c r="V105">
        <f t="shared" si="133"/>
        <v>0</v>
      </c>
      <c r="W105">
        <f t="shared" si="133"/>
        <v>0</v>
      </c>
      <c r="X105">
        <f t="shared" si="133"/>
        <v>0</v>
      </c>
      <c r="Y105">
        <f t="shared" si="133"/>
        <v>0</v>
      </c>
      <c r="Z105">
        <f t="shared" si="133"/>
        <v>0</v>
      </c>
      <c r="AA105">
        <f t="shared" si="133"/>
        <v>0</v>
      </c>
      <c r="AB105">
        <f t="shared" si="133"/>
        <v>0</v>
      </c>
      <c r="AC105">
        <f t="shared" si="133"/>
        <v>0</v>
      </c>
      <c r="AD105">
        <f t="shared" si="134"/>
        <v>0</v>
      </c>
      <c r="AE105">
        <f t="shared" si="134"/>
        <v>0</v>
      </c>
      <c r="AF105">
        <f t="shared" si="134"/>
        <v>0</v>
      </c>
      <c r="AG105">
        <f t="shared" si="134"/>
        <v>0</v>
      </c>
      <c r="AH105">
        <f t="shared" si="134"/>
        <v>0</v>
      </c>
      <c r="AI105">
        <f t="shared" si="134"/>
        <v>0</v>
      </c>
      <c r="AJ105">
        <f t="shared" si="134"/>
        <v>0</v>
      </c>
      <c r="AK105">
        <f t="shared" si="134"/>
        <v>0</v>
      </c>
      <c r="AL105">
        <f t="shared" si="134"/>
        <v>0</v>
      </c>
      <c r="AM105">
        <f t="shared" si="134"/>
        <v>0</v>
      </c>
      <c r="AN105">
        <f t="shared" si="135"/>
        <v>0</v>
      </c>
      <c r="AO105">
        <f t="shared" si="135"/>
        <v>0</v>
      </c>
      <c r="AP105">
        <f t="shared" si="135"/>
        <v>0</v>
      </c>
      <c r="AQ105">
        <f t="shared" si="135"/>
        <v>0</v>
      </c>
      <c r="AR105">
        <f t="shared" si="135"/>
        <v>0</v>
      </c>
      <c r="AS105">
        <f t="shared" si="135"/>
        <v>0</v>
      </c>
      <c r="AT105">
        <f t="shared" si="135"/>
        <v>0</v>
      </c>
      <c r="AU105">
        <f t="shared" si="135"/>
        <v>0</v>
      </c>
      <c r="AV105">
        <f t="shared" si="135"/>
        <v>0</v>
      </c>
      <c r="AW105">
        <f t="shared" si="135"/>
        <v>0</v>
      </c>
      <c r="AX105">
        <f t="shared" si="136"/>
        <v>0</v>
      </c>
      <c r="AY105">
        <f t="shared" si="136"/>
        <v>0</v>
      </c>
      <c r="AZ105">
        <f t="shared" si="136"/>
        <v>0</v>
      </c>
      <c r="BA105">
        <f t="shared" si="136"/>
        <v>0</v>
      </c>
      <c r="BB105">
        <f t="shared" si="136"/>
        <v>0</v>
      </c>
      <c r="BC105">
        <f t="shared" si="136"/>
        <v>0</v>
      </c>
      <c r="BD105">
        <f t="shared" si="136"/>
        <v>0</v>
      </c>
      <c r="BE105">
        <f t="shared" si="136"/>
        <v>0</v>
      </c>
      <c r="BF105">
        <f t="shared" si="136"/>
        <v>0</v>
      </c>
      <c r="BG105">
        <f t="shared" si="136"/>
        <v>0</v>
      </c>
      <c r="BH105">
        <f t="shared" si="137"/>
        <v>0</v>
      </c>
      <c r="BI105">
        <f t="shared" si="137"/>
        <v>0</v>
      </c>
      <c r="BJ105">
        <f t="shared" si="137"/>
        <v>0</v>
      </c>
      <c r="BK105">
        <f t="shared" si="137"/>
        <v>0</v>
      </c>
      <c r="BL105">
        <f t="shared" si="137"/>
        <v>0</v>
      </c>
      <c r="BM105">
        <f t="shared" si="137"/>
        <v>0</v>
      </c>
      <c r="BN105">
        <f t="shared" si="137"/>
        <v>0</v>
      </c>
      <c r="BO105">
        <f t="shared" si="137"/>
        <v>0</v>
      </c>
      <c r="BP105">
        <f t="shared" si="137"/>
        <v>0</v>
      </c>
      <c r="BQ105">
        <f t="shared" si="137"/>
        <v>0</v>
      </c>
      <c r="BR105">
        <f t="shared" si="138"/>
        <v>0</v>
      </c>
      <c r="BS105">
        <f t="shared" si="138"/>
        <v>0</v>
      </c>
      <c r="BT105">
        <f t="shared" si="138"/>
        <v>0</v>
      </c>
      <c r="BU105">
        <f t="shared" si="138"/>
        <v>0</v>
      </c>
      <c r="BV105">
        <f t="shared" si="138"/>
        <v>0</v>
      </c>
      <c r="BW105">
        <f t="shared" si="138"/>
        <v>0</v>
      </c>
      <c r="BX105">
        <f t="shared" si="138"/>
        <v>0</v>
      </c>
      <c r="BY105">
        <f t="shared" si="138"/>
        <v>0</v>
      </c>
      <c r="BZ105">
        <f t="shared" si="138"/>
        <v>0</v>
      </c>
      <c r="CA105">
        <f t="shared" si="138"/>
        <v>0</v>
      </c>
      <c r="CB105">
        <f t="shared" si="139"/>
        <v>0</v>
      </c>
      <c r="CC105">
        <f t="shared" si="139"/>
        <v>0</v>
      </c>
      <c r="CD105">
        <f t="shared" si="139"/>
        <v>0</v>
      </c>
      <c r="CE105">
        <f t="shared" si="139"/>
        <v>0</v>
      </c>
      <c r="CF105">
        <f t="shared" si="139"/>
        <v>0</v>
      </c>
      <c r="CG105">
        <f t="shared" si="139"/>
        <v>0</v>
      </c>
      <c r="CH105">
        <f t="shared" si="139"/>
        <v>0</v>
      </c>
      <c r="CI105">
        <f t="shared" si="139"/>
        <v>0</v>
      </c>
      <c r="CJ105">
        <f t="shared" si="139"/>
        <v>0</v>
      </c>
      <c r="CK105">
        <f t="shared" si="139"/>
        <v>0</v>
      </c>
      <c r="CL105">
        <f t="shared" si="140"/>
        <v>0</v>
      </c>
      <c r="CM105">
        <f t="shared" si="140"/>
        <v>0</v>
      </c>
      <c r="CN105">
        <f t="shared" si="140"/>
        <v>0</v>
      </c>
      <c r="CO105">
        <f t="shared" si="140"/>
        <v>0</v>
      </c>
      <c r="CP105">
        <f t="shared" si="140"/>
        <v>0</v>
      </c>
      <c r="CQ105">
        <f t="shared" si="140"/>
        <v>0</v>
      </c>
      <c r="CR105">
        <f t="shared" si="140"/>
        <v>0</v>
      </c>
      <c r="CS105">
        <f t="shared" si="140"/>
        <v>0</v>
      </c>
      <c r="CT105">
        <f t="shared" si="140"/>
        <v>0</v>
      </c>
      <c r="CU105">
        <f t="shared" si="140"/>
        <v>0</v>
      </c>
      <c r="CV105">
        <f t="shared" si="141"/>
        <v>0</v>
      </c>
      <c r="CW105">
        <f t="shared" si="141"/>
        <v>0</v>
      </c>
      <c r="CX105">
        <f t="shared" si="141"/>
        <v>0</v>
      </c>
      <c r="CY105">
        <f t="shared" si="141"/>
        <v>0</v>
      </c>
      <c r="CZ105">
        <f t="shared" si="141"/>
        <v>0</v>
      </c>
      <c r="DA105">
        <f t="shared" si="141"/>
        <v>0</v>
      </c>
      <c r="DB105">
        <f t="shared" si="141"/>
        <v>0</v>
      </c>
      <c r="DC105">
        <f t="shared" si="141"/>
        <v>0</v>
      </c>
      <c r="DD105">
        <f t="shared" si="141"/>
        <v>0</v>
      </c>
      <c r="DE105">
        <f t="shared" si="141"/>
        <v>0</v>
      </c>
      <c r="DF105">
        <f t="shared" si="142"/>
        <v>0</v>
      </c>
      <c r="DG105">
        <f t="shared" si="142"/>
        <v>0</v>
      </c>
      <c r="DH105">
        <f t="shared" si="142"/>
        <v>0</v>
      </c>
      <c r="DI105">
        <f t="shared" si="142"/>
        <v>0</v>
      </c>
      <c r="DJ105">
        <f t="shared" si="142"/>
        <v>0</v>
      </c>
      <c r="DK105">
        <f t="shared" si="142"/>
        <v>0</v>
      </c>
      <c r="DL105">
        <f t="shared" si="142"/>
        <v>0</v>
      </c>
      <c r="DM105">
        <f t="shared" si="142"/>
        <v>0</v>
      </c>
      <c r="DN105">
        <f t="shared" si="142"/>
        <v>0</v>
      </c>
      <c r="DO105">
        <f t="shared" si="142"/>
        <v>0</v>
      </c>
      <c r="DP105">
        <f t="shared" si="143"/>
        <v>0</v>
      </c>
      <c r="DQ105">
        <f t="shared" si="143"/>
        <v>0</v>
      </c>
      <c r="DR105">
        <f t="shared" si="143"/>
        <v>0</v>
      </c>
      <c r="DS105">
        <f t="shared" si="143"/>
        <v>0</v>
      </c>
      <c r="DT105">
        <f t="shared" si="143"/>
        <v>0</v>
      </c>
      <c r="DU105">
        <f t="shared" si="143"/>
        <v>0</v>
      </c>
      <c r="DV105">
        <f t="shared" si="143"/>
        <v>0</v>
      </c>
      <c r="DW105">
        <f t="shared" si="143"/>
        <v>0</v>
      </c>
      <c r="DX105">
        <f t="shared" si="143"/>
        <v>0</v>
      </c>
      <c r="DY105">
        <f t="shared" si="143"/>
        <v>0</v>
      </c>
      <c r="DZ105">
        <f t="shared" si="144"/>
        <v>0</v>
      </c>
      <c r="EA105">
        <f t="shared" si="144"/>
        <v>0</v>
      </c>
      <c r="EB105">
        <f t="shared" si="144"/>
        <v>0</v>
      </c>
      <c r="EC105">
        <f t="shared" si="144"/>
        <v>0</v>
      </c>
      <c r="ED105">
        <f t="shared" si="144"/>
        <v>0</v>
      </c>
      <c r="EE105">
        <f t="shared" si="144"/>
        <v>0</v>
      </c>
      <c r="EF105">
        <f t="shared" si="144"/>
        <v>0</v>
      </c>
      <c r="EG105">
        <f t="shared" si="144"/>
        <v>0</v>
      </c>
      <c r="EH105">
        <f t="shared" si="144"/>
        <v>0</v>
      </c>
      <c r="EI105">
        <f t="shared" si="144"/>
        <v>0</v>
      </c>
      <c r="EJ105">
        <f>SUM(Tabla1[[#This Row],[1]:[130]])</f>
        <v>2800</v>
      </c>
    </row>
    <row r="106" spans="1:140" ht="15" customHeight="1" x14ac:dyDescent="0.25">
      <c r="A106" t="str">
        <f>B106&amp;"-"&amp;COUNTIF($B$2:B106,B106)</f>
        <v>I. JAMON-1</v>
      </c>
      <c r="B106" s="35" t="s">
        <v>30</v>
      </c>
      <c r="C106">
        <f>VLOOKUP(B106,RECETAS!D105:$E$1700,2,FALSE)</f>
        <v>0</v>
      </c>
      <c r="D106" s="34"/>
      <c r="G106" t="b">
        <f t="shared" si="92"/>
        <v>1</v>
      </c>
      <c r="I106" s="36" t="s">
        <v>90</v>
      </c>
      <c r="J106">
        <f t="shared" si="132"/>
        <v>1800</v>
      </c>
      <c r="K106">
        <f t="shared" si="132"/>
        <v>1275</v>
      </c>
      <c r="L106">
        <f t="shared" si="132"/>
        <v>100</v>
      </c>
      <c r="M106">
        <f t="shared" si="132"/>
        <v>550</v>
      </c>
      <c r="N106">
        <f t="shared" si="132"/>
        <v>200</v>
      </c>
      <c r="O106">
        <f t="shared" si="132"/>
        <v>75</v>
      </c>
      <c r="P106">
        <f t="shared" si="132"/>
        <v>525</v>
      </c>
      <c r="Q106">
        <f t="shared" si="132"/>
        <v>1125</v>
      </c>
      <c r="R106">
        <f t="shared" si="132"/>
        <v>75</v>
      </c>
      <c r="S106">
        <f t="shared" si="132"/>
        <v>0</v>
      </c>
      <c r="T106">
        <f t="shared" si="133"/>
        <v>0</v>
      </c>
      <c r="U106">
        <f t="shared" si="133"/>
        <v>0</v>
      </c>
      <c r="V106">
        <f t="shared" si="133"/>
        <v>0</v>
      </c>
      <c r="W106">
        <f t="shared" si="133"/>
        <v>0</v>
      </c>
      <c r="X106">
        <f t="shared" si="133"/>
        <v>0</v>
      </c>
      <c r="Y106">
        <f t="shared" si="133"/>
        <v>0</v>
      </c>
      <c r="Z106">
        <f t="shared" si="133"/>
        <v>0</v>
      </c>
      <c r="AA106">
        <f t="shared" si="133"/>
        <v>0</v>
      </c>
      <c r="AB106">
        <f t="shared" si="133"/>
        <v>0</v>
      </c>
      <c r="AC106">
        <f t="shared" si="133"/>
        <v>0</v>
      </c>
      <c r="AD106">
        <f t="shared" si="134"/>
        <v>0</v>
      </c>
      <c r="AE106">
        <f t="shared" si="134"/>
        <v>0</v>
      </c>
      <c r="AF106">
        <f t="shared" si="134"/>
        <v>0</v>
      </c>
      <c r="AG106">
        <f t="shared" si="134"/>
        <v>0</v>
      </c>
      <c r="AH106">
        <f t="shared" si="134"/>
        <v>0</v>
      </c>
      <c r="AI106">
        <f t="shared" si="134"/>
        <v>0</v>
      </c>
      <c r="AJ106">
        <f t="shared" si="134"/>
        <v>0</v>
      </c>
      <c r="AK106">
        <f t="shared" si="134"/>
        <v>0</v>
      </c>
      <c r="AL106">
        <f t="shared" si="134"/>
        <v>0</v>
      </c>
      <c r="AM106">
        <f t="shared" si="134"/>
        <v>0</v>
      </c>
      <c r="AN106">
        <f t="shared" si="135"/>
        <v>0</v>
      </c>
      <c r="AO106">
        <f t="shared" si="135"/>
        <v>0</v>
      </c>
      <c r="AP106">
        <f t="shared" si="135"/>
        <v>0</v>
      </c>
      <c r="AQ106">
        <f t="shared" si="135"/>
        <v>0</v>
      </c>
      <c r="AR106">
        <f t="shared" si="135"/>
        <v>0</v>
      </c>
      <c r="AS106">
        <f t="shared" si="135"/>
        <v>0</v>
      </c>
      <c r="AT106">
        <f t="shared" si="135"/>
        <v>0</v>
      </c>
      <c r="AU106">
        <f t="shared" si="135"/>
        <v>0</v>
      </c>
      <c r="AV106">
        <f t="shared" si="135"/>
        <v>0</v>
      </c>
      <c r="AW106">
        <f t="shared" si="135"/>
        <v>0</v>
      </c>
      <c r="AX106">
        <f t="shared" si="136"/>
        <v>0</v>
      </c>
      <c r="AY106">
        <f t="shared" si="136"/>
        <v>0</v>
      </c>
      <c r="AZ106">
        <f t="shared" si="136"/>
        <v>0</v>
      </c>
      <c r="BA106">
        <f t="shared" si="136"/>
        <v>0</v>
      </c>
      <c r="BB106">
        <f t="shared" si="136"/>
        <v>0</v>
      </c>
      <c r="BC106">
        <f t="shared" si="136"/>
        <v>0</v>
      </c>
      <c r="BD106">
        <f t="shared" si="136"/>
        <v>0</v>
      </c>
      <c r="BE106">
        <f t="shared" si="136"/>
        <v>0</v>
      </c>
      <c r="BF106">
        <f t="shared" si="136"/>
        <v>0</v>
      </c>
      <c r="BG106">
        <f t="shared" si="136"/>
        <v>0</v>
      </c>
      <c r="BH106">
        <f t="shared" si="137"/>
        <v>0</v>
      </c>
      <c r="BI106">
        <f t="shared" si="137"/>
        <v>0</v>
      </c>
      <c r="BJ106">
        <f t="shared" si="137"/>
        <v>0</v>
      </c>
      <c r="BK106">
        <f t="shared" si="137"/>
        <v>0</v>
      </c>
      <c r="BL106">
        <f t="shared" si="137"/>
        <v>0</v>
      </c>
      <c r="BM106">
        <f t="shared" si="137"/>
        <v>0</v>
      </c>
      <c r="BN106">
        <f t="shared" si="137"/>
        <v>0</v>
      </c>
      <c r="BO106">
        <f t="shared" si="137"/>
        <v>0</v>
      </c>
      <c r="BP106">
        <f t="shared" si="137"/>
        <v>0</v>
      </c>
      <c r="BQ106">
        <f t="shared" si="137"/>
        <v>0</v>
      </c>
      <c r="BR106">
        <f t="shared" si="138"/>
        <v>0</v>
      </c>
      <c r="BS106">
        <f t="shared" si="138"/>
        <v>0</v>
      </c>
      <c r="BT106">
        <f t="shared" si="138"/>
        <v>0</v>
      </c>
      <c r="BU106">
        <f t="shared" si="138"/>
        <v>0</v>
      </c>
      <c r="BV106">
        <f t="shared" si="138"/>
        <v>0</v>
      </c>
      <c r="BW106">
        <f t="shared" si="138"/>
        <v>0</v>
      </c>
      <c r="BX106">
        <f t="shared" si="138"/>
        <v>0</v>
      </c>
      <c r="BY106">
        <f t="shared" si="138"/>
        <v>0</v>
      </c>
      <c r="BZ106">
        <f t="shared" si="138"/>
        <v>0</v>
      </c>
      <c r="CA106">
        <f t="shared" si="138"/>
        <v>0</v>
      </c>
      <c r="CB106">
        <f t="shared" si="139"/>
        <v>0</v>
      </c>
      <c r="CC106">
        <f t="shared" si="139"/>
        <v>0</v>
      </c>
      <c r="CD106">
        <f t="shared" si="139"/>
        <v>0</v>
      </c>
      <c r="CE106">
        <f t="shared" si="139"/>
        <v>0</v>
      </c>
      <c r="CF106">
        <f t="shared" si="139"/>
        <v>0</v>
      </c>
      <c r="CG106">
        <f t="shared" si="139"/>
        <v>0</v>
      </c>
      <c r="CH106">
        <f t="shared" si="139"/>
        <v>0</v>
      </c>
      <c r="CI106">
        <f t="shared" si="139"/>
        <v>0</v>
      </c>
      <c r="CJ106">
        <f t="shared" si="139"/>
        <v>0</v>
      </c>
      <c r="CK106">
        <f t="shared" si="139"/>
        <v>0</v>
      </c>
      <c r="CL106">
        <f t="shared" si="140"/>
        <v>0</v>
      </c>
      <c r="CM106">
        <f t="shared" si="140"/>
        <v>0</v>
      </c>
      <c r="CN106">
        <f t="shared" si="140"/>
        <v>0</v>
      </c>
      <c r="CO106">
        <f t="shared" si="140"/>
        <v>0</v>
      </c>
      <c r="CP106">
        <f t="shared" si="140"/>
        <v>0</v>
      </c>
      <c r="CQ106">
        <f t="shared" si="140"/>
        <v>0</v>
      </c>
      <c r="CR106">
        <f t="shared" si="140"/>
        <v>0</v>
      </c>
      <c r="CS106">
        <f t="shared" si="140"/>
        <v>0</v>
      </c>
      <c r="CT106">
        <f t="shared" si="140"/>
        <v>0</v>
      </c>
      <c r="CU106">
        <f t="shared" si="140"/>
        <v>0</v>
      </c>
      <c r="CV106">
        <f t="shared" si="141"/>
        <v>0</v>
      </c>
      <c r="CW106">
        <f t="shared" si="141"/>
        <v>0</v>
      </c>
      <c r="CX106">
        <f t="shared" si="141"/>
        <v>0</v>
      </c>
      <c r="CY106">
        <f t="shared" si="141"/>
        <v>0</v>
      </c>
      <c r="CZ106">
        <f t="shared" si="141"/>
        <v>0</v>
      </c>
      <c r="DA106">
        <f t="shared" si="141"/>
        <v>0</v>
      </c>
      <c r="DB106">
        <f t="shared" si="141"/>
        <v>0</v>
      </c>
      <c r="DC106">
        <f t="shared" si="141"/>
        <v>0</v>
      </c>
      <c r="DD106">
        <f t="shared" si="141"/>
        <v>0</v>
      </c>
      <c r="DE106">
        <f t="shared" si="141"/>
        <v>0</v>
      </c>
      <c r="DF106">
        <f t="shared" si="142"/>
        <v>0</v>
      </c>
      <c r="DG106">
        <f t="shared" si="142"/>
        <v>0</v>
      </c>
      <c r="DH106">
        <f t="shared" si="142"/>
        <v>0</v>
      </c>
      <c r="DI106">
        <f t="shared" si="142"/>
        <v>0</v>
      </c>
      <c r="DJ106">
        <f t="shared" si="142"/>
        <v>0</v>
      </c>
      <c r="DK106">
        <f t="shared" si="142"/>
        <v>0</v>
      </c>
      <c r="DL106">
        <f t="shared" si="142"/>
        <v>0</v>
      </c>
      <c r="DM106">
        <f t="shared" si="142"/>
        <v>0</v>
      </c>
      <c r="DN106">
        <f t="shared" si="142"/>
        <v>0</v>
      </c>
      <c r="DO106">
        <f t="shared" si="142"/>
        <v>0</v>
      </c>
      <c r="DP106">
        <f t="shared" si="143"/>
        <v>0</v>
      </c>
      <c r="DQ106">
        <f t="shared" si="143"/>
        <v>0</v>
      </c>
      <c r="DR106">
        <f t="shared" si="143"/>
        <v>0</v>
      </c>
      <c r="DS106">
        <f t="shared" si="143"/>
        <v>0</v>
      </c>
      <c r="DT106">
        <f t="shared" si="143"/>
        <v>0</v>
      </c>
      <c r="DU106">
        <f t="shared" si="143"/>
        <v>0</v>
      </c>
      <c r="DV106">
        <f t="shared" si="143"/>
        <v>0</v>
      </c>
      <c r="DW106">
        <f t="shared" si="143"/>
        <v>0</v>
      </c>
      <c r="DX106">
        <f t="shared" si="143"/>
        <v>0</v>
      </c>
      <c r="DY106">
        <f t="shared" si="143"/>
        <v>0</v>
      </c>
      <c r="DZ106">
        <f t="shared" si="144"/>
        <v>0</v>
      </c>
      <c r="EA106">
        <f t="shared" si="144"/>
        <v>0</v>
      </c>
      <c r="EB106">
        <f t="shared" si="144"/>
        <v>0</v>
      </c>
      <c r="EC106">
        <f t="shared" si="144"/>
        <v>0</v>
      </c>
      <c r="ED106">
        <f t="shared" si="144"/>
        <v>0</v>
      </c>
      <c r="EE106">
        <f t="shared" si="144"/>
        <v>0</v>
      </c>
      <c r="EF106">
        <f t="shared" si="144"/>
        <v>0</v>
      </c>
      <c r="EG106">
        <f t="shared" si="144"/>
        <v>0</v>
      </c>
      <c r="EH106">
        <f t="shared" si="144"/>
        <v>0</v>
      </c>
      <c r="EI106">
        <f t="shared" si="144"/>
        <v>0</v>
      </c>
      <c r="EJ106">
        <f>SUM(Tabla1[[#This Row],[1]:[130]])</f>
        <v>5725</v>
      </c>
    </row>
    <row r="107" spans="1:140" ht="15" customHeight="1" x14ac:dyDescent="0.25">
      <c r="A107" t="str">
        <f>B107&amp;"-"&amp;COUNTIF($B$2:B107,B107)</f>
        <v>I. LECHUGA COSTINA-1</v>
      </c>
      <c r="B107" s="35" t="s">
        <v>573</v>
      </c>
      <c r="C107">
        <f>VLOOKUP(B107,RECETAS!D106:$E$1700,2,FALSE)</f>
        <v>400</v>
      </c>
      <c r="D107" s="34"/>
      <c r="G107" t="b">
        <f t="shared" si="92"/>
        <v>1</v>
      </c>
      <c r="I107" s="36" t="s">
        <v>91</v>
      </c>
      <c r="J107">
        <f t="shared" si="132"/>
        <v>105</v>
      </c>
      <c r="K107">
        <f t="shared" si="132"/>
        <v>0</v>
      </c>
      <c r="L107">
        <f t="shared" si="132"/>
        <v>0</v>
      </c>
      <c r="M107">
        <f t="shared" si="132"/>
        <v>0</v>
      </c>
      <c r="N107">
        <f t="shared" si="132"/>
        <v>0</v>
      </c>
      <c r="O107">
        <f t="shared" si="132"/>
        <v>0</v>
      </c>
      <c r="P107">
        <f t="shared" si="132"/>
        <v>0</v>
      </c>
      <c r="Q107">
        <f t="shared" si="132"/>
        <v>0</v>
      </c>
      <c r="R107">
        <f t="shared" si="132"/>
        <v>0</v>
      </c>
      <c r="S107">
        <f t="shared" si="132"/>
        <v>0</v>
      </c>
      <c r="T107">
        <f t="shared" si="133"/>
        <v>0</v>
      </c>
      <c r="U107">
        <f t="shared" si="133"/>
        <v>0</v>
      </c>
      <c r="V107">
        <f t="shared" si="133"/>
        <v>0</v>
      </c>
      <c r="W107">
        <f t="shared" si="133"/>
        <v>0</v>
      </c>
      <c r="X107">
        <f t="shared" si="133"/>
        <v>0</v>
      </c>
      <c r="Y107">
        <f t="shared" si="133"/>
        <v>0</v>
      </c>
      <c r="Z107">
        <f t="shared" si="133"/>
        <v>0</v>
      </c>
      <c r="AA107">
        <f t="shared" si="133"/>
        <v>0</v>
      </c>
      <c r="AB107">
        <f t="shared" si="133"/>
        <v>0</v>
      </c>
      <c r="AC107">
        <f t="shared" si="133"/>
        <v>0</v>
      </c>
      <c r="AD107">
        <f t="shared" si="134"/>
        <v>0</v>
      </c>
      <c r="AE107">
        <f t="shared" si="134"/>
        <v>0</v>
      </c>
      <c r="AF107">
        <f t="shared" si="134"/>
        <v>0</v>
      </c>
      <c r="AG107">
        <f t="shared" si="134"/>
        <v>0</v>
      </c>
      <c r="AH107">
        <f t="shared" si="134"/>
        <v>0</v>
      </c>
      <c r="AI107">
        <f t="shared" si="134"/>
        <v>0</v>
      </c>
      <c r="AJ107">
        <f t="shared" si="134"/>
        <v>0</v>
      </c>
      <c r="AK107">
        <f t="shared" si="134"/>
        <v>0</v>
      </c>
      <c r="AL107">
        <f t="shared" si="134"/>
        <v>0</v>
      </c>
      <c r="AM107">
        <f t="shared" si="134"/>
        <v>0</v>
      </c>
      <c r="AN107">
        <f t="shared" si="135"/>
        <v>0</v>
      </c>
      <c r="AO107">
        <f t="shared" si="135"/>
        <v>0</v>
      </c>
      <c r="AP107">
        <f t="shared" si="135"/>
        <v>0</v>
      </c>
      <c r="AQ107">
        <f t="shared" si="135"/>
        <v>0</v>
      </c>
      <c r="AR107">
        <f t="shared" si="135"/>
        <v>0</v>
      </c>
      <c r="AS107">
        <f t="shared" si="135"/>
        <v>0</v>
      </c>
      <c r="AT107">
        <f t="shared" si="135"/>
        <v>0</v>
      </c>
      <c r="AU107">
        <f t="shared" si="135"/>
        <v>0</v>
      </c>
      <c r="AV107">
        <f t="shared" si="135"/>
        <v>0</v>
      </c>
      <c r="AW107">
        <f t="shared" si="135"/>
        <v>0</v>
      </c>
      <c r="AX107">
        <f t="shared" si="136"/>
        <v>0</v>
      </c>
      <c r="AY107">
        <f t="shared" si="136"/>
        <v>0</v>
      </c>
      <c r="AZ107">
        <f t="shared" si="136"/>
        <v>0</v>
      </c>
      <c r="BA107">
        <f t="shared" si="136"/>
        <v>0</v>
      </c>
      <c r="BB107">
        <f t="shared" si="136"/>
        <v>0</v>
      </c>
      <c r="BC107">
        <f t="shared" si="136"/>
        <v>0</v>
      </c>
      <c r="BD107">
        <f t="shared" si="136"/>
        <v>0</v>
      </c>
      <c r="BE107">
        <f t="shared" si="136"/>
        <v>0</v>
      </c>
      <c r="BF107">
        <f t="shared" si="136"/>
        <v>0</v>
      </c>
      <c r="BG107">
        <f t="shared" si="136"/>
        <v>0</v>
      </c>
      <c r="BH107">
        <f t="shared" si="137"/>
        <v>0</v>
      </c>
      <c r="BI107">
        <f t="shared" si="137"/>
        <v>0</v>
      </c>
      <c r="BJ107">
        <f t="shared" si="137"/>
        <v>0</v>
      </c>
      <c r="BK107">
        <f t="shared" si="137"/>
        <v>0</v>
      </c>
      <c r="BL107">
        <f t="shared" si="137"/>
        <v>0</v>
      </c>
      <c r="BM107">
        <f t="shared" si="137"/>
        <v>0</v>
      </c>
      <c r="BN107">
        <f t="shared" si="137"/>
        <v>0</v>
      </c>
      <c r="BO107">
        <f t="shared" si="137"/>
        <v>0</v>
      </c>
      <c r="BP107">
        <f t="shared" si="137"/>
        <v>0</v>
      </c>
      <c r="BQ107">
        <f t="shared" si="137"/>
        <v>0</v>
      </c>
      <c r="BR107">
        <f t="shared" si="138"/>
        <v>0</v>
      </c>
      <c r="BS107">
        <f t="shared" si="138"/>
        <v>0</v>
      </c>
      <c r="BT107">
        <f t="shared" si="138"/>
        <v>0</v>
      </c>
      <c r="BU107">
        <f t="shared" si="138"/>
        <v>0</v>
      </c>
      <c r="BV107">
        <f t="shared" si="138"/>
        <v>0</v>
      </c>
      <c r="BW107">
        <f t="shared" si="138"/>
        <v>0</v>
      </c>
      <c r="BX107">
        <f t="shared" si="138"/>
        <v>0</v>
      </c>
      <c r="BY107">
        <f t="shared" si="138"/>
        <v>0</v>
      </c>
      <c r="BZ107">
        <f t="shared" si="138"/>
        <v>0</v>
      </c>
      <c r="CA107">
        <f t="shared" si="138"/>
        <v>0</v>
      </c>
      <c r="CB107">
        <f t="shared" si="139"/>
        <v>0</v>
      </c>
      <c r="CC107">
        <f t="shared" si="139"/>
        <v>0</v>
      </c>
      <c r="CD107">
        <f t="shared" si="139"/>
        <v>0</v>
      </c>
      <c r="CE107">
        <f t="shared" si="139"/>
        <v>0</v>
      </c>
      <c r="CF107">
        <f t="shared" si="139"/>
        <v>0</v>
      </c>
      <c r="CG107">
        <f t="shared" si="139"/>
        <v>0</v>
      </c>
      <c r="CH107">
        <f t="shared" si="139"/>
        <v>0</v>
      </c>
      <c r="CI107">
        <f t="shared" si="139"/>
        <v>0</v>
      </c>
      <c r="CJ107">
        <f t="shared" si="139"/>
        <v>0</v>
      </c>
      <c r="CK107">
        <f t="shared" si="139"/>
        <v>0</v>
      </c>
      <c r="CL107">
        <f t="shared" si="140"/>
        <v>0</v>
      </c>
      <c r="CM107">
        <f t="shared" si="140"/>
        <v>0</v>
      </c>
      <c r="CN107">
        <f t="shared" si="140"/>
        <v>0</v>
      </c>
      <c r="CO107">
        <f t="shared" si="140"/>
        <v>0</v>
      </c>
      <c r="CP107">
        <f t="shared" si="140"/>
        <v>0</v>
      </c>
      <c r="CQ107">
        <f t="shared" si="140"/>
        <v>0</v>
      </c>
      <c r="CR107">
        <f t="shared" si="140"/>
        <v>0</v>
      </c>
      <c r="CS107">
        <f t="shared" si="140"/>
        <v>0</v>
      </c>
      <c r="CT107">
        <f t="shared" si="140"/>
        <v>0</v>
      </c>
      <c r="CU107">
        <f t="shared" si="140"/>
        <v>0</v>
      </c>
      <c r="CV107">
        <f t="shared" si="141"/>
        <v>0</v>
      </c>
      <c r="CW107">
        <f t="shared" si="141"/>
        <v>0</v>
      </c>
      <c r="CX107">
        <f t="shared" si="141"/>
        <v>0</v>
      </c>
      <c r="CY107">
        <f t="shared" si="141"/>
        <v>0</v>
      </c>
      <c r="CZ107">
        <f t="shared" si="141"/>
        <v>0</v>
      </c>
      <c r="DA107">
        <f t="shared" si="141"/>
        <v>0</v>
      </c>
      <c r="DB107">
        <f t="shared" si="141"/>
        <v>0</v>
      </c>
      <c r="DC107">
        <f t="shared" si="141"/>
        <v>0</v>
      </c>
      <c r="DD107">
        <f t="shared" si="141"/>
        <v>0</v>
      </c>
      <c r="DE107">
        <f t="shared" si="141"/>
        <v>0</v>
      </c>
      <c r="DF107">
        <f t="shared" si="142"/>
        <v>0</v>
      </c>
      <c r="DG107">
        <f t="shared" si="142"/>
        <v>0</v>
      </c>
      <c r="DH107">
        <f t="shared" si="142"/>
        <v>0</v>
      </c>
      <c r="DI107">
        <f t="shared" si="142"/>
        <v>0</v>
      </c>
      <c r="DJ107">
        <f t="shared" si="142"/>
        <v>0</v>
      </c>
      <c r="DK107">
        <f t="shared" si="142"/>
        <v>0</v>
      </c>
      <c r="DL107">
        <f t="shared" si="142"/>
        <v>0</v>
      </c>
      <c r="DM107">
        <f t="shared" si="142"/>
        <v>0</v>
      </c>
      <c r="DN107">
        <f t="shared" si="142"/>
        <v>0</v>
      </c>
      <c r="DO107">
        <f t="shared" si="142"/>
        <v>0</v>
      </c>
      <c r="DP107">
        <f t="shared" si="143"/>
        <v>0</v>
      </c>
      <c r="DQ107">
        <f t="shared" si="143"/>
        <v>0</v>
      </c>
      <c r="DR107">
        <f t="shared" si="143"/>
        <v>0</v>
      </c>
      <c r="DS107">
        <f t="shared" si="143"/>
        <v>0</v>
      </c>
      <c r="DT107">
        <f t="shared" si="143"/>
        <v>0</v>
      </c>
      <c r="DU107">
        <f t="shared" si="143"/>
        <v>0</v>
      </c>
      <c r="DV107">
        <f t="shared" si="143"/>
        <v>0</v>
      </c>
      <c r="DW107">
        <f t="shared" si="143"/>
        <v>0</v>
      </c>
      <c r="DX107">
        <f t="shared" si="143"/>
        <v>0</v>
      </c>
      <c r="DY107">
        <f t="shared" si="143"/>
        <v>0</v>
      </c>
      <c r="DZ107">
        <f t="shared" si="144"/>
        <v>0</v>
      </c>
      <c r="EA107">
        <f t="shared" si="144"/>
        <v>0</v>
      </c>
      <c r="EB107">
        <f t="shared" si="144"/>
        <v>0</v>
      </c>
      <c r="EC107">
        <f t="shared" si="144"/>
        <v>0</v>
      </c>
      <c r="ED107">
        <f t="shared" si="144"/>
        <v>0</v>
      </c>
      <c r="EE107">
        <f t="shared" si="144"/>
        <v>0</v>
      </c>
      <c r="EF107">
        <f t="shared" si="144"/>
        <v>0</v>
      </c>
      <c r="EG107">
        <f t="shared" si="144"/>
        <v>0</v>
      </c>
      <c r="EH107">
        <f t="shared" si="144"/>
        <v>0</v>
      </c>
      <c r="EI107">
        <f t="shared" si="144"/>
        <v>0</v>
      </c>
      <c r="EJ107">
        <f>SUM(Tabla1[[#This Row],[1]:[130]])</f>
        <v>105</v>
      </c>
    </row>
    <row r="108" spans="1:140" ht="15" customHeight="1" x14ac:dyDescent="0.25">
      <c r="A108" t="str">
        <f>B108&amp;"-"&amp;COUNTIF($B$2:B108,B108)</f>
        <v>I. TOMATE-3</v>
      </c>
      <c r="B108" s="35" t="s">
        <v>34</v>
      </c>
      <c r="C108">
        <f>VLOOKUP(B108,RECETAS!D107:$E$1700,2,FALSE)</f>
        <v>4</v>
      </c>
      <c r="D108" s="34"/>
      <c r="G108" t="b">
        <f t="shared" si="92"/>
        <v>1</v>
      </c>
      <c r="I108" s="171" t="s">
        <v>680</v>
      </c>
      <c r="J108">
        <f t="shared" si="132"/>
        <v>0</v>
      </c>
      <c r="K108">
        <f t="shared" si="132"/>
        <v>0</v>
      </c>
      <c r="L108">
        <f t="shared" si="132"/>
        <v>0</v>
      </c>
      <c r="M108">
        <f t="shared" si="132"/>
        <v>0</v>
      </c>
      <c r="N108">
        <f t="shared" si="132"/>
        <v>0</v>
      </c>
      <c r="O108">
        <f t="shared" si="132"/>
        <v>0</v>
      </c>
      <c r="P108">
        <f t="shared" si="132"/>
        <v>0</v>
      </c>
      <c r="Q108">
        <f t="shared" si="132"/>
        <v>0</v>
      </c>
      <c r="R108">
        <f t="shared" si="132"/>
        <v>0</v>
      </c>
      <c r="S108">
        <f t="shared" si="132"/>
        <v>0</v>
      </c>
      <c r="T108">
        <f t="shared" si="133"/>
        <v>0</v>
      </c>
      <c r="U108">
        <f t="shared" si="133"/>
        <v>0</v>
      </c>
      <c r="V108">
        <f t="shared" si="133"/>
        <v>0</v>
      </c>
      <c r="W108">
        <f t="shared" si="133"/>
        <v>0</v>
      </c>
      <c r="X108">
        <f t="shared" si="133"/>
        <v>0</v>
      </c>
      <c r="Y108">
        <f t="shared" si="133"/>
        <v>0</v>
      </c>
      <c r="Z108">
        <f t="shared" si="133"/>
        <v>0</v>
      </c>
      <c r="AA108">
        <f t="shared" si="133"/>
        <v>0</v>
      </c>
      <c r="AB108">
        <f t="shared" si="133"/>
        <v>0</v>
      </c>
      <c r="AC108">
        <f t="shared" si="133"/>
        <v>0</v>
      </c>
      <c r="AD108">
        <f t="shared" si="134"/>
        <v>0</v>
      </c>
      <c r="AE108">
        <f t="shared" si="134"/>
        <v>0</v>
      </c>
      <c r="AF108">
        <f t="shared" si="134"/>
        <v>0</v>
      </c>
      <c r="AG108">
        <f t="shared" si="134"/>
        <v>0</v>
      </c>
      <c r="AH108">
        <f t="shared" si="134"/>
        <v>0</v>
      </c>
      <c r="AI108">
        <f t="shared" si="134"/>
        <v>0</v>
      </c>
      <c r="AJ108">
        <f t="shared" si="134"/>
        <v>0</v>
      </c>
      <c r="AK108">
        <f t="shared" si="134"/>
        <v>0</v>
      </c>
      <c r="AL108">
        <f t="shared" si="134"/>
        <v>0</v>
      </c>
      <c r="AM108">
        <f t="shared" si="134"/>
        <v>0</v>
      </c>
      <c r="AN108">
        <f t="shared" si="135"/>
        <v>0</v>
      </c>
      <c r="AO108">
        <f t="shared" si="135"/>
        <v>0</v>
      </c>
      <c r="AP108">
        <f t="shared" si="135"/>
        <v>0</v>
      </c>
      <c r="AQ108">
        <f t="shared" si="135"/>
        <v>0</v>
      </c>
      <c r="AR108">
        <f t="shared" si="135"/>
        <v>0</v>
      </c>
      <c r="AS108">
        <f t="shared" si="135"/>
        <v>0</v>
      </c>
      <c r="AT108">
        <f t="shared" si="135"/>
        <v>0</v>
      </c>
      <c r="AU108">
        <f t="shared" si="135"/>
        <v>0</v>
      </c>
      <c r="AV108">
        <f t="shared" si="135"/>
        <v>0</v>
      </c>
      <c r="AW108">
        <f t="shared" si="135"/>
        <v>0</v>
      </c>
      <c r="AX108">
        <f t="shared" si="136"/>
        <v>0</v>
      </c>
      <c r="AY108">
        <f t="shared" si="136"/>
        <v>0</v>
      </c>
      <c r="AZ108">
        <f t="shared" si="136"/>
        <v>0</v>
      </c>
      <c r="BA108">
        <f t="shared" si="136"/>
        <v>0</v>
      </c>
      <c r="BB108">
        <f t="shared" si="136"/>
        <v>0</v>
      </c>
      <c r="BC108">
        <f t="shared" si="136"/>
        <v>0</v>
      </c>
      <c r="BD108">
        <f t="shared" si="136"/>
        <v>0</v>
      </c>
      <c r="BE108">
        <f t="shared" si="136"/>
        <v>0</v>
      </c>
      <c r="BF108">
        <f t="shared" si="136"/>
        <v>0</v>
      </c>
      <c r="BG108">
        <f t="shared" si="136"/>
        <v>0</v>
      </c>
      <c r="BH108">
        <f t="shared" si="137"/>
        <v>0</v>
      </c>
      <c r="BI108">
        <f t="shared" si="137"/>
        <v>0</v>
      </c>
      <c r="BJ108">
        <f t="shared" si="137"/>
        <v>0</v>
      </c>
      <c r="BK108">
        <f t="shared" si="137"/>
        <v>0</v>
      </c>
      <c r="BL108">
        <f t="shared" si="137"/>
        <v>0</v>
      </c>
      <c r="BM108">
        <f t="shared" si="137"/>
        <v>0</v>
      </c>
      <c r="BN108">
        <f t="shared" si="137"/>
        <v>0</v>
      </c>
      <c r="BO108">
        <f t="shared" si="137"/>
        <v>0</v>
      </c>
      <c r="BP108">
        <f t="shared" si="137"/>
        <v>0</v>
      </c>
      <c r="BQ108">
        <f t="shared" si="137"/>
        <v>0</v>
      </c>
      <c r="BR108">
        <f t="shared" si="138"/>
        <v>0</v>
      </c>
      <c r="BS108">
        <f t="shared" si="138"/>
        <v>0</v>
      </c>
      <c r="BT108">
        <f t="shared" si="138"/>
        <v>0</v>
      </c>
      <c r="BU108">
        <f t="shared" si="138"/>
        <v>0</v>
      </c>
      <c r="BV108">
        <f t="shared" si="138"/>
        <v>0</v>
      </c>
      <c r="BW108">
        <f t="shared" si="138"/>
        <v>0</v>
      </c>
      <c r="BX108">
        <f t="shared" si="138"/>
        <v>0</v>
      </c>
      <c r="BY108">
        <f t="shared" si="138"/>
        <v>0</v>
      </c>
      <c r="BZ108">
        <f t="shared" si="138"/>
        <v>0</v>
      </c>
      <c r="CA108">
        <f t="shared" si="138"/>
        <v>0</v>
      </c>
      <c r="CB108">
        <f t="shared" si="139"/>
        <v>0</v>
      </c>
      <c r="CC108">
        <f t="shared" si="139"/>
        <v>0</v>
      </c>
      <c r="CD108">
        <f t="shared" si="139"/>
        <v>0</v>
      </c>
      <c r="CE108">
        <f t="shared" si="139"/>
        <v>0</v>
      </c>
      <c r="CF108">
        <f t="shared" si="139"/>
        <v>0</v>
      </c>
      <c r="CG108">
        <f t="shared" si="139"/>
        <v>0</v>
      </c>
      <c r="CH108">
        <f t="shared" si="139"/>
        <v>0</v>
      </c>
      <c r="CI108">
        <f t="shared" si="139"/>
        <v>0</v>
      </c>
      <c r="CJ108">
        <f t="shared" si="139"/>
        <v>0</v>
      </c>
      <c r="CK108">
        <f t="shared" si="139"/>
        <v>0</v>
      </c>
      <c r="CL108">
        <f t="shared" si="140"/>
        <v>0</v>
      </c>
      <c r="CM108">
        <f t="shared" si="140"/>
        <v>0</v>
      </c>
      <c r="CN108">
        <f t="shared" si="140"/>
        <v>0</v>
      </c>
      <c r="CO108">
        <f t="shared" si="140"/>
        <v>0</v>
      </c>
      <c r="CP108">
        <f t="shared" si="140"/>
        <v>0</v>
      </c>
      <c r="CQ108">
        <f t="shared" si="140"/>
        <v>0</v>
      </c>
      <c r="CR108">
        <f t="shared" si="140"/>
        <v>0</v>
      </c>
      <c r="CS108">
        <f t="shared" si="140"/>
        <v>0</v>
      </c>
      <c r="CT108">
        <f t="shared" si="140"/>
        <v>0</v>
      </c>
      <c r="CU108">
        <f t="shared" si="140"/>
        <v>0</v>
      </c>
      <c r="CV108">
        <f t="shared" si="141"/>
        <v>0</v>
      </c>
      <c r="CW108">
        <f t="shared" si="141"/>
        <v>0</v>
      </c>
      <c r="CX108">
        <f t="shared" si="141"/>
        <v>0</v>
      </c>
      <c r="CY108">
        <f t="shared" si="141"/>
        <v>0</v>
      </c>
      <c r="CZ108">
        <f t="shared" si="141"/>
        <v>0</v>
      </c>
      <c r="DA108">
        <f t="shared" si="141"/>
        <v>0</v>
      </c>
      <c r="DB108">
        <f t="shared" si="141"/>
        <v>0</v>
      </c>
      <c r="DC108">
        <f t="shared" si="141"/>
        <v>0</v>
      </c>
      <c r="DD108">
        <f t="shared" si="141"/>
        <v>0</v>
      </c>
      <c r="DE108">
        <f t="shared" si="141"/>
        <v>0</v>
      </c>
      <c r="DF108">
        <f t="shared" si="142"/>
        <v>0</v>
      </c>
      <c r="DG108">
        <f t="shared" si="142"/>
        <v>0</v>
      </c>
      <c r="DH108">
        <f t="shared" si="142"/>
        <v>0</v>
      </c>
      <c r="DI108">
        <f t="shared" si="142"/>
        <v>0</v>
      </c>
      <c r="DJ108">
        <f t="shared" si="142"/>
        <v>0</v>
      </c>
      <c r="DK108">
        <f t="shared" si="142"/>
        <v>0</v>
      </c>
      <c r="DL108">
        <f t="shared" si="142"/>
        <v>0</v>
      </c>
      <c r="DM108">
        <f t="shared" si="142"/>
        <v>0</v>
      </c>
      <c r="DN108">
        <f t="shared" si="142"/>
        <v>0</v>
      </c>
      <c r="DO108">
        <f t="shared" si="142"/>
        <v>0</v>
      </c>
      <c r="DP108">
        <f t="shared" si="143"/>
        <v>0</v>
      </c>
      <c r="DQ108">
        <f t="shared" si="143"/>
        <v>0</v>
      </c>
      <c r="DR108">
        <f t="shared" si="143"/>
        <v>0</v>
      </c>
      <c r="DS108">
        <f t="shared" si="143"/>
        <v>0</v>
      </c>
      <c r="DT108">
        <f t="shared" si="143"/>
        <v>0</v>
      </c>
      <c r="DU108">
        <f t="shared" si="143"/>
        <v>0</v>
      </c>
      <c r="DV108">
        <f t="shared" si="143"/>
        <v>0</v>
      </c>
      <c r="DW108">
        <f t="shared" si="143"/>
        <v>0</v>
      </c>
      <c r="DX108">
        <f t="shared" si="143"/>
        <v>0</v>
      </c>
      <c r="DY108">
        <f t="shared" si="143"/>
        <v>0</v>
      </c>
      <c r="DZ108">
        <f t="shared" si="144"/>
        <v>0</v>
      </c>
      <c r="EA108">
        <f t="shared" si="144"/>
        <v>0</v>
      </c>
      <c r="EB108">
        <f t="shared" si="144"/>
        <v>0</v>
      </c>
      <c r="EC108">
        <f t="shared" si="144"/>
        <v>0</v>
      </c>
      <c r="ED108">
        <f t="shared" si="144"/>
        <v>0</v>
      </c>
      <c r="EE108">
        <f t="shared" si="144"/>
        <v>0</v>
      </c>
      <c r="EF108">
        <f t="shared" si="144"/>
        <v>0</v>
      </c>
      <c r="EG108">
        <f t="shared" si="144"/>
        <v>0</v>
      </c>
      <c r="EH108">
        <f t="shared" si="144"/>
        <v>0</v>
      </c>
      <c r="EI108">
        <f t="shared" si="144"/>
        <v>0</v>
      </c>
      <c r="EJ108">
        <f>SUM(Tabla1[[#This Row],[1]:[130]])</f>
        <v>0</v>
      </c>
    </row>
    <row r="109" spans="1:140" ht="15.75" customHeight="1" thickBot="1" x14ac:dyDescent="0.3">
      <c r="A109" t="str">
        <f>B109&amp;"-"&amp;COUNTIF($B$2:B109,B109)</f>
        <v>I. PAPAS FRITAS-11</v>
      </c>
      <c r="B109" s="33" t="s">
        <v>13</v>
      </c>
      <c r="C109">
        <f>VLOOKUP(B109,RECETAS!D108:$E$1700,2,FALSE)</f>
        <v>2400</v>
      </c>
      <c r="D109" s="32"/>
      <c r="G109" t="b">
        <f t="shared" si="92"/>
        <v>1</v>
      </c>
      <c r="I109" s="33" t="s">
        <v>573</v>
      </c>
      <c r="J109">
        <f t="shared" si="132"/>
        <v>400</v>
      </c>
      <c r="K109">
        <f t="shared" si="132"/>
        <v>0</v>
      </c>
      <c r="L109">
        <f t="shared" si="132"/>
        <v>0</v>
      </c>
      <c r="M109">
        <f t="shared" si="132"/>
        <v>10</v>
      </c>
      <c r="N109">
        <f t="shared" si="132"/>
        <v>0</v>
      </c>
      <c r="O109">
        <f t="shared" si="132"/>
        <v>0</v>
      </c>
      <c r="P109">
        <f t="shared" si="132"/>
        <v>0</v>
      </c>
      <c r="Q109">
        <f t="shared" si="132"/>
        <v>0</v>
      </c>
      <c r="R109">
        <f t="shared" si="132"/>
        <v>0</v>
      </c>
      <c r="S109">
        <f t="shared" si="132"/>
        <v>0</v>
      </c>
      <c r="T109">
        <f t="shared" si="133"/>
        <v>0</v>
      </c>
      <c r="U109">
        <f t="shared" si="133"/>
        <v>0</v>
      </c>
      <c r="V109">
        <f t="shared" si="133"/>
        <v>0</v>
      </c>
      <c r="W109">
        <f t="shared" si="133"/>
        <v>0</v>
      </c>
      <c r="X109">
        <f t="shared" si="133"/>
        <v>0</v>
      </c>
      <c r="Y109">
        <f t="shared" si="133"/>
        <v>0</v>
      </c>
      <c r="Z109">
        <f t="shared" si="133"/>
        <v>0</v>
      </c>
      <c r="AA109">
        <f t="shared" si="133"/>
        <v>0</v>
      </c>
      <c r="AB109">
        <f t="shared" si="133"/>
        <v>0</v>
      </c>
      <c r="AC109">
        <f t="shared" si="133"/>
        <v>0</v>
      </c>
      <c r="AD109">
        <f t="shared" si="134"/>
        <v>0</v>
      </c>
      <c r="AE109">
        <f t="shared" si="134"/>
        <v>0</v>
      </c>
      <c r="AF109">
        <f t="shared" si="134"/>
        <v>0</v>
      </c>
      <c r="AG109">
        <f t="shared" si="134"/>
        <v>0</v>
      </c>
      <c r="AH109">
        <f t="shared" si="134"/>
        <v>0</v>
      </c>
      <c r="AI109">
        <f t="shared" si="134"/>
        <v>0</v>
      </c>
      <c r="AJ109">
        <f t="shared" si="134"/>
        <v>0</v>
      </c>
      <c r="AK109">
        <f t="shared" si="134"/>
        <v>0</v>
      </c>
      <c r="AL109">
        <f t="shared" si="134"/>
        <v>0</v>
      </c>
      <c r="AM109">
        <f t="shared" si="134"/>
        <v>0</v>
      </c>
      <c r="AN109">
        <f t="shared" si="135"/>
        <v>0</v>
      </c>
      <c r="AO109">
        <f t="shared" si="135"/>
        <v>0</v>
      </c>
      <c r="AP109">
        <f t="shared" si="135"/>
        <v>0</v>
      </c>
      <c r="AQ109">
        <f t="shared" si="135"/>
        <v>0</v>
      </c>
      <c r="AR109">
        <f t="shared" si="135"/>
        <v>0</v>
      </c>
      <c r="AS109">
        <f t="shared" si="135"/>
        <v>0</v>
      </c>
      <c r="AT109">
        <f t="shared" si="135"/>
        <v>0</v>
      </c>
      <c r="AU109">
        <f t="shared" si="135"/>
        <v>0</v>
      </c>
      <c r="AV109">
        <f t="shared" si="135"/>
        <v>0</v>
      </c>
      <c r="AW109">
        <f t="shared" si="135"/>
        <v>0</v>
      </c>
      <c r="AX109">
        <f t="shared" si="136"/>
        <v>0</v>
      </c>
      <c r="AY109">
        <f t="shared" si="136"/>
        <v>0</v>
      </c>
      <c r="AZ109">
        <f t="shared" si="136"/>
        <v>0</v>
      </c>
      <c r="BA109">
        <f t="shared" si="136"/>
        <v>0</v>
      </c>
      <c r="BB109">
        <f t="shared" si="136"/>
        <v>0</v>
      </c>
      <c r="BC109">
        <f t="shared" si="136"/>
        <v>0</v>
      </c>
      <c r="BD109">
        <f t="shared" si="136"/>
        <v>0</v>
      </c>
      <c r="BE109">
        <f t="shared" si="136"/>
        <v>0</v>
      </c>
      <c r="BF109">
        <f t="shared" si="136"/>
        <v>0</v>
      </c>
      <c r="BG109">
        <f t="shared" si="136"/>
        <v>0</v>
      </c>
      <c r="BH109">
        <f t="shared" si="137"/>
        <v>0</v>
      </c>
      <c r="BI109">
        <f t="shared" si="137"/>
        <v>0</v>
      </c>
      <c r="BJ109">
        <f t="shared" si="137"/>
        <v>0</v>
      </c>
      <c r="BK109">
        <f t="shared" si="137"/>
        <v>0</v>
      </c>
      <c r="BL109">
        <f t="shared" si="137"/>
        <v>0</v>
      </c>
      <c r="BM109">
        <f t="shared" si="137"/>
        <v>0</v>
      </c>
      <c r="BN109">
        <f t="shared" si="137"/>
        <v>0</v>
      </c>
      <c r="BO109">
        <f t="shared" si="137"/>
        <v>0</v>
      </c>
      <c r="BP109">
        <f t="shared" si="137"/>
        <v>0</v>
      </c>
      <c r="BQ109">
        <f t="shared" si="137"/>
        <v>0</v>
      </c>
      <c r="BR109">
        <f t="shared" si="138"/>
        <v>0</v>
      </c>
      <c r="BS109">
        <f t="shared" si="138"/>
        <v>0</v>
      </c>
      <c r="BT109">
        <f t="shared" si="138"/>
        <v>0</v>
      </c>
      <c r="BU109">
        <f t="shared" si="138"/>
        <v>0</v>
      </c>
      <c r="BV109">
        <f t="shared" si="138"/>
        <v>0</v>
      </c>
      <c r="BW109">
        <f t="shared" si="138"/>
        <v>0</v>
      </c>
      <c r="BX109">
        <f t="shared" si="138"/>
        <v>0</v>
      </c>
      <c r="BY109">
        <f t="shared" si="138"/>
        <v>0</v>
      </c>
      <c r="BZ109">
        <f t="shared" si="138"/>
        <v>0</v>
      </c>
      <c r="CA109">
        <f t="shared" si="138"/>
        <v>0</v>
      </c>
      <c r="CB109">
        <f t="shared" si="139"/>
        <v>0</v>
      </c>
      <c r="CC109">
        <f t="shared" si="139"/>
        <v>0</v>
      </c>
      <c r="CD109">
        <f t="shared" si="139"/>
        <v>0</v>
      </c>
      <c r="CE109">
        <f t="shared" si="139"/>
        <v>0</v>
      </c>
      <c r="CF109">
        <f t="shared" si="139"/>
        <v>0</v>
      </c>
      <c r="CG109">
        <f t="shared" si="139"/>
        <v>0</v>
      </c>
      <c r="CH109">
        <f t="shared" si="139"/>
        <v>0</v>
      </c>
      <c r="CI109">
        <f t="shared" si="139"/>
        <v>0</v>
      </c>
      <c r="CJ109">
        <f t="shared" si="139"/>
        <v>0</v>
      </c>
      <c r="CK109">
        <f t="shared" si="139"/>
        <v>0</v>
      </c>
      <c r="CL109">
        <f t="shared" si="140"/>
        <v>0</v>
      </c>
      <c r="CM109">
        <f t="shared" si="140"/>
        <v>0</v>
      </c>
      <c r="CN109">
        <f t="shared" si="140"/>
        <v>0</v>
      </c>
      <c r="CO109">
        <f t="shared" si="140"/>
        <v>0</v>
      </c>
      <c r="CP109">
        <f t="shared" si="140"/>
        <v>0</v>
      </c>
      <c r="CQ109">
        <f t="shared" si="140"/>
        <v>0</v>
      </c>
      <c r="CR109">
        <f t="shared" si="140"/>
        <v>0</v>
      </c>
      <c r="CS109">
        <f t="shared" si="140"/>
        <v>0</v>
      </c>
      <c r="CT109">
        <f t="shared" si="140"/>
        <v>0</v>
      </c>
      <c r="CU109">
        <f t="shared" si="140"/>
        <v>0</v>
      </c>
      <c r="CV109">
        <f t="shared" si="141"/>
        <v>0</v>
      </c>
      <c r="CW109">
        <f t="shared" si="141"/>
        <v>0</v>
      </c>
      <c r="CX109">
        <f t="shared" si="141"/>
        <v>0</v>
      </c>
      <c r="CY109">
        <f t="shared" si="141"/>
        <v>0</v>
      </c>
      <c r="CZ109">
        <f t="shared" si="141"/>
        <v>0</v>
      </c>
      <c r="DA109">
        <f t="shared" si="141"/>
        <v>0</v>
      </c>
      <c r="DB109">
        <f t="shared" si="141"/>
        <v>0</v>
      </c>
      <c r="DC109">
        <f t="shared" si="141"/>
        <v>0</v>
      </c>
      <c r="DD109">
        <f t="shared" si="141"/>
        <v>0</v>
      </c>
      <c r="DE109">
        <f t="shared" si="141"/>
        <v>0</v>
      </c>
      <c r="DF109">
        <f t="shared" si="142"/>
        <v>0</v>
      </c>
      <c r="DG109">
        <f t="shared" si="142"/>
        <v>0</v>
      </c>
      <c r="DH109">
        <f t="shared" si="142"/>
        <v>0</v>
      </c>
      <c r="DI109">
        <f t="shared" si="142"/>
        <v>0</v>
      </c>
      <c r="DJ109">
        <f t="shared" si="142"/>
        <v>0</v>
      </c>
      <c r="DK109">
        <f t="shared" si="142"/>
        <v>0</v>
      </c>
      <c r="DL109">
        <f t="shared" si="142"/>
        <v>0</v>
      </c>
      <c r="DM109">
        <f t="shared" si="142"/>
        <v>0</v>
      </c>
      <c r="DN109">
        <f t="shared" si="142"/>
        <v>0</v>
      </c>
      <c r="DO109">
        <f t="shared" si="142"/>
        <v>0</v>
      </c>
      <c r="DP109">
        <f t="shared" si="143"/>
        <v>0</v>
      </c>
      <c r="DQ109">
        <f t="shared" si="143"/>
        <v>0</v>
      </c>
      <c r="DR109">
        <f t="shared" si="143"/>
        <v>0</v>
      </c>
      <c r="DS109">
        <f t="shared" si="143"/>
        <v>0</v>
      </c>
      <c r="DT109">
        <f t="shared" si="143"/>
        <v>0</v>
      </c>
      <c r="DU109">
        <f t="shared" si="143"/>
        <v>0</v>
      </c>
      <c r="DV109">
        <f t="shared" si="143"/>
        <v>0</v>
      </c>
      <c r="DW109">
        <f t="shared" si="143"/>
        <v>0</v>
      </c>
      <c r="DX109">
        <f t="shared" si="143"/>
        <v>0</v>
      </c>
      <c r="DY109">
        <f t="shared" si="143"/>
        <v>0</v>
      </c>
      <c r="DZ109">
        <f t="shared" si="144"/>
        <v>0</v>
      </c>
      <c r="EA109">
        <f t="shared" si="144"/>
        <v>0</v>
      </c>
      <c r="EB109">
        <f t="shared" si="144"/>
        <v>0</v>
      </c>
      <c r="EC109">
        <f t="shared" si="144"/>
        <v>0</v>
      </c>
      <c r="ED109">
        <f t="shared" si="144"/>
        <v>0</v>
      </c>
      <c r="EE109">
        <f t="shared" si="144"/>
        <v>0</v>
      </c>
      <c r="EF109">
        <f t="shared" si="144"/>
        <v>0</v>
      </c>
      <c r="EG109">
        <f t="shared" si="144"/>
        <v>0</v>
      </c>
      <c r="EH109">
        <f t="shared" si="144"/>
        <v>0</v>
      </c>
      <c r="EI109">
        <f t="shared" si="144"/>
        <v>0</v>
      </c>
      <c r="EJ109">
        <f>SUM(Tabla1[[#This Row],[1]:[130]])</f>
        <v>410</v>
      </c>
    </row>
    <row r="110" spans="1:140" ht="15" customHeight="1" x14ac:dyDescent="0.25">
      <c r="A110" t="str">
        <f>B110&amp;"-"&amp;COUNTIF($B$2:B110,B110)</f>
        <v>I. CHAMP. PORCION-4</v>
      </c>
      <c r="B110" s="26" t="s">
        <v>8</v>
      </c>
      <c r="C110">
        <f>VLOOKUP(B110,RECETAS!D109:$E$1700,2,FALSE)</f>
        <v>0</v>
      </c>
      <c r="D110" s="25" t="s">
        <v>338</v>
      </c>
      <c r="G110" t="b">
        <f t="shared" si="92"/>
        <v>1</v>
      </c>
      <c r="I110" s="26" t="s">
        <v>571</v>
      </c>
      <c r="J110">
        <f t="shared" si="132"/>
        <v>480</v>
      </c>
      <c r="K110">
        <f t="shared" si="132"/>
        <v>0</v>
      </c>
      <c r="L110">
        <f t="shared" si="132"/>
        <v>0</v>
      </c>
      <c r="M110">
        <f t="shared" si="132"/>
        <v>0</v>
      </c>
      <c r="N110">
        <f t="shared" si="132"/>
        <v>0</v>
      </c>
      <c r="O110">
        <f t="shared" si="132"/>
        <v>0</v>
      </c>
      <c r="P110">
        <f t="shared" si="132"/>
        <v>0</v>
      </c>
      <c r="Q110">
        <f t="shared" si="132"/>
        <v>0</v>
      </c>
      <c r="R110">
        <f t="shared" si="132"/>
        <v>0</v>
      </c>
      <c r="S110">
        <f t="shared" si="132"/>
        <v>0</v>
      </c>
      <c r="T110">
        <f t="shared" si="133"/>
        <v>0</v>
      </c>
      <c r="U110">
        <f t="shared" si="133"/>
        <v>0</v>
      </c>
      <c r="V110">
        <f t="shared" si="133"/>
        <v>0</v>
      </c>
      <c r="W110">
        <f t="shared" si="133"/>
        <v>0</v>
      </c>
      <c r="X110">
        <f t="shared" si="133"/>
        <v>0</v>
      </c>
      <c r="Y110">
        <f t="shared" si="133"/>
        <v>0</v>
      </c>
      <c r="Z110">
        <f t="shared" si="133"/>
        <v>0</v>
      </c>
      <c r="AA110">
        <f t="shared" si="133"/>
        <v>0</v>
      </c>
      <c r="AB110">
        <f t="shared" si="133"/>
        <v>0</v>
      </c>
      <c r="AC110">
        <f t="shared" si="133"/>
        <v>0</v>
      </c>
      <c r="AD110">
        <f t="shared" si="134"/>
        <v>0</v>
      </c>
      <c r="AE110">
        <f t="shared" si="134"/>
        <v>0</v>
      </c>
      <c r="AF110">
        <f t="shared" si="134"/>
        <v>0</v>
      </c>
      <c r="AG110">
        <f t="shared" si="134"/>
        <v>0</v>
      </c>
      <c r="AH110">
        <f t="shared" si="134"/>
        <v>0</v>
      </c>
      <c r="AI110">
        <f t="shared" si="134"/>
        <v>0</v>
      </c>
      <c r="AJ110">
        <f t="shared" si="134"/>
        <v>0</v>
      </c>
      <c r="AK110">
        <f t="shared" si="134"/>
        <v>0</v>
      </c>
      <c r="AL110">
        <f t="shared" si="134"/>
        <v>0</v>
      </c>
      <c r="AM110">
        <f t="shared" si="134"/>
        <v>0</v>
      </c>
      <c r="AN110">
        <f t="shared" si="135"/>
        <v>0</v>
      </c>
      <c r="AO110">
        <f t="shared" si="135"/>
        <v>0</v>
      </c>
      <c r="AP110">
        <f t="shared" si="135"/>
        <v>0</v>
      </c>
      <c r="AQ110">
        <f t="shared" si="135"/>
        <v>0</v>
      </c>
      <c r="AR110">
        <f t="shared" si="135"/>
        <v>0</v>
      </c>
      <c r="AS110">
        <f t="shared" si="135"/>
        <v>0</v>
      </c>
      <c r="AT110">
        <f t="shared" si="135"/>
        <v>0</v>
      </c>
      <c r="AU110">
        <f t="shared" si="135"/>
        <v>0</v>
      </c>
      <c r="AV110">
        <f t="shared" si="135"/>
        <v>0</v>
      </c>
      <c r="AW110">
        <f t="shared" si="135"/>
        <v>0</v>
      </c>
      <c r="AX110">
        <f t="shared" si="136"/>
        <v>0</v>
      </c>
      <c r="AY110">
        <f t="shared" si="136"/>
        <v>0</v>
      </c>
      <c r="AZ110">
        <f t="shared" si="136"/>
        <v>0</v>
      </c>
      <c r="BA110">
        <f t="shared" si="136"/>
        <v>0</v>
      </c>
      <c r="BB110">
        <f t="shared" si="136"/>
        <v>0</v>
      </c>
      <c r="BC110">
        <f t="shared" si="136"/>
        <v>0</v>
      </c>
      <c r="BD110">
        <f t="shared" si="136"/>
        <v>0</v>
      </c>
      <c r="BE110">
        <f t="shared" si="136"/>
        <v>0</v>
      </c>
      <c r="BF110">
        <f t="shared" si="136"/>
        <v>0</v>
      </c>
      <c r="BG110">
        <f t="shared" si="136"/>
        <v>0</v>
      </c>
      <c r="BH110">
        <f t="shared" si="137"/>
        <v>0</v>
      </c>
      <c r="BI110">
        <f t="shared" si="137"/>
        <v>0</v>
      </c>
      <c r="BJ110">
        <f t="shared" si="137"/>
        <v>0</v>
      </c>
      <c r="BK110">
        <f t="shared" si="137"/>
        <v>0</v>
      </c>
      <c r="BL110">
        <f t="shared" si="137"/>
        <v>0</v>
      </c>
      <c r="BM110">
        <f t="shared" si="137"/>
        <v>0</v>
      </c>
      <c r="BN110">
        <f t="shared" si="137"/>
        <v>0</v>
      </c>
      <c r="BO110">
        <f t="shared" si="137"/>
        <v>0</v>
      </c>
      <c r="BP110">
        <f t="shared" si="137"/>
        <v>0</v>
      </c>
      <c r="BQ110">
        <f t="shared" si="137"/>
        <v>0</v>
      </c>
      <c r="BR110">
        <f t="shared" si="138"/>
        <v>0</v>
      </c>
      <c r="BS110">
        <f t="shared" si="138"/>
        <v>0</v>
      </c>
      <c r="BT110">
        <f t="shared" si="138"/>
        <v>0</v>
      </c>
      <c r="BU110">
        <f t="shared" si="138"/>
        <v>0</v>
      </c>
      <c r="BV110">
        <f t="shared" si="138"/>
        <v>0</v>
      </c>
      <c r="BW110">
        <f t="shared" si="138"/>
        <v>0</v>
      </c>
      <c r="BX110">
        <f t="shared" si="138"/>
        <v>0</v>
      </c>
      <c r="BY110">
        <f t="shared" si="138"/>
        <v>0</v>
      </c>
      <c r="BZ110">
        <f t="shared" si="138"/>
        <v>0</v>
      </c>
      <c r="CA110">
        <f t="shared" si="138"/>
        <v>0</v>
      </c>
      <c r="CB110">
        <f t="shared" si="139"/>
        <v>0</v>
      </c>
      <c r="CC110">
        <f t="shared" si="139"/>
        <v>0</v>
      </c>
      <c r="CD110">
        <f t="shared" si="139"/>
        <v>0</v>
      </c>
      <c r="CE110">
        <f t="shared" si="139"/>
        <v>0</v>
      </c>
      <c r="CF110">
        <f t="shared" si="139"/>
        <v>0</v>
      </c>
      <c r="CG110">
        <f t="shared" si="139"/>
        <v>0</v>
      </c>
      <c r="CH110">
        <f t="shared" si="139"/>
        <v>0</v>
      </c>
      <c r="CI110">
        <f t="shared" si="139"/>
        <v>0</v>
      </c>
      <c r="CJ110">
        <f t="shared" si="139"/>
        <v>0</v>
      </c>
      <c r="CK110">
        <f t="shared" si="139"/>
        <v>0</v>
      </c>
      <c r="CL110">
        <f t="shared" si="140"/>
        <v>0</v>
      </c>
      <c r="CM110">
        <f t="shared" si="140"/>
        <v>0</v>
      </c>
      <c r="CN110">
        <f t="shared" si="140"/>
        <v>0</v>
      </c>
      <c r="CO110">
        <f t="shared" si="140"/>
        <v>0</v>
      </c>
      <c r="CP110">
        <f t="shared" si="140"/>
        <v>0</v>
      </c>
      <c r="CQ110">
        <f t="shared" si="140"/>
        <v>0</v>
      </c>
      <c r="CR110">
        <f t="shared" si="140"/>
        <v>0</v>
      </c>
      <c r="CS110">
        <f t="shared" si="140"/>
        <v>0</v>
      </c>
      <c r="CT110">
        <f t="shared" si="140"/>
        <v>0</v>
      </c>
      <c r="CU110">
        <f t="shared" si="140"/>
        <v>0</v>
      </c>
      <c r="CV110">
        <f t="shared" si="141"/>
        <v>0</v>
      </c>
      <c r="CW110">
        <f t="shared" si="141"/>
        <v>0</v>
      </c>
      <c r="CX110">
        <f t="shared" si="141"/>
        <v>0</v>
      </c>
      <c r="CY110">
        <f t="shared" si="141"/>
        <v>0</v>
      </c>
      <c r="CZ110">
        <f t="shared" si="141"/>
        <v>0</v>
      </c>
      <c r="DA110">
        <f t="shared" si="141"/>
        <v>0</v>
      </c>
      <c r="DB110">
        <f t="shared" si="141"/>
        <v>0</v>
      </c>
      <c r="DC110">
        <f t="shared" si="141"/>
        <v>0</v>
      </c>
      <c r="DD110">
        <f t="shared" si="141"/>
        <v>0</v>
      </c>
      <c r="DE110">
        <f t="shared" si="141"/>
        <v>0</v>
      </c>
      <c r="DF110">
        <f t="shared" si="142"/>
        <v>0</v>
      </c>
      <c r="DG110">
        <f t="shared" si="142"/>
        <v>0</v>
      </c>
      <c r="DH110">
        <f t="shared" si="142"/>
        <v>0</v>
      </c>
      <c r="DI110">
        <f t="shared" si="142"/>
        <v>0</v>
      </c>
      <c r="DJ110">
        <f t="shared" si="142"/>
        <v>0</v>
      </c>
      <c r="DK110">
        <f t="shared" si="142"/>
        <v>0</v>
      </c>
      <c r="DL110">
        <f t="shared" si="142"/>
        <v>0</v>
      </c>
      <c r="DM110">
        <f t="shared" si="142"/>
        <v>0</v>
      </c>
      <c r="DN110">
        <f t="shared" si="142"/>
        <v>0</v>
      </c>
      <c r="DO110">
        <f t="shared" si="142"/>
        <v>0</v>
      </c>
      <c r="DP110">
        <f t="shared" si="143"/>
        <v>0</v>
      </c>
      <c r="DQ110">
        <f t="shared" si="143"/>
        <v>0</v>
      </c>
      <c r="DR110">
        <f t="shared" si="143"/>
        <v>0</v>
      </c>
      <c r="DS110">
        <f t="shared" si="143"/>
        <v>0</v>
      </c>
      <c r="DT110">
        <f t="shared" si="143"/>
        <v>0</v>
      </c>
      <c r="DU110">
        <f t="shared" si="143"/>
        <v>0</v>
      </c>
      <c r="DV110">
        <f t="shared" si="143"/>
        <v>0</v>
      </c>
      <c r="DW110">
        <f t="shared" si="143"/>
        <v>0</v>
      </c>
      <c r="DX110">
        <f t="shared" si="143"/>
        <v>0</v>
      </c>
      <c r="DY110">
        <f t="shared" si="143"/>
        <v>0</v>
      </c>
      <c r="DZ110">
        <f t="shared" si="144"/>
        <v>0</v>
      </c>
      <c r="EA110">
        <f t="shared" si="144"/>
        <v>0</v>
      </c>
      <c r="EB110">
        <f t="shared" si="144"/>
        <v>0</v>
      </c>
      <c r="EC110">
        <f t="shared" si="144"/>
        <v>0</v>
      </c>
      <c r="ED110">
        <f t="shared" si="144"/>
        <v>0</v>
      </c>
      <c r="EE110">
        <f t="shared" si="144"/>
        <v>0</v>
      </c>
      <c r="EF110">
        <f t="shared" si="144"/>
        <v>0</v>
      </c>
      <c r="EG110">
        <f t="shared" si="144"/>
        <v>0</v>
      </c>
      <c r="EH110">
        <f t="shared" si="144"/>
        <v>0</v>
      </c>
      <c r="EI110">
        <f t="shared" si="144"/>
        <v>0</v>
      </c>
      <c r="EJ110">
        <f>SUM(Tabla1[[#This Row],[1]:[130]])</f>
        <v>480</v>
      </c>
    </row>
    <row r="111" spans="1:140" ht="15.75" customHeight="1" x14ac:dyDescent="0.25">
      <c r="A111" t="str">
        <f>B111&amp;"-"&amp;COUNTIF($B$2:B111,B111)</f>
        <v>I. PALMITO-1</v>
      </c>
      <c r="B111" s="35" t="s">
        <v>634</v>
      </c>
      <c r="C111">
        <f>VLOOKUP(B111,RECETAS!D110:$E$1700,2,FALSE)</f>
        <v>0</v>
      </c>
      <c r="D111" s="34"/>
      <c r="G111" t="b">
        <f t="shared" si="92"/>
        <v>1</v>
      </c>
      <c r="I111" s="36" t="s">
        <v>690</v>
      </c>
      <c r="J111">
        <f t="shared" si="132"/>
        <v>0</v>
      </c>
      <c r="K111">
        <f t="shared" si="132"/>
        <v>0</v>
      </c>
      <c r="L111">
        <f t="shared" si="132"/>
        <v>0</v>
      </c>
      <c r="M111">
        <f t="shared" si="132"/>
        <v>0</v>
      </c>
      <c r="N111">
        <f t="shared" si="132"/>
        <v>0</v>
      </c>
      <c r="O111">
        <f t="shared" si="132"/>
        <v>0</v>
      </c>
      <c r="P111">
        <f t="shared" si="132"/>
        <v>0</v>
      </c>
      <c r="Q111">
        <f t="shared" si="132"/>
        <v>0</v>
      </c>
      <c r="R111">
        <f t="shared" si="132"/>
        <v>0</v>
      </c>
      <c r="S111">
        <f t="shared" si="132"/>
        <v>0</v>
      </c>
      <c r="T111">
        <f t="shared" si="133"/>
        <v>0</v>
      </c>
      <c r="U111">
        <f t="shared" si="133"/>
        <v>0</v>
      </c>
      <c r="V111">
        <f t="shared" si="133"/>
        <v>0</v>
      </c>
      <c r="W111">
        <f t="shared" si="133"/>
        <v>0</v>
      </c>
      <c r="X111">
        <f t="shared" si="133"/>
        <v>0</v>
      </c>
      <c r="Y111">
        <f t="shared" si="133"/>
        <v>0</v>
      </c>
      <c r="Z111">
        <f t="shared" si="133"/>
        <v>0</v>
      </c>
      <c r="AA111">
        <f t="shared" si="133"/>
        <v>0</v>
      </c>
      <c r="AB111">
        <f t="shared" si="133"/>
        <v>0</v>
      </c>
      <c r="AC111">
        <f t="shared" si="133"/>
        <v>0</v>
      </c>
      <c r="AD111">
        <f t="shared" si="134"/>
        <v>0</v>
      </c>
      <c r="AE111">
        <f t="shared" si="134"/>
        <v>0</v>
      </c>
      <c r="AF111">
        <f t="shared" si="134"/>
        <v>0</v>
      </c>
      <c r="AG111">
        <f t="shared" si="134"/>
        <v>0</v>
      </c>
      <c r="AH111">
        <f t="shared" si="134"/>
        <v>0</v>
      </c>
      <c r="AI111">
        <f t="shared" si="134"/>
        <v>0</v>
      </c>
      <c r="AJ111">
        <f t="shared" si="134"/>
        <v>0</v>
      </c>
      <c r="AK111">
        <f t="shared" si="134"/>
        <v>0</v>
      </c>
      <c r="AL111">
        <f t="shared" si="134"/>
        <v>0</v>
      </c>
      <c r="AM111">
        <f t="shared" si="134"/>
        <v>0</v>
      </c>
      <c r="AN111">
        <f t="shared" si="135"/>
        <v>0</v>
      </c>
      <c r="AO111">
        <f t="shared" si="135"/>
        <v>0</v>
      </c>
      <c r="AP111">
        <f t="shared" si="135"/>
        <v>0</v>
      </c>
      <c r="AQ111">
        <f t="shared" si="135"/>
        <v>0</v>
      </c>
      <c r="AR111">
        <f t="shared" si="135"/>
        <v>0</v>
      </c>
      <c r="AS111">
        <f t="shared" si="135"/>
        <v>0</v>
      </c>
      <c r="AT111">
        <f t="shared" si="135"/>
        <v>0</v>
      </c>
      <c r="AU111">
        <f t="shared" si="135"/>
        <v>0</v>
      </c>
      <c r="AV111">
        <f t="shared" si="135"/>
        <v>0</v>
      </c>
      <c r="AW111">
        <f t="shared" si="135"/>
        <v>0</v>
      </c>
      <c r="AX111">
        <f t="shared" si="136"/>
        <v>0</v>
      </c>
      <c r="AY111">
        <f t="shared" si="136"/>
        <v>0</v>
      </c>
      <c r="AZ111">
        <f t="shared" si="136"/>
        <v>0</v>
      </c>
      <c r="BA111">
        <f t="shared" si="136"/>
        <v>0</v>
      </c>
      <c r="BB111">
        <f t="shared" si="136"/>
        <v>0</v>
      </c>
      <c r="BC111">
        <f t="shared" si="136"/>
        <v>0</v>
      </c>
      <c r="BD111">
        <f t="shared" si="136"/>
        <v>0</v>
      </c>
      <c r="BE111">
        <f t="shared" si="136"/>
        <v>0</v>
      </c>
      <c r="BF111">
        <f t="shared" si="136"/>
        <v>0</v>
      </c>
      <c r="BG111">
        <f t="shared" si="136"/>
        <v>0</v>
      </c>
      <c r="BH111">
        <f t="shared" si="137"/>
        <v>0</v>
      </c>
      <c r="BI111">
        <f t="shared" si="137"/>
        <v>0</v>
      </c>
      <c r="BJ111">
        <f t="shared" si="137"/>
        <v>0</v>
      </c>
      <c r="BK111">
        <f t="shared" si="137"/>
        <v>0</v>
      </c>
      <c r="BL111">
        <f t="shared" si="137"/>
        <v>0</v>
      </c>
      <c r="BM111">
        <f t="shared" si="137"/>
        <v>0</v>
      </c>
      <c r="BN111">
        <f t="shared" si="137"/>
        <v>0</v>
      </c>
      <c r="BO111">
        <f t="shared" si="137"/>
        <v>0</v>
      </c>
      <c r="BP111">
        <f t="shared" si="137"/>
        <v>0</v>
      </c>
      <c r="BQ111">
        <f t="shared" si="137"/>
        <v>0</v>
      </c>
      <c r="BR111">
        <f t="shared" si="138"/>
        <v>0</v>
      </c>
      <c r="BS111">
        <f t="shared" si="138"/>
        <v>0</v>
      </c>
      <c r="BT111">
        <f t="shared" si="138"/>
        <v>0</v>
      </c>
      <c r="BU111">
        <f t="shared" si="138"/>
        <v>0</v>
      </c>
      <c r="BV111">
        <f t="shared" si="138"/>
        <v>0</v>
      </c>
      <c r="BW111">
        <f t="shared" si="138"/>
        <v>0</v>
      </c>
      <c r="BX111">
        <f t="shared" si="138"/>
        <v>0</v>
      </c>
      <c r="BY111">
        <f t="shared" si="138"/>
        <v>0</v>
      </c>
      <c r="BZ111">
        <f t="shared" si="138"/>
        <v>0</v>
      </c>
      <c r="CA111">
        <f t="shared" si="138"/>
        <v>0</v>
      </c>
      <c r="CB111">
        <f t="shared" si="139"/>
        <v>0</v>
      </c>
      <c r="CC111">
        <f t="shared" si="139"/>
        <v>0</v>
      </c>
      <c r="CD111">
        <f t="shared" si="139"/>
        <v>0</v>
      </c>
      <c r="CE111">
        <f t="shared" si="139"/>
        <v>0</v>
      </c>
      <c r="CF111">
        <f t="shared" si="139"/>
        <v>0</v>
      </c>
      <c r="CG111">
        <f t="shared" si="139"/>
        <v>0</v>
      </c>
      <c r="CH111">
        <f t="shared" si="139"/>
        <v>0</v>
      </c>
      <c r="CI111">
        <f t="shared" si="139"/>
        <v>0</v>
      </c>
      <c r="CJ111">
        <f t="shared" si="139"/>
        <v>0</v>
      </c>
      <c r="CK111">
        <f t="shared" si="139"/>
        <v>0</v>
      </c>
      <c r="CL111">
        <f t="shared" si="140"/>
        <v>0</v>
      </c>
      <c r="CM111">
        <f t="shared" si="140"/>
        <v>0</v>
      </c>
      <c r="CN111">
        <f t="shared" si="140"/>
        <v>0</v>
      </c>
      <c r="CO111">
        <f t="shared" si="140"/>
        <v>0</v>
      </c>
      <c r="CP111">
        <f t="shared" si="140"/>
        <v>0</v>
      </c>
      <c r="CQ111">
        <f t="shared" si="140"/>
        <v>0</v>
      </c>
      <c r="CR111">
        <f t="shared" si="140"/>
        <v>0</v>
      </c>
      <c r="CS111">
        <f t="shared" si="140"/>
        <v>0</v>
      </c>
      <c r="CT111">
        <f t="shared" si="140"/>
        <v>0</v>
      </c>
      <c r="CU111">
        <f t="shared" si="140"/>
        <v>0</v>
      </c>
      <c r="CV111">
        <f t="shared" si="141"/>
        <v>0</v>
      </c>
      <c r="CW111">
        <f t="shared" si="141"/>
        <v>0</v>
      </c>
      <c r="CX111">
        <f t="shared" si="141"/>
        <v>0</v>
      </c>
      <c r="CY111">
        <f t="shared" si="141"/>
        <v>0</v>
      </c>
      <c r="CZ111">
        <f t="shared" si="141"/>
        <v>0</v>
      </c>
      <c r="DA111">
        <f t="shared" si="141"/>
        <v>0</v>
      </c>
      <c r="DB111">
        <f t="shared" si="141"/>
        <v>0</v>
      </c>
      <c r="DC111">
        <f t="shared" si="141"/>
        <v>0</v>
      </c>
      <c r="DD111">
        <f t="shared" si="141"/>
        <v>0</v>
      </c>
      <c r="DE111">
        <f t="shared" si="141"/>
        <v>0</v>
      </c>
      <c r="DF111">
        <f t="shared" si="142"/>
        <v>0</v>
      </c>
      <c r="DG111">
        <f t="shared" si="142"/>
        <v>0</v>
      </c>
      <c r="DH111">
        <f t="shared" si="142"/>
        <v>0</v>
      </c>
      <c r="DI111">
        <f t="shared" si="142"/>
        <v>0</v>
      </c>
      <c r="DJ111">
        <f t="shared" si="142"/>
        <v>0</v>
      </c>
      <c r="DK111">
        <f t="shared" si="142"/>
        <v>0</v>
      </c>
      <c r="DL111">
        <f t="shared" si="142"/>
        <v>0</v>
      </c>
      <c r="DM111">
        <f t="shared" si="142"/>
        <v>0</v>
      </c>
      <c r="DN111">
        <f t="shared" si="142"/>
        <v>0</v>
      </c>
      <c r="DO111">
        <f t="shared" si="142"/>
        <v>0</v>
      </c>
      <c r="DP111">
        <f t="shared" si="143"/>
        <v>0</v>
      </c>
      <c r="DQ111">
        <f t="shared" si="143"/>
        <v>0</v>
      </c>
      <c r="DR111">
        <f t="shared" si="143"/>
        <v>0</v>
      </c>
      <c r="DS111">
        <f t="shared" si="143"/>
        <v>0</v>
      </c>
      <c r="DT111">
        <f t="shared" si="143"/>
        <v>0</v>
      </c>
      <c r="DU111">
        <f t="shared" si="143"/>
        <v>0</v>
      </c>
      <c r="DV111">
        <f t="shared" si="143"/>
        <v>0</v>
      </c>
      <c r="DW111">
        <f t="shared" si="143"/>
        <v>0</v>
      </c>
      <c r="DX111">
        <f t="shared" si="143"/>
        <v>0</v>
      </c>
      <c r="DY111">
        <f t="shared" si="143"/>
        <v>0</v>
      </c>
      <c r="DZ111">
        <f t="shared" si="144"/>
        <v>0</v>
      </c>
      <c r="EA111">
        <f t="shared" si="144"/>
        <v>0</v>
      </c>
      <c r="EB111">
        <f t="shared" si="144"/>
        <v>0</v>
      </c>
      <c r="EC111">
        <f t="shared" si="144"/>
        <v>0</v>
      </c>
      <c r="ED111">
        <f t="shared" si="144"/>
        <v>0</v>
      </c>
      <c r="EE111">
        <f t="shared" si="144"/>
        <v>0</v>
      </c>
      <c r="EF111">
        <f t="shared" si="144"/>
        <v>0</v>
      </c>
      <c r="EG111">
        <f t="shared" si="144"/>
        <v>0</v>
      </c>
      <c r="EH111">
        <f t="shared" si="144"/>
        <v>0</v>
      </c>
      <c r="EI111">
        <f t="shared" si="144"/>
        <v>0</v>
      </c>
      <c r="EJ111">
        <f>SUM(Tabla1[[#This Row],[1]:[130]])</f>
        <v>0</v>
      </c>
    </row>
    <row r="112" spans="1:140" x14ac:dyDescent="0.25">
      <c r="A112" t="str">
        <f>B112&amp;"-"&amp;COUNTIF($B$2:B112,B112)</f>
        <v>I. PALTA UNIDAD-1</v>
      </c>
      <c r="B112" s="35" t="s">
        <v>102</v>
      </c>
      <c r="C112">
        <f>VLOOKUP(B112,RECETAS!D111:$E$1700,2,FALSE)</f>
        <v>0</v>
      </c>
      <c r="D112" s="34"/>
      <c r="G112" t="b">
        <f t="shared" si="92"/>
        <v>1</v>
      </c>
      <c r="I112" s="103" t="s">
        <v>657</v>
      </c>
      <c r="J112">
        <f t="shared" si="132"/>
        <v>35</v>
      </c>
      <c r="K112">
        <f t="shared" si="132"/>
        <v>0</v>
      </c>
      <c r="L112">
        <f t="shared" si="132"/>
        <v>245</v>
      </c>
      <c r="M112">
        <f t="shared" si="132"/>
        <v>0</v>
      </c>
      <c r="N112">
        <f t="shared" si="132"/>
        <v>0</v>
      </c>
      <c r="O112">
        <f t="shared" si="132"/>
        <v>0</v>
      </c>
      <c r="P112">
        <f t="shared" si="132"/>
        <v>0</v>
      </c>
      <c r="Q112">
        <f t="shared" si="132"/>
        <v>0</v>
      </c>
      <c r="R112">
        <f t="shared" si="132"/>
        <v>0</v>
      </c>
      <c r="S112">
        <f t="shared" si="132"/>
        <v>0</v>
      </c>
      <c r="T112">
        <f t="shared" si="133"/>
        <v>0</v>
      </c>
      <c r="U112">
        <f t="shared" si="133"/>
        <v>0</v>
      </c>
      <c r="V112">
        <f t="shared" si="133"/>
        <v>0</v>
      </c>
      <c r="W112">
        <f t="shared" si="133"/>
        <v>0</v>
      </c>
      <c r="X112">
        <f t="shared" si="133"/>
        <v>0</v>
      </c>
      <c r="Y112">
        <f t="shared" si="133"/>
        <v>0</v>
      </c>
      <c r="Z112">
        <f t="shared" si="133"/>
        <v>0</v>
      </c>
      <c r="AA112">
        <f t="shared" si="133"/>
        <v>0</v>
      </c>
      <c r="AB112">
        <f t="shared" si="133"/>
        <v>0</v>
      </c>
      <c r="AC112">
        <f t="shared" si="133"/>
        <v>0</v>
      </c>
      <c r="AD112">
        <f t="shared" si="134"/>
        <v>0</v>
      </c>
      <c r="AE112">
        <f t="shared" si="134"/>
        <v>0</v>
      </c>
      <c r="AF112">
        <f t="shared" si="134"/>
        <v>0</v>
      </c>
      <c r="AG112">
        <f t="shared" si="134"/>
        <v>0</v>
      </c>
      <c r="AH112">
        <f t="shared" si="134"/>
        <v>0</v>
      </c>
      <c r="AI112">
        <f t="shared" si="134"/>
        <v>0</v>
      </c>
      <c r="AJ112">
        <f t="shared" si="134"/>
        <v>0</v>
      </c>
      <c r="AK112">
        <f t="shared" si="134"/>
        <v>0</v>
      </c>
      <c r="AL112">
        <f t="shared" si="134"/>
        <v>0</v>
      </c>
      <c r="AM112">
        <f t="shared" si="134"/>
        <v>0</v>
      </c>
      <c r="AN112">
        <f t="shared" si="135"/>
        <v>0</v>
      </c>
      <c r="AO112">
        <f t="shared" si="135"/>
        <v>0</v>
      </c>
      <c r="AP112">
        <f t="shared" si="135"/>
        <v>0</v>
      </c>
      <c r="AQ112">
        <f t="shared" si="135"/>
        <v>0</v>
      </c>
      <c r="AR112">
        <f t="shared" si="135"/>
        <v>0</v>
      </c>
      <c r="AS112">
        <f t="shared" si="135"/>
        <v>0</v>
      </c>
      <c r="AT112">
        <f t="shared" si="135"/>
        <v>0</v>
      </c>
      <c r="AU112">
        <f t="shared" si="135"/>
        <v>0</v>
      </c>
      <c r="AV112">
        <f t="shared" si="135"/>
        <v>0</v>
      </c>
      <c r="AW112">
        <f t="shared" si="135"/>
        <v>0</v>
      </c>
      <c r="AX112">
        <f t="shared" si="136"/>
        <v>0</v>
      </c>
      <c r="AY112">
        <f t="shared" si="136"/>
        <v>0</v>
      </c>
      <c r="AZ112">
        <f t="shared" si="136"/>
        <v>0</v>
      </c>
      <c r="BA112">
        <f t="shared" si="136"/>
        <v>0</v>
      </c>
      <c r="BB112">
        <f t="shared" si="136"/>
        <v>0</v>
      </c>
      <c r="BC112">
        <f t="shared" si="136"/>
        <v>0</v>
      </c>
      <c r="BD112">
        <f t="shared" si="136"/>
        <v>0</v>
      </c>
      <c r="BE112">
        <f t="shared" si="136"/>
        <v>0</v>
      </c>
      <c r="BF112">
        <f t="shared" si="136"/>
        <v>0</v>
      </c>
      <c r="BG112">
        <f t="shared" si="136"/>
        <v>0</v>
      </c>
      <c r="BH112">
        <f t="shared" si="137"/>
        <v>0</v>
      </c>
      <c r="BI112">
        <f t="shared" si="137"/>
        <v>0</v>
      </c>
      <c r="BJ112">
        <f t="shared" si="137"/>
        <v>0</v>
      </c>
      <c r="BK112">
        <f t="shared" si="137"/>
        <v>0</v>
      </c>
      <c r="BL112">
        <f t="shared" si="137"/>
        <v>0</v>
      </c>
      <c r="BM112">
        <f t="shared" si="137"/>
        <v>0</v>
      </c>
      <c r="BN112">
        <f t="shared" si="137"/>
        <v>0</v>
      </c>
      <c r="BO112">
        <f t="shared" si="137"/>
        <v>0</v>
      </c>
      <c r="BP112">
        <f t="shared" si="137"/>
        <v>0</v>
      </c>
      <c r="BQ112">
        <f t="shared" si="137"/>
        <v>0</v>
      </c>
      <c r="BR112">
        <f t="shared" si="138"/>
        <v>0</v>
      </c>
      <c r="BS112">
        <f t="shared" si="138"/>
        <v>0</v>
      </c>
      <c r="BT112">
        <f t="shared" si="138"/>
        <v>0</v>
      </c>
      <c r="BU112">
        <f t="shared" si="138"/>
        <v>0</v>
      </c>
      <c r="BV112">
        <f t="shared" si="138"/>
        <v>0</v>
      </c>
      <c r="BW112">
        <f t="shared" si="138"/>
        <v>0</v>
      </c>
      <c r="BX112">
        <f t="shared" si="138"/>
        <v>0</v>
      </c>
      <c r="BY112">
        <f t="shared" si="138"/>
        <v>0</v>
      </c>
      <c r="BZ112">
        <f t="shared" si="138"/>
        <v>0</v>
      </c>
      <c r="CA112">
        <f t="shared" si="138"/>
        <v>0</v>
      </c>
      <c r="CB112">
        <f t="shared" si="139"/>
        <v>0</v>
      </c>
      <c r="CC112">
        <f t="shared" si="139"/>
        <v>0</v>
      </c>
      <c r="CD112">
        <f t="shared" si="139"/>
        <v>0</v>
      </c>
      <c r="CE112">
        <f t="shared" si="139"/>
        <v>0</v>
      </c>
      <c r="CF112">
        <f t="shared" si="139"/>
        <v>0</v>
      </c>
      <c r="CG112">
        <f t="shared" si="139"/>
        <v>0</v>
      </c>
      <c r="CH112">
        <f t="shared" si="139"/>
        <v>0</v>
      </c>
      <c r="CI112">
        <f t="shared" si="139"/>
        <v>0</v>
      </c>
      <c r="CJ112">
        <f t="shared" si="139"/>
        <v>0</v>
      </c>
      <c r="CK112">
        <f t="shared" si="139"/>
        <v>0</v>
      </c>
      <c r="CL112">
        <f t="shared" si="140"/>
        <v>0</v>
      </c>
      <c r="CM112">
        <f t="shared" si="140"/>
        <v>0</v>
      </c>
      <c r="CN112">
        <f t="shared" si="140"/>
        <v>0</v>
      </c>
      <c r="CO112">
        <f t="shared" si="140"/>
        <v>0</v>
      </c>
      <c r="CP112">
        <f t="shared" si="140"/>
        <v>0</v>
      </c>
      <c r="CQ112">
        <f t="shared" si="140"/>
        <v>0</v>
      </c>
      <c r="CR112">
        <f t="shared" si="140"/>
        <v>0</v>
      </c>
      <c r="CS112">
        <f t="shared" si="140"/>
        <v>0</v>
      </c>
      <c r="CT112">
        <f t="shared" si="140"/>
        <v>0</v>
      </c>
      <c r="CU112">
        <f t="shared" si="140"/>
        <v>0</v>
      </c>
      <c r="CV112">
        <f t="shared" si="141"/>
        <v>0</v>
      </c>
      <c r="CW112">
        <f t="shared" si="141"/>
        <v>0</v>
      </c>
      <c r="CX112">
        <f t="shared" si="141"/>
        <v>0</v>
      </c>
      <c r="CY112">
        <f t="shared" si="141"/>
        <v>0</v>
      </c>
      <c r="CZ112">
        <f t="shared" si="141"/>
        <v>0</v>
      </c>
      <c r="DA112">
        <f t="shared" si="141"/>
        <v>0</v>
      </c>
      <c r="DB112">
        <f t="shared" si="141"/>
        <v>0</v>
      </c>
      <c r="DC112">
        <f t="shared" si="141"/>
        <v>0</v>
      </c>
      <c r="DD112">
        <f t="shared" si="141"/>
        <v>0</v>
      </c>
      <c r="DE112">
        <f t="shared" si="141"/>
        <v>0</v>
      </c>
      <c r="DF112">
        <f t="shared" si="142"/>
        <v>0</v>
      </c>
      <c r="DG112">
        <f t="shared" si="142"/>
        <v>0</v>
      </c>
      <c r="DH112">
        <f t="shared" si="142"/>
        <v>0</v>
      </c>
      <c r="DI112">
        <f t="shared" si="142"/>
        <v>0</v>
      </c>
      <c r="DJ112">
        <f t="shared" si="142"/>
        <v>0</v>
      </c>
      <c r="DK112">
        <f t="shared" si="142"/>
        <v>0</v>
      </c>
      <c r="DL112">
        <f t="shared" si="142"/>
        <v>0</v>
      </c>
      <c r="DM112">
        <f t="shared" si="142"/>
        <v>0</v>
      </c>
      <c r="DN112">
        <f t="shared" si="142"/>
        <v>0</v>
      </c>
      <c r="DO112">
        <f t="shared" si="142"/>
        <v>0</v>
      </c>
      <c r="DP112">
        <f t="shared" si="143"/>
        <v>0</v>
      </c>
      <c r="DQ112">
        <f t="shared" si="143"/>
        <v>0</v>
      </c>
      <c r="DR112">
        <f t="shared" si="143"/>
        <v>0</v>
      </c>
      <c r="DS112">
        <f t="shared" si="143"/>
        <v>0</v>
      </c>
      <c r="DT112">
        <f t="shared" si="143"/>
        <v>0</v>
      </c>
      <c r="DU112">
        <f t="shared" si="143"/>
        <v>0</v>
      </c>
      <c r="DV112">
        <f t="shared" si="143"/>
        <v>0</v>
      </c>
      <c r="DW112">
        <f t="shared" si="143"/>
        <v>0</v>
      </c>
      <c r="DX112">
        <f t="shared" si="143"/>
        <v>0</v>
      </c>
      <c r="DY112">
        <f t="shared" si="143"/>
        <v>0</v>
      </c>
      <c r="DZ112">
        <f t="shared" si="144"/>
        <v>0</v>
      </c>
      <c r="EA112">
        <f t="shared" si="144"/>
        <v>0</v>
      </c>
      <c r="EB112">
        <f t="shared" si="144"/>
        <v>0</v>
      </c>
      <c r="EC112">
        <f t="shared" si="144"/>
        <v>0</v>
      </c>
      <c r="ED112">
        <f t="shared" si="144"/>
        <v>0</v>
      </c>
      <c r="EE112">
        <f t="shared" si="144"/>
        <v>0</v>
      </c>
      <c r="EF112">
        <f t="shared" si="144"/>
        <v>0</v>
      </c>
      <c r="EG112">
        <f t="shared" si="144"/>
        <v>0</v>
      </c>
      <c r="EH112">
        <f t="shared" si="144"/>
        <v>0</v>
      </c>
      <c r="EI112">
        <f t="shared" si="144"/>
        <v>0</v>
      </c>
      <c r="EJ112">
        <f>SUM(Tabla1[[#This Row],[1]:[130]])</f>
        <v>280</v>
      </c>
    </row>
    <row r="113" spans="1:140" ht="15.75" thickBot="1" x14ac:dyDescent="0.3">
      <c r="A113" t="str">
        <f>B113&amp;"-"&amp;COUNTIF($B$2:B113,B113)</f>
        <v>I. PAPAS FRITAS-12</v>
      </c>
      <c r="B113" s="33" t="s">
        <v>13</v>
      </c>
      <c r="C113">
        <f>VLOOKUP(B113,RECETAS!D112:$E$1700,2,FALSE)</f>
        <v>0</v>
      </c>
      <c r="D113" s="32"/>
      <c r="G113" t="b">
        <f t="shared" si="92"/>
        <v>1</v>
      </c>
      <c r="I113" s="39" t="s">
        <v>658</v>
      </c>
      <c r="J113">
        <f t="shared" ref="J113:S122" si="145">IFERROR(VLOOKUP($I113&amp;"-"&amp;J$2,$A$3:$C$1700,3,FALSE),0)</f>
        <v>60</v>
      </c>
      <c r="K113">
        <f t="shared" si="145"/>
        <v>0</v>
      </c>
      <c r="L113">
        <f t="shared" si="145"/>
        <v>0</v>
      </c>
      <c r="M113">
        <f t="shared" si="145"/>
        <v>0</v>
      </c>
      <c r="N113">
        <f t="shared" si="145"/>
        <v>0</v>
      </c>
      <c r="O113">
        <f t="shared" si="145"/>
        <v>0</v>
      </c>
      <c r="P113">
        <f t="shared" si="145"/>
        <v>0</v>
      </c>
      <c r="Q113">
        <f t="shared" si="145"/>
        <v>0</v>
      </c>
      <c r="R113">
        <f t="shared" si="145"/>
        <v>0</v>
      </c>
      <c r="S113">
        <f t="shared" si="145"/>
        <v>0</v>
      </c>
      <c r="T113">
        <f t="shared" ref="T113:AC122" si="146">IFERROR(VLOOKUP($I113&amp;"-"&amp;T$2,$A$3:$C$1700,3,FALSE),0)</f>
        <v>0</v>
      </c>
      <c r="U113">
        <f t="shared" si="146"/>
        <v>0</v>
      </c>
      <c r="V113">
        <f t="shared" si="146"/>
        <v>0</v>
      </c>
      <c r="W113">
        <f t="shared" si="146"/>
        <v>0</v>
      </c>
      <c r="X113">
        <f t="shared" si="146"/>
        <v>0</v>
      </c>
      <c r="Y113">
        <f t="shared" si="146"/>
        <v>0</v>
      </c>
      <c r="Z113">
        <f t="shared" si="146"/>
        <v>0</v>
      </c>
      <c r="AA113">
        <f t="shared" si="146"/>
        <v>0</v>
      </c>
      <c r="AB113">
        <f t="shared" si="146"/>
        <v>0</v>
      </c>
      <c r="AC113">
        <f t="shared" si="146"/>
        <v>0</v>
      </c>
      <c r="AD113">
        <f t="shared" ref="AD113:AM122" si="147">IFERROR(VLOOKUP($I113&amp;"-"&amp;AD$2,$A$3:$C$1700,3,FALSE),0)</f>
        <v>0</v>
      </c>
      <c r="AE113">
        <f t="shared" si="147"/>
        <v>0</v>
      </c>
      <c r="AF113">
        <f t="shared" si="147"/>
        <v>0</v>
      </c>
      <c r="AG113">
        <f t="shared" si="147"/>
        <v>0</v>
      </c>
      <c r="AH113">
        <f t="shared" si="147"/>
        <v>0</v>
      </c>
      <c r="AI113">
        <f t="shared" si="147"/>
        <v>0</v>
      </c>
      <c r="AJ113">
        <f t="shared" si="147"/>
        <v>0</v>
      </c>
      <c r="AK113">
        <f t="shared" si="147"/>
        <v>0</v>
      </c>
      <c r="AL113">
        <f t="shared" si="147"/>
        <v>0</v>
      </c>
      <c r="AM113">
        <f t="shared" si="147"/>
        <v>0</v>
      </c>
      <c r="AN113">
        <f t="shared" ref="AN113:AW122" si="148">IFERROR(VLOOKUP($I113&amp;"-"&amp;AN$2,$A$3:$C$1700,3,FALSE),0)</f>
        <v>0</v>
      </c>
      <c r="AO113">
        <f t="shared" si="148"/>
        <v>0</v>
      </c>
      <c r="AP113">
        <f t="shared" si="148"/>
        <v>0</v>
      </c>
      <c r="AQ113">
        <f t="shared" si="148"/>
        <v>0</v>
      </c>
      <c r="AR113">
        <f t="shared" si="148"/>
        <v>0</v>
      </c>
      <c r="AS113">
        <f t="shared" si="148"/>
        <v>0</v>
      </c>
      <c r="AT113">
        <f t="shared" si="148"/>
        <v>0</v>
      </c>
      <c r="AU113">
        <f t="shared" si="148"/>
        <v>0</v>
      </c>
      <c r="AV113">
        <f t="shared" si="148"/>
        <v>0</v>
      </c>
      <c r="AW113">
        <f t="shared" si="148"/>
        <v>0</v>
      </c>
      <c r="AX113">
        <f t="shared" ref="AX113:BG122" si="149">IFERROR(VLOOKUP($I113&amp;"-"&amp;AX$2,$A$3:$C$1700,3,FALSE),0)</f>
        <v>0</v>
      </c>
      <c r="AY113">
        <f t="shared" si="149"/>
        <v>0</v>
      </c>
      <c r="AZ113">
        <f t="shared" si="149"/>
        <v>0</v>
      </c>
      <c r="BA113">
        <f t="shared" si="149"/>
        <v>0</v>
      </c>
      <c r="BB113">
        <f t="shared" si="149"/>
        <v>0</v>
      </c>
      <c r="BC113">
        <f t="shared" si="149"/>
        <v>0</v>
      </c>
      <c r="BD113">
        <f t="shared" si="149"/>
        <v>0</v>
      </c>
      <c r="BE113">
        <f t="shared" si="149"/>
        <v>0</v>
      </c>
      <c r="BF113">
        <f t="shared" si="149"/>
        <v>0</v>
      </c>
      <c r="BG113">
        <f t="shared" si="149"/>
        <v>0</v>
      </c>
      <c r="BH113">
        <f t="shared" ref="BH113:BQ122" si="150">IFERROR(VLOOKUP($I113&amp;"-"&amp;BH$2,$A$3:$C$1700,3,FALSE),0)</f>
        <v>0</v>
      </c>
      <c r="BI113">
        <f t="shared" si="150"/>
        <v>0</v>
      </c>
      <c r="BJ113">
        <f t="shared" si="150"/>
        <v>0</v>
      </c>
      <c r="BK113">
        <f t="shared" si="150"/>
        <v>0</v>
      </c>
      <c r="BL113">
        <f t="shared" si="150"/>
        <v>0</v>
      </c>
      <c r="BM113">
        <f t="shared" si="150"/>
        <v>0</v>
      </c>
      <c r="BN113">
        <f t="shared" si="150"/>
        <v>0</v>
      </c>
      <c r="BO113">
        <f t="shared" si="150"/>
        <v>0</v>
      </c>
      <c r="BP113">
        <f t="shared" si="150"/>
        <v>0</v>
      </c>
      <c r="BQ113">
        <f t="shared" si="150"/>
        <v>0</v>
      </c>
      <c r="BR113">
        <f t="shared" ref="BR113:CA122" si="151">IFERROR(VLOOKUP($I113&amp;"-"&amp;BR$2,$A$3:$C$1700,3,FALSE),0)</f>
        <v>0</v>
      </c>
      <c r="BS113">
        <f t="shared" si="151"/>
        <v>0</v>
      </c>
      <c r="BT113">
        <f t="shared" si="151"/>
        <v>0</v>
      </c>
      <c r="BU113">
        <f t="shared" si="151"/>
        <v>0</v>
      </c>
      <c r="BV113">
        <f t="shared" si="151"/>
        <v>0</v>
      </c>
      <c r="BW113">
        <f t="shared" si="151"/>
        <v>0</v>
      </c>
      <c r="BX113">
        <f t="shared" si="151"/>
        <v>0</v>
      </c>
      <c r="BY113">
        <f t="shared" si="151"/>
        <v>0</v>
      </c>
      <c r="BZ113">
        <f t="shared" si="151"/>
        <v>0</v>
      </c>
      <c r="CA113">
        <f t="shared" si="151"/>
        <v>0</v>
      </c>
      <c r="CB113">
        <f t="shared" ref="CB113:CK122" si="152">IFERROR(VLOOKUP($I113&amp;"-"&amp;CB$2,$A$3:$C$1700,3,FALSE),0)</f>
        <v>0</v>
      </c>
      <c r="CC113">
        <f t="shared" si="152"/>
        <v>0</v>
      </c>
      <c r="CD113">
        <f t="shared" si="152"/>
        <v>0</v>
      </c>
      <c r="CE113">
        <f t="shared" si="152"/>
        <v>0</v>
      </c>
      <c r="CF113">
        <f t="shared" si="152"/>
        <v>0</v>
      </c>
      <c r="CG113">
        <f t="shared" si="152"/>
        <v>0</v>
      </c>
      <c r="CH113">
        <f t="shared" si="152"/>
        <v>0</v>
      </c>
      <c r="CI113">
        <f t="shared" si="152"/>
        <v>0</v>
      </c>
      <c r="CJ113">
        <f t="shared" si="152"/>
        <v>0</v>
      </c>
      <c r="CK113">
        <f t="shared" si="152"/>
        <v>0</v>
      </c>
      <c r="CL113">
        <f t="shared" ref="CL113:CU122" si="153">IFERROR(VLOOKUP($I113&amp;"-"&amp;CL$2,$A$3:$C$1700,3,FALSE),0)</f>
        <v>0</v>
      </c>
      <c r="CM113">
        <f t="shared" si="153"/>
        <v>0</v>
      </c>
      <c r="CN113">
        <f t="shared" si="153"/>
        <v>0</v>
      </c>
      <c r="CO113">
        <f t="shared" si="153"/>
        <v>0</v>
      </c>
      <c r="CP113">
        <f t="shared" si="153"/>
        <v>0</v>
      </c>
      <c r="CQ113">
        <f t="shared" si="153"/>
        <v>0</v>
      </c>
      <c r="CR113">
        <f t="shared" si="153"/>
        <v>0</v>
      </c>
      <c r="CS113">
        <f t="shared" si="153"/>
        <v>0</v>
      </c>
      <c r="CT113">
        <f t="shared" si="153"/>
        <v>0</v>
      </c>
      <c r="CU113">
        <f t="shared" si="153"/>
        <v>0</v>
      </c>
      <c r="CV113">
        <f t="shared" ref="CV113:DE122" si="154">IFERROR(VLOOKUP($I113&amp;"-"&amp;CV$2,$A$3:$C$1700,3,FALSE),0)</f>
        <v>0</v>
      </c>
      <c r="CW113">
        <f t="shared" si="154"/>
        <v>0</v>
      </c>
      <c r="CX113">
        <f t="shared" si="154"/>
        <v>0</v>
      </c>
      <c r="CY113">
        <f t="shared" si="154"/>
        <v>0</v>
      </c>
      <c r="CZ113">
        <f t="shared" si="154"/>
        <v>0</v>
      </c>
      <c r="DA113">
        <f t="shared" si="154"/>
        <v>0</v>
      </c>
      <c r="DB113">
        <f t="shared" si="154"/>
        <v>0</v>
      </c>
      <c r="DC113">
        <f t="shared" si="154"/>
        <v>0</v>
      </c>
      <c r="DD113">
        <f t="shared" si="154"/>
        <v>0</v>
      </c>
      <c r="DE113">
        <f t="shared" si="154"/>
        <v>0</v>
      </c>
      <c r="DF113">
        <f t="shared" ref="DF113:DO122" si="155">IFERROR(VLOOKUP($I113&amp;"-"&amp;DF$2,$A$3:$C$1700,3,FALSE),0)</f>
        <v>0</v>
      </c>
      <c r="DG113">
        <f t="shared" si="155"/>
        <v>0</v>
      </c>
      <c r="DH113">
        <f t="shared" si="155"/>
        <v>0</v>
      </c>
      <c r="DI113">
        <f t="shared" si="155"/>
        <v>0</v>
      </c>
      <c r="DJ113">
        <f t="shared" si="155"/>
        <v>0</v>
      </c>
      <c r="DK113">
        <f t="shared" si="155"/>
        <v>0</v>
      </c>
      <c r="DL113">
        <f t="shared" si="155"/>
        <v>0</v>
      </c>
      <c r="DM113">
        <f t="shared" si="155"/>
        <v>0</v>
      </c>
      <c r="DN113">
        <f t="shared" si="155"/>
        <v>0</v>
      </c>
      <c r="DO113">
        <f t="shared" si="155"/>
        <v>0</v>
      </c>
      <c r="DP113">
        <f t="shared" ref="DP113:DY122" si="156">IFERROR(VLOOKUP($I113&amp;"-"&amp;DP$2,$A$3:$C$1700,3,FALSE),0)</f>
        <v>0</v>
      </c>
      <c r="DQ113">
        <f t="shared" si="156"/>
        <v>0</v>
      </c>
      <c r="DR113">
        <f t="shared" si="156"/>
        <v>0</v>
      </c>
      <c r="DS113">
        <f t="shared" si="156"/>
        <v>0</v>
      </c>
      <c r="DT113">
        <f t="shared" si="156"/>
        <v>0</v>
      </c>
      <c r="DU113">
        <f t="shared" si="156"/>
        <v>0</v>
      </c>
      <c r="DV113">
        <f t="shared" si="156"/>
        <v>0</v>
      </c>
      <c r="DW113">
        <f t="shared" si="156"/>
        <v>0</v>
      </c>
      <c r="DX113">
        <f t="shared" si="156"/>
        <v>0</v>
      </c>
      <c r="DY113">
        <f t="shared" si="156"/>
        <v>0</v>
      </c>
      <c r="DZ113">
        <f t="shared" ref="DZ113:EI122" si="157">IFERROR(VLOOKUP($I113&amp;"-"&amp;DZ$2,$A$3:$C$1700,3,FALSE),0)</f>
        <v>0</v>
      </c>
      <c r="EA113">
        <f t="shared" si="157"/>
        <v>0</v>
      </c>
      <c r="EB113">
        <f t="shared" si="157"/>
        <v>0</v>
      </c>
      <c r="EC113">
        <f t="shared" si="157"/>
        <v>0</v>
      </c>
      <c r="ED113">
        <f t="shared" si="157"/>
        <v>0</v>
      </c>
      <c r="EE113">
        <f t="shared" si="157"/>
        <v>0</v>
      </c>
      <c r="EF113">
        <f t="shared" si="157"/>
        <v>0</v>
      </c>
      <c r="EG113">
        <f t="shared" si="157"/>
        <v>0</v>
      </c>
      <c r="EH113">
        <f t="shared" si="157"/>
        <v>0</v>
      </c>
      <c r="EI113">
        <f t="shared" si="157"/>
        <v>0</v>
      </c>
      <c r="EJ113">
        <f>SUM(Tabla1[[#This Row],[1]:[130]])</f>
        <v>60</v>
      </c>
    </row>
    <row r="114" spans="1:140" x14ac:dyDescent="0.25">
      <c r="A114" t="str">
        <f>B114&amp;"-"&amp;COUNTIF($B$2:B114,B114)</f>
        <v>I. SALMON DE 250-1</v>
      </c>
      <c r="B114" s="26" t="s">
        <v>36</v>
      </c>
      <c r="C114">
        <f>VLOOKUP(B114,RECETAS!D113:$E$1700,2,FALSE)</f>
        <v>4</v>
      </c>
      <c r="D114" s="25" t="s">
        <v>326</v>
      </c>
      <c r="G114" t="b">
        <f t="shared" si="92"/>
        <v>1</v>
      </c>
      <c r="I114" s="37" t="s">
        <v>636</v>
      </c>
      <c r="J114">
        <f t="shared" si="145"/>
        <v>0</v>
      </c>
      <c r="K114">
        <f t="shared" si="145"/>
        <v>30</v>
      </c>
      <c r="L114">
        <f t="shared" si="145"/>
        <v>2.5</v>
      </c>
      <c r="M114">
        <f t="shared" si="145"/>
        <v>0</v>
      </c>
      <c r="N114">
        <f t="shared" si="145"/>
        <v>0.5</v>
      </c>
      <c r="O114">
        <f t="shared" si="145"/>
        <v>0</v>
      </c>
      <c r="P114">
        <f t="shared" si="145"/>
        <v>0</v>
      </c>
      <c r="Q114">
        <f t="shared" si="145"/>
        <v>0</v>
      </c>
      <c r="R114">
        <f t="shared" si="145"/>
        <v>0.5</v>
      </c>
      <c r="S114">
        <f t="shared" si="145"/>
        <v>0</v>
      </c>
      <c r="T114">
        <f t="shared" si="146"/>
        <v>0</v>
      </c>
      <c r="U114">
        <f t="shared" si="146"/>
        <v>2</v>
      </c>
      <c r="V114">
        <f t="shared" si="146"/>
        <v>36</v>
      </c>
      <c r="W114">
        <f t="shared" si="146"/>
        <v>1</v>
      </c>
      <c r="X114">
        <f t="shared" si="146"/>
        <v>1</v>
      </c>
      <c r="Y114">
        <f t="shared" si="146"/>
        <v>1</v>
      </c>
      <c r="Z114">
        <f t="shared" si="146"/>
        <v>2</v>
      </c>
      <c r="AA114">
        <f t="shared" si="146"/>
        <v>42</v>
      </c>
      <c r="AB114">
        <f t="shared" si="146"/>
        <v>0</v>
      </c>
      <c r="AC114">
        <f t="shared" si="146"/>
        <v>21</v>
      </c>
      <c r="AD114">
        <f t="shared" si="147"/>
        <v>0</v>
      </c>
      <c r="AE114">
        <f t="shared" si="147"/>
        <v>3</v>
      </c>
      <c r="AF114">
        <f t="shared" si="147"/>
        <v>0</v>
      </c>
      <c r="AG114">
        <f t="shared" si="147"/>
        <v>0</v>
      </c>
      <c r="AH114">
        <f t="shared" si="147"/>
        <v>0</v>
      </c>
      <c r="AI114">
        <f t="shared" si="147"/>
        <v>0</v>
      </c>
      <c r="AJ114">
        <f t="shared" si="147"/>
        <v>0</v>
      </c>
      <c r="AK114">
        <f t="shared" si="147"/>
        <v>0</v>
      </c>
      <c r="AL114">
        <f t="shared" si="147"/>
        <v>0</v>
      </c>
      <c r="AM114">
        <f t="shared" si="147"/>
        <v>0</v>
      </c>
      <c r="AN114">
        <f t="shared" si="148"/>
        <v>0</v>
      </c>
      <c r="AO114">
        <f t="shared" si="148"/>
        <v>0</v>
      </c>
      <c r="AP114">
        <f t="shared" si="148"/>
        <v>0</v>
      </c>
      <c r="AQ114">
        <f t="shared" si="148"/>
        <v>6</v>
      </c>
      <c r="AR114">
        <f t="shared" si="148"/>
        <v>3</v>
      </c>
      <c r="AS114">
        <f t="shared" si="148"/>
        <v>0</v>
      </c>
      <c r="AT114">
        <f t="shared" si="148"/>
        <v>3</v>
      </c>
      <c r="AU114">
        <f t="shared" si="148"/>
        <v>6</v>
      </c>
      <c r="AV114">
        <f t="shared" si="148"/>
        <v>0</v>
      </c>
      <c r="AW114">
        <f t="shared" si="148"/>
        <v>36</v>
      </c>
      <c r="AX114">
        <f t="shared" si="149"/>
        <v>1</v>
      </c>
      <c r="AY114">
        <f t="shared" si="149"/>
        <v>0</v>
      </c>
      <c r="AZ114">
        <f t="shared" si="149"/>
        <v>0.5</v>
      </c>
      <c r="BA114">
        <f t="shared" si="149"/>
        <v>0</v>
      </c>
      <c r="BB114">
        <f t="shared" si="149"/>
        <v>5</v>
      </c>
      <c r="BC114">
        <f t="shared" si="149"/>
        <v>7</v>
      </c>
      <c r="BD114">
        <f t="shared" si="149"/>
        <v>9</v>
      </c>
      <c r="BE114">
        <f t="shared" si="149"/>
        <v>23</v>
      </c>
      <c r="BF114">
        <f t="shared" si="149"/>
        <v>21</v>
      </c>
      <c r="BG114">
        <f t="shared" si="149"/>
        <v>168</v>
      </c>
      <c r="BH114">
        <f t="shared" si="150"/>
        <v>3</v>
      </c>
      <c r="BI114">
        <f t="shared" si="150"/>
        <v>5</v>
      </c>
      <c r="BJ114">
        <f t="shared" si="150"/>
        <v>4</v>
      </c>
      <c r="BK114">
        <f t="shared" si="150"/>
        <v>3</v>
      </c>
      <c r="BL114">
        <f t="shared" si="150"/>
        <v>0</v>
      </c>
      <c r="BM114">
        <f t="shared" si="150"/>
        <v>0</v>
      </c>
      <c r="BN114">
        <f t="shared" si="150"/>
        <v>0</v>
      </c>
      <c r="BO114">
        <f t="shared" si="150"/>
        <v>0</v>
      </c>
      <c r="BP114">
        <f t="shared" si="150"/>
        <v>0</v>
      </c>
      <c r="BQ114">
        <f t="shared" si="150"/>
        <v>0</v>
      </c>
      <c r="BR114">
        <f t="shared" si="151"/>
        <v>0</v>
      </c>
      <c r="BS114">
        <f t="shared" si="151"/>
        <v>0</v>
      </c>
      <c r="BT114">
        <f t="shared" si="151"/>
        <v>0</v>
      </c>
      <c r="BU114">
        <f t="shared" si="151"/>
        <v>0</v>
      </c>
      <c r="BV114">
        <f t="shared" si="151"/>
        <v>0</v>
      </c>
      <c r="BW114">
        <f t="shared" si="151"/>
        <v>0</v>
      </c>
      <c r="BX114">
        <f t="shared" si="151"/>
        <v>0</v>
      </c>
      <c r="BY114">
        <f t="shared" si="151"/>
        <v>0</v>
      </c>
      <c r="BZ114">
        <f t="shared" si="151"/>
        <v>0</v>
      </c>
      <c r="CA114">
        <f t="shared" si="151"/>
        <v>0</v>
      </c>
      <c r="CB114">
        <f t="shared" si="152"/>
        <v>0</v>
      </c>
      <c r="CC114">
        <f t="shared" si="152"/>
        <v>0</v>
      </c>
      <c r="CD114">
        <f t="shared" si="152"/>
        <v>0</v>
      </c>
      <c r="CE114">
        <f t="shared" si="152"/>
        <v>0</v>
      </c>
      <c r="CF114">
        <f t="shared" si="152"/>
        <v>0</v>
      </c>
      <c r="CG114">
        <f t="shared" si="152"/>
        <v>0</v>
      </c>
      <c r="CH114">
        <f t="shared" si="152"/>
        <v>0</v>
      </c>
      <c r="CI114">
        <f t="shared" si="152"/>
        <v>0</v>
      </c>
      <c r="CJ114">
        <f t="shared" si="152"/>
        <v>0</v>
      </c>
      <c r="CK114">
        <f t="shared" si="152"/>
        <v>0</v>
      </c>
      <c r="CL114">
        <f t="shared" si="153"/>
        <v>0</v>
      </c>
      <c r="CM114">
        <f t="shared" si="153"/>
        <v>0</v>
      </c>
      <c r="CN114">
        <f t="shared" si="153"/>
        <v>0</v>
      </c>
      <c r="CO114">
        <f t="shared" si="153"/>
        <v>0</v>
      </c>
      <c r="CP114">
        <f t="shared" si="153"/>
        <v>0</v>
      </c>
      <c r="CQ114">
        <f t="shared" si="153"/>
        <v>0</v>
      </c>
      <c r="CR114">
        <f t="shared" si="153"/>
        <v>0</v>
      </c>
      <c r="CS114">
        <f t="shared" si="153"/>
        <v>0</v>
      </c>
      <c r="CT114">
        <f t="shared" si="153"/>
        <v>0</v>
      </c>
      <c r="CU114">
        <f t="shared" si="153"/>
        <v>0</v>
      </c>
      <c r="CV114">
        <f t="shared" si="154"/>
        <v>0</v>
      </c>
      <c r="CW114">
        <f t="shared" si="154"/>
        <v>0</v>
      </c>
      <c r="CX114">
        <f t="shared" si="154"/>
        <v>0</v>
      </c>
      <c r="CY114">
        <f t="shared" si="154"/>
        <v>0</v>
      </c>
      <c r="CZ114">
        <f t="shared" si="154"/>
        <v>0</v>
      </c>
      <c r="DA114">
        <f t="shared" si="154"/>
        <v>0</v>
      </c>
      <c r="DB114">
        <f t="shared" si="154"/>
        <v>0</v>
      </c>
      <c r="DC114">
        <f t="shared" si="154"/>
        <v>0</v>
      </c>
      <c r="DD114">
        <f t="shared" si="154"/>
        <v>0</v>
      </c>
      <c r="DE114">
        <f t="shared" si="154"/>
        <v>0</v>
      </c>
      <c r="DF114">
        <f t="shared" si="155"/>
        <v>0</v>
      </c>
      <c r="DG114">
        <f t="shared" si="155"/>
        <v>0</v>
      </c>
      <c r="DH114">
        <f t="shared" si="155"/>
        <v>0</v>
      </c>
      <c r="DI114">
        <f t="shared" si="155"/>
        <v>0</v>
      </c>
      <c r="DJ114">
        <f t="shared" si="155"/>
        <v>0</v>
      </c>
      <c r="DK114">
        <f t="shared" si="155"/>
        <v>0</v>
      </c>
      <c r="DL114">
        <f t="shared" si="155"/>
        <v>0</v>
      </c>
      <c r="DM114">
        <f t="shared" si="155"/>
        <v>0</v>
      </c>
      <c r="DN114">
        <f t="shared" si="155"/>
        <v>0</v>
      </c>
      <c r="DO114">
        <f t="shared" si="155"/>
        <v>0</v>
      </c>
      <c r="DP114">
        <f t="shared" si="156"/>
        <v>0</v>
      </c>
      <c r="DQ114">
        <f t="shared" si="156"/>
        <v>0</v>
      </c>
      <c r="DR114">
        <f t="shared" si="156"/>
        <v>0</v>
      </c>
      <c r="DS114">
        <f t="shared" si="156"/>
        <v>0</v>
      </c>
      <c r="DT114">
        <f t="shared" si="156"/>
        <v>0</v>
      </c>
      <c r="DU114">
        <f t="shared" si="156"/>
        <v>0</v>
      </c>
      <c r="DV114">
        <f t="shared" si="156"/>
        <v>0</v>
      </c>
      <c r="DW114">
        <f t="shared" si="156"/>
        <v>0</v>
      </c>
      <c r="DX114">
        <f t="shared" si="156"/>
        <v>0</v>
      </c>
      <c r="DY114">
        <f t="shared" si="156"/>
        <v>0</v>
      </c>
      <c r="DZ114">
        <f t="shared" si="157"/>
        <v>0</v>
      </c>
      <c r="EA114">
        <f t="shared" si="157"/>
        <v>0</v>
      </c>
      <c r="EB114">
        <f t="shared" si="157"/>
        <v>0</v>
      </c>
      <c r="EC114">
        <f t="shared" si="157"/>
        <v>0</v>
      </c>
      <c r="ED114">
        <f t="shared" si="157"/>
        <v>0</v>
      </c>
      <c r="EE114">
        <f t="shared" si="157"/>
        <v>0</v>
      </c>
      <c r="EF114">
        <f t="shared" si="157"/>
        <v>0</v>
      </c>
      <c r="EG114">
        <f t="shared" si="157"/>
        <v>0</v>
      </c>
      <c r="EH114">
        <f t="shared" si="157"/>
        <v>0</v>
      </c>
      <c r="EI114">
        <f t="shared" si="157"/>
        <v>0</v>
      </c>
      <c r="EJ114">
        <f>SUM(Tabla1[[#This Row],[1]:[130]])</f>
        <v>446</v>
      </c>
    </row>
    <row r="115" spans="1:140" x14ac:dyDescent="0.25">
      <c r="A115" t="str">
        <f>B115&amp;"-"&amp;COUNTIF($B$2:B115,B115)</f>
        <v>I. PALTA UNIDAD-2</v>
      </c>
      <c r="B115" s="35" t="s">
        <v>102</v>
      </c>
      <c r="C115">
        <f>VLOOKUP(B115,RECETAS!D114:$E$1700,2,FALSE)</f>
        <v>2</v>
      </c>
      <c r="D115" s="34"/>
      <c r="G115" t="b">
        <f t="shared" si="92"/>
        <v>1</v>
      </c>
      <c r="I115" s="35" t="s">
        <v>11</v>
      </c>
      <c r="J115">
        <f t="shared" si="145"/>
        <v>0</v>
      </c>
      <c r="K115">
        <f t="shared" si="145"/>
        <v>5</v>
      </c>
      <c r="L115">
        <f t="shared" si="145"/>
        <v>14</v>
      </c>
      <c r="M115">
        <f t="shared" si="145"/>
        <v>7</v>
      </c>
      <c r="N115">
        <f t="shared" si="145"/>
        <v>12</v>
      </c>
      <c r="O115">
        <f t="shared" si="145"/>
        <v>0</v>
      </c>
      <c r="P115">
        <f t="shared" si="145"/>
        <v>0</v>
      </c>
      <c r="Q115">
        <f t="shared" si="145"/>
        <v>0</v>
      </c>
      <c r="R115">
        <f t="shared" si="145"/>
        <v>0</v>
      </c>
      <c r="S115">
        <f t="shared" si="145"/>
        <v>0</v>
      </c>
      <c r="T115">
        <f t="shared" si="146"/>
        <v>0</v>
      </c>
      <c r="U115">
        <f t="shared" si="146"/>
        <v>0</v>
      </c>
      <c r="V115">
        <f t="shared" si="146"/>
        <v>0</v>
      </c>
      <c r="W115">
        <f t="shared" si="146"/>
        <v>0</v>
      </c>
      <c r="X115">
        <f t="shared" si="146"/>
        <v>0</v>
      </c>
      <c r="Y115">
        <f t="shared" si="146"/>
        <v>0</v>
      </c>
      <c r="Z115">
        <f t="shared" si="146"/>
        <v>0</v>
      </c>
      <c r="AA115">
        <f t="shared" si="146"/>
        <v>0</v>
      </c>
      <c r="AB115">
        <f t="shared" si="146"/>
        <v>0</v>
      </c>
      <c r="AC115">
        <f t="shared" si="146"/>
        <v>0</v>
      </c>
      <c r="AD115">
        <f t="shared" si="147"/>
        <v>0</v>
      </c>
      <c r="AE115">
        <f t="shared" si="147"/>
        <v>0</v>
      </c>
      <c r="AF115">
        <f t="shared" si="147"/>
        <v>0</v>
      </c>
      <c r="AG115">
        <f t="shared" si="147"/>
        <v>0</v>
      </c>
      <c r="AH115">
        <f t="shared" si="147"/>
        <v>0</v>
      </c>
      <c r="AI115">
        <f t="shared" si="147"/>
        <v>0</v>
      </c>
      <c r="AJ115">
        <f t="shared" si="147"/>
        <v>0</v>
      </c>
      <c r="AK115">
        <f t="shared" si="147"/>
        <v>0</v>
      </c>
      <c r="AL115">
        <f t="shared" si="147"/>
        <v>0</v>
      </c>
      <c r="AM115">
        <f t="shared" si="147"/>
        <v>0</v>
      </c>
      <c r="AN115">
        <f t="shared" si="148"/>
        <v>0</v>
      </c>
      <c r="AO115">
        <f t="shared" si="148"/>
        <v>0</v>
      </c>
      <c r="AP115">
        <f t="shared" si="148"/>
        <v>0</v>
      </c>
      <c r="AQ115">
        <f t="shared" si="148"/>
        <v>0</v>
      </c>
      <c r="AR115">
        <f t="shared" si="148"/>
        <v>0</v>
      </c>
      <c r="AS115">
        <f t="shared" si="148"/>
        <v>0</v>
      </c>
      <c r="AT115">
        <f t="shared" si="148"/>
        <v>0</v>
      </c>
      <c r="AU115">
        <f t="shared" si="148"/>
        <v>0</v>
      </c>
      <c r="AV115">
        <f t="shared" si="148"/>
        <v>0</v>
      </c>
      <c r="AW115">
        <f t="shared" si="148"/>
        <v>0</v>
      </c>
      <c r="AX115">
        <f t="shared" si="149"/>
        <v>0</v>
      </c>
      <c r="AY115">
        <f t="shared" si="149"/>
        <v>0</v>
      </c>
      <c r="AZ115">
        <f t="shared" si="149"/>
        <v>0</v>
      </c>
      <c r="BA115">
        <f t="shared" si="149"/>
        <v>0</v>
      </c>
      <c r="BB115">
        <f t="shared" si="149"/>
        <v>0</v>
      </c>
      <c r="BC115">
        <f t="shared" si="149"/>
        <v>0</v>
      </c>
      <c r="BD115">
        <f t="shared" si="149"/>
        <v>0</v>
      </c>
      <c r="BE115">
        <f t="shared" si="149"/>
        <v>0</v>
      </c>
      <c r="BF115">
        <f t="shared" si="149"/>
        <v>0</v>
      </c>
      <c r="BG115">
        <f t="shared" si="149"/>
        <v>0</v>
      </c>
      <c r="BH115">
        <f t="shared" si="150"/>
        <v>0</v>
      </c>
      <c r="BI115">
        <f t="shared" si="150"/>
        <v>0</v>
      </c>
      <c r="BJ115">
        <f t="shared" si="150"/>
        <v>0</v>
      </c>
      <c r="BK115">
        <f t="shared" si="150"/>
        <v>0</v>
      </c>
      <c r="BL115">
        <f t="shared" si="150"/>
        <v>0</v>
      </c>
      <c r="BM115">
        <f t="shared" si="150"/>
        <v>0</v>
      </c>
      <c r="BN115">
        <f t="shared" si="150"/>
        <v>0</v>
      </c>
      <c r="BO115">
        <f t="shared" si="150"/>
        <v>0</v>
      </c>
      <c r="BP115">
        <f t="shared" si="150"/>
        <v>0</v>
      </c>
      <c r="BQ115">
        <f t="shared" si="150"/>
        <v>0</v>
      </c>
      <c r="BR115">
        <f t="shared" si="151"/>
        <v>0</v>
      </c>
      <c r="BS115">
        <f t="shared" si="151"/>
        <v>0</v>
      </c>
      <c r="BT115">
        <f t="shared" si="151"/>
        <v>0</v>
      </c>
      <c r="BU115">
        <f t="shared" si="151"/>
        <v>0</v>
      </c>
      <c r="BV115">
        <f t="shared" si="151"/>
        <v>0</v>
      </c>
      <c r="BW115">
        <f t="shared" si="151"/>
        <v>0</v>
      </c>
      <c r="BX115">
        <f t="shared" si="151"/>
        <v>0</v>
      </c>
      <c r="BY115">
        <f t="shared" si="151"/>
        <v>0</v>
      </c>
      <c r="BZ115">
        <f t="shared" si="151"/>
        <v>0</v>
      </c>
      <c r="CA115">
        <f t="shared" si="151"/>
        <v>0</v>
      </c>
      <c r="CB115">
        <f t="shared" si="152"/>
        <v>0</v>
      </c>
      <c r="CC115">
        <f t="shared" si="152"/>
        <v>0</v>
      </c>
      <c r="CD115">
        <f t="shared" si="152"/>
        <v>0</v>
      </c>
      <c r="CE115">
        <f t="shared" si="152"/>
        <v>0</v>
      </c>
      <c r="CF115">
        <f t="shared" si="152"/>
        <v>0</v>
      </c>
      <c r="CG115">
        <f t="shared" si="152"/>
        <v>0</v>
      </c>
      <c r="CH115">
        <f t="shared" si="152"/>
        <v>0</v>
      </c>
      <c r="CI115">
        <f t="shared" si="152"/>
        <v>0</v>
      </c>
      <c r="CJ115">
        <f t="shared" si="152"/>
        <v>0</v>
      </c>
      <c r="CK115">
        <f t="shared" si="152"/>
        <v>0</v>
      </c>
      <c r="CL115">
        <f t="shared" si="153"/>
        <v>0</v>
      </c>
      <c r="CM115">
        <f t="shared" si="153"/>
        <v>0</v>
      </c>
      <c r="CN115">
        <f t="shared" si="153"/>
        <v>0</v>
      </c>
      <c r="CO115">
        <f t="shared" si="153"/>
        <v>0</v>
      </c>
      <c r="CP115">
        <f t="shared" si="153"/>
        <v>0</v>
      </c>
      <c r="CQ115">
        <f t="shared" si="153"/>
        <v>0</v>
      </c>
      <c r="CR115">
        <f t="shared" si="153"/>
        <v>0</v>
      </c>
      <c r="CS115">
        <f t="shared" si="153"/>
        <v>0</v>
      </c>
      <c r="CT115">
        <f t="shared" si="153"/>
        <v>0</v>
      </c>
      <c r="CU115">
        <f t="shared" si="153"/>
        <v>0</v>
      </c>
      <c r="CV115">
        <f t="shared" si="154"/>
        <v>0</v>
      </c>
      <c r="CW115">
        <f t="shared" si="154"/>
        <v>0</v>
      </c>
      <c r="CX115">
        <f t="shared" si="154"/>
        <v>0</v>
      </c>
      <c r="CY115">
        <f t="shared" si="154"/>
        <v>0</v>
      </c>
      <c r="CZ115">
        <f t="shared" si="154"/>
        <v>0</v>
      </c>
      <c r="DA115">
        <f t="shared" si="154"/>
        <v>0</v>
      </c>
      <c r="DB115">
        <f t="shared" si="154"/>
        <v>0</v>
      </c>
      <c r="DC115">
        <f t="shared" si="154"/>
        <v>0</v>
      </c>
      <c r="DD115">
        <f t="shared" si="154"/>
        <v>0</v>
      </c>
      <c r="DE115">
        <f t="shared" si="154"/>
        <v>0</v>
      </c>
      <c r="DF115">
        <f t="shared" si="155"/>
        <v>0</v>
      </c>
      <c r="DG115">
        <f t="shared" si="155"/>
        <v>0</v>
      </c>
      <c r="DH115">
        <f t="shared" si="155"/>
        <v>0</v>
      </c>
      <c r="DI115">
        <f t="shared" si="155"/>
        <v>0</v>
      </c>
      <c r="DJ115">
        <f t="shared" si="155"/>
        <v>0</v>
      </c>
      <c r="DK115">
        <f t="shared" si="155"/>
        <v>0</v>
      </c>
      <c r="DL115">
        <f t="shared" si="155"/>
        <v>0</v>
      </c>
      <c r="DM115">
        <f t="shared" si="155"/>
        <v>0</v>
      </c>
      <c r="DN115">
        <f t="shared" si="155"/>
        <v>0</v>
      </c>
      <c r="DO115">
        <f t="shared" si="155"/>
        <v>0</v>
      </c>
      <c r="DP115">
        <f t="shared" si="156"/>
        <v>0</v>
      </c>
      <c r="DQ115">
        <f t="shared" si="156"/>
        <v>0</v>
      </c>
      <c r="DR115">
        <f t="shared" si="156"/>
        <v>0</v>
      </c>
      <c r="DS115">
        <f t="shared" si="156"/>
        <v>0</v>
      </c>
      <c r="DT115">
        <f t="shared" si="156"/>
        <v>0</v>
      </c>
      <c r="DU115">
        <f t="shared" si="156"/>
        <v>0</v>
      </c>
      <c r="DV115">
        <f t="shared" si="156"/>
        <v>0</v>
      </c>
      <c r="DW115">
        <f t="shared" si="156"/>
        <v>0</v>
      </c>
      <c r="DX115">
        <f t="shared" si="156"/>
        <v>0</v>
      </c>
      <c r="DY115">
        <f t="shared" si="156"/>
        <v>0</v>
      </c>
      <c r="DZ115">
        <f t="shared" si="157"/>
        <v>0</v>
      </c>
      <c r="EA115">
        <f t="shared" si="157"/>
        <v>0</v>
      </c>
      <c r="EB115">
        <f t="shared" si="157"/>
        <v>0</v>
      </c>
      <c r="EC115">
        <f t="shared" si="157"/>
        <v>0</v>
      </c>
      <c r="ED115">
        <f t="shared" si="157"/>
        <v>0</v>
      </c>
      <c r="EE115">
        <f t="shared" si="157"/>
        <v>0</v>
      </c>
      <c r="EF115">
        <f t="shared" si="157"/>
        <v>0</v>
      </c>
      <c r="EG115">
        <f t="shared" si="157"/>
        <v>0</v>
      </c>
      <c r="EH115">
        <f t="shared" si="157"/>
        <v>0</v>
      </c>
      <c r="EI115">
        <f t="shared" si="157"/>
        <v>0</v>
      </c>
      <c r="EJ115">
        <f>SUM(Tabla1[[#This Row],[1]:[130]])</f>
        <v>38</v>
      </c>
    </row>
    <row r="116" spans="1:140" x14ac:dyDescent="0.25">
      <c r="A116" t="str">
        <f>B116&amp;"-"&amp;COUNTIF($B$2:B116,B116)</f>
        <v>I. BAGUETTE-4</v>
      </c>
      <c r="B116" s="33" t="s">
        <v>311</v>
      </c>
      <c r="C116">
        <f>VLOOKUP(B116,RECETAS!D115:$E$1700,2,FALSE)</f>
        <v>8</v>
      </c>
      <c r="D116" s="32"/>
      <c r="G116" t="b">
        <f t="shared" si="92"/>
        <v>1</v>
      </c>
      <c r="I116" s="40" t="s">
        <v>92</v>
      </c>
      <c r="J116">
        <f t="shared" si="145"/>
        <v>1</v>
      </c>
      <c r="K116">
        <f t="shared" si="145"/>
        <v>4</v>
      </c>
      <c r="L116">
        <f t="shared" si="145"/>
        <v>0</v>
      </c>
      <c r="M116">
        <f t="shared" si="145"/>
        <v>0</v>
      </c>
      <c r="N116">
        <f t="shared" si="145"/>
        <v>0</v>
      </c>
      <c r="O116">
        <f t="shared" si="145"/>
        <v>0</v>
      </c>
      <c r="P116">
        <f t="shared" si="145"/>
        <v>0</v>
      </c>
      <c r="Q116">
        <f t="shared" si="145"/>
        <v>0</v>
      </c>
      <c r="R116">
        <f t="shared" si="145"/>
        <v>0</v>
      </c>
      <c r="S116">
        <f t="shared" si="145"/>
        <v>0</v>
      </c>
      <c r="T116">
        <f t="shared" si="146"/>
        <v>0</v>
      </c>
      <c r="U116">
        <f t="shared" si="146"/>
        <v>0</v>
      </c>
      <c r="V116">
        <f t="shared" si="146"/>
        <v>0</v>
      </c>
      <c r="W116">
        <f t="shared" si="146"/>
        <v>0</v>
      </c>
      <c r="X116">
        <f t="shared" si="146"/>
        <v>0</v>
      </c>
      <c r="Y116">
        <f t="shared" si="146"/>
        <v>0</v>
      </c>
      <c r="Z116">
        <f t="shared" si="146"/>
        <v>0</v>
      </c>
      <c r="AA116">
        <f t="shared" si="146"/>
        <v>0</v>
      </c>
      <c r="AB116">
        <f t="shared" si="146"/>
        <v>0</v>
      </c>
      <c r="AC116">
        <f t="shared" si="146"/>
        <v>0</v>
      </c>
      <c r="AD116">
        <f t="shared" si="147"/>
        <v>0</v>
      </c>
      <c r="AE116">
        <f t="shared" si="147"/>
        <v>0</v>
      </c>
      <c r="AF116">
        <f t="shared" si="147"/>
        <v>0</v>
      </c>
      <c r="AG116">
        <f t="shared" si="147"/>
        <v>0</v>
      </c>
      <c r="AH116">
        <f t="shared" si="147"/>
        <v>0</v>
      </c>
      <c r="AI116">
        <f t="shared" si="147"/>
        <v>0</v>
      </c>
      <c r="AJ116">
        <f t="shared" si="147"/>
        <v>0</v>
      </c>
      <c r="AK116">
        <f t="shared" si="147"/>
        <v>0</v>
      </c>
      <c r="AL116">
        <f t="shared" si="147"/>
        <v>0</v>
      </c>
      <c r="AM116">
        <f t="shared" si="147"/>
        <v>0</v>
      </c>
      <c r="AN116">
        <f t="shared" si="148"/>
        <v>0</v>
      </c>
      <c r="AO116">
        <f t="shared" si="148"/>
        <v>0</v>
      </c>
      <c r="AP116">
        <f t="shared" si="148"/>
        <v>0</v>
      </c>
      <c r="AQ116">
        <f t="shared" si="148"/>
        <v>0</v>
      </c>
      <c r="AR116">
        <f t="shared" si="148"/>
        <v>0</v>
      </c>
      <c r="AS116">
        <f t="shared" si="148"/>
        <v>0</v>
      </c>
      <c r="AT116">
        <f t="shared" si="148"/>
        <v>0</v>
      </c>
      <c r="AU116">
        <f t="shared" si="148"/>
        <v>0</v>
      </c>
      <c r="AV116">
        <f t="shared" si="148"/>
        <v>0</v>
      </c>
      <c r="AW116">
        <f t="shared" si="148"/>
        <v>0</v>
      </c>
      <c r="AX116">
        <f t="shared" si="149"/>
        <v>0</v>
      </c>
      <c r="AY116">
        <f t="shared" si="149"/>
        <v>0</v>
      </c>
      <c r="AZ116">
        <f t="shared" si="149"/>
        <v>0</v>
      </c>
      <c r="BA116">
        <f t="shared" si="149"/>
        <v>0</v>
      </c>
      <c r="BB116">
        <f t="shared" si="149"/>
        <v>0</v>
      </c>
      <c r="BC116">
        <f t="shared" si="149"/>
        <v>0</v>
      </c>
      <c r="BD116">
        <f t="shared" si="149"/>
        <v>0</v>
      </c>
      <c r="BE116">
        <f t="shared" si="149"/>
        <v>0</v>
      </c>
      <c r="BF116">
        <f t="shared" si="149"/>
        <v>0</v>
      </c>
      <c r="BG116">
        <f t="shared" si="149"/>
        <v>0</v>
      </c>
      <c r="BH116">
        <f t="shared" si="150"/>
        <v>0</v>
      </c>
      <c r="BI116">
        <f t="shared" si="150"/>
        <v>0</v>
      </c>
      <c r="BJ116">
        <f t="shared" si="150"/>
        <v>0</v>
      </c>
      <c r="BK116">
        <f t="shared" si="150"/>
        <v>0</v>
      </c>
      <c r="BL116">
        <f t="shared" si="150"/>
        <v>0</v>
      </c>
      <c r="BM116">
        <f t="shared" si="150"/>
        <v>0</v>
      </c>
      <c r="BN116">
        <f t="shared" si="150"/>
        <v>0</v>
      </c>
      <c r="BO116">
        <f t="shared" si="150"/>
        <v>0</v>
      </c>
      <c r="BP116">
        <f t="shared" si="150"/>
        <v>0</v>
      </c>
      <c r="BQ116">
        <f t="shared" si="150"/>
        <v>0</v>
      </c>
      <c r="BR116">
        <f t="shared" si="151"/>
        <v>0</v>
      </c>
      <c r="BS116">
        <f t="shared" si="151"/>
        <v>0</v>
      </c>
      <c r="BT116">
        <f t="shared" si="151"/>
        <v>0</v>
      </c>
      <c r="BU116">
        <f t="shared" si="151"/>
        <v>0</v>
      </c>
      <c r="BV116">
        <f t="shared" si="151"/>
        <v>0</v>
      </c>
      <c r="BW116">
        <f t="shared" si="151"/>
        <v>0</v>
      </c>
      <c r="BX116">
        <f t="shared" si="151"/>
        <v>0</v>
      </c>
      <c r="BY116">
        <f t="shared" si="151"/>
        <v>0</v>
      </c>
      <c r="BZ116">
        <f t="shared" si="151"/>
        <v>0</v>
      </c>
      <c r="CA116">
        <f t="shared" si="151"/>
        <v>0</v>
      </c>
      <c r="CB116">
        <f t="shared" si="152"/>
        <v>0</v>
      </c>
      <c r="CC116">
        <f t="shared" si="152"/>
        <v>0</v>
      </c>
      <c r="CD116">
        <f t="shared" si="152"/>
        <v>0</v>
      </c>
      <c r="CE116">
        <f t="shared" si="152"/>
        <v>0</v>
      </c>
      <c r="CF116">
        <f t="shared" si="152"/>
        <v>0</v>
      </c>
      <c r="CG116">
        <f t="shared" si="152"/>
        <v>0</v>
      </c>
      <c r="CH116">
        <f t="shared" si="152"/>
        <v>0</v>
      </c>
      <c r="CI116">
        <f t="shared" si="152"/>
        <v>0</v>
      </c>
      <c r="CJ116">
        <f t="shared" si="152"/>
        <v>0</v>
      </c>
      <c r="CK116">
        <f t="shared" si="152"/>
        <v>0</v>
      </c>
      <c r="CL116">
        <f t="shared" si="153"/>
        <v>0</v>
      </c>
      <c r="CM116">
        <f t="shared" si="153"/>
        <v>0</v>
      </c>
      <c r="CN116">
        <f t="shared" si="153"/>
        <v>0</v>
      </c>
      <c r="CO116">
        <f t="shared" si="153"/>
        <v>0</v>
      </c>
      <c r="CP116">
        <f t="shared" si="153"/>
        <v>0</v>
      </c>
      <c r="CQ116">
        <f t="shared" si="153"/>
        <v>0</v>
      </c>
      <c r="CR116">
        <f t="shared" si="153"/>
        <v>0</v>
      </c>
      <c r="CS116">
        <f t="shared" si="153"/>
        <v>0</v>
      </c>
      <c r="CT116">
        <f t="shared" si="153"/>
        <v>0</v>
      </c>
      <c r="CU116">
        <f t="shared" si="153"/>
        <v>0</v>
      </c>
      <c r="CV116">
        <f t="shared" si="154"/>
        <v>0</v>
      </c>
      <c r="CW116">
        <f t="shared" si="154"/>
        <v>0</v>
      </c>
      <c r="CX116">
        <f t="shared" si="154"/>
        <v>0</v>
      </c>
      <c r="CY116">
        <f t="shared" si="154"/>
        <v>0</v>
      </c>
      <c r="CZ116">
        <f t="shared" si="154"/>
        <v>0</v>
      </c>
      <c r="DA116">
        <f t="shared" si="154"/>
        <v>0</v>
      </c>
      <c r="DB116">
        <f t="shared" si="154"/>
        <v>0</v>
      </c>
      <c r="DC116">
        <f t="shared" si="154"/>
        <v>0</v>
      </c>
      <c r="DD116">
        <f t="shared" si="154"/>
        <v>0</v>
      </c>
      <c r="DE116">
        <f t="shared" si="154"/>
        <v>0</v>
      </c>
      <c r="DF116">
        <f t="shared" si="155"/>
        <v>0</v>
      </c>
      <c r="DG116">
        <f t="shared" si="155"/>
        <v>0</v>
      </c>
      <c r="DH116">
        <f t="shared" si="155"/>
        <v>0</v>
      </c>
      <c r="DI116">
        <f t="shared" si="155"/>
        <v>0</v>
      </c>
      <c r="DJ116">
        <f t="shared" si="155"/>
        <v>0</v>
      </c>
      <c r="DK116">
        <f t="shared" si="155"/>
        <v>0</v>
      </c>
      <c r="DL116">
        <f t="shared" si="155"/>
        <v>0</v>
      </c>
      <c r="DM116">
        <f t="shared" si="155"/>
        <v>0</v>
      </c>
      <c r="DN116">
        <f t="shared" si="155"/>
        <v>0</v>
      </c>
      <c r="DO116">
        <f t="shared" si="155"/>
        <v>0</v>
      </c>
      <c r="DP116">
        <f t="shared" si="156"/>
        <v>0</v>
      </c>
      <c r="DQ116">
        <f t="shared" si="156"/>
        <v>0</v>
      </c>
      <c r="DR116">
        <f t="shared" si="156"/>
        <v>0</v>
      </c>
      <c r="DS116">
        <f t="shared" si="156"/>
        <v>0</v>
      </c>
      <c r="DT116">
        <f t="shared" si="156"/>
        <v>0</v>
      </c>
      <c r="DU116">
        <f t="shared" si="156"/>
        <v>0</v>
      </c>
      <c r="DV116">
        <f t="shared" si="156"/>
        <v>0</v>
      </c>
      <c r="DW116">
        <f t="shared" si="156"/>
        <v>0</v>
      </c>
      <c r="DX116">
        <f t="shared" si="156"/>
        <v>0</v>
      </c>
      <c r="DY116">
        <f t="shared" si="156"/>
        <v>0</v>
      </c>
      <c r="DZ116">
        <f t="shared" si="157"/>
        <v>0</v>
      </c>
      <c r="EA116">
        <f t="shared" si="157"/>
        <v>0</v>
      </c>
      <c r="EB116">
        <f t="shared" si="157"/>
        <v>0</v>
      </c>
      <c r="EC116">
        <f t="shared" si="157"/>
        <v>0</v>
      </c>
      <c r="ED116">
        <f t="shared" si="157"/>
        <v>0</v>
      </c>
      <c r="EE116">
        <f t="shared" si="157"/>
        <v>0</v>
      </c>
      <c r="EF116">
        <f t="shared" si="157"/>
        <v>0</v>
      </c>
      <c r="EG116">
        <f t="shared" si="157"/>
        <v>0</v>
      </c>
      <c r="EH116">
        <f t="shared" si="157"/>
        <v>0</v>
      </c>
      <c r="EI116">
        <f t="shared" si="157"/>
        <v>0</v>
      </c>
      <c r="EJ116">
        <f>SUM(Tabla1[[#This Row],[1]:[130]])</f>
        <v>5</v>
      </c>
    </row>
    <row r="117" spans="1:140" ht="15.75" thickBot="1" x14ac:dyDescent="0.3">
      <c r="A117" t="str">
        <f>B117&amp;"-"&amp;COUNTIF($B$2:B117,B117)</f>
        <v>I. ATUN 180GR PORCION-1</v>
      </c>
      <c r="B117" s="44" t="s">
        <v>635</v>
      </c>
      <c r="C117">
        <f>VLOOKUP(B117,RECETAS!D116:$E$1700,2,FALSE)</f>
        <v>0</v>
      </c>
      <c r="D117" s="112"/>
      <c r="G117" t="b">
        <f t="shared" si="92"/>
        <v>1</v>
      </c>
      <c r="I117" s="102" t="s">
        <v>93</v>
      </c>
      <c r="J117">
        <f t="shared" si="145"/>
        <v>35</v>
      </c>
      <c r="K117">
        <f t="shared" si="145"/>
        <v>0</v>
      </c>
      <c r="L117">
        <f t="shared" si="145"/>
        <v>0</v>
      </c>
      <c r="M117">
        <f t="shared" si="145"/>
        <v>0</v>
      </c>
      <c r="N117">
        <f t="shared" si="145"/>
        <v>0</v>
      </c>
      <c r="O117">
        <f t="shared" si="145"/>
        <v>0</v>
      </c>
      <c r="P117">
        <f t="shared" si="145"/>
        <v>0</v>
      </c>
      <c r="Q117">
        <f t="shared" si="145"/>
        <v>0</v>
      </c>
      <c r="R117">
        <f t="shared" si="145"/>
        <v>0</v>
      </c>
      <c r="S117">
        <f t="shared" si="145"/>
        <v>0</v>
      </c>
      <c r="T117">
        <f t="shared" si="146"/>
        <v>0</v>
      </c>
      <c r="U117">
        <f t="shared" si="146"/>
        <v>0</v>
      </c>
      <c r="V117">
        <f t="shared" si="146"/>
        <v>0</v>
      </c>
      <c r="W117">
        <f t="shared" si="146"/>
        <v>0</v>
      </c>
      <c r="X117">
        <f t="shared" si="146"/>
        <v>0</v>
      </c>
      <c r="Y117">
        <f t="shared" si="146"/>
        <v>0</v>
      </c>
      <c r="Z117">
        <f t="shared" si="146"/>
        <v>0</v>
      </c>
      <c r="AA117">
        <f t="shared" si="146"/>
        <v>0</v>
      </c>
      <c r="AB117">
        <f t="shared" si="146"/>
        <v>0</v>
      </c>
      <c r="AC117">
        <f t="shared" si="146"/>
        <v>0</v>
      </c>
      <c r="AD117">
        <f t="shared" si="147"/>
        <v>0</v>
      </c>
      <c r="AE117">
        <f t="shared" si="147"/>
        <v>0</v>
      </c>
      <c r="AF117">
        <f t="shared" si="147"/>
        <v>0</v>
      </c>
      <c r="AG117">
        <f t="shared" si="147"/>
        <v>0</v>
      </c>
      <c r="AH117">
        <f t="shared" si="147"/>
        <v>0</v>
      </c>
      <c r="AI117">
        <f t="shared" si="147"/>
        <v>0</v>
      </c>
      <c r="AJ117">
        <f t="shared" si="147"/>
        <v>0</v>
      </c>
      <c r="AK117">
        <f t="shared" si="147"/>
        <v>0</v>
      </c>
      <c r="AL117">
        <f t="shared" si="147"/>
        <v>0</v>
      </c>
      <c r="AM117">
        <f t="shared" si="147"/>
        <v>0</v>
      </c>
      <c r="AN117">
        <f t="shared" si="148"/>
        <v>0</v>
      </c>
      <c r="AO117">
        <f t="shared" si="148"/>
        <v>0</v>
      </c>
      <c r="AP117">
        <f t="shared" si="148"/>
        <v>0</v>
      </c>
      <c r="AQ117">
        <f t="shared" si="148"/>
        <v>0</v>
      </c>
      <c r="AR117">
        <f t="shared" si="148"/>
        <v>0</v>
      </c>
      <c r="AS117">
        <f t="shared" si="148"/>
        <v>0</v>
      </c>
      <c r="AT117">
        <f t="shared" si="148"/>
        <v>0</v>
      </c>
      <c r="AU117">
        <f t="shared" si="148"/>
        <v>0</v>
      </c>
      <c r="AV117">
        <f t="shared" si="148"/>
        <v>0</v>
      </c>
      <c r="AW117">
        <f t="shared" si="148"/>
        <v>0</v>
      </c>
      <c r="AX117">
        <f t="shared" si="149"/>
        <v>0</v>
      </c>
      <c r="AY117">
        <f t="shared" si="149"/>
        <v>0</v>
      </c>
      <c r="AZ117">
        <f t="shared" si="149"/>
        <v>0</v>
      </c>
      <c r="BA117">
        <f t="shared" si="149"/>
        <v>0</v>
      </c>
      <c r="BB117">
        <f t="shared" si="149"/>
        <v>0</v>
      </c>
      <c r="BC117">
        <f t="shared" si="149"/>
        <v>0</v>
      </c>
      <c r="BD117">
        <f t="shared" si="149"/>
        <v>0</v>
      </c>
      <c r="BE117">
        <f t="shared" si="149"/>
        <v>0</v>
      </c>
      <c r="BF117">
        <f t="shared" si="149"/>
        <v>0</v>
      </c>
      <c r="BG117">
        <f t="shared" si="149"/>
        <v>0</v>
      </c>
      <c r="BH117">
        <f t="shared" si="150"/>
        <v>0</v>
      </c>
      <c r="BI117">
        <f t="shared" si="150"/>
        <v>0</v>
      </c>
      <c r="BJ117">
        <f t="shared" si="150"/>
        <v>0</v>
      </c>
      <c r="BK117">
        <f t="shared" si="150"/>
        <v>0</v>
      </c>
      <c r="BL117">
        <f t="shared" si="150"/>
        <v>0</v>
      </c>
      <c r="BM117">
        <f t="shared" si="150"/>
        <v>0</v>
      </c>
      <c r="BN117">
        <f t="shared" si="150"/>
        <v>0</v>
      </c>
      <c r="BO117">
        <f t="shared" si="150"/>
        <v>0</v>
      </c>
      <c r="BP117">
        <f t="shared" si="150"/>
        <v>0</v>
      </c>
      <c r="BQ117">
        <f t="shared" si="150"/>
        <v>0</v>
      </c>
      <c r="BR117">
        <f t="shared" si="151"/>
        <v>0</v>
      </c>
      <c r="BS117">
        <f t="shared" si="151"/>
        <v>0</v>
      </c>
      <c r="BT117">
        <f t="shared" si="151"/>
        <v>0</v>
      </c>
      <c r="BU117">
        <f t="shared" si="151"/>
        <v>0</v>
      </c>
      <c r="BV117">
        <f t="shared" si="151"/>
        <v>0</v>
      </c>
      <c r="BW117">
        <f t="shared" si="151"/>
        <v>0</v>
      </c>
      <c r="BX117">
        <f t="shared" si="151"/>
        <v>0</v>
      </c>
      <c r="BY117">
        <f t="shared" si="151"/>
        <v>0</v>
      </c>
      <c r="BZ117">
        <f t="shared" si="151"/>
        <v>0</v>
      </c>
      <c r="CA117">
        <f t="shared" si="151"/>
        <v>0</v>
      </c>
      <c r="CB117">
        <f t="shared" si="152"/>
        <v>0</v>
      </c>
      <c r="CC117">
        <f t="shared" si="152"/>
        <v>0</v>
      </c>
      <c r="CD117">
        <f t="shared" si="152"/>
        <v>0</v>
      </c>
      <c r="CE117">
        <f t="shared" si="152"/>
        <v>0</v>
      </c>
      <c r="CF117">
        <f t="shared" si="152"/>
        <v>0</v>
      </c>
      <c r="CG117">
        <f t="shared" si="152"/>
        <v>0</v>
      </c>
      <c r="CH117">
        <f t="shared" si="152"/>
        <v>0</v>
      </c>
      <c r="CI117">
        <f t="shared" si="152"/>
        <v>0</v>
      </c>
      <c r="CJ117">
        <f t="shared" si="152"/>
        <v>0</v>
      </c>
      <c r="CK117">
        <f t="shared" si="152"/>
        <v>0</v>
      </c>
      <c r="CL117">
        <f t="shared" si="153"/>
        <v>0</v>
      </c>
      <c r="CM117">
        <f t="shared" si="153"/>
        <v>0</v>
      </c>
      <c r="CN117">
        <f t="shared" si="153"/>
        <v>0</v>
      </c>
      <c r="CO117">
        <f t="shared" si="153"/>
        <v>0</v>
      </c>
      <c r="CP117">
        <f t="shared" si="153"/>
        <v>0</v>
      </c>
      <c r="CQ117">
        <f t="shared" si="153"/>
        <v>0</v>
      </c>
      <c r="CR117">
        <f t="shared" si="153"/>
        <v>0</v>
      </c>
      <c r="CS117">
        <f t="shared" si="153"/>
        <v>0</v>
      </c>
      <c r="CT117">
        <f t="shared" si="153"/>
        <v>0</v>
      </c>
      <c r="CU117">
        <f t="shared" si="153"/>
        <v>0</v>
      </c>
      <c r="CV117">
        <f t="shared" si="154"/>
        <v>0</v>
      </c>
      <c r="CW117">
        <f t="shared" si="154"/>
        <v>0</v>
      </c>
      <c r="CX117">
        <f t="shared" si="154"/>
        <v>0</v>
      </c>
      <c r="CY117">
        <f t="shared" si="154"/>
        <v>0</v>
      </c>
      <c r="CZ117">
        <f t="shared" si="154"/>
        <v>0</v>
      </c>
      <c r="DA117">
        <f t="shared" si="154"/>
        <v>0</v>
      </c>
      <c r="DB117">
        <f t="shared" si="154"/>
        <v>0</v>
      </c>
      <c r="DC117">
        <f t="shared" si="154"/>
        <v>0</v>
      </c>
      <c r="DD117">
        <f t="shared" si="154"/>
        <v>0</v>
      </c>
      <c r="DE117">
        <f t="shared" si="154"/>
        <v>0</v>
      </c>
      <c r="DF117">
        <f t="shared" si="155"/>
        <v>0</v>
      </c>
      <c r="DG117">
        <f t="shared" si="155"/>
        <v>0</v>
      </c>
      <c r="DH117">
        <f t="shared" si="155"/>
        <v>0</v>
      </c>
      <c r="DI117">
        <f t="shared" si="155"/>
        <v>0</v>
      </c>
      <c r="DJ117">
        <f t="shared" si="155"/>
        <v>0</v>
      </c>
      <c r="DK117">
        <f t="shared" si="155"/>
        <v>0</v>
      </c>
      <c r="DL117">
        <f t="shared" si="155"/>
        <v>0</v>
      </c>
      <c r="DM117">
        <f t="shared" si="155"/>
        <v>0</v>
      </c>
      <c r="DN117">
        <f t="shared" si="155"/>
        <v>0</v>
      </c>
      <c r="DO117">
        <f t="shared" si="155"/>
        <v>0</v>
      </c>
      <c r="DP117">
        <f t="shared" si="156"/>
        <v>0</v>
      </c>
      <c r="DQ117">
        <f t="shared" si="156"/>
        <v>0</v>
      </c>
      <c r="DR117">
        <f t="shared" si="156"/>
        <v>0</v>
      </c>
      <c r="DS117">
        <f t="shared" si="156"/>
        <v>0</v>
      </c>
      <c r="DT117">
        <f t="shared" si="156"/>
        <v>0</v>
      </c>
      <c r="DU117">
        <f t="shared" si="156"/>
        <v>0</v>
      </c>
      <c r="DV117">
        <f t="shared" si="156"/>
        <v>0</v>
      </c>
      <c r="DW117">
        <f t="shared" si="156"/>
        <v>0</v>
      </c>
      <c r="DX117">
        <f t="shared" si="156"/>
        <v>0</v>
      </c>
      <c r="DY117">
        <f t="shared" si="156"/>
        <v>0</v>
      </c>
      <c r="DZ117">
        <f t="shared" si="157"/>
        <v>0</v>
      </c>
      <c r="EA117">
        <f t="shared" si="157"/>
        <v>0</v>
      </c>
      <c r="EB117">
        <f t="shared" si="157"/>
        <v>0</v>
      </c>
      <c r="EC117">
        <f t="shared" si="157"/>
        <v>0</v>
      </c>
      <c r="ED117">
        <f t="shared" si="157"/>
        <v>0</v>
      </c>
      <c r="EE117">
        <f t="shared" si="157"/>
        <v>0</v>
      </c>
      <c r="EF117">
        <f t="shared" si="157"/>
        <v>0</v>
      </c>
      <c r="EG117">
        <f t="shared" si="157"/>
        <v>0</v>
      </c>
      <c r="EH117">
        <f t="shared" si="157"/>
        <v>0</v>
      </c>
      <c r="EI117">
        <f t="shared" si="157"/>
        <v>0</v>
      </c>
      <c r="EJ117">
        <f>SUM(Tabla1[[#This Row],[1]:[130]])</f>
        <v>35</v>
      </c>
    </row>
    <row r="118" spans="1:140" x14ac:dyDescent="0.25">
      <c r="A118" t="str">
        <f>B118&amp;"-"&amp;COUNTIF($B$2:B118,B118)</f>
        <v>I. SALMON DE 250-2</v>
      </c>
      <c r="B118" s="26" t="s">
        <v>36</v>
      </c>
      <c r="C118">
        <f>VLOOKUP(B118,RECETAS!D117:$E$1700,2,FALSE)</f>
        <v>0</v>
      </c>
      <c r="D118" s="25"/>
      <c r="G118" t="b">
        <f t="shared" si="92"/>
        <v>1</v>
      </c>
      <c r="I118" s="26" t="s">
        <v>94</v>
      </c>
      <c r="J118">
        <f t="shared" si="145"/>
        <v>0</v>
      </c>
      <c r="K118">
        <f t="shared" si="145"/>
        <v>0</v>
      </c>
      <c r="L118">
        <f t="shared" si="145"/>
        <v>225</v>
      </c>
      <c r="M118">
        <f t="shared" si="145"/>
        <v>0</v>
      </c>
      <c r="N118">
        <f t="shared" si="145"/>
        <v>0</v>
      </c>
      <c r="O118">
        <f t="shared" si="145"/>
        <v>0</v>
      </c>
      <c r="P118">
        <f t="shared" si="145"/>
        <v>0</v>
      </c>
      <c r="Q118">
        <f t="shared" si="145"/>
        <v>0</v>
      </c>
      <c r="R118">
        <f t="shared" si="145"/>
        <v>0</v>
      </c>
      <c r="S118">
        <f t="shared" si="145"/>
        <v>0</v>
      </c>
      <c r="T118">
        <f t="shared" si="146"/>
        <v>0</v>
      </c>
      <c r="U118">
        <f t="shared" si="146"/>
        <v>0</v>
      </c>
      <c r="V118">
        <f t="shared" si="146"/>
        <v>0</v>
      </c>
      <c r="W118">
        <f t="shared" si="146"/>
        <v>0</v>
      </c>
      <c r="X118">
        <f t="shared" si="146"/>
        <v>0</v>
      </c>
      <c r="Y118">
        <f t="shared" si="146"/>
        <v>0</v>
      </c>
      <c r="Z118">
        <f t="shared" si="146"/>
        <v>0</v>
      </c>
      <c r="AA118">
        <f t="shared" si="146"/>
        <v>0</v>
      </c>
      <c r="AB118">
        <f t="shared" si="146"/>
        <v>0</v>
      </c>
      <c r="AC118">
        <f t="shared" si="146"/>
        <v>0</v>
      </c>
      <c r="AD118">
        <f t="shared" si="147"/>
        <v>0</v>
      </c>
      <c r="AE118">
        <f t="shared" si="147"/>
        <v>0</v>
      </c>
      <c r="AF118">
        <f t="shared" si="147"/>
        <v>0</v>
      </c>
      <c r="AG118">
        <f t="shared" si="147"/>
        <v>0</v>
      </c>
      <c r="AH118">
        <f t="shared" si="147"/>
        <v>0</v>
      </c>
      <c r="AI118">
        <f t="shared" si="147"/>
        <v>0</v>
      </c>
      <c r="AJ118">
        <f t="shared" si="147"/>
        <v>0</v>
      </c>
      <c r="AK118">
        <f t="shared" si="147"/>
        <v>0</v>
      </c>
      <c r="AL118">
        <f t="shared" si="147"/>
        <v>0</v>
      </c>
      <c r="AM118">
        <f t="shared" si="147"/>
        <v>0</v>
      </c>
      <c r="AN118">
        <f t="shared" si="148"/>
        <v>0</v>
      </c>
      <c r="AO118">
        <f t="shared" si="148"/>
        <v>0</v>
      </c>
      <c r="AP118">
        <f t="shared" si="148"/>
        <v>0</v>
      </c>
      <c r="AQ118">
        <f t="shared" si="148"/>
        <v>0</v>
      </c>
      <c r="AR118">
        <f t="shared" si="148"/>
        <v>0</v>
      </c>
      <c r="AS118">
        <f t="shared" si="148"/>
        <v>0</v>
      </c>
      <c r="AT118">
        <f t="shared" si="148"/>
        <v>0</v>
      </c>
      <c r="AU118">
        <f t="shared" si="148"/>
        <v>0</v>
      </c>
      <c r="AV118">
        <f t="shared" si="148"/>
        <v>0</v>
      </c>
      <c r="AW118">
        <f t="shared" si="148"/>
        <v>0</v>
      </c>
      <c r="AX118">
        <f t="shared" si="149"/>
        <v>0</v>
      </c>
      <c r="AY118">
        <f t="shared" si="149"/>
        <v>0</v>
      </c>
      <c r="AZ118">
        <f t="shared" si="149"/>
        <v>0</v>
      </c>
      <c r="BA118">
        <f t="shared" si="149"/>
        <v>0</v>
      </c>
      <c r="BB118">
        <f t="shared" si="149"/>
        <v>0</v>
      </c>
      <c r="BC118">
        <f t="shared" si="149"/>
        <v>0</v>
      </c>
      <c r="BD118">
        <f t="shared" si="149"/>
        <v>0</v>
      </c>
      <c r="BE118">
        <f t="shared" si="149"/>
        <v>0</v>
      </c>
      <c r="BF118">
        <f t="shared" si="149"/>
        <v>0</v>
      </c>
      <c r="BG118">
        <f t="shared" si="149"/>
        <v>0</v>
      </c>
      <c r="BH118">
        <f t="shared" si="150"/>
        <v>0</v>
      </c>
      <c r="BI118">
        <f t="shared" si="150"/>
        <v>0</v>
      </c>
      <c r="BJ118">
        <f t="shared" si="150"/>
        <v>0</v>
      </c>
      <c r="BK118">
        <f t="shared" si="150"/>
        <v>0</v>
      </c>
      <c r="BL118">
        <f t="shared" si="150"/>
        <v>0</v>
      </c>
      <c r="BM118">
        <f t="shared" si="150"/>
        <v>0</v>
      </c>
      <c r="BN118">
        <f t="shared" si="150"/>
        <v>0</v>
      </c>
      <c r="BO118">
        <f t="shared" si="150"/>
        <v>0</v>
      </c>
      <c r="BP118">
        <f t="shared" si="150"/>
        <v>0</v>
      </c>
      <c r="BQ118">
        <f t="shared" si="150"/>
        <v>0</v>
      </c>
      <c r="BR118">
        <f t="shared" si="151"/>
        <v>0</v>
      </c>
      <c r="BS118">
        <f t="shared" si="151"/>
        <v>0</v>
      </c>
      <c r="BT118">
        <f t="shared" si="151"/>
        <v>0</v>
      </c>
      <c r="BU118">
        <f t="shared" si="151"/>
        <v>0</v>
      </c>
      <c r="BV118">
        <f t="shared" si="151"/>
        <v>0</v>
      </c>
      <c r="BW118">
        <f t="shared" si="151"/>
        <v>0</v>
      </c>
      <c r="BX118">
        <f t="shared" si="151"/>
        <v>0</v>
      </c>
      <c r="BY118">
        <f t="shared" si="151"/>
        <v>0</v>
      </c>
      <c r="BZ118">
        <f t="shared" si="151"/>
        <v>0</v>
      </c>
      <c r="CA118">
        <f t="shared" si="151"/>
        <v>0</v>
      </c>
      <c r="CB118">
        <f t="shared" si="152"/>
        <v>0</v>
      </c>
      <c r="CC118">
        <f t="shared" si="152"/>
        <v>0</v>
      </c>
      <c r="CD118">
        <f t="shared" si="152"/>
        <v>0</v>
      </c>
      <c r="CE118">
        <f t="shared" si="152"/>
        <v>0</v>
      </c>
      <c r="CF118">
        <f t="shared" si="152"/>
        <v>0</v>
      </c>
      <c r="CG118">
        <f t="shared" si="152"/>
        <v>0</v>
      </c>
      <c r="CH118">
        <f t="shared" si="152"/>
        <v>0</v>
      </c>
      <c r="CI118">
        <f t="shared" si="152"/>
        <v>0</v>
      </c>
      <c r="CJ118">
        <f t="shared" si="152"/>
        <v>0</v>
      </c>
      <c r="CK118">
        <f t="shared" si="152"/>
        <v>0</v>
      </c>
      <c r="CL118">
        <f t="shared" si="153"/>
        <v>0</v>
      </c>
      <c r="CM118">
        <f t="shared" si="153"/>
        <v>0</v>
      </c>
      <c r="CN118">
        <f t="shared" si="153"/>
        <v>0</v>
      </c>
      <c r="CO118">
        <f t="shared" si="153"/>
        <v>0</v>
      </c>
      <c r="CP118">
        <f t="shared" si="153"/>
        <v>0</v>
      </c>
      <c r="CQ118">
        <f t="shared" si="153"/>
        <v>0</v>
      </c>
      <c r="CR118">
        <f t="shared" si="153"/>
        <v>0</v>
      </c>
      <c r="CS118">
        <f t="shared" si="153"/>
        <v>0</v>
      </c>
      <c r="CT118">
        <f t="shared" si="153"/>
        <v>0</v>
      </c>
      <c r="CU118">
        <f t="shared" si="153"/>
        <v>0</v>
      </c>
      <c r="CV118">
        <f t="shared" si="154"/>
        <v>0</v>
      </c>
      <c r="CW118">
        <f t="shared" si="154"/>
        <v>0</v>
      </c>
      <c r="CX118">
        <f t="shared" si="154"/>
        <v>0</v>
      </c>
      <c r="CY118">
        <f t="shared" si="154"/>
        <v>0</v>
      </c>
      <c r="CZ118">
        <f t="shared" si="154"/>
        <v>0</v>
      </c>
      <c r="DA118">
        <f t="shared" si="154"/>
        <v>0</v>
      </c>
      <c r="DB118">
        <f t="shared" si="154"/>
        <v>0</v>
      </c>
      <c r="DC118">
        <f t="shared" si="154"/>
        <v>0</v>
      </c>
      <c r="DD118">
        <f t="shared" si="154"/>
        <v>0</v>
      </c>
      <c r="DE118">
        <f t="shared" si="154"/>
        <v>0</v>
      </c>
      <c r="DF118">
        <f t="shared" si="155"/>
        <v>0</v>
      </c>
      <c r="DG118">
        <f t="shared" si="155"/>
        <v>0</v>
      </c>
      <c r="DH118">
        <f t="shared" si="155"/>
        <v>0</v>
      </c>
      <c r="DI118">
        <f t="shared" si="155"/>
        <v>0</v>
      </c>
      <c r="DJ118">
        <f t="shared" si="155"/>
        <v>0</v>
      </c>
      <c r="DK118">
        <f t="shared" si="155"/>
        <v>0</v>
      </c>
      <c r="DL118">
        <f t="shared" si="155"/>
        <v>0</v>
      </c>
      <c r="DM118">
        <f t="shared" si="155"/>
        <v>0</v>
      </c>
      <c r="DN118">
        <f t="shared" si="155"/>
        <v>0</v>
      </c>
      <c r="DO118">
        <f t="shared" si="155"/>
        <v>0</v>
      </c>
      <c r="DP118">
        <f t="shared" si="156"/>
        <v>0</v>
      </c>
      <c r="DQ118">
        <f t="shared" si="156"/>
        <v>0</v>
      </c>
      <c r="DR118">
        <f t="shared" si="156"/>
        <v>0</v>
      </c>
      <c r="DS118">
        <f t="shared" si="156"/>
        <v>0</v>
      </c>
      <c r="DT118">
        <f t="shared" si="156"/>
        <v>0</v>
      </c>
      <c r="DU118">
        <f t="shared" si="156"/>
        <v>0</v>
      </c>
      <c r="DV118">
        <f t="shared" si="156"/>
        <v>0</v>
      </c>
      <c r="DW118">
        <f t="shared" si="156"/>
        <v>0</v>
      </c>
      <c r="DX118">
        <f t="shared" si="156"/>
        <v>0</v>
      </c>
      <c r="DY118">
        <f t="shared" si="156"/>
        <v>0</v>
      </c>
      <c r="DZ118">
        <f t="shared" si="157"/>
        <v>0</v>
      </c>
      <c r="EA118">
        <f t="shared" si="157"/>
        <v>0</v>
      </c>
      <c r="EB118">
        <f t="shared" si="157"/>
        <v>0</v>
      </c>
      <c r="EC118">
        <f t="shared" si="157"/>
        <v>0</v>
      </c>
      <c r="ED118">
        <f t="shared" si="157"/>
        <v>0</v>
      </c>
      <c r="EE118">
        <f t="shared" si="157"/>
        <v>0</v>
      </c>
      <c r="EF118">
        <f t="shared" si="157"/>
        <v>0</v>
      </c>
      <c r="EG118">
        <f t="shared" si="157"/>
        <v>0</v>
      </c>
      <c r="EH118">
        <f t="shared" si="157"/>
        <v>0</v>
      </c>
      <c r="EI118">
        <f t="shared" si="157"/>
        <v>0</v>
      </c>
      <c r="EJ118">
        <f>SUM(Tabla1[[#This Row],[1]:[130]])</f>
        <v>225</v>
      </c>
    </row>
    <row r="119" spans="1:140" ht="15.75" thickBot="1" x14ac:dyDescent="0.3">
      <c r="A119" t="str">
        <f>B119&amp;"-"&amp;COUNTIF($B$2:B119,B119)</f>
        <v>I. TORTILLAS CH-2</v>
      </c>
      <c r="B119" s="33" t="s">
        <v>4</v>
      </c>
      <c r="C119">
        <f>VLOOKUP(B119,RECETAS!D118:$E$1700,2,FALSE)</f>
        <v>0</v>
      </c>
      <c r="D119" s="32"/>
      <c r="G119" t="b">
        <f t="shared" si="92"/>
        <v>1</v>
      </c>
      <c r="I119" s="33" t="s">
        <v>2</v>
      </c>
      <c r="J119">
        <f t="shared" si="145"/>
        <v>2</v>
      </c>
      <c r="K119">
        <f t="shared" si="145"/>
        <v>10</v>
      </c>
      <c r="L119">
        <f t="shared" si="145"/>
        <v>38</v>
      </c>
      <c r="M119">
        <f t="shared" si="145"/>
        <v>1</v>
      </c>
      <c r="N119">
        <f t="shared" si="145"/>
        <v>2</v>
      </c>
      <c r="O119">
        <f t="shared" si="145"/>
        <v>2</v>
      </c>
      <c r="P119">
        <f t="shared" si="145"/>
        <v>0</v>
      </c>
      <c r="Q119">
        <f t="shared" si="145"/>
        <v>0</v>
      </c>
      <c r="R119">
        <f t="shared" si="145"/>
        <v>0</v>
      </c>
      <c r="S119">
        <f t="shared" si="145"/>
        <v>0</v>
      </c>
      <c r="T119">
        <f t="shared" si="146"/>
        <v>0</v>
      </c>
      <c r="U119">
        <f t="shared" si="146"/>
        <v>0</v>
      </c>
      <c r="V119">
        <f t="shared" si="146"/>
        <v>0</v>
      </c>
      <c r="W119">
        <f t="shared" si="146"/>
        <v>0</v>
      </c>
      <c r="X119">
        <f t="shared" si="146"/>
        <v>0</v>
      </c>
      <c r="Y119">
        <f t="shared" si="146"/>
        <v>0</v>
      </c>
      <c r="Z119">
        <f t="shared" si="146"/>
        <v>0</v>
      </c>
      <c r="AA119">
        <f t="shared" si="146"/>
        <v>0</v>
      </c>
      <c r="AB119">
        <f t="shared" si="146"/>
        <v>0</v>
      </c>
      <c r="AC119">
        <f t="shared" si="146"/>
        <v>0</v>
      </c>
      <c r="AD119">
        <f t="shared" si="147"/>
        <v>0</v>
      </c>
      <c r="AE119">
        <f t="shared" si="147"/>
        <v>0</v>
      </c>
      <c r="AF119">
        <f t="shared" si="147"/>
        <v>0</v>
      </c>
      <c r="AG119">
        <f t="shared" si="147"/>
        <v>0</v>
      </c>
      <c r="AH119">
        <f t="shared" si="147"/>
        <v>0</v>
      </c>
      <c r="AI119">
        <f t="shared" si="147"/>
        <v>0</v>
      </c>
      <c r="AJ119">
        <f t="shared" si="147"/>
        <v>0</v>
      </c>
      <c r="AK119">
        <f t="shared" si="147"/>
        <v>0</v>
      </c>
      <c r="AL119">
        <f t="shared" si="147"/>
        <v>0</v>
      </c>
      <c r="AM119">
        <f t="shared" si="147"/>
        <v>0</v>
      </c>
      <c r="AN119">
        <f t="shared" si="148"/>
        <v>0</v>
      </c>
      <c r="AO119">
        <f t="shared" si="148"/>
        <v>0</v>
      </c>
      <c r="AP119">
        <f t="shared" si="148"/>
        <v>0</v>
      </c>
      <c r="AQ119">
        <f t="shared" si="148"/>
        <v>0</v>
      </c>
      <c r="AR119">
        <f t="shared" si="148"/>
        <v>0</v>
      </c>
      <c r="AS119">
        <f t="shared" si="148"/>
        <v>0</v>
      </c>
      <c r="AT119">
        <f t="shared" si="148"/>
        <v>0</v>
      </c>
      <c r="AU119">
        <f t="shared" si="148"/>
        <v>0</v>
      </c>
      <c r="AV119">
        <f t="shared" si="148"/>
        <v>0</v>
      </c>
      <c r="AW119">
        <f t="shared" si="148"/>
        <v>0</v>
      </c>
      <c r="AX119">
        <f t="shared" si="149"/>
        <v>0</v>
      </c>
      <c r="AY119">
        <f t="shared" si="149"/>
        <v>0</v>
      </c>
      <c r="AZ119">
        <f t="shared" si="149"/>
        <v>0</v>
      </c>
      <c r="BA119">
        <f t="shared" si="149"/>
        <v>0</v>
      </c>
      <c r="BB119">
        <f t="shared" si="149"/>
        <v>0</v>
      </c>
      <c r="BC119">
        <f t="shared" si="149"/>
        <v>0</v>
      </c>
      <c r="BD119">
        <f t="shared" si="149"/>
        <v>0</v>
      </c>
      <c r="BE119">
        <f t="shared" si="149"/>
        <v>0</v>
      </c>
      <c r="BF119">
        <f t="shared" si="149"/>
        <v>0</v>
      </c>
      <c r="BG119">
        <f t="shared" si="149"/>
        <v>0</v>
      </c>
      <c r="BH119">
        <f t="shared" si="150"/>
        <v>0</v>
      </c>
      <c r="BI119">
        <f t="shared" si="150"/>
        <v>0</v>
      </c>
      <c r="BJ119">
        <f t="shared" si="150"/>
        <v>0</v>
      </c>
      <c r="BK119">
        <f t="shared" si="150"/>
        <v>0</v>
      </c>
      <c r="BL119">
        <f t="shared" si="150"/>
        <v>0</v>
      </c>
      <c r="BM119">
        <f t="shared" si="150"/>
        <v>0</v>
      </c>
      <c r="BN119">
        <f t="shared" si="150"/>
        <v>0</v>
      </c>
      <c r="BO119">
        <f t="shared" si="150"/>
        <v>0</v>
      </c>
      <c r="BP119">
        <f t="shared" si="150"/>
        <v>0</v>
      </c>
      <c r="BQ119">
        <f t="shared" si="150"/>
        <v>0</v>
      </c>
      <c r="BR119">
        <f t="shared" si="151"/>
        <v>0</v>
      </c>
      <c r="BS119">
        <f t="shared" si="151"/>
        <v>0</v>
      </c>
      <c r="BT119">
        <f t="shared" si="151"/>
        <v>0</v>
      </c>
      <c r="BU119">
        <f t="shared" si="151"/>
        <v>0</v>
      </c>
      <c r="BV119">
        <f t="shared" si="151"/>
        <v>0</v>
      </c>
      <c r="BW119">
        <f t="shared" si="151"/>
        <v>0</v>
      </c>
      <c r="BX119">
        <f t="shared" si="151"/>
        <v>0</v>
      </c>
      <c r="BY119">
        <f t="shared" si="151"/>
        <v>0</v>
      </c>
      <c r="BZ119">
        <f t="shared" si="151"/>
        <v>0</v>
      </c>
      <c r="CA119">
        <f t="shared" si="151"/>
        <v>0</v>
      </c>
      <c r="CB119">
        <f t="shared" si="152"/>
        <v>0</v>
      </c>
      <c r="CC119">
        <f t="shared" si="152"/>
        <v>0</v>
      </c>
      <c r="CD119">
        <f t="shared" si="152"/>
        <v>0</v>
      </c>
      <c r="CE119">
        <f t="shared" si="152"/>
        <v>0</v>
      </c>
      <c r="CF119">
        <f t="shared" si="152"/>
        <v>0</v>
      </c>
      <c r="CG119">
        <f t="shared" si="152"/>
        <v>0</v>
      </c>
      <c r="CH119">
        <f t="shared" si="152"/>
        <v>0</v>
      </c>
      <c r="CI119">
        <f t="shared" si="152"/>
        <v>0</v>
      </c>
      <c r="CJ119">
        <f t="shared" si="152"/>
        <v>0</v>
      </c>
      <c r="CK119">
        <f t="shared" si="152"/>
        <v>0</v>
      </c>
      <c r="CL119">
        <f t="shared" si="153"/>
        <v>0</v>
      </c>
      <c r="CM119">
        <f t="shared" si="153"/>
        <v>0</v>
      </c>
      <c r="CN119">
        <f t="shared" si="153"/>
        <v>0</v>
      </c>
      <c r="CO119">
        <f t="shared" si="153"/>
        <v>0</v>
      </c>
      <c r="CP119">
        <f t="shared" si="153"/>
        <v>0</v>
      </c>
      <c r="CQ119">
        <f t="shared" si="153"/>
        <v>0</v>
      </c>
      <c r="CR119">
        <f t="shared" si="153"/>
        <v>0</v>
      </c>
      <c r="CS119">
        <f t="shared" si="153"/>
        <v>0</v>
      </c>
      <c r="CT119">
        <f t="shared" si="153"/>
        <v>0</v>
      </c>
      <c r="CU119">
        <f t="shared" si="153"/>
        <v>0</v>
      </c>
      <c r="CV119">
        <f t="shared" si="154"/>
        <v>0</v>
      </c>
      <c r="CW119">
        <f t="shared" si="154"/>
        <v>0</v>
      </c>
      <c r="CX119">
        <f t="shared" si="154"/>
        <v>0</v>
      </c>
      <c r="CY119">
        <f t="shared" si="154"/>
        <v>0</v>
      </c>
      <c r="CZ119">
        <f t="shared" si="154"/>
        <v>0</v>
      </c>
      <c r="DA119">
        <f t="shared" si="154"/>
        <v>0</v>
      </c>
      <c r="DB119">
        <f t="shared" si="154"/>
        <v>0</v>
      </c>
      <c r="DC119">
        <f t="shared" si="154"/>
        <v>0</v>
      </c>
      <c r="DD119">
        <f t="shared" si="154"/>
        <v>0</v>
      </c>
      <c r="DE119">
        <f t="shared" si="154"/>
        <v>0</v>
      </c>
      <c r="DF119">
        <f t="shared" si="155"/>
        <v>0</v>
      </c>
      <c r="DG119">
        <f t="shared" si="155"/>
        <v>0</v>
      </c>
      <c r="DH119">
        <f t="shared" si="155"/>
        <v>0</v>
      </c>
      <c r="DI119">
        <f t="shared" si="155"/>
        <v>0</v>
      </c>
      <c r="DJ119">
        <f t="shared" si="155"/>
        <v>0</v>
      </c>
      <c r="DK119">
        <f t="shared" si="155"/>
        <v>0</v>
      </c>
      <c r="DL119">
        <f t="shared" si="155"/>
        <v>0</v>
      </c>
      <c r="DM119">
        <f t="shared" si="155"/>
        <v>0</v>
      </c>
      <c r="DN119">
        <f t="shared" si="155"/>
        <v>0</v>
      </c>
      <c r="DO119">
        <f t="shared" si="155"/>
        <v>0</v>
      </c>
      <c r="DP119">
        <f t="shared" si="156"/>
        <v>0</v>
      </c>
      <c r="DQ119">
        <f t="shared" si="156"/>
        <v>0</v>
      </c>
      <c r="DR119">
        <f t="shared" si="156"/>
        <v>0</v>
      </c>
      <c r="DS119">
        <f t="shared" si="156"/>
        <v>0</v>
      </c>
      <c r="DT119">
        <f t="shared" si="156"/>
        <v>0</v>
      </c>
      <c r="DU119">
        <f t="shared" si="156"/>
        <v>0</v>
      </c>
      <c r="DV119">
        <f t="shared" si="156"/>
        <v>0</v>
      </c>
      <c r="DW119">
        <f t="shared" si="156"/>
        <v>0</v>
      </c>
      <c r="DX119">
        <f t="shared" si="156"/>
        <v>0</v>
      </c>
      <c r="DY119">
        <f t="shared" si="156"/>
        <v>0</v>
      </c>
      <c r="DZ119">
        <f t="shared" si="157"/>
        <v>0</v>
      </c>
      <c r="EA119">
        <f t="shared" si="157"/>
        <v>0</v>
      </c>
      <c r="EB119">
        <f t="shared" si="157"/>
        <v>0</v>
      </c>
      <c r="EC119">
        <f t="shared" si="157"/>
        <v>0</v>
      </c>
      <c r="ED119">
        <f t="shared" si="157"/>
        <v>0</v>
      </c>
      <c r="EE119">
        <f t="shared" si="157"/>
        <v>0</v>
      </c>
      <c r="EF119">
        <f t="shared" si="157"/>
        <v>0</v>
      </c>
      <c r="EG119">
        <f t="shared" si="157"/>
        <v>0</v>
      </c>
      <c r="EH119">
        <f t="shared" si="157"/>
        <v>0</v>
      </c>
      <c r="EI119">
        <f t="shared" si="157"/>
        <v>0</v>
      </c>
      <c r="EJ119">
        <f>SUM(Tabla1[[#This Row],[1]:[130]])</f>
        <v>55</v>
      </c>
    </row>
    <row r="120" spans="1:140" x14ac:dyDescent="0.25">
      <c r="A120" t="str">
        <f>B120&amp;"-"&amp;COUNTIF($B$2:B120,B120)</f>
        <v>I. REINETA-1</v>
      </c>
      <c r="B120" s="45" t="s">
        <v>523</v>
      </c>
      <c r="C120">
        <f>VLOOKUP(B120,RECETAS!D119:$E$1700,2,FALSE)</f>
        <v>0</v>
      </c>
      <c r="D120" s="25"/>
      <c r="G120" t="b">
        <f t="shared" si="92"/>
        <v>1</v>
      </c>
      <c r="I120" s="26" t="s">
        <v>39</v>
      </c>
      <c r="J120">
        <f t="shared" si="145"/>
        <v>0</v>
      </c>
      <c r="K120">
        <f t="shared" si="145"/>
        <v>0</v>
      </c>
      <c r="L120">
        <f t="shared" si="145"/>
        <v>0</v>
      </c>
      <c r="M120">
        <f t="shared" si="145"/>
        <v>0</v>
      </c>
      <c r="N120">
        <f t="shared" si="145"/>
        <v>0</v>
      </c>
      <c r="O120">
        <f t="shared" si="145"/>
        <v>0</v>
      </c>
      <c r="P120">
        <f t="shared" si="145"/>
        <v>0</v>
      </c>
      <c r="Q120">
        <f t="shared" si="145"/>
        <v>0</v>
      </c>
      <c r="R120">
        <f t="shared" si="145"/>
        <v>0</v>
      </c>
      <c r="S120">
        <f t="shared" si="145"/>
        <v>0</v>
      </c>
      <c r="T120">
        <f t="shared" si="146"/>
        <v>0</v>
      </c>
      <c r="U120">
        <f t="shared" si="146"/>
        <v>0</v>
      </c>
      <c r="V120">
        <f t="shared" si="146"/>
        <v>0</v>
      </c>
      <c r="W120">
        <f t="shared" si="146"/>
        <v>0</v>
      </c>
      <c r="X120">
        <f t="shared" si="146"/>
        <v>0</v>
      </c>
      <c r="Y120">
        <f t="shared" si="146"/>
        <v>0</v>
      </c>
      <c r="Z120">
        <f t="shared" si="146"/>
        <v>0</v>
      </c>
      <c r="AA120">
        <f t="shared" si="146"/>
        <v>0</v>
      </c>
      <c r="AB120">
        <f t="shared" si="146"/>
        <v>0</v>
      </c>
      <c r="AC120">
        <f t="shared" si="146"/>
        <v>0</v>
      </c>
      <c r="AD120">
        <f t="shared" si="147"/>
        <v>0</v>
      </c>
      <c r="AE120">
        <f t="shared" si="147"/>
        <v>0</v>
      </c>
      <c r="AF120">
        <f t="shared" si="147"/>
        <v>0</v>
      </c>
      <c r="AG120">
        <f t="shared" si="147"/>
        <v>0</v>
      </c>
      <c r="AH120">
        <f t="shared" si="147"/>
        <v>0</v>
      </c>
      <c r="AI120">
        <f t="shared" si="147"/>
        <v>0</v>
      </c>
      <c r="AJ120">
        <f t="shared" si="147"/>
        <v>0</v>
      </c>
      <c r="AK120">
        <f t="shared" si="147"/>
        <v>0</v>
      </c>
      <c r="AL120">
        <f t="shared" si="147"/>
        <v>0</v>
      </c>
      <c r="AM120">
        <f t="shared" si="147"/>
        <v>0</v>
      </c>
      <c r="AN120">
        <f t="shared" si="148"/>
        <v>0</v>
      </c>
      <c r="AO120">
        <f t="shared" si="148"/>
        <v>0</v>
      </c>
      <c r="AP120">
        <f t="shared" si="148"/>
        <v>0</v>
      </c>
      <c r="AQ120">
        <f t="shared" si="148"/>
        <v>0</v>
      </c>
      <c r="AR120">
        <f t="shared" si="148"/>
        <v>0</v>
      </c>
      <c r="AS120">
        <f t="shared" si="148"/>
        <v>0</v>
      </c>
      <c r="AT120">
        <f t="shared" si="148"/>
        <v>0</v>
      </c>
      <c r="AU120">
        <f t="shared" si="148"/>
        <v>0</v>
      </c>
      <c r="AV120">
        <f t="shared" si="148"/>
        <v>0</v>
      </c>
      <c r="AW120">
        <f t="shared" si="148"/>
        <v>0</v>
      </c>
      <c r="AX120">
        <f t="shared" si="149"/>
        <v>0</v>
      </c>
      <c r="AY120">
        <f t="shared" si="149"/>
        <v>0</v>
      </c>
      <c r="AZ120">
        <f t="shared" si="149"/>
        <v>0</v>
      </c>
      <c r="BA120">
        <f t="shared" si="149"/>
        <v>0</v>
      </c>
      <c r="BB120">
        <f t="shared" si="149"/>
        <v>0</v>
      </c>
      <c r="BC120">
        <f t="shared" si="149"/>
        <v>0</v>
      </c>
      <c r="BD120">
        <f t="shared" si="149"/>
        <v>0</v>
      </c>
      <c r="BE120">
        <f t="shared" si="149"/>
        <v>0</v>
      </c>
      <c r="BF120">
        <f t="shared" si="149"/>
        <v>0</v>
      </c>
      <c r="BG120">
        <f t="shared" si="149"/>
        <v>0</v>
      </c>
      <c r="BH120">
        <f t="shared" si="150"/>
        <v>0</v>
      </c>
      <c r="BI120">
        <f t="shared" si="150"/>
        <v>0</v>
      </c>
      <c r="BJ120">
        <f t="shared" si="150"/>
        <v>0</v>
      </c>
      <c r="BK120">
        <f t="shared" si="150"/>
        <v>0</v>
      </c>
      <c r="BL120">
        <f t="shared" si="150"/>
        <v>0</v>
      </c>
      <c r="BM120">
        <f t="shared" si="150"/>
        <v>0</v>
      </c>
      <c r="BN120">
        <f t="shared" si="150"/>
        <v>0</v>
      </c>
      <c r="BO120">
        <f t="shared" si="150"/>
        <v>0</v>
      </c>
      <c r="BP120">
        <f t="shared" si="150"/>
        <v>0</v>
      </c>
      <c r="BQ120">
        <f t="shared" si="150"/>
        <v>0</v>
      </c>
      <c r="BR120">
        <f t="shared" si="151"/>
        <v>0</v>
      </c>
      <c r="BS120">
        <f t="shared" si="151"/>
        <v>0</v>
      </c>
      <c r="BT120">
        <f t="shared" si="151"/>
        <v>0</v>
      </c>
      <c r="BU120">
        <f t="shared" si="151"/>
        <v>0</v>
      </c>
      <c r="BV120">
        <f t="shared" si="151"/>
        <v>0</v>
      </c>
      <c r="BW120">
        <f t="shared" si="151"/>
        <v>0</v>
      </c>
      <c r="BX120">
        <f t="shared" si="151"/>
        <v>0</v>
      </c>
      <c r="BY120">
        <f t="shared" si="151"/>
        <v>0</v>
      </c>
      <c r="BZ120">
        <f t="shared" si="151"/>
        <v>0</v>
      </c>
      <c r="CA120">
        <f t="shared" si="151"/>
        <v>0</v>
      </c>
      <c r="CB120">
        <f t="shared" si="152"/>
        <v>0</v>
      </c>
      <c r="CC120">
        <f t="shared" si="152"/>
        <v>0</v>
      </c>
      <c r="CD120">
        <f t="shared" si="152"/>
        <v>0</v>
      </c>
      <c r="CE120">
        <f t="shared" si="152"/>
        <v>0</v>
      </c>
      <c r="CF120">
        <f t="shared" si="152"/>
        <v>0</v>
      </c>
      <c r="CG120">
        <f t="shared" si="152"/>
        <v>0</v>
      </c>
      <c r="CH120">
        <f t="shared" si="152"/>
        <v>0</v>
      </c>
      <c r="CI120">
        <f t="shared" si="152"/>
        <v>0</v>
      </c>
      <c r="CJ120">
        <f t="shared" si="152"/>
        <v>0</v>
      </c>
      <c r="CK120">
        <f t="shared" si="152"/>
        <v>0</v>
      </c>
      <c r="CL120">
        <f t="shared" si="153"/>
        <v>0</v>
      </c>
      <c r="CM120">
        <f t="shared" si="153"/>
        <v>0</v>
      </c>
      <c r="CN120">
        <f t="shared" si="153"/>
        <v>0</v>
      </c>
      <c r="CO120">
        <f t="shared" si="153"/>
        <v>0</v>
      </c>
      <c r="CP120">
        <f t="shared" si="153"/>
        <v>0</v>
      </c>
      <c r="CQ120">
        <f t="shared" si="153"/>
        <v>0</v>
      </c>
      <c r="CR120">
        <f t="shared" si="153"/>
        <v>0</v>
      </c>
      <c r="CS120">
        <f t="shared" si="153"/>
        <v>0</v>
      </c>
      <c r="CT120">
        <f t="shared" si="153"/>
        <v>0</v>
      </c>
      <c r="CU120">
        <f t="shared" si="153"/>
        <v>0</v>
      </c>
      <c r="CV120">
        <f t="shared" si="154"/>
        <v>0</v>
      </c>
      <c r="CW120">
        <f t="shared" si="154"/>
        <v>0</v>
      </c>
      <c r="CX120">
        <f t="shared" si="154"/>
        <v>0</v>
      </c>
      <c r="CY120">
        <f t="shared" si="154"/>
        <v>0</v>
      </c>
      <c r="CZ120">
        <f t="shared" si="154"/>
        <v>0</v>
      </c>
      <c r="DA120">
        <f t="shared" si="154"/>
        <v>0</v>
      </c>
      <c r="DB120">
        <f t="shared" si="154"/>
        <v>0</v>
      </c>
      <c r="DC120">
        <f t="shared" si="154"/>
        <v>0</v>
      </c>
      <c r="DD120">
        <f t="shared" si="154"/>
        <v>0</v>
      </c>
      <c r="DE120">
        <f t="shared" si="154"/>
        <v>0</v>
      </c>
      <c r="DF120">
        <f t="shared" si="155"/>
        <v>0</v>
      </c>
      <c r="DG120">
        <f t="shared" si="155"/>
        <v>0</v>
      </c>
      <c r="DH120">
        <f t="shared" si="155"/>
        <v>0</v>
      </c>
      <c r="DI120">
        <f t="shared" si="155"/>
        <v>0</v>
      </c>
      <c r="DJ120">
        <f t="shared" si="155"/>
        <v>0</v>
      </c>
      <c r="DK120">
        <f t="shared" si="155"/>
        <v>0</v>
      </c>
      <c r="DL120">
        <f t="shared" si="155"/>
        <v>0</v>
      </c>
      <c r="DM120">
        <f t="shared" si="155"/>
        <v>0</v>
      </c>
      <c r="DN120">
        <f t="shared" si="155"/>
        <v>0</v>
      </c>
      <c r="DO120">
        <f t="shared" si="155"/>
        <v>0</v>
      </c>
      <c r="DP120">
        <f t="shared" si="156"/>
        <v>0</v>
      </c>
      <c r="DQ120">
        <f t="shared" si="156"/>
        <v>0</v>
      </c>
      <c r="DR120">
        <f t="shared" si="156"/>
        <v>0</v>
      </c>
      <c r="DS120">
        <f t="shared" si="156"/>
        <v>0</v>
      </c>
      <c r="DT120">
        <f t="shared" si="156"/>
        <v>0</v>
      </c>
      <c r="DU120">
        <f t="shared" si="156"/>
        <v>0</v>
      </c>
      <c r="DV120">
        <f t="shared" si="156"/>
        <v>0</v>
      </c>
      <c r="DW120">
        <f t="shared" si="156"/>
        <v>0</v>
      </c>
      <c r="DX120">
        <f t="shared" si="156"/>
        <v>0</v>
      </c>
      <c r="DY120">
        <f t="shared" si="156"/>
        <v>0</v>
      </c>
      <c r="DZ120">
        <f t="shared" si="157"/>
        <v>0</v>
      </c>
      <c r="EA120">
        <f t="shared" si="157"/>
        <v>0</v>
      </c>
      <c r="EB120">
        <f t="shared" si="157"/>
        <v>0</v>
      </c>
      <c r="EC120">
        <f t="shared" si="157"/>
        <v>0</v>
      </c>
      <c r="ED120">
        <f t="shared" si="157"/>
        <v>0</v>
      </c>
      <c r="EE120">
        <f t="shared" si="157"/>
        <v>0</v>
      </c>
      <c r="EF120">
        <f t="shared" si="157"/>
        <v>0</v>
      </c>
      <c r="EG120">
        <f t="shared" si="157"/>
        <v>0</v>
      </c>
      <c r="EH120">
        <f t="shared" si="157"/>
        <v>0</v>
      </c>
      <c r="EI120">
        <f t="shared" si="157"/>
        <v>0</v>
      </c>
      <c r="EJ120">
        <f>SUM(Tabla1[[#This Row],[1]:[130]])</f>
        <v>0</v>
      </c>
    </row>
    <row r="121" spans="1:140" x14ac:dyDescent="0.25">
      <c r="A121" t="str">
        <f>B121&amp;"-"&amp;COUNTIF($B$2:B121,B121)</f>
        <v>I. CEBOLLA MORADA-1</v>
      </c>
      <c r="B121" s="35" t="s">
        <v>40</v>
      </c>
      <c r="C121">
        <f>VLOOKUP(B121,RECETAS!D120:$E$1700,2,FALSE)</f>
        <v>0</v>
      </c>
      <c r="D121" s="34"/>
      <c r="G121" t="b">
        <f t="shared" si="92"/>
        <v>1</v>
      </c>
      <c r="I121" s="35" t="s">
        <v>31</v>
      </c>
      <c r="J121">
        <f t="shared" si="145"/>
        <v>16</v>
      </c>
      <c r="K121">
        <f t="shared" si="145"/>
        <v>0</v>
      </c>
      <c r="L121">
        <f t="shared" si="145"/>
        <v>4</v>
      </c>
      <c r="M121">
        <f t="shared" si="145"/>
        <v>0</v>
      </c>
      <c r="N121">
        <f t="shared" si="145"/>
        <v>0</v>
      </c>
      <c r="O121">
        <f t="shared" si="145"/>
        <v>0</v>
      </c>
      <c r="P121">
        <f t="shared" si="145"/>
        <v>0</v>
      </c>
      <c r="Q121">
        <f t="shared" si="145"/>
        <v>0</v>
      </c>
      <c r="R121">
        <f t="shared" si="145"/>
        <v>0</v>
      </c>
      <c r="S121">
        <f t="shared" si="145"/>
        <v>0</v>
      </c>
      <c r="T121">
        <f t="shared" si="146"/>
        <v>0</v>
      </c>
      <c r="U121">
        <f t="shared" si="146"/>
        <v>0</v>
      </c>
      <c r="V121">
        <f t="shared" si="146"/>
        <v>0</v>
      </c>
      <c r="W121">
        <f t="shared" si="146"/>
        <v>0</v>
      </c>
      <c r="X121">
        <f t="shared" si="146"/>
        <v>0</v>
      </c>
      <c r="Y121">
        <f t="shared" si="146"/>
        <v>0</v>
      </c>
      <c r="Z121">
        <f t="shared" si="146"/>
        <v>0</v>
      </c>
      <c r="AA121">
        <f t="shared" si="146"/>
        <v>0</v>
      </c>
      <c r="AB121">
        <f t="shared" si="146"/>
        <v>0</v>
      </c>
      <c r="AC121">
        <f t="shared" si="146"/>
        <v>0</v>
      </c>
      <c r="AD121">
        <f t="shared" si="147"/>
        <v>0</v>
      </c>
      <c r="AE121">
        <f t="shared" si="147"/>
        <v>0</v>
      </c>
      <c r="AF121">
        <f t="shared" si="147"/>
        <v>0</v>
      </c>
      <c r="AG121">
        <f t="shared" si="147"/>
        <v>0</v>
      </c>
      <c r="AH121">
        <f t="shared" si="147"/>
        <v>0</v>
      </c>
      <c r="AI121">
        <f t="shared" si="147"/>
        <v>0</v>
      </c>
      <c r="AJ121">
        <f t="shared" si="147"/>
        <v>0</v>
      </c>
      <c r="AK121">
        <f t="shared" si="147"/>
        <v>0</v>
      </c>
      <c r="AL121">
        <f t="shared" si="147"/>
        <v>0</v>
      </c>
      <c r="AM121">
        <f t="shared" si="147"/>
        <v>0</v>
      </c>
      <c r="AN121">
        <f t="shared" si="148"/>
        <v>0</v>
      </c>
      <c r="AO121">
        <f t="shared" si="148"/>
        <v>0</v>
      </c>
      <c r="AP121">
        <f t="shared" si="148"/>
        <v>0</v>
      </c>
      <c r="AQ121">
        <f t="shared" si="148"/>
        <v>0</v>
      </c>
      <c r="AR121">
        <f t="shared" si="148"/>
        <v>0</v>
      </c>
      <c r="AS121">
        <f t="shared" si="148"/>
        <v>0</v>
      </c>
      <c r="AT121">
        <f t="shared" si="148"/>
        <v>0</v>
      </c>
      <c r="AU121">
        <f t="shared" si="148"/>
        <v>0</v>
      </c>
      <c r="AV121">
        <f t="shared" si="148"/>
        <v>0</v>
      </c>
      <c r="AW121">
        <f t="shared" si="148"/>
        <v>0</v>
      </c>
      <c r="AX121">
        <f t="shared" si="149"/>
        <v>0</v>
      </c>
      <c r="AY121">
        <f t="shared" si="149"/>
        <v>0</v>
      </c>
      <c r="AZ121">
        <f t="shared" si="149"/>
        <v>0</v>
      </c>
      <c r="BA121">
        <f t="shared" si="149"/>
        <v>0</v>
      </c>
      <c r="BB121">
        <f t="shared" si="149"/>
        <v>0</v>
      </c>
      <c r="BC121">
        <f t="shared" si="149"/>
        <v>0</v>
      </c>
      <c r="BD121">
        <f t="shared" si="149"/>
        <v>0</v>
      </c>
      <c r="BE121">
        <f t="shared" si="149"/>
        <v>0</v>
      </c>
      <c r="BF121">
        <f t="shared" si="149"/>
        <v>0</v>
      </c>
      <c r="BG121">
        <f t="shared" si="149"/>
        <v>0</v>
      </c>
      <c r="BH121">
        <f t="shared" si="150"/>
        <v>0</v>
      </c>
      <c r="BI121">
        <f t="shared" si="150"/>
        <v>0</v>
      </c>
      <c r="BJ121">
        <f t="shared" si="150"/>
        <v>0</v>
      </c>
      <c r="BK121">
        <f t="shared" si="150"/>
        <v>0</v>
      </c>
      <c r="BL121">
        <f t="shared" si="150"/>
        <v>0</v>
      </c>
      <c r="BM121">
        <f t="shared" si="150"/>
        <v>0</v>
      </c>
      <c r="BN121">
        <f t="shared" si="150"/>
        <v>0</v>
      </c>
      <c r="BO121">
        <f t="shared" si="150"/>
        <v>0</v>
      </c>
      <c r="BP121">
        <f t="shared" si="150"/>
        <v>0</v>
      </c>
      <c r="BQ121">
        <f t="shared" si="150"/>
        <v>0</v>
      </c>
      <c r="BR121">
        <f t="shared" si="151"/>
        <v>0</v>
      </c>
      <c r="BS121">
        <f t="shared" si="151"/>
        <v>0</v>
      </c>
      <c r="BT121">
        <f t="shared" si="151"/>
        <v>0</v>
      </c>
      <c r="BU121">
        <f t="shared" si="151"/>
        <v>0</v>
      </c>
      <c r="BV121">
        <f t="shared" si="151"/>
        <v>0</v>
      </c>
      <c r="BW121">
        <f t="shared" si="151"/>
        <v>0</v>
      </c>
      <c r="BX121">
        <f t="shared" si="151"/>
        <v>0</v>
      </c>
      <c r="BY121">
        <f t="shared" si="151"/>
        <v>0</v>
      </c>
      <c r="BZ121">
        <f t="shared" si="151"/>
        <v>0</v>
      </c>
      <c r="CA121">
        <f t="shared" si="151"/>
        <v>0</v>
      </c>
      <c r="CB121">
        <f t="shared" si="152"/>
        <v>0</v>
      </c>
      <c r="CC121">
        <f t="shared" si="152"/>
        <v>0</v>
      </c>
      <c r="CD121">
        <f t="shared" si="152"/>
        <v>0</v>
      </c>
      <c r="CE121">
        <f t="shared" si="152"/>
        <v>0</v>
      </c>
      <c r="CF121">
        <f t="shared" si="152"/>
        <v>0</v>
      </c>
      <c r="CG121">
        <f t="shared" si="152"/>
        <v>0</v>
      </c>
      <c r="CH121">
        <f t="shared" si="152"/>
        <v>0</v>
      </c>
      <c r="CI121">
        <f t="shared" si="152"/>
        <v>0</v>
      </c>
      <c r="CJ121">
        <f t="shared" si="152"/>
        <v>0</v>
      </c>
      <c r="CK121">
        <f t="shared" si="152"/>
        <v>0</v>
      </c>
      <c r="CL121">
        <f t="shared" si="153"/>
        <v>0</v>
      </c>
      <c r="CM121">
        <f t="shared" si="153"/>
        <v>0</v>
      </c>
      <c r="CN121">
        <f t="shared" si="153"/>
        <v>0</v>
      </c>
      <c r="CO121">
        <f t="shared" si="153"/>
        <v>0</v>
      </c>
      <c r="CP121">
        <f t="shared" si="153"/>
        <v>0</v>
      </c>
      <c r="CQ121">
        <f t="shared" si="153"/>
        <v>0</v>
      </c>
      <c r="CR121">
        <f t="shared" si="153"/>
        <v>0</v>
      </c>
      <c r="CS121">
        <f t="shared" si="153"/>
        <v>0</v>
      </c>
      <c r="CT121">
        <f t="shared" si="153"/>
        <v>0</v>
      </c>
      <c r="CU121">
        <f t="shared" si="153"/>
        <v>0</v>
      </c>
      <c r="CV121">
        <f t="shared" si="154"/>
        <v>0</v>
      </c>
      <c r="CW121">
        <f t="shared" si="154"/>
        <v>0</v>
      </c>
      <c r="CX121">
        <f t="shared" si="154"/>
        <v>0</v>
      </c>
      <c r="CY121">
        <f t="shared" si="154"/>
        <v>0</v>
      </c>
      <c r="CZ121">
        <f t="shared" si="154"/>
        <v>0</v>
      </c>
      <c r="DA121">
        <f t="shared" si="154"/>
        <v>0</v>
      </c>
      <c r="DB121">
        <f t="shared" si="154"/>
        <v>0</v>
      </c>
      <c r="DC121">
        <f t="shared" si="154"/>
        <v>0</v>
      </c>
      <c r="DD121">
        <f t="shared" si="154"/>
        <v>0</v>
      </c>
      <c r="DE121">
        <f t="shared" si="154"/>
        <v>0</v>
      </c>
      <c r="DF121">
        <f t="shared" si="155"/>
        <v>0</v>
      </c>
      <c r="DG121">
        <f t="shared" si="155"/>
        <v>0</v>
      </c>
      <c r="DH121">
        <f t="shared" si="155"/>
        <v>0</v>
      </c>
      <c r="DI121">
        <f t="shared" si="155"/>
        <v>0</v>
      </c>
      <c r="DJ121">
        <f t="shared" si="155"/>
        <v>0</v>
      </c>
      <c r="DK121">
        <f t="shared" si="155"/>
        <v>0</v>
      </c>
      <c r="DL121">
        <f t="shared" si="155"/>
        <v>0</v>
      </c>
      <c r="DM121">
        <f t="shared" si="155"/>
        <v>0</v>
      </c>
      <c r="DN121">
        <f t="shared" si="155"/>
        <v>0</v>
      </c>
      <c r="DO121">
        <f t="shared" si="155"/>
        <v>0</v>
      </c>
      <c r="DP121">
        <f t="shared" si="156"/>
        <v>0</v>
      </c>
      <c r="DQ121">
        <f t="shared" si="156"/>
        <v>0</v>
      </c>
      <c r="DR121">
        <f t="shared" si="156"/>
        <v>0</v>
      </c>
      <c r="DS121">
        <f t="shared" si="156"/>
        <v>0</v>
      </c>
      <c r="DT121">
        <f t="shared" si="156"/>
        <v>0</v>
      </c>
      <c r="DU121">
        <f t="shared" si="156"/>
        <v>0</v>
      </c>
      <c r="DV121">
        <f t="shared" si="156"/>
        <v>0</v>
      </c>
      <c r="DW121">
        <f t="shared" si="156"/>
        <v>0</v>
      </c>
      <c r="DX121">
        <f t="shared" si="156"/>
        <v>0</v>
      </c>
      <c r="DY121">
        <f t="shared" si="156"/>
        <v>0</v>
      </c>
      <c r="DZ121">
        <f t="shared" si="157"/>
        <v>0</v>
      </c>
      <c r="EA121">
        <f t="shared" si="157"/>
        <v>0</v>
      </c>
      <c r="EB121">
        <f t="shared" si="157"/>
        <v>0</v>
      </c>
      <c r="EC121">
        <f t="shared" si="157"/>
        <v>0</v>
      </c>
      <c r="ED121">
        <f t="shared" si="157"/>
        <v>0</v>
      </c>
      <c r="EE121">
        <f t="shared" si="157"/>
        <v>0</v>
      </c>
      <c r="EF121">
        <f t="shared" si="157"/>
        <v>0</v>
      </c>
      <c r="EG121">
        <f t="shared" si="157"/>
        <v>0</v>
      </c>
      <c r="EH121">
        <f t="shared" si="157"/>
        <v>0</v>
      </c>
      <c r="EI121">
        <f t="shared" si="157"/>
        <v>0</v>
      </c>
      <c r="EJ121">
        <f>SUM(Tabla1[[#This Row],[1]:[130]])</f>
        <v>20</v>
      </c>
    </row>
    <row r="122" spans="1:140" x14ac:dyDescent="0.25">
      <c r="A122" t="str">
        <f>B122&amp;"-"&amp;COUNTIF($B$2:B122,B122)</f>
        <v>I. CHOCLO PERUANO PORCION-1</v>
      </c>
      <c r="B122" s="36" t="s">
        <v>41</v>
      </c>
      <c r="C122">
        <f>VLOOKUP(B122,RECETAS!D121:$E$1700,2,FALSE)</f>
        <v>0</v>
      </c>
      <c r="D122" s="34"/>
      <c r="G122" t="b">
        <f t="shared" si="92"/>
        <v>1</v>
      </c>
      <c r="I122" s="171" t="s">
        <v>649</v>
      </c>
      <c r="J122">
        <f t="shared" si="145"/>
        <v>0</v>
      </c>
      <c r="K122">
        <f t="shared" si="145"/>
        <v>0</v>
      </c>
      <c r="L122">
        <f t="shared" si="145"/>
        <v>0</v>
      </c>
      <c r="M122">
        <f t="shared" si="145"/>
        <v>0</v>
      </c>
      <c r="N122">
        <f t="shared" si="145"/>
        <v>0</v>
      </c>
      <c r="O122">
        <f t="shared" si="145"/>
        <v>0</v>
      </c>
      <c r="P122">
        <f t="shared" si="145"/>
        <v>0</v>
      </c>
      <c r="Q122">
        <f t="shared" si="145"/>
        <v>0</v>
      </c>
      <c r="R122">
        <f t="shared" si="145"/>
        <v>0</v>
      </c>
      <c r="S122">
        <f t="shared" si="145"/>
        <v>0</v>
      </c>
      <c r="T122">
        <f t="shared" si="146"/>
        <v>0</v>
      </c>
      <c r="U122">
        <f t="shared" si="146"/>
        <v>0</v>
      </c>
      <c r="V122">
        <f t="shared" si="146"/>
        <v>0</v>
      </c>
      <c r="W122">
        <f t="shared" si="146"/>
        <v>0</v>
      </c>
      <c r="X122">
        <f t="shared" si="146"/>
        <v>0</v>
      </c>
      <c r="Y122">
        <f t="shared" si="146"/>
        <v>0</v>
      </c>
      <c r="Z122">
        <f t="shared" si="146"/>
        <v>0</v>
      </c>
      <c r="AA122">
        <f t="shared" si="146"/>
        <v>0</v>
      </c>
      <c r="AB122">
        <f t="shared" si="146"/>
        <v>0</v>
      </c>
      <c r="AC122">
        <f t="shared" si="146"/>
        <v>0</v>
      </c>
      <c r="AD122">
        <f t="shared" si="147"/>
        <v>0</v>
      </c>
      <c r="AE122">
        <f t="shared" si="147"/>
        <v>0</v>
      </c>
      <c r="AF122">
        <f t="shared" si="147"/>
        <v>0</v>
      </c>
      <c r="AG122">
        <f t="shared" si="147"/>
        <v>0</v>
      </c>
      <c r="AH122">
        <f t="shared" si="147"/>
        <v>0</v>
      </c>
      <c r="AI122">
        <f t="shared" si="147"/>
        <v>0</v>
      </c>
      <c r="AJ122">
        <f t="shared" si="147"/>
        <v>0</v>
      </c>
      <c r="AK122">
        <f t="shared" si="147"/>
        <v>0</v>
      </c>
      <c r="AL122">
        <f t="shared" si="147"/>
        <v>0</v>
      </c>
      <c r="AM122">
        <f t="shared" si="147"/>
        <v>0</v>
      </c>
      <c r="AN122">
        <f t="shared" si="148"/>
        <v>0</v>
      </c>
      <c r="AO122">
        <f t="shared" si="148"/>
        <v>0</v>
      </c>
      <c r="AP122">
        <f t="shared" si="148"/>
        <v>0</v>
      </c>
      <c r="AQ122">
        <f t="shared" si="148"/>
        <v>0</v>
      </c>
      <c r="AR122">
        <f t="shared" si="148"/>
        <v>0</v>
      </c>
      <c r="AS122">
        <f t="shared" si="148"/>
        <v>0</v>
      </c>
      <c r="AT122">
        <f t="shared" si="148"/>
        <v>0</v>
      </c>
      <c r="AU122">
        <f t="shared" si="148"/>
        <v>0</v>
      </c>
      <c r="AV122">
        <f t="shared" si="148"/>
        <v>0</v>
      </c>
      <c r="AW122">
        <f t="shared" si="148"/>
        <v>0</v>
      </c>
      <c r="AX122">
        <f t="shared" si="149"/>
        <v>0</v>
      </c>
      <c r="AY122">
        <f t="shared" si="149"/>
        <v>0</v>
      </c>
      <c r="AZ122">
        <f t="shared" si="149"/>
        <v>0</v>
      </c>
      <c r="BA122">
        <f t="shared" si="149"/>
        <v>0</v>
      </c>
      <c r="BB122">
        <f t="shared" si="149"/>
        <v>0</v>
      </c>
      <c r="BC122">
        <f t="shared" si="149"/>
        <v>0</v>
      </c>
      <c r="BD122">
        <f t="shared" si="149"/>
        <v>0</v>
      </c>
      <c r="BE122">
        <f t="shared" si="149"/>
        <v>0</v>
      </c>
      <c r="BF122">
        <f t="shared" si="149"/>
        <v>0</v>
      </c>
      <c r="BG122">
        <f t="shared" si="149"/>
        <v>0</v>
      </c>
      <c r="BH122">
        <f t="shared" si="150"/>
        <v>0</v>
      </c>
      <c r="BI122">
        <f t="shared" si="150"/>
        <v>0</v>
      </c>
      <c r="BJ122">
        <f t="shared" si="150"/>
        <v>0</v>
      </c>
      <c r="BK122">
        <f t="shared" si="150"/>
        <v>0</v>
      </c>
      <c r="BL122">
        <f t="shared" si="150"/>
        <v>0</v>
      </c>
      <c r="BM122">
        <f t="shared" si="150"/>
        <v>0</v>
      </c>
      <c r="BN122">
        <f t="shared" si="150"/>
        <v>0</v>
      </c>
      <c r="BO122">
        <f t="shared" si="150"/>
        <v>0</v>
      </c>
      <c r="BP122">
        <f t="shared" si="150"/>
        <v>0</v>
      </c>
      <c r="BQ122">
        <f t="shared" si="150"/>
        <v>0</v>
      </c>
      <c r="BR122">
        <f t="shared" si="151"/>
        <v>0</v>
      </c>
      <c r="BS122">
        <f t="shared" si="151"/>
        <v>0</v>
      </c>
      <c r="BT122">
        <f t="shared" si="151"/>
        <v>0</v>
      </c>
      <c r="BU122">
        <f t="shared" si="151"/>
        <v>0</v>
      </c>
      <c r="BV122">
        <f t="shared" si="151"/>
        <v>0</v>
      </c>
      <c r="BW122">
        <f t="shared" si="151"/>
        <v>0</v>
      </c>
      <c r="BX122">
        <f t="shared" si="151"/>
        <v>0</v>
      </c>
      <c r="BY122">
        <f t="shared" si="151"/>
        <v>0</v>
      </c>
      <c r="BZ122">
        <f t="shared" si="151"/>
        <v>0</v>
      </c>
      <c r="CA122">
        <f t="shared" si="151"/>
        <v>0</v>
      </c>
      <c r="CB122">
        <f t="shared" si="152"/>
        <v>0</v>
      </c>
      <c r="CC122">
        <f t="shared" si="152"/>
        <v>0</v>
      </c>
      <c r="CD122">
        <f t="shared" si="152"/>
        <v>0</v>
      </c>
      <c r="CE122">
        <f t="shared" si="152"/>
        <v>0</v>
      </c>
      <c r="CF122">
        <f t="shared" si="152"/>
        <v>0</v>
      </c>
      <c r="CG122">
        <f t="shared" si="152"/>
        <v>0</v>
      </c>
      <c r="CH122">
        <f t="shared" si="152"/>
        <v>0</v>
      </c>
      <c r="CI122">
        <f t="shared" si="152"/>
        <v>0</v>
      </c>
      <c r="CJ122">
        <f t="shared" si="152"/>
        <v>0</v>
      </c>
      <c r="CK122">
        <f t="shared" si="152"/>
        <v>0</v>
      </c>
      <c r="CL122">
        <f t="shared" si="153"/>
        <v>0</v>
      </c>
      <c r="CM122">
        <f t="shared" si="153"/>
        <v>0</v>
      </c>
      <c r="CN122">
        <f t="shared" si="153"/>
        <v>0</v>
      </c>
      <c r="CO122">
        <f t="shared" si="153"/>
        <v>0</v>
      </c>
      <c r="CP122">
        <f t="shared" si="153"/>
        <v>0</v>
      </c>
      <c r="CQ122">
        <f t="shared" si="153"/>
        <v>0</v>
      </c>
      <c r="CR122">
        <f t="shared" si="153"/>
        <v>0</v>
      </c>
      <c r="CS122">
        <f t="shared" si="153"/>
        <v>0</v>
      </c>
      <c r="CT122">
        <f t="shared" si="153"/>
        <v>0</v>
      </c>
      <c r="CU122">
        <f t="shared" si="153"/>
        <v>0</v>
      </c>
      <c r="CV122">
        <f t="shared" si="154"/>
        <v>0</v>
      </c>
      <c r="CW122">
        <f t="shared" si="154"/>
        <v>0</v>
      </c>
      <c r="CX122">
        <f t="shared" si="154"/>
        <v>0</v>
      </c>
      <c r="CY122">
        <f t="shared" si="154"/>
        <v>0</v>
      </c>
      <c r="CZ122">
        <f t="shared" si="154"/>
        <v>0</v>
      </c>
      <c r="DA122">
        <f t="shared" si="154"/>
        <v>0</v>
      </c>
      <c r="DB122">
        <f t="shared" si="154"/>
        <v>0</v>
      </c>
      <c r="DC122">
        <f t="shared" si="154"/>
        <v>0</v>
      </c>
      <c r="DD122">
        <f t="shared" si="154"/>
        <v>0</v>
      </c>
      <c r="DE122">
        <f t="shared" si="154"/>
        <v>0</v>
      </c>
      <c r="DF122">
        <f t="shared" si="155"/>
        <v>0</v>
      </c>
      <c r="DG122">
        <f t="shared" si="155"/>
        <v>0</v>
      </c>
      <c r="DH122">
        <f t="shared" si="155"/>
        <v>0</v>
      </c>
      <c r="DI122">
        <f t="shared" si="155"/>
        <v>0</v>
      </c>
      <c r="DJ122">
        <f t="shared" si="155"/>
        <v>0</v>
      </c>
      <c r="DK122">
        <f t="shared" si="155"/>
        <v>0</v>
      </c>
      <c r="DL122">
        <f t="shared" si="155"/>
        <v>0</v>
      </c>
      <c r="DM122">
        <f t="shared" si="155"/>
        <v>0</v>
      </c>
      <c r="DN122">
        <f t="shared" si="155"/>
        <v>0</v>
      </c>
      <c r="DO122">
        <f t="shared" si="155"/>
        <v>0</v>
      </c>
      <c r="DP122">
        <f t="shared" si="156"/>
        <v>0</v>
      </c>
      <c r="DQ122">
        <f t="shared" si="156"/>
        <v>0</v>
      </c>
      <c r="DR122">
        <f t="shared" si="156"/>
        <v>0</v>
      </c>
      <c r="DS122">
        <f t="shared" si="156"/>
        <v>0</v>
      </c>
      <c r="DT122">
        <f t="shared" si="156"/>
        <v>0</v>
      </c>
      <c r="DU122">
        <f t="shared" si="156"/>
        <v>0</v>
      </c>
      <c r="DV122">
        <f t="shared" si="156"/>
        <v>0</v>
      </c>
      <c r="DW122">
        <f t="shared" si="156"/>
        <v>0</v>
      </c>
      <c r="DX122">
        <f t="shared" si="156"/>
        <v>0</v>
      </c>
      <c r="DY122">
        <f t="shared" si="156"/>
        <v>0</v>
      </c>
      <c r="DZ122">
        <f t="shared" si="157"/>
        <v>0</v>
      </c>
      <c r="EA122">
        <f t="shared" si="157"/>
        <v>0</v>
      </c>
      <c r="EB122">
        <f t="shared" si="157"/>
        <v>0</v>
      </c>
      <c r="EC122">
        <f t="shared" si="157"/>
        <v>0</v>
      </c>
      <c r="ED122">
        <f t="shared" si="157"/>
        <v>0</v>
      </c>
      <c r="EE122">
        <f t="shared" si="157"/>
        <v>0</v>
      </c>
      <c r="EF122">
        <f t="shared" si="157"/>
        <v>0</v>
      </c>
      <c r="EG122">
        <f t="shared" si="157"/>
        <v>0</v>
      </c>
      <c r="EH122">
        <f t="shared" si="157"/>
        <v>0</v>
      </c>
      <c r="EI122">
        <f t="shared" si="157"/>
        <v>0</v>
      </c>
      <c r="EJ122">
        <f>SUM(Tabla1[[#This Row],[1]:[130]])</f>
        <v>0</v>
      </c>
    </row>
    <row r="123" spans="1:140" ht="15.75" thickBot="1" x14ac:dyDescent="0.3">
      <c r="A123" t="str">
        <f>B123&amp;"-"&amp;COUNTIF($B$2:B123,B123)</f>
        <v>I. BAGUETTE-5</v>
      </c>
      <c r="B123" s="33" t="s">
        <v>311</v>
      </c>
      <c r="C123">
        <f>VLOOKUP(B123,RECETAS!D122:$E$1700,2,FALSE)</f>
        <v>0</v>
      </c>
      <c r="D123" s="32"/>
      <c r="G123" t="b">
        <f t="shared" si="92"/>
        <v>1</v>
      </c>
      <c r="I123" s="172" t="s">
        <v>642</v>
      </c>
      <c r="J123">
        <f t="shared" ref="J123:S132" si="158">IFERROR(VLOOKUP($I123&amp;"-"&amp;J$2,$A$3:$C$1700,3,FALSE),0)</f>
        <v>0</v>
      </c>
      <c r="K123">
        <f t="shared" si="158"/>
        <v>0</v>
      </c>
      <c r="L123">
        <f t="shared" si="158"/>
        <v>0</v>
      </c>
      <c r="M123">
        <f t="shared" si="158"/>
        <v>0</v>
      </c>
      <c r="N123">
        <f t="shared" si="158"/>
        <v>0</v>
      </c>
      <c r="O123">
        <f t="shared" si="158"/>
        <v>0</v>
      </c>
      <c r="P123">
        <f t="shared" si="158"/>
        <v>0</v>
      </c>
      <c r="Q123">
        <f t="shared" si="158"/>
        <v>0</v>
      </c>
      <c r="R123">
        <f t="shared" si="158"/>
        <v>0</v>
      </c>
      <c r="S123">
        <f t="shared" si="158"/>
        <v>0</v>
      </c>
      <c r="T123">
        <f t="shared" ref="T123:AC132" si="159">IFERROR(VLOOKUP($I123&amp;"-"&amp;T$2,$A$3:$C$1700,3,FALSE),0)</f>
        <v>0</v>
      </c>
      <c r="U123">
        <f t="shared" si="159"/>
        <v>0</v>
      </c>
      <c r="V123">
        <f t="shared" si="159"/>
        <v>0</v>
      </c>
      <c r="W123">
        <f t="shared" si="159"/>
        <v>0</v>
      </c>
      <c r="X123">
        <f t="shared" si="159"/>
        <v>0</v>
      </c>
      <c r="Y123">
        <f t="shared" si="159"/>
        <v>0</v>
      </c>
      <c r="Z123">
        <f t="shared" si="159"/>
        <v>0</v>
      </c>
      <c r="AA123">
        <f t="shared" si="159"/>
        <v>0</v>
      </c>
      <c r="AB123">
        <f t="shared" si="159"/>
        <v>0</v>
      </c>
      <c r="AC123">
        <f t="shared" si="159"/>
        <v>0</v>
      </c>
      <c r="AD123">
        <f t="shared" ref="AD123:AM132" si="160">IFERROR(VLOOKUP($I123&amp;"-"&amp;AD$2,$A$3:$C$1700,3,FALSE),0)</f>
        <v>0</v>
      </c>
      <c r="AE123">
        <f t="shared" si="160"/>
        <v>0</v>
      </c>
      <c r="AF123">
        <f t="shared" si="160"/>
        <v>0</v>
      </c>
      <c r="AG123">
        <f t="shared" si="160"/>
        <v>0</v>
      </c>
      <c r="AH123">
        <f t="shared" si="160"/>
        <v>0</v>
      </c>
      <c r="AI123">
        <f t="shared" si="160"/>
        <v>0</v>
      </c>
      <c r="AJ123">
        <f t="shared" si="160"/>
        <v>0</v>
      </c>
      <c r="AK123">
        <f t="shared" si="160"/>
        <v>0</v>
      </c>
      <c r="AL123">
        <f t="shared" si="160"/>
        <v>0</v>
      </c>
      <c r="AM123">
        <f t="shared" si="160"/>
        <v>0</v>
      </c>
      <c r="AN123">
        <f t="shared" ref="AN123:AW132" si="161">IFERROR(VLOOKUP($I123&amp;"-"&amp;AN$2,$A$3:$C$1700,3,FALSE),0)</f>
        <v>0</v>
      </c>
      <c r="AO123">
        <f t="shared" si="161"/>
        <v>0</v>
      </c>
      <c r="AP123">
        <f t="shared" si="161"/>
        <v>0</v>
      </c>
      <c r="AQ123">
        <f t="shared" si="161"/>
        <v>0</v>
      </c>
      <c r="AR123">
        <f t="shared" si="161"/>
        <v>0</v>
      </c>
      <c r="AS123">
        <f t="shared" si="161"/>
        <v>0</v>
      </c>
      <c r="AT123">
        <f t="shared" si="161"/>
        <v>0</v>
      </c>
      <c r="AU123">
        <f t="shared" si="161"/>
        <v>0</v>
      </c>
      <c r="AV123">
        <f t="shared" si="161"/>
        <v>0</v>
      </c>
      <c r="AW123">
        <f t="shared" si="161"/>
        <v>0</v>
      </c>
      <c r="AX123">
        <f t="shared" ref="AX123:BG132" si="162">IFERROR(VLOOKUP($I123&amp;"-"&amp;AX$2,$A$3:$C$1700,3,FALSE),0)</f>
        <v>0</v>
      </c>
      <c r="AY123">
        <f t="shared" si="162"/>
        <v>0</v>
      </c>
      <c r="AZ123">
        <f t="shared" si="162"/>
        <v>0</v>
      </c>
      <c r="BA123">
        <f t="shared" si="162"/>
        <v>0</v>
      </c>
      <c r="BB123">
        <f t="shared" si="162"/>
        <v>0</v>
      </c>
      <c r="BC123">
        <f t="shared" si="162"/>
        <v>0</v>
      </c>
      <c r="BD123">
        <f t="shared" si="162"/>
        <v>0</v>
      </c>
      <c r="BE123">
        <f t="shared" si="162"/>
        <v>0</v>
      </c>
      <c r="BF123">
        <f t="shared" si="162"/>
        <v>0</v>
      </c>
      <c r="BG123">
        <f t="shared" si="162"/>
        <v>0</v>
      </c>
      <c r="BH123">
        <f t="shared" ref="BH123:BQ132" si="163">IFERROR(VLOOKUP($I123&amp;"-"&amp;BH$2,$A$3:$C$1700,3,FALSE),0)</f>
        <v>0</v>
      </c>
      <c r="BI123">
        <f t="shared" si="163"/>
        <v>0</v>
      </c>
      <c r="BJ123">
        <f t="shared" si="163"/>
        <v>0</v>
      </c>
      <c r="BK123">
        <f t="shared" si="163"/>
        <v>0</v>
      </c>
      <c r="BL123">
        <f t="shared" si="163"/>
        <v>0</v>
      </c>
      <c r="BM123">
        <f t="shared" si="163"/>
        <v>0</v>
      </c>
      <c r="BN123">
        <f t="shared" si="163"/>
        <v>0</v>
      </c>
      <c r="BO123">
        <f t="shared" si="163"/>
        <v>0</v>
      </c>
      <c r="BP123">
        <f t="shared" si="163"/>
        <v>0</v>
      </c>
      <c r="BQ123">
        <f t="shared" si="163"/>
        <v>0</v>
      </c>
      <c r="BR123">
        <f t="shared" ref="BR123:CA132" si="164">IFERROR(VLOOKUP($I123&amp;"-"&amp;BR$2,$A$3:$C$1700,3,FALSE),0)</f>
        <v>0</v>
      </c>
      <c r="BS123">
        <f t="shared" si="164"/>
        <v>0</v>
      </c>
      <c r="BT123">
        <f t="shared" si="164"/>
        <v>0</v>
      </c>
      <c r="BU123">
        <f t="shared" si="164"/>
        <v>0</v>
      </c>
      <c r="BV123">
        <f t="shared" si="164"/>
        <v>0</v>
      </c>
      <c r="BW123">
        <f t="shared" si="164"/>
        <v>0</v>
      </c>
      <c r="BX123">
        <f t="shared" si="164"/>
        <v>0</v>
      </c>
      <c r="BY123">
        <f t="shared" si="164"/>
        <v>0</v>
      </c>
      <c r="BZ123">
        <f t="shared" si="164"/>
        <v>0</v>
      </c>
      <c r="CA123">
        <f t="shared" si="164"/>
        <v>0</v>
      </c>
      <c r="CB123">
        <f t="shared" ref="CB123:CK132" si="165">IFERROR(VLOOKUP($I123&amp;"-"&amp;CB$2,$A$3:$C$1700,3,FALSE),0)</f>
        <v>0</v>
      </c>
      <c r="CC123">
        <f t="shared" si="165"/>
        <v>0</v>
      </c>
      <c r="CD123">
        <f t="shared" si="165"/>
        <v>0</v>
      </c>
      <c r="CE123">
        <f t="shared" si="165"/>
        <v>0</v>
      </c>
      <c r="CF123">
        <f t="shared" si="165"/>
        <v>0</v>
      </c>
      <c r="CG123">
        <f t="shared" si="165"/>
        <v>0</v>
      </c>
      <c r="CH123">
        <f t="shared" si="165"/>
        <v>0</v>
      </c>
      <c r="CI123">
        <f t="shared" si="165"/>
        <v>0</v>
      </c>
      <c r="CJ123">
        <f t="shared" si="165"/>
        <v>0</v>
      </c>
      <c r="CK123">
        <f t="shared" si="165"/>
        <v>0</v>
      </c>
      <c r="CL123">
        <f t="shared" ref="CL123:CU132" si="166">IFERROR(VLOOKUP($I123&amp;"-"&amp;CL$2,$A$3:$C$1700,3,FALSE),0)</f>
        <v>0</v>
      </c>
      <c r="CM123">
        <f t="shared" si="166"/>
        <v>0</v>
      </c>
      <c r="CN123">
        <f t="shared" si="166"/>
        <v>0</v>
      </c>
      <c r="CO123">
        <f t="shared" si="166"/>
        <v>0</v>
      </c>
      <c r="CP123">
        <f t="shared" si="166"/>
        <v>0</v>
      </c>
      <c r="CQ123">
        <f t="shared" si="166"/>
        <v>0</v>
      </c>
      <c r="CR123">
        <f t="shared" si="166"/>
        <v>0</v>
      </c>
      <c r="CS123">
        <f t="shared" si="166"/>
        <v>0</v>
      </c>
      <c r="CT123">
        <f t="shared" si="166"/>
        <v>0</v>
      </c>
      <c r="CU123">
        <f t="shared" si="166"/>
        <v>0</v>
      </c>
      <c r="CV123">
        <f t="shared" ref="CV123:DE132" si="167">IFERROR(VLOOKUP($I123&amp;"-"&amp;CV$2,$A$3:$C$1700,3,FALSE),0)</f>
        <v>0</v>
      </c>
      <c r="CW123">
        <f t="shared" si="167"/>
        <v>0</v>
      </c>
      <c r="CX123">
        <f t="shared" si="167"/>
        <v>0</v>
      </c>
      <c r="CY123">
        <f t="shared" si="167"/>
        <v>0</v>
      </c>
      <c r="CZ123">
        <f t="shared" si="167"/>
        <v>0</v>
      </c>
      <c r="DA123">
        <f t="shared" si="167"/>
        <v>0</v>
      </c>
      <c r="DB123">
        <f t="shared" si="167"/>
        <v>0</v>
      </c>
      <c r="DC123">
        <f t="shared" si="167"/>
        <v>0</v>
      </c>
      <c r="DD123">
        <f t="shared" si="167"/>
        <v>0</v>
      </c>
      <c r="DE123">
        <f t="shared" si="167"/>
        <v>0</v>
      </c>
      <c r="DF123">
        <f t="shared" ref="DF123:DO132" si="168">IFERROR(VLOOKUP($I123&amp;"-"&amp;DF$2,$A$3:$C$1700,3,FALSE),0)</f>
        <v>0</v>
      </c>
      <c r="DG123">
        <f t="shared" si="168"/>
        <v>0</v>
      </c>
      <c r="DH123">
        <f t="shared" si="168"/>
        <v>0</v>
      </c>
      <c r="DI123">
        <f t="shared" si="168"/>
        <v>0</v>
      </c>
      <c r="DJ123">
        <f t="shared" si="168"/>
        <v>0</v>
      </c>
      <c r="DK123">
        <f t="shared" si="168"/>
        <v>0</v>
      </c>
      <c r="DL123">
        <f t="shared" si="168"/>
        <v>0</v>
      </c>
      <c r="DM123">
        <f t="shared" si="168"/>
        <v>0</v>
      </c>
      <c r="DN123">
        <f t="shared" si="168"/>
        <v>0</v>
      </c>
      <c r="DO123">
        <f t="shared" si="168"/>
        <v>0</v>
      </c>
      <c r="DP123">
        <f t="shared" ref="DP123:DY132" si="169">IFERROR(VLOOKUP($I123&amp;"-"&amp;DP$2,$A$3:$C$1700,3,FALSE),0)</f>
        <v>0</v>
      </c>
      <c r="DQ123">
        <f t="shared" si="169"/>
        <v>0</v>
      </c>
      <c r="DR123">
        <f t="shared" si="169"/>
        <v>0</v>
      </c>
      <c r="DS123">
        <f t="shared" si="169"/>
        <v>0</v>
      </c>
      <c r="DT123">
        <f t="shared" si="169"/>
        <v>0</v>
      </c>
      <c r="DU123">
        <f t="shared" si="169"/>
        <v>0</v>
      </c>
      <c r="DV123">
        <f t="shared" si="169"/>
        <v>0</v>
      </c>
      <c r="DW123">
        <f t="shared" si="169"/>
        <v>0</v>
      </c>
      <c r="DX123">
        <f t="shared" si="169"/>
        <v>0</v>
      </c>
      <c r="DY123">
        <f t="shared" si="169"/>
        <v>0</v>
      </c>
      <c r="DZ123">
        <f t="shared" ref="DZ123:EI132" si="170">IFERROR(VLOOKUP($I123&amp;"-"&amp;DZ$2,$A$3:$C$1700,3,FALSE),0)</f>
        <v>0</v>
      </c>
      <c r="EA123">
        <f t="shared" si="170"/>
        <v>0</v>
      </c>
      <c r="EB123">
        <f t="shared" si="170"/>
        <v>0</v>
      </c>
      <c r="EC123">
        <f t="shared" si="170"/>
        <v>0</v>
      </c>
      <c r="ED123">
        <f t="shared" si="170"/>
        <v>0</v>
      </c>
      <c r="EE123">
        <f t="shared" si="170"/>
        <v>0</v>
      </c>
      <c r="EF123">
        <f t="shared" si="170"/>
        <v>0</v>
      </c>
      <c r="EG123">
        <f t="shared" si="170"/>
        <v>0</v>
      </c>
      <c r="EH123">
        <f t="shared" si="170"/>
        <v>0</v>
      </c>
      <c r="EI123">
        <f t="shared" si="170"/>
        <v>0</v>
      </c>
      <c r="EJ123">
        <f>SUM(Tabla1[[#This Row],[1]:[130]])</f>
        <v>0</v>
      </c>
    </row>
    <row r="124" spans="1:140" x14ac:dyDescent="0.25">
      <c r="A124" t="str">
        <f>B124&amp;"-"&amp;COUNTIF($B$2:B124,B124)</f>
        <v>I. SPRITE 237CC-1</v>
      </c>
      <c r="B124" s="45" t="s">
        <v>586</v>
      </c>
      <c r="C124">
        <f>VLOOKUP(B124,RECETAS!D123:$E$1700,2,FALSE)</f>
        <v>0</v>
      </c>
      <c r="D124" s="25" t="s">
        <v>339</v>
      </c>
      <c r="G124" t="b">
        <f t="shared" si="92"/>
        <v>1</v>
      </c>
      <c r="I124" s="119" t="s">
        <v>646</v>
      </c>
      <c r="J124">
        <f t="shared" si="158"/>
        <v>0</v>
      </c>
      <c r="K124">
        <f t="shared" si="158"/>
        <v>0</v>
      </c>
      <c r="L124">
        <f t="shared" si="158"/>
        <v>0</v>
      </c>
      <c r="M124">
        <f t="shared" si="158"/>
        <v>0</v>
      </c>
      <c r="N124">
        <f t="shared" si="158"/>
        <v>0</v>
      </c>
      <c r="O124">
        <f t="shared" si="158"/>
        <v>0</v>
      </c>
      <c r="P124">
        <f t="shared" si="158"/>
        <v>0</v>
      </c>
      <c r="Q124">
        <f t="shared" si="158"/>
        <v>0</v>
      </c>
      <c r="R124">
        <f t="shared" si="158"/>
        <v>0</v>
      </c>
      <c r="S124">
        <f t="shared" si="158"/>
        <v>0</v>
      </c>
      <c r="T124">
        <f t="shared" si="159"/>
        <v>0</v>
      </c>
      <c r="U124">
        <f t="shared" si="159"/>
        <v>0</v>
      </c>
      <c r="V124">
        <f t="shared" si="159"/>
        <v>0</v>
      </c>
      <c r="W124">
        <f t="shared" si="159"/>
        <v>0</v>
      </c>
      <c r="X124">
        <f t="shared" si="159"/>
        <v>0</v>
      </c>
      <c r="Y124">
        <f t="shared" si="159"/>
        <v>0</v>
      </c>
      <c r="Z124">
        <f t="shared" si="159"/>
        <v>0</v>
      </c>
      <c r="AA124">
        <f t="shared" si="159"/>
        <v>0</v>
      </c>
      <c r="AB124">
        <f t="shared" si="159"/>
        <v>0</v>
      </c>
      <c r="AC124">
        <f t="shared" si="159"/>
        <v>0</v>
      </c>
      <c r="AD124">
        <f t="shared" si="160"/>
        <v>0</v>
      </c>
      <c r="AE124">
        <f t="shared" si="160"/>
        <v>0</v>
      </c>
      <c r="AF124">
        <f t="shared" si="160"/>
        <v>0</v>
      </c>
      <c r="AG124">
        <f t="shared" si="160"/>
        <v>0</v>
      </c>
      <c r="AH124">
        <f t="shared" si="160"/>
        <v>0</v>
      </c>
      <c r="AI124">
        <f t="shared" si="160"/>
        <v>0</v>
      </c>
      <c r="AJ124">
        <f t="shared" si="160"/>
        <v>0</v>
      </c>
      <c r="AK124">
        <f t="shared" si="160"/>
        <v>0</v>
      </c>
      <c r="AL124">
        <f t="shared" si="160"/>
        <v>0</v>
      </c>
      <c r="AM124">
        <f t="shared" si="160"/>
        <v>0</v>
      </c>
      <c r="AN124">
        <f t="shared" si="161"/>
        <v>0</v>
      </c>
      <c r="AO124">
        <f t="shared" si="161"/>
        <v>0</v>
      </c>
      <c r="AP124">
        <f t="shared" si="161"/>
        <v>0</v>
      </c>
      <c r="AQ124">
        <f t="shared" si="161"/>
        <v>0</v>
      </c>
      <c r="AR124">
        <f t="shared" si="161"/>
        <v>0</v>
      </c>
      <c r="AS124">
        <f t="shared" si="161"/>
        <v>0</v>
      </c>
      <c r="AT124">
        <f t="shared" si="161"/>
        <v>0</v>
      </c>
      <c r="AU124">
        <f t="shared" si="161"/>
        <v>0</v>
      </c>
      <c r="AV124">
        <f t="shared" si="161"/>
        <v>0</v>
      </c>
      <c r="AW124">
        <f t="shared" si="161"/>
        <v>0</v>
      </c>
      <c r="AX124">
        <f t="shared" si="162"/>
        <v>0</v>
      </c>
      <c r="AY124">
        <f t="shared" si="162"/>
        <v>0</v>
      </c>
      <c r="AZ124">
        <f t="shared" si="162"/>
        <v>0</v>
      </c>
      <c r="BA124">
        <f t="shared" si="162"/>
        <v>0</v>
      </c>
      <c r="BB124">
        <f t="shared" si="162"/>
        <v>0</v>
      </c>
      <c r="BC124">
        <f t="shared" si="162"/>
        <v>0</v>
      </c>
      <c r="BD124">
        <f t="shared" si="162"/>
        <v>0</v>
      </c>
      <c r="BE124">
        <f t="shared" si="162"/>
        <v>0</v>
      </c>
      <c r="BF124">
        <f t="shared" si="162"/>
        <v>0</v>
      </c>
      <c r="BG124">
        <f t="shared" si="162"/>
        <v>0</v>
      </c>
      <c r="BH124">
        <f t="shared" si="163"/>
        <v>0</v>
      </c>
      <c r="BI124">
        <f t="shared" si="163"/>
        <v>0</v>
      </c>
      <c r="BJ124">
        <f t="shared" si="163"/>
        <v>0</v>
      </c>
      <c r="BK124">
        <f t="shared" si="163"/>
        <v>0</v>
      </c>
      <c r="BL124">
        <f t="shared" si="163"/>
        <v>0</v>
      </c>
      <c r="BM124">
        <f t="shared" si="163"/>
        <v>0</v>
      </c>
      <c r="BN124">
        <f t="shared" si="163"/>
        <v>0</v>
      </c>
      <c r="BO124">
        <f t="shared" si="163"/>
        <v>0</v>
      </c>
      <c r="BP124">
        <f t="shared" si="163"/>
        <v>0</v>
      </c>
      <c r="BQ124">
        <f t="shared" si="163"/>
        <v>0</v>
      </c>
      <c r="BR124">
        <f t="shared" si="164"/>
        <v>0</v>
      </c>
      <c r="BS124">
        <f t="shared" si="164"/>
        <v>0</v>
      </c>
      <c r="BT124">
        <f t="shared" si="164"/>
        <v>0</v>
      </c>
      <c r="BU124">
        <f t="shared" si="164"/>
        <v>0</v>
      </c>
      <c r="BV124">
        <f t="shared" si="164"/>
        <v>0</v>
      </c>
      <c r="BW124">
        <f t="shared" si="164"/>
        <v>0</v>
      </c>
      <c r="BX124">
        <f t="shared" si="164"/>
        <v>0</v>
      </c>
      <c r="BY124">
        <f t="shared" si="164"/>
        <v>0</v>
      </c>
      <c r="BZ124">
        <f t="shared" si="164"/>
        <v>0</v>
      </c>
      <c r="CA124">
        <f t="shared" si="164"/>
        <v>0</v>
      </c>
      <c r="CB124">
        <f t="shared" si="165"/>
        <v>0</v>
      </c>
      <c r="CC124">
        <f t="shared" si="165"/>
        <v>0</v>
      </c>
      <c r="CD124">
        <f t="shared" si="165"/>
        <v>0</v>
      </c>
      <c r="CE124">
        <f t="shared" si="165"/>
        <v>0</v>
      </c>
      <c r="CF124">
        <f t="shared" si="165"/>
        <v>0</v>
      </c>
      <c r="CG124">
        <f t="shared" si="165"/>
        <v>0</v>
      </c>
      <c r="CH124">
        <f t="shared" si="165"/>
        <v>0</v>
      </c>
      <c r="CI124">
        <f t="shared" si="165"/>
        <v>0</v>
      </c>
      <c r="CJ124">
        <f t="shared" si="165"/>
        <v>0</v>
      </c>
      <c r="CK124">
        <f t="shared" si="165"/>
        <v>0</v>
      </c>
      <c r="CL124">
        <f t="shared" si="166"/>
        <v>0</v>
      </c>
      <c r="CM124">
        <f t="shared" si="166"/>
        <v>0</v>
      </c>
      <c r="CN124">
        <f t="shared" si="166"/>
        <v>0</v>
      </c>
      <c r="CO124">
        <f t="shared" si="166"/>
        <v>0</v>
      </c>
      <c r="CP124">
        <f t="shared" si="166"/>
        <v>0</v>
      </c>
      <c r="CQ124">
        <f t="shared" si="166"/>
        <v>0</v>
      </c>
      <c r="CR124">
        <f t="shared" si="166"/>
        <v>0</v>
      </c>
      <c r="CS124">
        <f t="shared" si="166"/>
        <v>0</v>
      </c>
      <c r="CT124">
        <f t="shared" si="166"/>
        <v>0</v>
      </c>
      <c r="CU124">
        <f t="shared" si="166"/>
        <v>0</v>
      </c>
      <c r="CV124">
        <f t="shared" si="167"/>
        <v>0</v>
      </c>
      <c r="CW124">
        <f t="shared" si="167"/>
        <v>0</v>
      </c>
      <c r="CX124">
        <f t="shared" si="167"/>
        <v>0</v>
      </c>
      <c r="CY124">
        <f t="shared" si="167"/>
        <v>0</v>
      </c>
      <c r="CZ124">
        <f t="shared" si="167"/>
        <v>0</v>
      </c>
      <c r="DA124">
        <f t="shared" si="167"/>
        <v>0</v>
      </c>
      <c r="DB124">
        <f t="shared" si="167"/>
        <v>0</v>
      </c>
      <c r="DC124">
        <f t="shared" si="167"/>
        <v>0</v>
      </c>
      <c r="DD124">
        <f t="shared" si="167"/>
        <v>0</v>
      </c>
      <c r="DE124">
        <f t="shared" si="167"/>
        <v>0</v>
      </c>
      <c r="DF124">
        <f t="shared" si="168"/>
        <v>0</v>
      </c>
      <c r="DG124">
        <f t="shared" si="168"/>
        <v>0</v>
      </c>
      <c r="DH124">
        <f t="shared" si="168"/>
        <v>0</v>
      </c>
      <c r="DI124">
        <f t="shared" si="168"/>
        <v>0</v>
      </c>
      <c r="DJ124">
        <f t="shared" si="168"/>
        <v>0</v>
      </c>
      <c r="DK124">
        <f t="shared" si="168"/>
        <v>0</v>
      </c>
      <c r="DL124">
        <f t="shared" si="168"/>
        <v>0</v>
      </c>
      <c r="DM124">
        <f t="shared" si="168"/>
        <v>0</v>
      </c>
      <c r="DN124">
        <f t="shared" si="168"/>
        <v>0</v>
      </c>
      <c r="DO124">
        <f t="shared" si="168"/>
        <v>0</v>
      </c>
      <c r="DP124">
        <f t="shared" si="169"/>
        <v>0</v>
      </c>
      <c r="DQ124">
        <f t="shared" si="169"/>
        <v>0</v>
      </c>
      <c r="DR124">
        <f t="shared" si="169"/>
        <v>0</v>
      </c>
      <c r="DS124">
        <f t="shared" si="169"/>
        <v>0</v>
      </c>
      <c r="DT124">
        <f t="shared" si="169"/>
        <v>0</v>
      </c>
      <c r="DU124">
        <f t="shared" si="169"/>
        <v>0</v>
      </c>
      <c r="DV124">
        <f t="shared" si="169"/>
        <v>0</v>
      </c>
      <c r="DW124">
        <f t="shared" si="169"/>
        <v>0</v>
      </c>
      <c r="DX124">
        <f t="shared" si="169"/>
        <v>0</v>
      </c>
      <c r="DY124">
        <f t="shared" si="169"/>
        <v>0</v>
      </c>
      <c r="DZ124">
        <f t="shared" si="170"/>
        <v>0</v>
      </c>
      <c r="EA124">
        <f t="shared" si="170"/>
        <v>0</v>
      </c>
      <c r="EB124">
        <f t="shared" si="170"/>
        <v>0</v>
      </c>
      <c r="EC124">
        <f t="shared" si="170"/>
        <v>0</v>
      </c>
      <c r="ED124">
        <f t="shared" si="170"/>
        <v>0</v>
      </c>
      <c r="EE124">
        <f t="shared" si="170"/>
        <v>0</v>
      </c>
      <c r="EF124">
        <f t="shared" si="170"/>
        <v>0</v>
      </c>
      <c r="EG124">
        <f t="shared" si="170"/>
        <v>0</v>
      </c>
      <c r="EH124">
        <f t="shared" si="170"/>
        <v>0</v>
      </c>
      <c r="EI124">
        <f t="shared" si="170"/>
        <v>0</v>
      </c>
      <c r="EJ124">
        <f>SUM(Tabla1[[#This Row],[1]:[130]])</f>
        <v>0</v>
      </c>
    </row>
    <row r="125" spans="1:140" x14ac:dyDescent="0.25">
      <c r="A125" t="str">
        <f>B125&amp;"-"&amp;COUNTIF($B$2:B125,B125)</f>
        <v>I. AZUCAR FLOR-1</v>
      </c>
      <c r="B125" s="38" t="s">
        <v>51</v>
      </c>
      <c r="C125">
        <f>VLOOKUP(B125,RECETAS!D124:$E$1700,2,FALSE)</f>
        <v>0</v>
      </c>
      <c r="D125" s="34"/>
      <c r="G125" t="b">
        <f t="shared" si="92"/>
        <v>1</v>
      </c>
      <c r="I125" s="171" t="s">
        <v>651</v>
      </c>
      <c r="J125">
        <f t="shared" si="158"/>
        <v>0</v>
      </c>
      <c r="K125">
        <f t="shared" si="158"/>
        <v>0</v>
      </c>
      <c r="L125">
        <f t="shared" si="158"/>
        <v>0</v>
      </c>
      <c r="M125">
        <f t="shared" si="158"/>
        <v>0</v>
      </c>
      <c r="N125">
        <f t="shared" si="158"/>
        <v>0</v>
      </c>
      <c r="O125">
        <f t="shared" si="158"/>
        <v>0</v>
      </c>
      <c r="P125">
        <f t="shared" si="158"/>
        <v>0</v>
      </c>
      <c r="Q125">
        <f t="shared" si="158"/>
        <v>0</v>
      </c>
      <c r="R125">
        <f t="shared" si="158"/>
        <v>0</v>
      </c>
      <c r="S125">
        <f t="shared" si="158"/>
        <v>0</v>
      </c>
      <c r="T125">
        <f t="shared" si="159"/>
        <v>0</v>
      </c>
      <c r="U125">
        <f t="shared" si="159"/>
        <v>0</v>
      </c>
      <c r="V125">
        <f t="shared" si="159"/>
        <v>0</v>
      </c>
      <c r="W125">
        <f t="shared" si="159"/>
        <v>0</v>
      </c>
      <c r="X125">
        <f t="shared" si="159"/>
        <v>0</v>
      </c>
      <c r="Y125">
        <f t="shared" si="159"/>
        <v>0</v>
      </c>
      <c r="Z125">
        <f t="shared" si="159"/>
        <v>0</v>
      </c>
      <c r="AA125">
        <f t="shared" si="159"/>
        <v>0</v>
      </c>
      <c r="AB125">
        <f t="shared" si="159"/>
        <v>0</v>
      </c>
      <c r="AC125">
        <f t="shared" si="159"/>
        <v>0</v>
      </c>
      <c r="AD125">
        <f t="shared" si="160"/>
        <v>0</v>
      </c>
      <c r="AE125">
        <f t="shared" si="160"/>
        <v>0</v>
      </c>
      <c r="AF125">
        <f t="shared" si="160"/>
        <v>0</v>
      </c>
      <c r="AG125">
        <f t="shared" si="160"/>
        <v>0</v>
      </c>
      <c r="AH125">
        <f t="shared" si="160"/>
        <v>0</v>
      </c>
      <c r="AI125">
        <f t="shared" si="160"/>
        <v>0</v>
      </c>
      <c r="AJ125">
        <f t="shared" si="160"/>
        <v>0</v>
      </c>
      <c r="AK125">
        <f t="shared" si="160"/>
        <v>0</v>
      </c>
      <c r="AL125">
        <f t="shared" si="160"/>
        <v>0</v>
      </c>
      <c r="AM125">
        <f t="shared" si="160"/>
        <v>0</v>
      </c>
      <c r="AN125">
        <f t="shared" si="161"/>
        <v>0</v>
      </c>
      <c r="AO125">
        <f t="shared" si="161"/>
        <v>0</v>
      </c>
      <c r="AP125">
        <f t="shared" si="161"/>
        <v>0</v>
      </c>
      <c r="AQ125">
        <f t="shared" si="161"/>
        <v>0</v>
      </c>
      <c r="AR125">
        <f t="shared" si="161"/>
        <v>0</v>
      </c>
      <c r="AS125">
        <f t="shared" si="161"/>
        <v>0</v>
      </c>
      <c r="AT125">
        <f t="shared" si="161"/>
        <v>0</v>
      </c>
      <c r="AU125">
        <f t="shared" si="161"/>
        <v>0</v>
      </c>
      <c r="AV125">
        <f t="shared" si="161"/>
        <v>0</v>
      </c>
      <c r="AW125">
        <f t="shared" si="161"/>
        <v>0</v>
      </c>
      <c r="AX125">
        <f t="shared" si="162"/>
        <v>0</v>
      </c>
      <c r="AY125">
        <f t="shared" si="162"/>
        <v>0</v>
      </c>
      <c r="AZ125">
        <f t="shared" si="162"/>
        <v>0</v>
      </c>
      <c r="BA125">
        <f t="shared" si="162"/>
        <v>0</v>
      </c>
      <c r="BB125">
        <f t="shared" si="162"/>
        <v>0</v>
      </c>
      <c r="BC125">
        <f t="shared" si="162"/>
        <v>0</v>
      </c>
      <c r="BD125">
        <f t="shared" si="162"/>
        <v>0</v>
      </c>
      <c r="BE125">
        <f t="shared" si="162"/>
        <v>0</v>
      </c>
      <c r="BF125">
        <f t="shared" si="162"/>
        <v>0</v>
      </c>
      <c r="BG125">
        <f t="shared" si="162"/>
        <v>0</v>
      </c>
      <c r="BH125">
        <f t="shared" si="163"/>
        <v>0</v>
      </c>
      <c r="BI125">
        <f t="shared" si="163"/>
        <v>0</v>
      </c>
      <c r="BJ125">
        <f t="shared" si="163"/>
        <v>0</v>
      </c>
      <c r="BK125">
        <f t="shared" si="163"/>
        <v>0</v>
      </c>
      <c r="BL125">
        <f t="shared" si="163"/>
        <v>0</v>
      </c>
      <c r="BM125">
        <f t="shared" si="163"/>
        <v>0</v>
      </c>
      <c r="BN125">
        <f t="shared" si="163"/>
        <v>0</v>
      </c>
      <c r="BO125">
        <f t="shared" si="163"/>
        <v>0</v>
      </c>
      <c r="BP125">
        <f t="shared" si="163"/>
        <v>0</v>
      </c>
      <c r="BQ125">
        <f t="shared" si="163"/>
        <v>0</v>
      </c>
      <c r="BR125">
        <f t="shared" si="164"/>
        <v>0</v>
      </c>
      <c r="BS125">
        <f t="shared" si="164"/>
        <v>0</v>
      </c>
      <c r="BT125">
        <f t="shared" si="164"/>
        <v>0</v>
      </c>
      <c r="BU125">
        <f t="shared" si="164"/>
        <v>0</v>
      </c>
      <c r="BV125">
        <f t="shared" si="164"/>
        <v>0</v>
      </c>
      <c r="BW125">
        <f t="shared" si="164"/>
        <v>0</v>
      </c>
      <c r="BX125">
        <f t="shared" si="164"/>
        <v>0</v>
      </c>
      <c r="BY125">
        <f t="shared" si="164"/>
        <v>0</v>
      </c>
      <c r="BZ125">
        <f t="shared" si="164"/>
        <v>0</v>
      </c>
      <c r="CA125">
        <f t="shared" si="164"/>
        <v>0</v>
      </c>
      <c r="CB125">
        <f t="shared" si="165"/>
        <v>0</v>
      </c>
      <c r="CC125">
        <f t="shared" si="165"/>
        <v>0</v>
      </c>
      <c r="CD125">
        <f t="shared" si="165"/>
        <v>0</v>
      </c>
      <c r="CE125">
        <f t="shared" si="165"/>
        <v>0</v>
      </c>
      <c r="CF125">
        <f t="shared" si="165"/>
        <v>0</v>
      </c>
      <c r="CG125">
        <f t="shared" si="165"/>
        <v>0</v>
      </c>
      <c r="CH125">
        <f t="shared" si="165"/>
        <v>0</v>
      </c>
      <c r="CI125">
        <f t="shared" si="165"/>
        <v>0</v>
      </c>
      <c r="CJ125">
        <f t="shared" si="165"/>
        <v>0</v>
      </c>
      <c r="CK125">
        <f t="shared" si="165"/>
        <v>0</v>
      </c>
      <c r="CL125">
        <f t="shared" si="166"/>
        <v>0</v>
      </c>
      <c r="CM125">
        <f t="shared" si="166"/>
        <v>0</v>
      </c>
      <c r="CN125">
        <f t="shared" si="166"/>
        <v>0</v>
      </c>
      <c r="CO125">
        <f t="shared" si="166"/>
        <v>0</v>
      </c>
      <c r="CP125">
        <f t="shared" si="166"/>
        <v>0</v>
      </c>
      <c r="CQ125">
        <f t="shared" si="166"/>
        <v>0</v>
      </c>
      <c r="CR125">
        <f t="shared" si="166"/>
        <v>0</v>
      </c>
      <c r="CS125">
        <f t="shared" si="166"/>
        <v>0</v>
      </c>
      <c r="CT125">
        <f t="shared" si="166"/>
        <v>0</v>
      </c>
      <c r="CU125">
        <f t="shared" si="166"/>
        <v>0</v>
      </c>
      <c r="CV125">
        <f t="shared" si="167"/>
        <v>0</v>
      </c>
      <c r="CW125">
        <f t="shared" si="167"/>
        <v>0</v>
      </c>
      <c r="CX125">
        <f t="shared" si="167"/>
        <v>0</v>
      </c>
      <c r="CY125">
        <f t="shared" si="167"/>
        <v>0</v>
      </c>
      <c r="CZ125">
        <f t="shared" si="167"/>
        <v>0</v>
      </c>
      <c r="DA125">
        <f t="shared" si="167"/>
        <v>0</v>
      </c>
      <c r="DB125">
        <f t="shared" si="167"/>
        <v>0</v>
      </c>
      <c r="DC125">
        <f t="shared" si="167"/>
        <v>0</v>
      </c>
      <c r="DD125">
        <f t="shared" si="167"/>
        <v>0</v>
      </c>
      <c r="DE125">
        <f t="shared" si="167"/>
        <v>0</v>
      </c>
      <c r="DF125">
        <f t="shared" si="168"/>
        <v>0</v>
      </c>
      <c r="DG125">
        <f t="shared" si="168"/>
        <v>0</v>
      </c>
      <c r="DH125">
        <f t="shared" si="168"/>
        <v>0</v>
      </c>
      <c r="DI125">
        <f t="shared" si="168"/>
        <v>0</v>
      </c>
      <c r="DJ125">
        <f t="shared" si="168"/>
        <v>0</v>
      </c>
      <c r="DK125">
        <f t="shared" si="168"/>
        <v>0</v>
      </c>
      <c r="DL125">
        <f t="shared" si="168"/>
        <v>0</v>
      </c>
      <c r="DM125">
        <f t="shared" si="168"/>
        <v>0</v>
      </c>
      <c r="DN125">
        <f t="shared" si="168"/>
        <v>0</v>
      </c>
      <c r="DO125">
        <f t="shared" si="168"/>
        <v>0</v>
      </c>
      <c r="DP125">
        <f t="shared" si="169"/>
        <v>0</v>
      </c>
      <c r="DQ125">
        <f t="shared" si="169"/>
        <v>0</v>
      </c>
      <c r="DR125">
        <f t="shared" si="169"/>
        <v>0</v>
      </c>
      <c r="DS125">
        <f t="shared" si="169"/>
        <v>0</v>
      </c>
      <c r="DT125">
        <f t="shared" si="169"/>
        <v>0</v>
      </c>
      <c r="DU125">
        <f t="shared" si="169"/>
        <v>0</v>
      </c>
      <c r="DV125">
        <f t="shared" si="169"/>
        <v>0</v>
      </c>
      <c r="DW125">
        <f t="shared" si="169"/>
        <v>0</v>
      </c>
      <c r="DX125">
        <f t="shared" si="169"/>
        <v>0</v>
      </c>
      <c r="DY125">
        <f t="shared" si="169"/>
        <v>0</v>
      </c>
      <c r="DZ125">
        <f t="shared" si="170"/>
        <v>0</v>
      </c>
      <c r="EA125">
        <f t="shared" si="170"/>
        <v>0</v>
      </c>
      <c r="EB125">
        <f t="shared" si="170"/>
        <v>0</v>
      </c>
      <c r="EC125">
        <f t="shared" si="170"/>
        <v>0</v>
      </c>
      <c r="ED125">
        <f t="shared" si="170"/>
        <v>0</v>
      </c>
      <c r="EE125">
        <f t="shared" si="170"/>
        <v>0</v>
      </c>
      <c r="EF125">
        <f t="shared" si="170"/>
        <v>0</v>
      </c>
      <c r="EG125">
        <f t="shared" si="170"/>
        <v>0</v>
      </c>
      <c r="EH125">
        <f t="shared" si="170"/>
        <v>0</v>
      </c>
      <c r="EI125">
        <f t="shared" si="170"/>
        <v>0</v>
      </c>
      <c r="EJ125">
        <f>SUM(Tabla1[[#This Row],[1]:[130]])</f>
        <v>0</v>
      </c>
    </row>
    <row r="126" spans="1:140" ht="15.75" thickBot="1" x14ac:dyDescent="0.3">
      <c r="A126" t="str">
        <f>B126&amp;"-"&amp;COUNTIF($B$2:B126,B126)</f>
        <v>I. LIMON PICA-1</v>
      </c>
      <c r="B126" s="39" t="s">
        <v>636</v>
      </c>
      <c r="C126">
        <f>VLOOKUP(B126,RECETAS!D125:$E$1700,2,FALSE)</f>
        <v>0</v>
      </c>
      <c r="D126" s="32"/>
      <c r="G126" t="b">
        <f t="shared" si="92"/>
        <v>1</v>
      </c>
      <c r="I126" s="172" t="s">
        <v>638</v>
      </c>
      <c r="J126">
        <f t="shared" si="158"/>
        <v>0</v>
      </c>
      <c r="K126">
        <f t="shared" si="158"/>
        <v>0</v>
      </c>
      <c r="L126">
        <f t="shared" si="158"/>
        <v>0</v>
      </c>
      <c r="M126">
        <f t="shared" si="158"/>
        <v>0</v>
      </c>
      <c r="N126">
        <f t="shared" si="158"/>
        <v>0</v>
      </c>
      <c r="O126">
        <f t="shared" si="158"/>
        <v>0</v>
      </c>
      <c r="P126">
        <f t="shared" si="158"/>
        <v>0</v>
      </c>
      <c r="Q126">
        <f t="shared" si="158"/>
        <v>0</v>
      </c>
      <c r="R126">
        <f t="shared" si="158"/>
        <v>0</v>
      </c>
      <c r="S126">
        <f t="shared" si="158"/>
        <v>0</v>
      </c>
      <c r="T126">
        <f t="shared" si="159"/>
        <v>0</v>
      </c>
      <c r="U126">
        <f t="shared" si="159"/>
        <v>0</v>
      </c>
      <c r="V126">
        <f t="shared" si="159"/>
        <v>0</v>
      </c>
      <c r="W126">
        <f t="shared" si="159"/>
        <v>0</v>
      </c>
      <c r="X126">
        <f t="shared" si="159"/>
        <v>0</v>
      </c>
      <c r="Y126">
        <f t="shared" si="159"/>
        <v>0</v>
      </c>
      <c r="Z126">
        <f t="shared" si="159"/>
        <v>0</v>
      </c>
      <c r="AA126">
        <f t="shared" si="159"/>
        <v>0</v>
      </c>
      <c r="AB126">
        <f t="shared" si="159"/>
        <v>0</v>
      </c>
      <c r="AC126">
        <f t="shared" si="159"/>
        <v>0</v>
      </c>
      <c r="AD126">
        <f t="shared" si="160"/>
        <v>0</v>
      </c>
      <c r="AE126">
        <f t="shared" si="160"/>
        <v>0</v>
      </c>
      <c r="AF126">
        <f t="shared" si="160"/>
        <v>0</v>
      </c>
      <c r="AG126">
        <f t="shared" si="160"/>
        <v>0</v>
      </c>
      <c r="AH126">
        <f t="shared" si="160"/>
        <v>0</v>
      </c>
      <c r="AI126">
        <f t="shared" si="160"/>
        <v>0</v>
      </c>
      <c r="AJ126">
        <f t="shared" si="160"/>
        <v>0</v>
      </c>
      <c r="AK126">
        <f t="shared" si="160"/>
        <v>0</v>
      </c>
      <c r="AL126">
        <f t="shared" si="160"/>
        <v>0</v>
      </c>
      <c r="AM126">
        <f t="shared" si="160"/>
        <v>0</v>
      </c>
      <c r="AN126">
        <f t="shared" si="161"/>
        <v>0</v>
      </c>
      <c r="AO126">
        <f t="shared" si="161"/>
        <v>0</v>
      </c>
      <c r="AP126">
        <f t="shared" si="161"/>
        <v>0</v>
      </c>
      <c r="AQ126">
        <f t="shared" si="161"/>
        <v>0</v>
      </c>
      <c r="AR126">
        <f t="shared" si="161"/>
        <v>0</v>
      </c>
      <c r="AS126">
        <f t="shared" si="161"/>
        <v>0</v>
      </c>
      <c r="AT126">
        <f t="shared" si="161"/>
        <v>0</v>
      </c>
      <c r="AU126">
        <f t="shared" si="161"/>
        <v>0</v>
      </c>
      <c r="AV126">
        <f t="shared" si="161"/>
        <v>0</v>
      </c>
      <c r="AW126">
        <f t="shared" si="161"/>
        <v>0</v>
      </c>
      <c r="AX126">
        <f t="shared" si="162"/>
        <v>0</v>
      </c>
      <c r="AY126">
        <f t="shared" si="162"/>
        <v>0</v>
      </c>
      <c r="AZ126">
        <f t="shared" si="162"/>
        <v>0</v>
      </c>
      <c r="BA126">
        <f t="shared" si="162"/>
        <v>0</v>
      </c>
      <c r="BB126">
        <f t="shared" si="162"/>
        <v>0</v>
      </c>
      <c r="BC126">
        <f t="shared" si="162"/>
        <v>0</v>
      </c>
      <c r="BD126">
        <f t="shared" si="162"/>
        <v>0</v>
      </c>
      <c r="BE126">
        <f t="shared" si="162"/>
        <v>0</v>
      </c>
      <c r="BF126">
        <f t="shared" si="162"/>
        <v>0</v>
      </c>
      <c r="BG126">
        <f t="shared" si="162"/>
        <v>0</v>
      </c>
      <c r="BH126">
        <f t="shared" si="163"/>
        <v>0</v>
      </c>
      <c r="BI126">
        <f t="shared" si="163"/>
        <v>0</v>
      </c>
      <c r="BJ126">
        <f t="shared" si="163"/>
        <v>0</v>
      </c>
      <c r="BK126">
        <f t="shared" si="163"/>
        <v>0</v>
      </c>
      <c r="BL126">
        <f t="shared" si="163"/>
        <v>0</v>
      </c>
      <c r="BM126">
        <f t="shared" si="163"/>
        <v>0</v>
      </c>
      <c r="BN126">
        <f t="shared" si="163"/>
        <v>0</v>
      </c>
      <c r="BO126">
        <f t="shared" si="163"/>
        <v>0</v>
      </c>
      <c r="BP126">
        <f t="shared" si="163"/>
        <v>0</v>
      </c>
      <c r="BQ126">
        <f t="shared" si="163"/>
        <v>0</v>
      </c>
      <c r="BR126">
        <f t="shared" si="164"/>
        <v>0</v>
      </c>
      <c r="BS126">
        <f t="shared" si="164"/>
        <v>0</v>
      </c>
      <c r="BT126">
        <f t="shared" si="164"/>
        <v>0</v>
      </c>
      <c r="BU126">
        <f t="shared" si="164"/>
        <v>0</v>
      </c>
      <c r="BV126">
        <f t="shared" si="164"/>
        <v>0</v>
      </c>
      <c r="BW126">
        <f t="shared" si="164"/>
        <v>0</v>
      </c>
      <c r="BX126">
        <f t="shared" si="164"/>
        <v>0</v>
      </c>
      <c r="BY126">
        <f t="shared" si="164"/>
        <v>0</v>
      </c>
      <c r="BZ126">
        <f t="shared" si="164"/>
        <v>0</v>
      </c>
      <c r="CA126">
        <f t="shared" si="164"/>
        <v>0</v>
      </c>
      <c r="CB126">
        <f t="shared" si="165"/>
        <v>0</v>
      </c>
      <c r="CC126">
        <f t="shared" si="165"/>
        <v>0</v>
      </c>
      <c r="CD126">
        <f t="shared" si="165"/>
        <v>0</v>
      </c>
      <c r="CE126">
        <f t="shared" si="165"/>
        <v>0</v>
      </c>
      <c r="CF126">
        <f t="shared" si="165"/>
        <v>0</v>
      </c>
      <c r="CG126">
        <f t="shared" si="165"/>
        <v>0</v>
      </c>
      <c r="CH126">
        <f t="shared" si="165"/>
        <v>0</v>
      </c>
      <c r="CI126">
        <f t="shared" si="165"/>
        <v>0</v>
      </c>
      <c r="CJ126">
        <f t="shared" si="165"/>
        <v>0</v>
      </c>
      <c r="CK126">
        <f t="shared" si="165"/>
        <v>0</v>
      </c>
      <c r="CL126">
        <f t="shared" si="166"/>
        <v>0</v>
      </c>
      <c r="CM126">
        <f t="shared" si="166"/>
        <v>0</v>
      </c>
      <c r="CN126">
        <f t="shared" si="166"/>
        <v>0</v>
      </c>
      <c r="CO126">
        <f t="shared" si="166"/>
        <v>0</v>
      </c>
      <c r="CP126">
        <f t="shared" si="166"/>
        <v>0</v>
      </c>
      <c r="CQ126">
        <f t="shared" si="166"/>
        <v>0</v>
      </c>
      <c r="CR126">
        <f t="shared" si="166"/>
        <v>0</v>
      </c>
      <c r="CS126">
        <f t="shared" si="166"/>
        <v>0</v>
      </c>
      <c r="CT126">
        <f t="shared" si="166"/>
        <v>0</v>
      </c>
      <c r="CU126">
        <f t="shared" si="166"/>
        <v>0</v>
      </c>
      <c r="CV126">
        <f t="shared" si="167"/>
        <v>0</v>
      </c>
      <c r="CW126">
        <f t="shared" si="167"/>
        <v>0</v>
      </c>
      <c r="CX126">
        <f t="shared" si="167"/>
        <v>0</v>
      </c>
      <c r="CY126">
        <f t="shared" si="167"/>
        <v>0</v>
      </c>
      <c r="CZ126">
        <f t="shared" si="167"/>
        <v>0</v>
      </c>
      <c r="DA126">
        <f t="shared" si="167"/>
        <v>0</v>
      </c>
      <c r="DB126">
        <f t="shared" si="167"/>
        <v>0</v>
      </c>
      <c r="DC126">
        <f t="shared" si="167"/>
        <v>0</v>
      </c>
      <c r="DD126">
        <f t="shared" si="167"/>
        <v>0</v>
      </c>
      <c r="DE126">
        <f t="shared" si="167"/>
        <v>0</v>
      </c>
      <c r="DF126">
        <f t="shared" si="168"/>
        <v>0</v>
      </c>
      <c r="DG126">
        <f t="shared" si="168"/>
        <v>0</v>
      </c>
      <c r="DH126">
        <f t="shared" si="168"/>
        <v>0</v>
      </c>
      <c r="DI126">
        <f t="shared" si="168"/>
        <v>0</v>
      </c>
      <c r="DJ126">
        <f t="shared" si="168"/>
        <v>0</v>
      </c>
      <c r="DK126">
        <f t="shared" si="168"/>
        <v>0</v>
      </c>
      <c r="DL126">
        <f t="shared" si="168"/>
        <v>0</v>
      </c>
      <c r="DM126">
        <f t="shared" si="168"/>
        <v>0</v>
      </c>
      <c r="DN126">
        <f t="shared" si="168"/>
        <v>0</v>
      </c>
      <c r="DO126">
        <f t="shared" si="168"/>
        <v>0</v>
      </c>
      <c r="DP126">
        <f t="shared" si="169"/>
        <v>0</v>
      </c>
      <c r="DQ126">
        <f t="shared" si="169"/>
        <v>0</v>
      </c>
      <c r="DR126">
        <f t="shared" si="169"/>
        <v>0</v>
      </c>
      <c r="DS126">
        <f t="shared" si="169"/>
        <v>0</v>
      </c>
      <c r="DT126">
        <f t="shared" si="169"/>
        <v>0</v>
      </c>
      <c r="DU126">
        <f t="shared" si="169"/>
        <v>0</v>
      </c>
      <c r="DV126">
        <f t="shared" si="169"/>
        <v>0</v>
      </c>
      <c r="DW126">
        <f t="shared" si="169"/>
        <v>0</v>
      </c>
      <c r="DX126">
        <f t="shared" si="169"/>
        <v>0</v>
      </c>
      <c r="DY126">
        <f t="shared" si="169"/>
        <v>0</v>
      </c>
      <c r="DZ126">
        <f t="shared" si="170"/>
        <v>0</v>
      </c>
      <c r="EA126">
        <f t="shared" si="170"/>
        <v>0</v>
      </c>
      <c r="EB126">
        <f t="shared" si="170"/>
        <v>0</v>
      </c>
      <c r="EC126">
        <f t="shared" si="170"/>
        <v>0</v>
      </c>
      <c r="ED126">
        <f t="shared" si="170"/>
        <v>0</v>
      </c>
      <c r="EE126">
        <f t="shared" si="170"/>
        <v>0</v>
      </c>
      <c r="EF126">
        <f t="shared" si="170"/>
        <v>0</v>
      </c>
      <c r="EG126">
        <f t="shared" si="170"/>
        <v>0</v>
      </c>
      <c r="EH126">
        <f t="shared" si="170"/>
        <v>0</v>
      </c>
      <c r="EI126">
        <f t="shared" si="170"/>
        <v>0</v>
      </c>
      <c r="EJ126">
        <f>SUM(Tabla1[[#This Row],[1]:[130]])</f>
        <v>0</v>
      </c>
    </row>
    <row r="127" spans="1:140" x14ac:dyDescent="0.25">
      <c r="A127" t="str">
        <f>B127&amp;"-"&amp;COUNTIF($B$2:B127,B127)</f>
        <v>I. PULPA MANGO-1</v>
      </c>
      <c r="B127" s="46" t="s">
        <v>107</v>
      </c>
      <c r="C127">
        <f>VLOOKUP(B127,RECETAS!D126:$E$1700,2,FALSE)</f>
        <v>0</v>
      </c>
      <c r="D127" s="25" t="s">
        <v>340</v>
      </c>
      <c r="G127" t="b">
        <f t="shared" si="92"/>
        <v>1</v>
      </c>
      <c r="I127" s="119" t="s">
        <v>640</v>
      </c>
      <c r="J127">
        <f t="shared" si="158"/>
        <v>0</v>
      </c>
      <c r="K127">
        <f t="shared" si="158"/>
        <v>0</v>
      </c>
      <c r="L127">
        <f t="shared" si="158"/>
        <v>0</v>
      </c>
      <c r="M127">
        <f t="shared" si="158"/>
        <v>0</v>
      </c>
      <c r="N127">
        <f t="shared" si="158"/>
        <v>0</v>
      </c>
      <c r="O127">
        <f t="shared" si="158"/>
        <v>0</v>
      </c>
      <c r="P127">
        <f t="shared" si="158"/>
        <v>0</v>
      </c>
      <c r="Q127">
        <f t="shared" si="158"/>
        <v>0</v>
      </c>
      <c r="R127">
        <f t="shared" si="158"/>
        <v>0</v>
      </c>
      <c r="S127">
        <f t="shared" si="158"/>
        <v>0</v>
      </c>
      <c r="T127">
        <f t="shared" si="159"/>
        <v>0</v>
      </c>
      <c r="U127">
        <f t="shared" si="159"/>
        <v>0</v>
      </c>
      <c r="V127">
        <f t="shared" si="159"/>
        <v>0</v>
      </c>
      <c r="W127">
        <f t="shared" si="159"/>
        <v>0</v>
      </c>
      <c r="X127">
        <f t="shared" si="159"/>
        <v>0</v>
      </c>
      <c r="Y127">
        <f t="shared" si="159"/>
        <v>0</v>
      </c>
      <c r="Z127">
        <f t="shared" si="159"/>
        <v>0</v>
      </c>
      <c r="AA127">
        <f t="shared" si="159"/>
        <v>0</v>
      </c>
      <c r="AB127">
        <f t="shared" si="159"/>
        <v>0</v>
      </c>
      <c r="AC127">
        <f t="shared" si="159"/>
        <v>0</v>
      </c>
      <c r="AD127">
        <f t="shared" si="160"/>
        <v>0</v>
      </c>
      <c r="AE127">
        <f t="shared" si="160"/>
        <v>0</v>
      </c>
      <c r="AF127">
        <f t="shared" si="160"/>
        <v>0</v>
      </c>
      <c r="AG127">
        <f t="shared" si="160"/>
        <v>0</v>
      </c>
      <c r="AH127">
        <f t="shared" si="160"/>
        <v>0</v>
      </c>
      <c r="AI127">
        <f t="shared" si="160"/>
        <v>0</v>
      </c>
      <c r="AJ127">
        <f t="shared" si="160"/>
        <v>0</v>
      </c>
      <c r="AK127">
        <f t="shared" si="160"/>
        <v>0</v>
      </c>
      <c r="AL127">
        <f t="shared" si="160"/>
        <v>0</v>
      </c>
      <c r="AM127">
        <f t="shared" si="160"/>
        <v>0</v>
      </c>
      <c r="AN127">
        <f t="shared" si="161"/>
        <v>0</v>
      </c>
      <c r="AO127">
        <f t="shared" si="161"/>
        <v>0</v>
      </c>
      <c r="AP127">
        <f t="shared" si="161"/>
        <v>0</v>
      </c>
      <c r="AQ127">
        <f t="shared" si="161"/>
        <v>0</v>
      </c>
      <c r="AR127">
        <f t="shared" si="161"/>
        <v>0</v>
      </c>
      <c r="AS127">
        <f t="shared" si="161"/>
        <v>0</v>
      </c>
      <c r="AT127">
        <f t="shared" si="161"/>
        <v>0</v>
      </c>
      <c r="AU127">
        <f t="shared" si="161"/>
        <v>0</v>
      </c>
      <c r="AV127">
        <f t="shared" si="161"/>
        <v>0</v>
      </c>
      <c r="AW127">
        <f t="shared" si="161"/>
        <v>0</v>
      </c>
      <c r="AX127">
        <f t="shared" si="162"/>
        <v>0</v>
      </c>
      <c r="AY127">
        <f t="shared" si="162"/>
        <v>0</v>
      </c>
      <c r="AZ127">
        <f t="shared" si="162"/>
        <v>0</v>
      </c>
      <c r="BA127">
        <f t="shared" si="162"/>
        <v>0</v>
      </c>
      <c r="BB127">
        <f t="shared" si="162"/>
        <v>0</v>
      </c>
      <c r="BC127">
        <f t="shared" si="162"/>
        <v>0</v>
      </c>
      <c r="BD127">
        <f t="shared" si="162"/>
        <v>0</v>
      </c>
      <c r="BE127">
        <f t="shared" si="162"/>
        <v>0</v>
      </c>
      <c r="BF127">
        <f t="shared" si="162"/>
        <v>0</v>
      </c>
      <c r="BG127">
        <f t="shared" si="162"/>
        <v>0</v>
      </c>
      <c r="BH127">
        <f t="shared" si="163"/>
        <v>0</v>
      </c>
      <c r="BI127">
        <f t="shared" si="163"/>
        <v>0</v>
      </c>
      <c r="BJ127">
        <f t="shared" si="163"/>
        <v>0</v>
      </c>
      <c r="BK127">
        <f t="shared" si="163"/>
        <v>0</v>
      </c>
      <c r="BL127">
        <f t="shared" si="163"/>
        <v>0</v>
      </c>
      <c r="BM127">
        <f t="shared" si="163"/>
        <v>0</v>
      </c>
      <c r="BN127">
        <f t="shared" si="163"/>
        <v>0</v>
      </c>
      <c r="BO127">
        <f t="shared" si="163"/>
        <v>0</v>
      </c>
      <c r="BP127">
        <f t="shared" si="163"/>
        <v>0</v>
      </c>
      <c r="BQ127">
        <f t="shared" si="163"/>
        <v>0</v>
      </c>
      <c r="BR127">
        <f t="shared" si="164"/>
        <v>0</v>
      </c>
      <c r="BS127">
        <f t="shared" si="164"/>
        <v>0</v>
      </c>
      <c r="BT127">
        <f t="shared" si="164"/>
        <v>0</v>
      </c>
      <c r="BU127">
        <f t="shared" si="164"/>
        <v>0</v>
      </c>
      <c r="BV127">
        <f t="shared" si="164"/>
        <v>0</v>
      </c>
      <c r="BW127">
        <f t="shared" si="164"/>
        <v>0</v>
      </c>
      <c r="BX127">
        <f t="shared" si="164"/>
        <v>0</v>
      </c>
      <c r="BY127">
        <f t="shared" si="164"/>
        <v>0</v>
      </c>
      <c r="BZ127">
        <f t="shared" si="164"/>
        <v>0</v>
      </c>
      <c r="CA127">
        <f t="shared" si="164"/>
        <v>0</v>
      </c>
      <c r="CB127">
        <f t="shared" si="165"/>
        <v>0</v>
      </c>
      <c r="CC127">
        <f t="shared" si="165"/>
        <v>0</v>
      </c>
      <c r="CD127">
        <f t="shared" si="165"/>
        <v>0</v>
      </c>
      <c r="CE127">
        <f t="shared" si="165"/>
        <v>0</v>
      </c>
      <c r="CF127">
        <f t="shared" si="165"/>
        <v>0</v>
      </c>
      <c r="CG127">
        <f t="shared" si="165"/>
        <v>0</v>
      </c>
      <c r="CH127">
        <f t="shared" si="165"/>
        <v>0</v>
      </c>
      <c r="CI127">
        <f t="shared" si="165"/>
        <v>0</v>
      </c>
      <c r="CJ127">
        <f t="shared" si="165"/>
        <v>0</v>
      </c>
      <c r="CK127">
        <f t="shared" si="165"/>
        <v>0</v>
      </c>
      <c r="CL127">
        <f t="shared" si="166"/>
        <v>0</v>
      </c>
      <c r="CM127">
        <f t="shared" si="166"/>
        <v>0</v>
      </c>
      <c r="CN127">
        <f t="shared" si="166"/>
        <v>0</v>
      </c>
      <c r="CO127">
        <f t="shared" si="166"/>
        <v>0</v>
      </c>
      <c r="CP127">
        <f t="shared" si="166"/>
        <v>0</v>
      </c>
      <c r="CQ127">
        <f t="shared" si="166"/>
        <v>0</v>
      </c>
      <c r="CR127">
        <f t="shared" si="166"/>
        <v>0</v>
      </c>
      <c r="CS127">
        <f t="shared" si="166"/>
        <v>0</v>
      </c>
      <c r="CT127">
        <f t="shared" si="166"/>
        <v>0</v>
      </c>
      <c r="CU127">
        <f t="shared" si="166"/>
        <v>0</v>
      </c>
      <c r="CV127">
        <f t="shared" si="167"/>
        <v>0</v>
      </c>
      <c r="CW127">
        <f t="shared" si="167"/>
        <v>0</v>
      </c>
      <c r="CX127">
        <f t="shared" si="167"/>
        <v>0</v>
      </c>
      <c r="CY127">
        <f t="shared" si="167"/>
        <v>0</v>
      </c>
      <c r="CZ127">
        <f t="shared" si="167"/>
        <v>0</v>
      </c>
      <c r="DA127">
        <f t="shared" si="167"/>
        <v>0</v>
      </c>
      <c r="DB127">
        <f t="shared" si="167"/>
        <v>0</v>
      </c>
      <c r="DC127">
        <f t="shared" si="167"/>
        <v>0</v>
      </c>
      <c r="DD127">
        <f t="shared" si="167"/>
        <v>0</v>
      </c>
      <c r="DE127">
        <f t="shared" si="167"/>
        <v>0</v>
      </c>
      <c r="DF127">
        <f t="shared" si="168"/>
        <v>0</v>
      </c>
      <c r="DG127">
        <f t="shared" si="168"/>
        <v>0</v>
      </c>
      <c r="DH127">
        <f t="shared" si="168"/>
        <v>0</v>
      </c>
      <c r="DI127">
        <f t="shared" si="168"/>
        <v>0</v>
      </c>
      <c r="DJ127">
        <f t="shared" si="168"/>
        <v>0</v>
      </c>
      <c r="DK127">
        <f t="shared" si="168"/>
        <v>0</v>
      </c>
      <c r="DL127">
        <f t="shared" si="168"/>
        <v>0</v>
      </c>
      <c r="DM127">
        <f t="shared" si="168"/>
        <v>0</v>
      </c>
      <c r="DN127">
        <f t="shared" si="168"/>
        <v>0</v>
      </c>
      <c r="DO127">
        <f t="shared" si="168"/>
        <v>0</v>
      </c>
      <c r="DP127">
        <f t="shared" si="169"/>
        <v>0</v>
      </c>
      <c r="DQ127">
        <f t="shared" si="169"/>
        <v>0</v>
      </c>
      <c r="DR127">
        <f t="shared" si="169"/>
        <v>0</v>
      </c>
      <c r="DS127">
        <f t="shared" si="169"/>
        <v>0</v>
      </c>
      <c r="DT127">
        <f t="shared" si="169"/>
        <v>0</v>
      </c>
      <c r="DU127">
        <f t="shared" si="169"/>
        <v>0</v>
      </c>
      <c r="DV127">
        <f t="shared" si="169"/>
        <v>0</v>
      </c>
      <c r="DW127">
        <f t="shared" si="169"/>
        <v>0</v>
      </c>
      <c r="DX127">
        <f t="shared" si="169"/>
        <v>0</v>
      </c>
      <c r="DY127">
        <f t="shared" si="169"/>
        <v>0</v>
      </c>
      <c r="DZ127">
        <f t="shared" si="170"/>
        <v>0</v>
      </c>
      <c r="EA127">
        <f t="shared" si="170"/>
        <v>0</v>
      </c>
      <c r="EB127">
        <f t="shared" si="170"/>
        <v>0</v>
      </c>
      <c r="EC127">
        <f t="shared" si="170"/>
        <v>0</v>
      </c>
      <c r="ED127">
        <f t="shared" si="170"/>
        <v>0</v>
      </c>
      <c r="EE127">
        <f t="shared" si="170"/>
        <v>0</v>
      </c>
      <c r="EF127">
        <f t="shared" si="170"/>
        <v>0</v>
      </c>
      <c r="EG127">
        <f t="shared" si="170"/>
        <v>0</v>
      </c>
      <c r="EH127">
        <f t="shared" si="170"/>
        <v>0</v>
      </c>
      <c r="EI127">
        <f t="shared" si="170"/>
        <v>0</v>
      </c>
      <c r="EJ127">
        <f>SUM(Tabla1[[#This Row],[1]:[130]])</f>
        <v>0</v>
      </c>
    </row>
    <row r="128" spans="1:140" x14ac:dyDescent="0.25">
      <c r="A128" t="str">
        <f>B128&amp;"-"&amp;COUNTIF($B$2:B128,B128)</f>
        <v>I. CREMA ESPESA-15</v>
      </c>
      <c r="B128" s="36" t="s">
        <v>16</v>
      </c>
      <c r="C128">
        <f>VLOOKUP(B128,RECETAS!D127:$E$1700,2,FALSE)</f>
        <v>0</v>
      </c>
      <c r="D128" s="34"/>
      <c r="G128" t="b">
        <f t="shared" si="92"/>
        <v>1</v>
      </c>
      <c r="I128" s="36" t="s">
        <v>637</v>
      </c>
      <c r="J128">
        <f t="shared" si="158"/>
        <v>30</v>
      </c>
      <c r="K128">
        <f t="shared" si="158"/>
        <v>0</v>
      </c>
      <c r="L128">
        <f t="shared" si="158"/>
        <v>26</v>
      </c>
      <c r="M128">
        <f t="shared" si="158"/>
        <v>1</v>
      </c>
      <c r="N128">
        <f t="shared" si="158"/>
        <v>3</v>
      </c>
      <c r="O128">
        <f t="shared" si="158"/>
        <v>13</v>
      </c>
      <c r="P128">
        <f t="shared" si="158"/>
        <v>2</v>
      </c>
      <c r="Q128">
        <f t="shared" si="158"/>
        <v>36</v>
      </c>
      <c r="R128">
        <f t="shared" si="158"/>
        <v>1</v>
      </c>
      <c r="S128">
        <f t="shared" si="158"/>
        <v>1</v>
      </c>
      <c r="T128">
        <f t="shared" si="159"/>
        <v>1</v>
      </c>
      <c r="U128">
        <f t="shared" si="159"/>
        <v>2</v>
      </c>
      <c r="V128">
        <f t="shared" si="159"/>
        <v>42</v>
      </c>
      <c r="W128">
        <f t="shared" si="159"/>
        <v>0</v>
      </c>
      <c r="X128">
        <f t="shared" si="159"/>
        <v>21</v>
      </c>
      <c r="Y128">
        <f t="shared" si="159"/>
        <v>0</v>
      </c>
      <c r="Z128">
        <f t="shared" si="159"/>
        <v>3</v>
      </c>
      <c r="AA128">
        <f t="shared" si="159"/>
        <v>0</v>
      </c>
      <c r="AB128">
        <f t="shared" si="159"/>
        <v>0</v>
      </c>
      <c r="AC128">
        <f t="shared" si="159"/>
        <v>0</v>
      </c>
      <c r="AD128">
        <f t="shared" si="160"/>
        <v>0</v>
      </c>
      <c r="AE128">
        <f t="shared" si="160"/>
        <v>0</v>
      </c>
      <c r="AF128">
        <f t="shared" si="160"/>
        <v>0</v>
      </c>
      <c r="AG128">
        <f t="shared" si="160"/>
        <v>0</v>
      </c>
      <c r="AH128">
        <f t="shared" si="160"/>
        <v>6</v>
      </c>
      <c r="AI128">
        <f t="shared" si="160"/>
        <v>3</v>
      </c>
      <c r="AJ128">
        <f t="shared" si="160"/>
        <v>0</v>
      </c>
      <c r="AK128">
        <f t="shared" si="160"/>
        <v>3</v>
      </c>
      <c r="AL128">
        <f t="shared" si="160"/>
        <v>6</v>
      </c>
      <c r="AM128">
        <f t="shared" si="160"/>
        <v>0</v>
      </c>
      <c r="AN128">
        <f t="shared" si="161"/>
        <v>36</v>
      </c>
      <c r="AO128">
        <f t="shared" si="161"/>
        <v>5</v>
      </c>
      <c r="AP128">
        <f t="shared" si="161"/>
        <v>7</v>
      </c>
      <c r="AQ128">
        <f t="shared" si="161"/>
        <v>9</v>
      </c>
      <c r="AR128">
        <f t="shared" si="161"/>
        <v>23</v>
      </c>
      <c r="AS128">
        <f t="shared" si="161"/>
        <v>21</v>
      </c>
      <c r="AT128">
        <f t="shared" si="161"/>
        <v>168</v>
      </c>
      <c r="AU128">
        <f t="shared" si="161"/>
        <v>3</v>
      </c>
      <c r="AV128">
        <f t="shared" si="161"/>
        <v>5</v>
      </c>
      <c r="AW128">
        <f t="shared" si="161"/>
        <v>4</v>
      </c>
      <c r="AX128">
        <f t="shared" si="162"/>
        <v>3</v>
      </c>
      <c r="AY128">
        <f t="shared" si="162"/>
        <v>0</v>
      </c>
      <c r="AZ128">
        <f t="shared" si="162"/>
        <v>0</v>
      </c>
      <c r="BA128">
        <f t="shared" si="162"/>
        <v>0</v>
      </c>
      <c r="BB128">
        <f t="shared" si="162"/>
        <v>0</v>
      </c>
      <c r="BC128">
        <f t="shared" si="162"/>
        <v>0</v>
      </c>
      <c r="BD128">
        <f t="shared" si="162"/>
        <v>0</v>
      </c>
      <c r="BE128">
        <f t="shared" si="162"/>
        <v>0</v>
      </c>
      <c r="BF128">
        <f t="shared" si="162"/>
        <v>0</v>
      </c>
      <c r="BG128">
        <f t="shared" si="162"/>
        <v>0</v>
      </c>
      <c r="BH128">
        <f t="shared" si="163"/>
        <v>0</v>
      </c>
      <c r="BI128">
        <f t="shared" si="163"/>
        <v>0</v>
      </c>
      <c r="BJ128">
        <f t="shared" si="163"/>
        <v>0</v>
      </c>
      <c r="BK128">
        <f t="shared" si="163"/>
        <v>0</v>
      </c>
      <c r="BL128">
        <f t="shared" si="163"/>
        <v>0</v>
      </c>
      <c r="BM128">
        <f t="shared" si="163"/>
        <v>0</v>
      </c>
      <c r="BN128">
        <f t="shared" si="163"/>
        <v>0</v>
      </c>
      <c r="BO128">
        <f t="shared" si="163"/>
        <v>0</v>
      </c>
      <c r="BP128">
        <f t="shared" si="163"/>
        <v>0</v>
      </c>
      <c r="BQ128">
        <f t="shared" si="163"/>
        <v>0</v>
      </c>
      <c r="BR128">
        <f t="shared" si="164"/>
        <v>0</v>
      </c>
      <c r="BS128">
        <f t="shared" si="164"/>
        <v>0</v>
      </c>
      <c r="BT128">
        <f t="shared" si="164"/>
        <v>0</v>
      </c>
      <c r="BU128">
        <f t="shared" si="164"/>
        <v>0</v>
      </c>
      <c r="BV128">
        <f t="shared" si="164"/>
        <v>0</v>
      </c>
      <c r="BW128">
        <f t="shared" si="164"/>
        <v>0</v>
      </c>
      <c r="BX128">
        <f t="shared" si="164"/>
        <v>0</v>
      </c>
      <c r="BY128">
        <f t="shared" si="164"/>
        <v>0</v>
      </c>
      <c r="BZ128">
        <f t="shared" si="164"/>
        <v>0</v>
      </c>
      <c r="CA128">
        <f t="shared" si="164"/>
        <v>0</v>
      </c>
      <c r="CB128">
        <f t="shared" si="165"/>
        <v>0</v>
      </c>
      <c r="CC128">
        <f t="shared" si="165"/>
        <v>0</v>
      </c>
      <c r="CD128">
        <f t="shared" si="165"/>
        <v>0</v>
      </c>
      <c r="CE128">
        <f t="shared" si="165"/>
        <v>0</v>
      </c>
      <c r="CF128">
        <f t="shared" si="165"/>
        <v>0</v>
      </c>
      <c r="CG128">
        <f t="shared" si="165"/>
        <v>0</v>
      </c>
      <c r="CH128">
        <f t="shared" si="165"/>
        <v>0</v>
      </c>
      <c r="CI128">
        <f t="shared" si="165"/>
        <v>0</v>
      </c>
      <c r="CJ128">
        <f t="shared" si="165"/>
        <v>0</v>
      </c>
      <c r="CK128">
        <f t="shared" si="165"/>
        <v>0</v>
      </c>
      <c r="CL128">
        <f t="shared" si="166"/>
        <v>0</v>
      </c>
      <c r="CM128">
        <f t="shared" si="166"/>
        <v>0</v>
      </c>
      <c r="CN128">
        <f t="shared" si="166"/>
        <v>0</v>
      </c>
      <c r="CO128">
        <f t="shared" si="166"/>
        <v>0</v>
      </c>
      <c r="CP128">
        <f t="shared" si="166"/>
        <v>0</v>
      </c>
      <c r="CQ128">
        <f t="shared" si="166"/>
        <v>0</v>
      </c>
      <c r="CR128">
        <f t="shared" si="166"/>
        <v>0</v>
      </c>
      <c r="CS128">
        <f t="shared" si="166"/>
        <v>0</v>
      </c>
      <c r="CT128">
        <f t="shared" si="166"/>
        <v>0</v>
      </c>
      <c r="CU128">
        <f t="shared" si="166"/>
        <v>0</v>
      </c>
      <c r="CV128">
        <f t="shared" si="167"/>
        <v>0</v>
      </c>
      <c r="CW128">
        <f t="shared" si="167"/>
        <v>0</v>
      </c>
      <c r="CX128">
        <f t="shared" si="167"/>
        <v>0</v>
      </c>
      <c r="CY128">
        <f t="shared" si="167"/>
        <v>0</v>
      </c>
      <c r="CZ128">
        <f t="shared" si="167"/>
        <v>0</v>
      </c>
      <c r="DA128">
        <f t="shared" si="167"/>
        <v>0</v>
      </c>
      <c r="DB128">
        <f t="shared" si="167"/>
        <v>0</v>
      </c>
      <c r="DC128">
        <f t="shared" si="167"/>
        <v>0</v>
      </c>
      <c r="DD128">
        <f t="shared" si="167"/>
        <v>0</v>
      </c>
      <c r="DE128">
        <f t="shared" si="167"/>
        <v>0</v>
      </c>
      <c r="DF128">
        <f t="shared" si="168"/>
        <v>0</v>
      </c>
      <c r="DG128">
        <f t="shared" si="168"/>
        <v>0</v>
      </c>
      <c r="DH128">
        <f t="shared" si="168"/>
        <v>0</v>
      </c>
      <c r="DI128">
        <f t="shared" si="168"/>
        <v>0</v>
      </c>
      <c r="DJ128">
        <f t="shared" si="168"/>
        <v>0</v>
      </c>
      <c r="DK128">
        <f t="shared" si="168"/>
        <v>0</v>
      </c>
      <c r="DL128">
        <f t="shared" si="168"/>
        <v>0</v>
      </c>
      <c r="DM128">
        <f t="shared" si="168"/>
        <v>0</v>
      </c>
      <c r="DN128">
        <f t="shared" si="168"/>
        <v>0</v>
      </c>
      <c r="DO128">
        <f t="shared" si="168"/>
        <v>0</v>
      </c>
      <c r="DP128">
        <f t="shared" si="169"/>
        <v>0</v>
      </c>
      <c r="DQ128">
        <f t="shared" si="169"/>
        <v>0</v>
      </c>
      <c r="DR128">
        <f t="shared" si="169"/>
        <v>0</v>
      </c>
      <c r="DS128">
        <f t="shared" si="169"/>
        <v>0</v>
      </c>
      <c r="DT128">
        <f t="shared" si="169"/>
        <v>0</v>
      </c>
      <c r="DU128">
        <f t="shared" si="169"/>
        <v>0</v>
      </c>
      <c r="DV128">
        <f t="shared" si="169"/>
        <v>0</v>
      </c>
      <c r="DW128">
        <f t="shared" si="169"/>
        <v>0</v>
      </c>
      <c r="DX128">
        <f t="shared" si="169"/>
        <v>0</v>
      </c>
      <c r="DY128">
        <f t="shared" si="169"/>
        <v>0</v>
      </c>
      <c r="DZ128">
        <f t="shared" si="170"/>
        <v>0</v>
      </c>
      <c r="EA128">
        <f t="shared" si="170"/>
        <v>0</v>
      </c>
      <c r="EB128">
        <f t="shared" si="170"/>
        <v>0</v>
      </c>
      <c r="EC128">
        <f t="shared" si="170"/>
        <v>0</v>
      </c>
      <c r="ED128">
        <f t="shared" si="170"/>
        <v>0</v>
      </c>
      <c r="EE128">
        <f t="shared" si="170"/>
        <v>0</v>
      </c>
      <c r="EF128">
        <f t="shared" si="170"/>
        <v>0</v>
      </c>
      <c r="EG128">
        <f t="shared" si="170"/>
        <v>0</v>
      </c>
      <c r="EH128">
        <f t="shared" si="170"/>
        <v>0</v>
      </c>
      <c r="EI128">
        <f t="shared" si="170"/>
        <v>0</v>
      </c>
      <c r="EJ128">
        <f>SUM(Tabla1[[#This Row],[1]:[130]])</f>
        <v>484</v>
      </c>
    </row>
    <row r="129" spans="1:140" ht="15.75" thickBot="1" x14ac:dyDescent="0.3">
      <c r="A129" t="str">
        <f>B129&amp;"-"&amp;COUNTIF($B$2:B129,B129)</f>
        <v>I. AZUCAR FLOR-2</v>
      </c>
      <c r="B129" s="40" t="s">
        <v>51</v>
      </c>
      <c r="C129">
        <f>VLOOKUP(B129,RECETAS!D128:$E$1700,2,FALSE)</f>
        <v>0</v>
      </c>
      <c r="D129" s="32"/>
      <c r="G129" t="b">
        <f t="shared" si="92"/>
        <v>1</v>
      </c>
      <c r="I129" s="40" t="s">
        <v>95</v>
      </c>
      <c r="J129">
        <f t="shared" si="158"/>
        <v>11</v>
      </c>
      <c r="K129">
        <f t="shared" si="158"/>
        <v>4</v>
      </c>
      <c r="L129">
        <f t="shared" si="158"/>
        <v>0</v>
      </c>
      <c r="M129">
        <f t="shared" si="158"/>
        <v>0</v>
      </c>
      <c r="N129">
        <f t="shared" si="158"/>
        <v>0</v>
      </c>
      <c r="O129">
        <f t="shared" si="158"/>
        <v>0</v>
      </c>
      <c r="P129">
        <f t="shared" si="158"/>
        <v>0</v>
      </c>
      <c r="Q129">
        <f t="shared" si="158"/>
        <v>0</v>
      </c>
      <c r="R129">
        <f t="shared" si="158"/>
        <v>0</v>
      </c>
      <c r="S129">
        <f t="shared" si="158"/>
        <v>0</v>
      </c>
      <c r="T129">
        <f t="shared" si="159"/>
        <v>0</v>
      </c>
      <c r="U129">
        <f t="shared" si="159"/>
        <v>0</v>
      </c>
      <c r="V129">
        <f t="shared" si="159"/>
        <v>0</v>
      </c>
      <c r="W129">
        <f t="shared" si="159"/>
        <v>0</v>
      </c>
      <c r="X129">
        <f t="shared" si="159"/>
        <v>0</v>
      </c>
      <c r="Y129">
        <f t="shared" si="159"/>
        <v>0</v>
      </c>
      <c r="Z129">
        <f t="shared" si="159"/>
        <v>0</v>
      </c>
      <c r="AA129">
        <f t="shared" si="159"/>
        <v>0</v>
      </c>
      <c r="AB129">
        <f t="shared" si="159"/>
        <v>0</v>
      </c>
      <c r="AC129">
        <f t="shared" si="159"/>
        <v>0</v>
      </c>
      <c r="AD129">
        <f t="shared" si="160"/>
        <v>0</v>
      </c>
      <c r="AE129">
        <f t="shared" si="160"/>
        <v>0</v>
      </c>
      <c r="AF129">
        <f t="shared" si="160"/>
        <v>0</v>
      </c>
      <c r="AG129">
        <f t="shared" si="160"/>
        <v>0</v>
      </c>
      <c r="AH129">
        <f t="shared" si="160"/>
        <v>0</v>
      </c>
      <c r="AI129">
        <f t="shared" si="160"/>
        <v>0</v>
      </c>
      <c r="AJ129">
        <f t="shared" si="160"/>
        <v>0</v>
      </c>
      <c r="AK129">
        <f t="shared" si="160"/>
        <v>0</v>
      </c>
      <c r="AL129">
        <f t="shared" si="160"/>
        <v>0</v>
      </c>
      <c r="AM129">
        <f t="shared" si="160"/>
        <v>0</v>
      </c>
      <c r="AN129">
        <f t="shared" si="161"/>
        <v>0</v>
      </c>
      <c r="AO129">
        <f t="shared" si="161"/>
        <v>0</v>
      </c>
      <c r="AP129">
        <f t="shared" si="161"/>
        <v>0</v>
      </c>
      <c r="AQ129">
        <f t="shared" si="161"/>
        <v>0</v>
      </c>
      <c r="AR129">
        <f t="shared" si="161"/>
        <v>0</v>
      </c>
      <c r="AS129">
        <f t="shared" si="161"/>
        <v>0</v>
      </c>
      <c r="AT129">
        <f t="shared" si="161"/>
        <v>0</v>
      </c>
      <c r="AU129">
        <f t="shared" si="161"/>
        <v>0</v>
      </c>
      <c r="AV129">
        <f t="shared" si="161"/>
        <v>0</v>
      </c>
      <c r="AW129">
        <f t="shared" si="161"/>
        <v>0</v>
      </c>
      <c r="AX129">
        <f t="shared" si="162"/>
        <v>0</v>
      </c>
      <c r="AY129">
        <f t="shared" si="162"/>
        <v>0</v>
      </c>
      <c r="AZ129">
        <f t="shared" si="162"/>
        <v>0</v>
      </c>
      <c r="BA129">
        <f t="shared" si="162"/>
        <v>0</v>
      </c>
      <c r="BB129">
        <f t="shared" si="162"/>
        <v>0</v>
      </c>
      <c r="BC129">
        <f t="shared" si="162"/>
        <v>0</v>
      </c>
      <c r="BD129">
        <f t="shared" si="162"/>
        <v>0</v>
      </c>
      <c r="BE129">
        <f t="shared" si="162"/>
        <v>0</v>
      </c>
      <c r="BF129">
        <f t="shared" si="162"/>
        <v>0</v>
      </c>
      <c r="BG129">
        <f t="shared" si="162"/>
        <v>0</v>
      </c>
      <c r="BH129">
        <f t="shared" si="163"/>
        <v>0</v>
      </c>
      <c r="BI129">
        <f t="shared" si="163"/>
        <v>0</v>
      </c>
      <c r="BJ129">
        <f t="shared" si="163"/>
        <v>0</v>
      </c>
      <c r="BK129">
        <f t="shared" si="163"/>
        <v>0</v>
      </c>
      <c r="BL129">
        <f t="shared" si="163"/>
        <v>0</v>
      </c>
      <c r="BM129">
        <f t="shared" si="163"/>
        <v>0</v>
      </c>
      <c r="BN129">
        <f t="shared" si="163"/>
        <v>0</v>
      </c>
      <c r="BO129">
        <f t="shared" si="163"/>
        <v>0</v>
      </c>
      <c r="BP129">
        <f t="shared" si="163"/>
        <v>0</v>
      </c>
      <c r="BQ129">
        <f t="shared" si="163"/>
        <v>0</v>
      </c>
      <c r="BR129">
        <f t="shared" si="164"/>
        <v>0</v>
      </c>
      <c r="BS129">
        <f t="shared" si="164"/>
        <v>0</v>
      </c>
      <c r="BT129">
        <f t="shared" si="164"/>
        <v>0</v>
      </c>
      <c r="BU129">
        <f t="shared" si="164"/>
        <v>0</v>
      </c>
      <c r="BV129">
        <f t="shared" si="164"/>
        <v>0</v>
      </c>
      <c r="BW129">
        <f t="shared" si="164"/>
        <v>0</v>
      </c>
      <c r="BX129">
        <f t="shared" si="164"/>
        <v>0</v>
      </c>
      <c r="BY129">
        <f t="shared" si="164"/>
        <v>0</v>
      </c>
      <c r="BZ129">
        <f t="shared" si="164"/>
        <v>0</v>
      </c>
      <c r="CA129">
        <f t="shared" si="164"/>
        <v>0</v>
      </c>
      <c r="CB129">
        <f t="shared" si="165"/>
        <v>0</v>
      </c>
      <c r="CC129">
        <f t="shared" si="165"/>
        <v>0</v>
      </c>
      <c r="CD129">
        <f t="shared" si="165"/>
        <v>0</v>
      </c>
      <c r="CE129">
        <f t="shared" si="165"/>
        <v>0</v>
      </c>
      <c r="CF129">
        <f t="shared" si="165"/>
        <v>0</v>
      </c>
      <c r="CG129">
        <f t="shared" si="165"/>
        <v>0</v>
      </c>
      <c r="CH129">
        <f t="shared" si="165"/>
        <v>0</v>
      </c>
      <c r="CI129">
        <f t="shared" si="165"/>
        <v>0</v>
      </c>
      <c r="CJ129">
        <f t="shared" si="165"/>
        <v>0</v>
      </c>
      <c r="CK129">
        <f t="shared" si="165"/>
        <v>0</v>
      </c>
      <c r="CL129">
        <f t="shared" si="166"/>
        <v>0</v>
      </c>
      <c r="CM129">
        <f t="shared" si="166"/>
        <v>0</v>
      </c>
      <c r="CN129">
        <f t="shared" si="166"/>
        <v>0</v>
      </c>
      <c r="CO129">
        <f t="shared" si="166"/>
        <v>0</v>
      </c>
      <c r="CP129">
        <f t="shared" si="166"/>
        <v>0</v>
      </c>
      <c r="CQ129">
        <f t="shared" si="166"/>
        <v>0</v>
      </c>
      <c r="CR129">
        <f t="shared" si="166"/>
        <v>0</v>
      </c>
      <c r="CS129">
        <f t="shared" si="166"/>
        <v>0</v>
      </c>
      <c r="CT129">
        <f t="shared" si="166"/>
        <v>0</v>
      </c>
      <c r="CU129">
        <f t="shared" si="166"/>
        <v>0</v>
      </c>
      <c r="CV129">
        <f t="shared" si="167"/>
        <v>0</v>
      </c>
      <c r="CW129">
        <f t="shared" si="167"/>
        <v>0</v>
      </c>
      <c r="CX129">
        <f t="shared" si="167"/>
        <v>0</v>
      </c>
      <c r="CY129">
        <f t="shared" si="167"/>
        <v>0</v>
      </c>
      <c r="CZ129">
        <f t="shared" si="167"/>
        <v>0</v>
      </c>
      <c r="DA129">
        <f t="shared" si="167"/>
        <v>0</v>
      </c>
      <c r="DB129">
        <f t="shared" si="167"/>
        <v>0</v>
      </c>
      <c r="DC129">
        <f t="shared" si="167"/>
        <v>0</v>
      </c>
      <c r="DD129">
        <f t="shared" si="167"/>
        <v>0</v>
      </c>
      <c r="DE129">
        <f t="shared" si="167"/>
        <v>0</v>
      </c>
      <c r="DF129">
        <f t="shared" si="168"/>
        <v>0</v>
      </c>
      <c r="DG129">
        <f t="shared" si="168"/>
        <v>0</v>
      </c>
      <c r="DH129">
        <f t="shared" si="168"/>
        <v>0</v>
      </c>
      <c r="DI129">
        <f t="shared" si="168"/>
        <v>0</v>
      </c>
      <c r="DJ129">
        <f t="shared" si="168"/>
        <v>0</v>
      </c>
      <c r="DK129">
        <f t="shared" si="168"/>
        <v>0</v>
      </c>
      <c r="DL129">
        <f t="shared" si="168"/>
        <v>0</v>
      </c>
      <c r="DM129">
        <f t="shared" si="168"/>
        <v>0</v>
      </c>
      <c r="DN129">
        <f t="shared" si="168"/>
        <v>0</v>
      </c>
      <c r="DO129">
        <f t="shared" si="168"/>
        <v>0</v>
      </c>
      <c r="DP129">
        <f t="shared" si="169"/>
        <v>0</v>
      </c>
      <c r="DQ129">
        <f t="shared" si="169"/>
        <v>0</v>
      </c>
      <c r="DR129">
        <f t="shared" si="169"/>
        <v>0</v>
      </c>
      <c r="DS129">
        <f t="shared" si="169"/>
        <v>0</v>
      </c>
      <c r="DT129">
        <f t="shared" si="169"/>
        <v>0</v>
      </c>
      <c r="DU129">
        <f t="shared" si="169"/>
        <v>0</v>
      </c>
      <c r="DV129">
        <f t="shared" si="169"/>
        <v>0</v>
      </c>
      <c r="DW129">
        <f t="shared" si="169"/>
        <v>0</v>
      </c>
      <c r="DX129">
        <f t="shared" si="169"/>
        <v>0</v>
      </c>
      <c r="DY129">
        <f t="shared" si="169"/>
        <v>0</v>
      </c>
      <c r="DZ129">
        <f t="shared" si="170"/>
        <v>0</v>
      </c>
      <c r="EA129">
        <f t="shared" si="170"/>
        <v>0</v>
      </c>
      <c r="EB129">
        <f t="shared" si="170"/>
        <v>0</v>
      </c>
      <c r="EC129">
        <f t="shared" si="170"/>
        <v>0</v>
      </c>
      <c r="ED129">
        <f t="shared" si="170"/>
        <v>0</v>
      </c>
      <c r="EE129">
        <f t="shared" si="170"/>
        <v>0</v>
      </c>
      <c r="EF129">
        <f t="shared" si="170"/>
        <v>0</v>
      </c>
      <c r="EG129">
        <f t="shared" si="170"/>
        <v>0</v>
      </c>
      <c r="EH129">
        <f t="shared" si="170"/>
        <v>0</v>
      </c>
      <c r="EI129">
        <f t="shared" si="170"/>
        <v>0</v>
      </c>
      <c r="EJ129">
        <f>SUM(Tabla1[[#This Row],[1]:[130]])</f>
        <v>15</v>
      </c>
    </row>
    <row r="130" spans="1:140" x14ac:dyDescent="0.25">
      <c r="A130" t="str">
        <f>B130&amp;"-"&amp;COUNTIF($B$2:B130,B130)</f>
        <v>I. PULPA FRAMBUESA-1</v>
      </c>
      <c r="B130" s="46" t="s">
        <v>105</v>
      </c>
      <c r="C130">
        <f>VLOOKUP(B130,RECETAS!D129:$E$1700,2,FALSE)</f>
        <v>0</v>
      </c>
      <c r="D130" s="25" t="s">
        <v>341</v>
      </c>
      <c r="G130" t="b">
        <f t="shared" si="92"/>
        <v>1</v>
      </c>
      <c r="I130" s="46" t="s">
        <v>96</v>
      </c>
      <c r="J130">
        <f t="shared" si="158"/>
        <v>19</v>
      </c>
      <c r="K130">
        <f t="shared" si="158"/>
        <v>11</v>
      </c>
      <c r="L130">
        <f t="shared" si="158"/>
        <v>0</v>
      </c>
      <c r="M130">
        <f t="shared" si="158"/>
        <v>0</v>
      </c>
      <c r="N130">
        <f t="shared" si="158"/>
        <v>0</v>
      </c>
      <c r="O130">
        <f t="shared" si="158"/>
        <v>0</v>
      </c>
      <c r="P130">
        <f t="shared" si="158"/>
        <v>0</v>
      </c>
      <c r="Q130">
        <f t="shared" si="158"/>
        <v>0</v>
      </c>
      <c r="R130">
        <f t="shared" si="158"/>
        <v>0</v>
      </c>
      <c r="S130">
        <f t="shared" si="158"/>
        <v>0</v>
      </c>
      <c r="T130">
        <f t="shared" si="159"/>
        <v>0</v>
      </c>
      <c r="U130">
        <f t="shared" si="159"/>
        <v>0</v>
      </c>
      <c r="V130">
        <f t="shared" si="159"/>
        <v>0</v>
      </c>
      <c r="W130">
        <f t="shared" si="159"/>
        <v>0</v>
      </c>
      <c r="X130">
        <f t="shared" si="159"/>
        <v>0</v>
      </c>
      <c r="Y130">
        <f t="shared" si="159"/>
        <v>0</v>
      </c>
      <c r="Z130">
        <f t="shared" si="159"/>
        <v>0</v>
      </c>
      <c r="AA130">
        <f t="shared" si="159"/>
        <v>0</v>
      </c>
      <c r="AB130">
        <f t="shared" si="159"/>
        <v>0</v>
      </c>
      <c r="AC130">
        <f t="shared" si="159"/>
        <v>0</v>
      </c>
      <c r="AD130">
        <f t="shared" si="160"/>
        <v>0</v>
      </c>
      <c r="AE130">
        <f t="shared" si="160"/>
        <v>0</v>
      </c>
      <c r="AF130">
        <f t="shared" si="160"/>
        <v>0</v>
      </c>
      <c r="AG130">
        <f t="shared" si="160"/>
        <v>0</v>
      </c>
      <c r="AH130">
        <f t="shared" si="160"/>
        <v>0</v>
      </c>
      <c r="AI130">
        <f t="shared" si="160"/>
        <v>0</v>
      </c>
      <c r="AJ130">
        <f t="shared" si="160"/>
        <v>0</v>
      </c>
      <c r="AK130">
        <f t="shared" si="160"/>
        <v>0</v>
      </c>
      <c r="AL130">
        <f t="shared" si="160"/>
        <v>0</v>
      </c>
      <c r="AM130">
        <f t="shared" si="160"/>
        <v>0</v>
      </c>
      <c r="AN130">
        <f t="shared" si="161"/>
        <v>0</v>
      </c>
      <c r="AO130">
        <f t="shared" si="161"/>
        <v>0</v>
      </c>
      <c r="AP130">
        <f t="shared" si="161"/>
        <v>0</v>
      </c>
      <c r="AQ130">
        <f t="shared" si="161"/>
        <v>0</v>
      </c>
      <c r="AR130">
        <f t="shared" si="161"/>
        <v>0</v>
      </c>
      <c r="AS130">
        <f t="shared" si="161"/>
        <v>0</v>
      </c>
      <c r="AT130">
        <f t="shared" si="161"/>
        <v>0</v>
      </c>
      <c r="AU130">
        <f t="shared" si="161"/>
        <v>0</v>
      </c>
      <c r="AV130">
        <f t="shared" si="161"/>
        <v>0</v>
      </c>
      <c r="AW130">
        <f t="shared" si="161"/>
        <v>0</v>
      </c>
      <c r="AX130">
        <f t="shared" si="162"/>
        <v>0</v>
      </c>
      <c r="AY130">
        <f t="shared" si="162"/>
        <v>0</v>
      </c>
      <c r="AZ130">
        <f t="shared" si="162"/>
        <v>0</v>
      </c>
      <c r="BA130">
        <f t="shared" si="162"/>
        <v>0</v>
      </c>
      <c r="BB130">
        <f t="shared" si="162"/>
        <v>0</v>
      </c>
      <c r="BC130">
        <f t="shared" si="162"/>
        <v>0</v>
      </c>
      <c r="BD130">
        <f t="shared" si="162"/>
        <v>0</v>
      </c>
      <c r="BE130">
        <f t="shared" si="162"/>
        <v>0</v>
      </c>
      <c r="BF130">
        <f t="shared" si="162"/>
        <v>0</v>
      </c>
      <c r="BG130">
        <f t="shared" si="162"/>
        <v>0</v>
      </c>
      <c r="BH130">
        <f t="shared" si="163"/>
        <v>0</v>
      </c>
      <c r="BI130">
        <f t="shared" si="163"/>
        <v>0</v>
      </c>
      <c r="BJ130">
        <f t="shared" si="163"/>
        <v>0</v>
      </c>
      <c r="BK130">
        <f t="shared" si="163"/>
        <v>0</v>
      </c>
      <c r="BL130">
        <f t="shared" si="163"/>
        <v>0</v>
      </c>
      <c r="BM130">
        <f t="shared" si="163"/>
        <v>0</v>
      </c>
      <c r="BN130">
        <f t="shared" si="163"/>
        <v>0</v>
      </c>
      <c r="BO130">
        <f t="shared" si="163"/>
        <v>0</v>
      </c>
      <c r="BP130">
        <f t="shared" si="163"/>
        <v>0</v>
      </c>
      <c r="BQ130">
        <f t="shared" si="163"/>
        <v>0</v>
      </c>
      <c r="BR130">
        <f t="shared" si="164"/>
        <v>0</v>
      </c>
      <c r="BS130">
        <f t="shared" si="164"/>
        <v>0</v>
      </c>
      <c r="BT130">
        <f t="shared" si="164"/>
        <v>0</v>
      </c>
      <c r="BU130">
        <f t="shared" si="164"/>
        <v>0</v>
      </c>
      <c r="BV130">
        <f t="shared" si="164"/>
        <v>0</v>
      </c>
      <c r="BW130">
        <f t="shared" si="164"/>
        <v>0</v>
      </c>
      <c r="BX130">
        <f t="shared" si="164"/>
        <v>0</v>
      </c>
      <c r="BY130">
        <f t="shared" si="164"/>
        <v>0</v>
      </c>
      <c r="BZ130">
        <f t="shared" si="164"/>
        <v>0</v>
      </c>
      <c r="CA130">
        <f t="shared" si="164"/>
        <v>0</v>
      </c>
      <c r="CB130">
        <f t="shared" si="165"/>
        <v>0</v>
      </c>
      <c r="CC130">
        <f t="shared" si="165"/>
        <v>0</v>
      </c>
      <c r="CD130">
        <f t="shared" si="165"/>
        <v>0</v>
      </c>
      <c r="CE130">
        <f t="shared" si="165"/>
        <v>0</v>
      </c>
      <c r="CF130">
        <f t="shared" si="165"/>
        <v>0</v>
      </c>
      <c r="CG130">
        <f t="shared" si="165"/>
        <v>0</v>
      </c>
      <c r="CH130">
        <f t="shared" si="165"/>
        <v>0</v>
      </c>
      <c r="CI130">
        <f t="shared" si="165"/>
        <v>0</v>
      </c>
      <c r="CJ130">
        <f t="shared" si="165"/>
        <v>0</v>
      </c>
      <c r="CK130">
        <f t="shared" si="165"/>
        <v>0</v>
      </c>
      <c r="CL130">
        <f t="shared" si="166"/>
        <v>0</v>
      </c>
      <c r="CM130">
        <f t="shared" si="166"/>
        <v>0</v>
      </c>
      <c r="CN130">
        <f t="shared" si="166"/>
        <v>0</v>
      </c>
      <c r="CO130">
        <f t="shared" si="166"/>
        <v>0</v>
      </c>
      <c r="CP130">
        <f t="shared" si="166"/>
        <v>0</v>
      </c>
      <c r="CQ130">
        <f t="shared" si="166"/>
        <v>0</v>
      </c>
      <c r="CR130">
        <f t="shared" si="166"/>
        <v>0</v>
      </c>
      <c r="CS130">
        <f t="shared" si="166"/>
        <v>0</v>
      </c>
      <c r="CT130">
        <f t="shared" si="166"/>
        <v>0</v>
      </c>
      <c r="CU130">
        <f t="shared" si="166"/>
        <v>0</v>
      </c>
      <c r="CV130">
        <f t="shared" si="167"/>
        <v>0</v>
      </c>
      <c r="CW130">
        <f t="shared" si="167"/>
        <v>0</v>
      </c>
      <c r="CX130">
        <f t="shared" si="167"/>
        <v>0</v>
      </c>
      <c r="CY130">
        <f t="shared" si="167"/>
        <v>0</v>
      </c>
      <c r="CZ130">
        <f t="shared" si="167"/>
        <v>0</v>
      </c>
      <c r="DA130">
        <f t="shared" si="167"/>
        <v>0</v>
      </c>
      <c r="DB130">
        <f t="shared" si="167"/>
        <v>0</v>
      </c>
      <c r="DC130">
        <f t="shared" si="167"/>
        <v>0</v>
      </c>
      <c r="DD130">
        <f t="shared" si="167"/>
        <v>0</v>
      </c>
      <c r="DE130">
        <f t="shared" si="167"/>
        <v>0</v>
      </c>
      <c r="DF130">
        <f t="shared" si="168"/>
        <v>0</v>
      </c>
      <c r="DG130">
        <f t="shared" si="168"/>
        <v>0</v>
      </c>
      <c r="DH130">
        <f t="shared" si="168"/>
        <v>0</v>
      </c>
      <c r="DI130">
        <f t="shared" si="168"/>
        <v>0</v>
      </c>
      <c r="DJ130">
        <f t="shared" si="168"/>
        <v>0</v>
      </c>
      <c r="DK130">
        <f t="shared" si="168"/>
        <v>0</v>
      </c>
      <c r="DL130">
        <f t="shared" si="168"/>
        <v>0</v>
      </c>
      <c r="DM130">
        <f t="shared" si="168"/>
        <v>0</v>
      </c>
      <c r="DN130">
        <f t="shared" si="168"/>
        <v>0</v>
      </c>
      <c r="DO130">
        <f t="shared" si="168"/>
        <v>0</v>
      </c>
      <c r="DP130">
        <f t="shared" si="169"/>
        <v>0</v>
      </c>
      <c r="DQ130">
        <f t="shared" si="169"/>
        <v>0</v>
      </c>
      <c r="DR130">
        <f t="shared" si="169"/>
        <v>0</v>
      </c>
      <c r="DS130">
        <f t="shared" si="169"/>
        <v>0</v>
      </c>
      <c r="DT130">
        <f t="shared" si="169"/>
        <v>0</v>
      </c>
      <c r="DU130">
        <f t="shared" si="169"/>
        <v>0</v>
      </c>
      <c r="DV130">
        <f t="shared" si="169"/>
        <v>0</v>
      </c>
      <c r="DW130">
        <f t="shared" si="169"/>
        <v>0</v>
      </c>
      <c r="DX130">
        <f t="shared" si="169"/>
        <v>0</v>
      </c>
      <c r="DY130">
        <f t="shared" si="169"/>
        <v>0</v>
      </c>
      <c r="DZ130">
        <f t="shared" si="170"/>
        <v>0</v>
      </c>
      <c r="EA130">
        <f t="shared" si="170"/>
        <v>0</v>
      </c>
      <c r="EB130">
        <f t="shared" si="170"/>
        <v>0</v>
      </c>
      <c r="EC130">
        <f t="shared" si="170"/>
        <v>0</v>
      </c>
      <c r="ED130">
        <f t="shared" si="170"/>
        <v>0</v>
      </c>
      <c r="EE130">
        <f t="shared" si="170"/>
        <v>0</v>
      </c>
      <c r="EF130">
        <f t="shared" si="170"/>
        <v>0</v>
      </c>
      <c r="EG130">
        <f t="shared" si="170"/>
        <v>0</v>
      </c>
      <c r="EH130">
        <f t="shared" si="170"/>
        <v>0</v>
      </c>
      <c r="EI130">
        <f t="shared" si="170"/>
        <v>0</v>
      </c>
      <c r="EJ130">
        <f>SUM(Tabla1[[#This Row],[1]:[130]])</f>
        <v>30</v>
      </c>
    </row>
    <row r="131" spans="1:140" x14ac:dyDescent="0.25">
      <c r="A131" t="str">
        <f>B131&amp;"-"&amp;COUNTIF($B$2:B131,B131)</f>
        <v>I. CREMA ESPESA-16</v>
      </c>
      <c r="B131" s="36" t="s">
        <v>16</v>
      </c>
      <c r="C131">
        <f>VLOOKUP(B131,RECETAS!D130:$E$1700,2,FALSE)</f>
        <v>0</v>
      </c>
      <c r="D131" s="34"/>
      <c r="G131" t="b">
        <f t="shared" ref="G131:G194" si="171">IFERROR(IF(MATCH(B131,I:I,0) &lt;&gt; "", TRUE,""),FALSE)</f>
        <v>1</v>
      </c>
      <c r="I131" s="36" t="s">
        <v>97</v>
      </c>
      <c r="J131">
        <f t="shared" si="158"/>
        <v>0</v>
      </c>
      <c r="K131">
        <f t="shared" si="158"/>
        <v>100</v>
      </c>
      <c r="L131">
        <f t="shared" si="158"/>
        <v>1800</v>
      </c>
      <c r="M131">
        <f t="shared" si="158"/>
        <v>50</v>
      </c>
      <c r="N131">
        <f t="shared" si="158"/>
        <v>50</v>
      </c>
      <c r="O131">
        <f t="shared" si="158"/>
        <v>50</v>
      </c>
      <c r="P131">
        <f t="shared" si="158"/>
        <v>100</v>
      </c>
      <c r="Q131">
        <f t="shared" si="158"/>
        <v>2100</v>
      </c>
      <c r="R131">
        <f t="shared" si="158"/>
        <v>0</v>
      </c>
      <c r="S131">
        <f t="shared" si="158"/>
        <v>0</v>
      </c>
      <c r="T131">
        <f t="shared" si="159"/>
        <v>50</v>
      </c>
      <c r="U131">
        <f t="shared" si="159"/>
        <v>1050</v>
      </c>
      <c r="V131">
        <f t="shared" si="159"/>
        <v>0</v>
      </c>
      <c r="W131">
        <f t="shared" si="159"/>
        <v>0</v>
      </c>
      <c r="X131">
        <f t="shared" si="159"/>
        <v>150</v>
      </c>
      <c r="Y131">
        <f t="shared" si="159"/>
        <v>1</v>
      </c>
      <c r="Z131">
        <f t="shared" si="159"/>
        <v>0</v>
      </c>
      <c r="AA131">
        <f t="shared" si="159"/>
        <v>0</v>
      </c>
      <c r="AB131">
        <f t="shared" si="159"/>
        <v>0</v>
      </c>
      <c r="AC131">
        <f t="shared" si="159"/>
        <v>0</v>
      </c>
      <c r="AD131">
        <f t="shared" si="160"/>
        <v>0</v>
      </c>
      <c r="AE131">
        <f t="shared" si="160"/>
        <v>0</v>
      </c>
      <c r="AF131">
        <f t="shared" si="160"/>
        <v>0</v>
      </c>
      <c r="AG131">
        <f t="shared" si="160"/>
        <v>0</v>
      </c>
      <c r="AH131">
        <f t="shared" si="160"/>
        <v>0</v>
      </c>
      <c r="AI131">
        <f t="shared" si="160"/>
        <v>0</v>
      </c>
      <c r="AJ131">
        <f t="shared" si="160"/>
        <v>0</v>
      </c>
      <c r="AK131">
        <f t="shared" si="160"/>
        <v>300</v>
      </c>
      <c r="AL131">
        <f t="shared" si="160"/>
        <v>150</v>
      </c>
      <c r="AM131">
        <f t="shared" si="160"/>
        <v>0</v>
      </c>
      <c r="AN131">
        <f t="shared" si="161"/>
        <v>150</v>
      </c>
      <c r="AO131">
        <f t="shared" si="161"/>
        <v>300</v>
      </c>
      <c r="AP131">
        <f t="shared" si="161"/>
        <v>0</v>
      </c>
      <c r="AQ131">
        <f t="shared" si="161"/>
        <v>0</v>
      </c>
      <c r="AR131">
        <f t="shared" si="161"/>
        <v>1800</v>
      </c>
      <c r="AS131">
        <f t="shared" si="161"/>
        <v>250</v>
      </c>
      <c r="AT131">
        <f t="shared" si="161"/>
        <v>350</v>
      </c>
      <c r="AU131">
        <f t="shared" si="161"/>
        <v>450</v>
      </c>
      <c r="AV131">
        <f t="shared" si="161"/>
        <v>1150</v>
      </c>
      <c r="AW131">
        <f t="shared" si="161"/>
        <v>1050</v>
      </c>
      <c r="AX131">
        <f t="shared" si="162"/>
        <v>8400</v>
      </c>
      <c r="AY131">
        <f t="shared" si="162"/>
        <v>150</v>
      </c>
      <c r="AZ131">
        <f t="shared" si="162"/>
        <v>250</v>
      </c>
      <c r="BA131">
        <f t="shared" si="162"/>
        <v>200</v>
      </c>
      <c r="BB131">
        <f t="shared" si="162"/>
        <v>150</v>
      </c>
      <c r="BC131">
        <f t="shared" si="162"/>
        <v>0</v>
      </c>
      <c r="BD131">
        <f t="shared" si="162"/>
        <v>0</v>
      </c>
      <c r="BE131">
        <f t="shared" si="162"/>
        <v>0</v>
      </c>
      <c r="BF131">
        <f t="shared" si="162"/>
        <v>0</v>
      </c>
      <c r="BG131">
        <f t="shared" si="162"/>
        <v>0</v>
      </c>
      <c r="BH131">
        <f t="shared" si="163"/>
        <v>0</v>
      </c>
      <c r="BI131">
        <f t="shared" si="163"/>
        <v>0</v>
      </c>
      <c r="BJ131">
        <f t="shared" si="163"/>
        <v>0</v>
      </c>
      <c r="BK131">
        <f t="shared" si="163"/>
        <v>0</v>
      </c>
      <c r="BL131">
        <f t="shared" si="163"/>
        <v>0</v>
      </c>
      <c r="BM131">
        <f t="shared" si="163"/>
        <v>0</v>
      </c>
      <c r="BN131">
        <f t="shared" si="163"/>
        <v>0</v>
      </c>
      <c r="BO131">
        <f t="shared" si="163"/>
        <v>0</v>
      </c>
      <c r="BP131">
        <f t="shared" si="163"/>
        <v>0</v>
      </c>
      <c r="BQ131">
        <f t="shared" si="163"/>
        <v>0</v>
      </c>
      <c r="BR131">
        <f t="shared" si="164"/>
        <v>0</v>
      </c>
      <c r="BS131">
        <f t="shared" si="164"/>
        <v>0</v>
      </c>
      <c r="BT131">
        <f t="shared" si="164"/>
        <v>0</v>
      </c>
      <c r="BU131">
        <f t="shared" si="164"/>
        <v>0</v>
      </c>
      <c r="BV131">
        <f t="shared" si="164"/>
        <v>0</v>
      </c>
      <c r="BW131">
        <f t="shared" si="164"/>
        <v>0</v>
      </c>
      <c r="BX131">
        <f t="shared" si="164"/>
        <v>0</v>
      </c>
      <c r="BY131">
        <f t="shared" si="164"/>
        <v>0</v>
      </c>
      <c r="BZ131">
        <f t="shared" si="164"/>
        <v>0</v>
      </c>
      <c r="CA131">
        <f t="shared" si="164"/>
        <v>0</v>
      </c>
      <c r="CB131">
        <f t="shared" si="165"/>
        <v>0</v>
      </c>
      <c r="CC131">
        <f t="shared" si="165"/>
        <v>0</v>
      </c>
      <c r="CD131">
        <f t="shared" si="165"/>
        <v>0</v>
      </c>
      <c r="CE131">
        <f t="shared" si="165"/>
        <v>0</v>
      </c>
      <c r="CF131">
        <f t="shared" si="165"/>
        <v>0</v>
      </c>
      <c r="CG131">
        <f t="shared" si="165"/>
        <v>0</v>
      </c>
      <c r="CH131">
        <f t="shared" si="165"/>
        <v>0</v>
      </c>
      <c r="CI131">
        <f t="shared" si="165"/>
        <v>0</v>
      </c>
      <c r="CJ131">
        <f t="shared" si="165"/>
        <v>0</v>
      </c>
      <c r="CK131">
        <f t="shared" si="165"/>
        <v>0</v>
      </c>
      <c r="CL131">
        <f t="shared" si="166"/>
        <v>0</v>
      </c>
      <c r="CM131">
        <f t="shared" si="166"/>
        <v>0</v>
      </c>
      <c r="CN131">
        <f t="shared" si="166"/>
        <v>0</v>
      </c>
      <c r="CO131">
        <f t="shared" si="166"/>
        <v>0</v>
      </c>
      <c r="CP131">
        <f t="shared" si="166"/>
        <v>0</v>
      </c>
      <c r="CQ131">
        <f t="shared" si="166"/>
        <v>0</v>
      </c>
      <c r="CR131">
        <f t="shared" si="166"/>
        <v>0</v>
      </c>
      <c r="CS131">
        <f t="shared" si="166"/>
        <v>0</v>
      </c>
      <c r="CT131">
        <f t="shared" si="166"/>
        <v>0</v>
      </c>
      <c r="CU131">
        <f t="shared" si="166"/>
        <v>0</v>
      </c>
      <c r="CV131">
        <f t="shared" si="167"/>
        <v>0</v>
      </c>
      <c r="CW131">
        <f t="shared" si="167"/>
        <v>0</v>
      </c>
      <c r="CX131">
        <f t="shared" si="167"/>
        <v>0</v>
      </c>
      <c r="CY131">
        <f t="shared" si="167"/>
        <v>0</v>
      </c>
      <c r="CZ131">
        <f t="shared" si="167"/>
        <v>0</v>
      </c>
      <c r="DA131">
        <f t="shared" si="167"/>
        <v>0</v>
      </c>
      <c r="DB131">
        <f t="shared" si="167"/>
        <v>0</v>
      </c>
      <c r="DC131">
        <f t="shared" si="167"/>
        <v>0</v>
      </c>
      <c r="DD131">
        <f t="shared" si="167"/>
        <v>0</v>
      </c>
      <c r="DE131">
        <f t="shared" si="167"/>
        <v>0</v>
      </c>
      <c r="DF131">
        <f t="shared" si="168"/>
        <v>0</v>
      </c>
      <c r="DG131">
        <f t="shared" si="168"/>
        <v>0</v>
      </c>
      <c r="DH131">
        <f t="shared" si="168"/>
        <v>0</v>
      </c>
      <c r="DI131">
        <f t="shared" si="168"/>
        <v>0</v>
      </c>
      <c r="DJ131">
        <f t="shared" si="168"/>
        <v>0</v>
      </c>
      <c r="DK131">
        <f t="shared" si="168"/>
        <v>0</v>
      </c>
      <c r="DL131">
        <f t="shared" si="168"/>
        <v>0</v>
      </c>
      <c r="DM131">
        <f t="shared" si="168"/>
        <v>0</v>
      </c>
      <c r="DN131">
        <f t="shared" si="168"/>
        <v>0</v>
      </c>
      <c r="DO131">
        <f t="shared" si="168"/>
        <v>0</v>
      </c>
      <c r="DP131">
        <f t="shared" si="169"/>
        <v>0</v>
      </c>
      <c r="DQ131">
        <f t="shared" si="169"/>
        <v>0</v>
      </c>
      <c r="DR131">
        <f t="shared" si="169"/>
        <v>0</v>
      </c>
      <c r="DS131">
        <f t="shared" si="169"/>
        <v>0</v>
      </c>
      <c r="DT131">
        <f t="shared" si="169"/>
        <v>0</v>
      </c>
      <c r="DU131">
        <f t="shared" si="169"/>
        <v>0</v>
      </c>
      <c r="DV131">
        <f t="shared" si="169"/>
        <v>0</v>
      </c>
      <c r="DW131">
        <f t="shared" si="169"/>
        <v>0</v>
      </c>
      <c r="DX131">
        <f t="shared" si="169"/>
        <v>0</v>
      </c>
      <c r="DY131">
        <f t="shared" si="169"/>
        <v>0</v>
      </c>
      <c r="DZ131">
        <f t="shared" si="170"/>
        <v>0</v>
      </c>
      <c r="EA131">
        <f t="shared" si="170"/>
        <v>0</v>
      </c>
      <c r="EB131">
        <f t="shared" si="170"/>
        <v>0</v>
      </c>
      <c r="EC131">
        <f t="shared" si="170"/>
        <v>0</v>
      </c>
      <c r="ED131">
        <f t="shared" si="170"/>
        <v>0</v>
      </c>
      <c r="EE131">
        <f t="shared" si="170"/>
        <v>0</v>
      </c>
      <c r="EF131">
        <f t="shared" si="170"/>
        <v>0</v>
      </c>
      <c r="EG131">
        <f t="shared" si="170"/>
        <v>0</v>
      </c>
      <c r="EH131">
        <f t="shared" si="170"/>
        <v>0</v>
      </c>
      <c r="EI131">
        <f t="shared" si="170"/>
        <v>0</v>
      </c>
      <c r="EJ131">
        <f>SUM(Tabla1[[#This Row],[1]:[130]])</f>
        <v>20601</v>
      </c>
    </row>
    <row r="132" spans="1:140" ht="15.75" thickBot="1" x14ac:dyDescent="0.3">
      <c r="A132" t="str">
        <f>B132&amp;"-"&amp;COUNTIF($B$2:B132,B132)</f>
        <v>I. AZUCAR FLOR-3</v>
      </c>
      <c r="B132" s="40" t="s">
        <v>51</v>
      </c>
      <c r="C132">
        <f>VLOOKUP(B132,RECETAS!D131:$E$1700,2,FALSE)</f>
        <v>0</v>
      </c>
      <c r="D132" s="32"/>
      <c r="G132" t="b">
        <f t="shared" si="171"/>
        <v>1</v>
      </c>
      <c r="I132" s="33" t="s">
        <v>98</v>
      </c>
      <c r="J132">
        <f t="shared" si="158"/>
        <v>225</v>
      </c>
      <c r="K132">
        <f t="shared" si="158"/>
        <v>300</v>
      </c>
      <c r="L132">
        <f t="shared" si="158"/>
        <v>300</v>
      </c>
      <c r="M132">
        <f t="shared" si="158"/>
        <v>0</v>
      </c>
      <c r="N132">
        <f t="shared" si="158"/>
        <v>0</v>
      </c>
      <c r="O132">
        <f t="shared" si="158"/>
        <v>0</v>
      </c>
      <c r="P132">
        <f t="shared" si="158"/>
        <v>0</v>
      </c>
      <c r="Q132">
        <f t="shared" si="158"/>
        <v>0</v>
      </c>
      <c r="R132">
        <f t="shared" si="158"/>
        <v>0</v>
      </c>
      <c r="S132">
        <f t="shared" si="158"/>
        <v>0</v>
      </c>
      <c r="T132">
        <f t="shared" si="159"/>
        <v>0</v>
      </c>
      <c r="U132">
        <f t="shared" si="159"/>
        <v>0</v>
      </c>
      <c r="V132">
        <f t="shared" si="159"/>
        <v>0</v>
      </c>
      <c r="W132">
        <f t="shared" si="159"/>
        <v>0</v>
      </c>
      <c r="X132">
        <f t="shared" si="159"/>
        <v>0</v>
      </c>
      <c r="Y132">
        <f t="shared" si="159"/>
        <v>0</v>
      </c>
      <c r="Z132">
        <f t="shared" si="159"/>
        <v>0</v>
      </c>
      <c r="AA132">
        <f t="shared" si="159"/>
        <v>0</v>
      </c>
      <c r="AB132">
        <f t="shared" si="159"/>
        <v>0</v>
      </c>
      <c r="AC132">
        <f t="shared" si="159"/>
        <v>0</v>
      </c>
      <c r="AD132">
        <f t="shared" si="160"/>
        <v>0</v>
      </c>
      <c r="AE132">
        <f t="shared" si="160"/>
        <v>0</v>
      </c>
      <c r="AF132">
        <f t="shared" si="160"/>
        <v>0</v>
      </c>
      <c r="AG132">
        <f t="shared" si="160"/>
        <v>0</v>
      </c>
      <c r="AH132">
        <f t="shared" si="160"/>
        <v>0</v>
      </c>
      <c r="AI132">
        <f t="shared" si="160"/>
        <v>0</v>
      </c>
      <c r="AJ132">
        <f t="shared" si="160"/>
        <v>0</v>
      </c>
      <c r="AK132">
        <f t="shared" si="160"/>
        <v>0</v>
      </c>
      <c r="AL132">
        <f t="shared" si="160"/>
        <v>0</v>
      </c>
      <c r="AM132">
        <f t="shared" si="160"/>
        <v>0</v>
      </c>
      <c r="AN132">
        <f t="shared" si="161"/>
        <v>0</v>
      </c>
      <c r="AO132">
        <f t="shared" si="161"/>
        <v>0</v>
      </c>
      <c r="AP132">
        <f t="shared" si="161"/>
        <v>0</v>
      </c>
      <c r="AQ132">
        <f t="shared" si="161"/>
        <v>0</v>
      </c>
      <c r="AR132">
        <f t="shared" si="161"/>
        <v>0</v>
      </c>
      <c r="AS132">
        <f t="shared" si="161"/>
        <v>0</v>
      </c>
      <c r="AT132">
        <f t="shared" si="161"/>
        <v>0</v>
      </c>
      <c r="AU132">
        <f t="shared" si="161"/>
        <v>0</v>
      </c>
      <c r="AV132">
        <f t="shared" si="161"/>
        <v>0</v>
      </c>
      <c r="AW132">
        <f t="shared" si="161"/>
        <v>0</v>
      </c>
      <c r="AX132">
        <f t="shared" si="162"/>
        <v>0</v>
      </c>
      <c r="AY132">
        <f t="shared" si="162"/>
        <v>0</v>
      </c>
      <c r="AZ132">
        <f t="shared" si="162"/>
        <v>0</v>
      </c>
      <c r="BA132">
        <f t="shared" si="162"/>
        <v>0</v>
      </c>
      <c r="BB132">
        <f t="shared" si="162"/>
        <v>0</v>
      </c>
      <c r="BC132">
        <f t="shared" si="162"/>
        <v>0</v>
      </c>
      <c r="BD132">
        <f t="shared" si="162"/>
        <v>0</v>
      </c>
      <c r="BE132">
        <f t="shared" si="162"/>
        <v>0</v>
      </c>
      <c r="BF132">
        <f t="shared" si="162"/>
        <v>0</v>
      </c>
      <c r="BG132">
        <f t="shared" si="162"/>
        <v>0</v>
      </c>
      <c r="BH132">
        <f t="shared" si="163"/>
        <v>0</v>
      </c>
      <c r="BI132">
        <f t="shared" si="163"/>
        <v>0</v>
      </c>
      <c r="BJ132">
        <f t="shared" si="163"/>
        <v>0</v>
      </c>
      <c r="BK132">
        <f t="shared" si="163"/>
        <v>0</v>
      </c>
      <c r="BL132">
        <f t="shared" si="163"/>
        <v>0</v>
      </c>
      <c r="BM132">
        <f t="shared" si="163"/>
        <v>0</v>
      </c>
      <c r="BN132">
        <f t="shared" si="163"/>
        <v>0</v>
      </c>
      <c r="BO132">
        <f t="shared" si="163"/>
        <v>0</v>
      </c>
      <c r="BP132">
        <f t="shared" si="163"/>
        <v>0</v>
      </c>
      <c r="BQ132">
        <f t="shared" si="163"/>
        <v>0</v>
      </c>
      <c r="BR132">
        <f t="shared" si="164"/>
        <v>0</v>
      </c>
      <c r="BS132">
        <f t="shared" si="164"/>
        <v>0</v>
      </c>
      <c r="BT132">
        <f t="shared" si="164"/>
        <v>0</v>
      </c>
      <c r="BU132">
        <f t="shared" si="164"/>
        <v>0</v>
      </c>
      <c r="BV132">
        <f t="shared" si="164"/>
        <v>0</v>
      </c>
      <c r="BW132">
        <f t="shared" si="164"/>
        <v>0</v>
      </c>
      <c r="BX132">
        <f t="shared" si="164"/>
        <v>0</v>
      </c>
      <c r="BY132">
        <f t="shared" si="164"/>
        <v>0</v>
      </c>
      <c r="BZ132">
        <f t="shared" si="164"/>
        <v>0</v>
      </c>
      <c r="CA132">
        <f t="shared" si="164"/>
        <v>0</v>
      </c>
      <c r="CB132">
        <f t="shared" si="165"/>
        <v>0</v>
      </c>
      <c r="CC132">
        <f t="shared" si="165"/>
        <v>0</v>
      </c>
      <c r="CD132">
        <f t="shared" si="165"/>
        <v>0</v>
      </c>
      <c r="CE132">
        <f t="shared" si="165"/>
        <v>0</v>
      </c>
      <c r="CF132">
        <f t="shared" si="165"/>
        <v>0</v>
      </c>
      <c r="CG132">
        <f t="shared" si="165"/>
        <v>0</v>
      </c>
      <c r="CH132">
        <f t="shared" si="165"/>
        <v>0</v>
      </c>
      <c r="CI132">
        <f t="shared" si="165"/>
        <v>0</v>
      </c>
      <c r="CJ132">
        <f t="shared" si="165"/>
        <v>0</v>
      </c>
      <c r="CK132">
        <f t="shared" si="165"/>
        <v>0</v>
      </c>
      <c r="CL132">
        <f t="shared" si="166"/>
        <v>0</v>
      </c>
      <c r="CM132">
        <f t="shared" si="166"/>
        <v>0</v>
      </c>
      <c r="CN132">
        <f t="shared" si="166"/>
        <v>0</v>
      </c>
      <c r="CO132">
        <f t="shared" si="166"/>
        <v>0</v>
      </c>
      <c r="CP132">
        <f t="shared" si="166"/>
        <v>0</v>
      </c>
      <c r="CQ132">
        <f t="shared" si="166"/>
        <v>0</v>
      </c>
      <c r="CR132">
        <f t="shared" si="166"/>
        <v>0</v>
      </c>
      <c r="CS132">
        <f t="shared" si="166"/>
        <v>0</v>
      </c>
      <c r="CT132">
        <f t="shared" si="166"/>
        <v>0</v>
      </c>
      <c r="CU132">
        <f t="shared" si="166"/>
        <v>0</v>
      </c>
      <c r="CV132">
        <f t="shared" si="167"/>
        <v>0</v>
      </c>
      <c r="CW132">
        <f t="shared" si="167"/>
        <v>0</v>
      </c>
      <c r="CX132">
        <f t="shared" si="167"/>
        <v>0</v>
      </c>
      <c r="CY132">
        <f t="shared" si="167"/>
        <v>0</v>
      </c>
      <c r="CZ132">
        <f t="shared" si="167"/>
        <v>0</v>
      </c>
      <c r="DA132">
        <f t="shared" si="167"/>
        <v>0</v>
      </c>
      <c r="DB132">
        <f t="shared" si="167"/>
        <v>0</v>
      </c>
      <c r="DC132">
        <f t="shared" si="167"/>
        <v>0</v>
      </c>
      <c r="DD132">
        <f t="shared" si="167"/>
        <v>0</v>
      </c>
      <c r="DE132">
        <f t="shared" si="167"/>
        <v>0</v>
      </c>
      <c r="DF132">
        <f t="shared" si="168"/>
        <v>0</v>
      </c>
      <c r="DG132">
        <f t="shared" si="168"/>
        <v>0</v>
      </c>
      <c r="DH132">
        <f t="shared" si="168"/>
        <v>0</v>
      </c>
      <c r="DI132">
        <f t="shared" si="168"/>
        <v>0</v>
      </c>
      <c r="DJ132">
        <f t="shared" si="168"/>
        <v>0</v>
      </c>
      <c r="DK132">
        <f t="shared" si="168"/>
        <v>0</v>
      </c>
      <c r="DL132">
        <f t="shared" si="168"/>
        <v>0</v>
      </c>
      <c r="DM132">
        <f t="shared" si="168"/>
        <v>0</v>
      </c>
      <c r="DN132">
        <f t="shared" si="168"/>
        <v>0</v>
      </c>
      <c r="DO132">
        <f t="shared" si="168"/>
        <v>0</v>
      </c>
      <c r="DP132">
        <f t="shared" si="169"/>
        <v>0</v>
      </c>
      <c r="DQ132">
        <f t="shared" si="169"/>
        <v>0</v>
      </c>
      <c r="DR132">
        <f t="shared" si="169"/>
        <v>0</v>
      </c>
      <c r="DS132">
        <f t="shared" si="169"/>
        <v>0</v>
      </c>
      <c r="DT132">
        <f t="shared" si="169"/>
        <v>0</v>
      </c>
      <c r="DU132">
        <f t="shared" si="169"/>
        <v>0</v>
      </c>
      <c r="DV132">
        <f t="shared" si="169"/>
        <v>0</v>
      </c>
      <c r="DW132">
        <f t="shared" si="169"/>
        <v>0</v>
      </c>
      <c r="DX132">
        <f t="shared" si="169"/>
        <v>0</v>
      </c>
      <c r="DY132">
        <f t="shared" si="169"/>
        <v>0</v>
      </c>
      <c r="DZ132">
        <f t="shared" si="170"/>
        <v>0</v>
      </c>
      <c r="EA132">
        <f t="shared" si="170"/>
        <v>0</v>
      </c>
      <c r="EB132">
        <f t="shared" si="170"/>
        <v>0</v>
      </c>
      <c r="EC132">
        <f t="shared" si="170"/>
        <v>0</v>
      </c>
      <c r="ED132">
        <f t="shared" si="170"/>
        <v>0</v>
      </c>
      <c r="EE132">
        <f t="shared" si="170"/>
        <v>0</v>
      </c>
      <c r="EF132">
        <f t="shared" si="170"/>
        <v>0</v>
      </c>
      <c r="EG132">
        <f t="shared" si="170"/>
        <v>0</v>
      </c>
      <c r="EH132">
        <f t="shared" si="170"/>
        <v>0</v>
      </c>
      <c r="EI132">
        <f t="shared" si="170"/>
        <v>0</v>
      </c>
      <c r="EJ132">
        <f>SUM(Tabla1[[#This Row],[1]:[130]])</f>
        <v>825</v>
      </c>
    </row>
    <row r="133" spans="1:140" x14ac:dyDescent="0.25">
      <c r="A133" t="str">
        <f>B133&amp;"-"&amp;COUNTIF($B$2:B133,B133)</f>
        <v>I. PULPA FRUTILLA-1</v>
      </c>
      <c r="B133" s="46" t="s">
        <v>582</v>
      </c>
      <c r="C133">
        <f>VLOOKUP(B133,RECETAS!D132:$E$1700,2,FALSE)</f>
        <v>0</v>
      </c>
      <c r="D133" s="25" t="s">
        <v>342</v>
      </c>
      <c r="G133" t="b">
        <f t="shared" si="171"/>
        <v>1</v>
      </c>
      <c r="I133" s="26" t="s">
        <v>99</v>
      </c>
      <c r="J133">
        <f t="shared" ref="J133:S142" si="172">IFERROR(VLOOKUP($I133&amp;"-"&amp;J$2,$A$3:$C$1700,3,FALSE),0)</f>
        <v>600</v>
      </c>
      <c r="K133">
        <f t="shared" si="172"/>
        <v>0</v>
      </c>
      <c r="L133">
        <f t="shared" si="172"/>
        <v>0</v>
      </c>
      <c r="M133">
        <f t="shared" si="172"/>
        <v>0</v>
      </c>
      <c r="N133">
        <f t="shared" si="172"/>
        <v>0</v>
      </c>
      <c r="O133">
        <f t="shared" si="172"/>
        <v>0</v>
      </c>
      <c r="P133">
        <f t="shared" si="172"/>
        <v>0</v>
      </c>
      <c r="Q133">
        <f t="shared" si="172"/>
        <v>0</v>
      </c>
      <c r="R133">
        <f t="shared" si="172"/>
        <v>0</v>
      </c>
      <c r="S133">
        <f t="shared" si="172"/>
        <v>0</v>
      </c>
      <c r="T133">
        <f t="shared" ref="T133:AC142" si="173">IFERROR(VLOOKUP($I133&amp;"-"&amp;T$2,$A$3:$C$1700,3,FALSE),0)</f>
        <v>0</v>
      </c>
      <c r="U133">
        <f t="shared" si="173"/>
        <v>0</v>
      </c>
      <c r="V133">
        <f t="shared" si="173"/>
        <v>0</v>
      </c>
      <c r="W133">
        <f t="shared" si="173"/>
        <v>0</v>
      </c>
      <c r="X133">
        <f t="shared" si="173"/>
        <v>0</v>
      </c>
      <c r="Y133">
        <f t="shared" si="173"/>
        <v>0</v>
      </c>
      <c r="Z133">
        <f t="shared" si="173"/>
        <v>0</v>
      </c>
      <c r="AA133">
        <f t="shared" si="173"/>
        <v>0</v>
      </c>
      <c r="AB133">
        <f t="shared" si="173"/>
        <v>0</v>
      </c>
      <c r="AC133">
        <f t="shared" si="173"/>
        <v>0</v>
      </c>
      <c r="AD133">
        <f t="shared" ref="AD133:AM142" si="174">IFERROR(VLOOKUP($I133&amp;"-"&amp;AD$2,$A$3:$C$1700,3,FALSE),0)</f>
        <v>0</v>
      </c>
      <c r="AE133">
        <f t="shared" si="174"/>
        <v>0</v>
      </c>
      <c r="AF133">
        <f t="shared" si="174"/>
        <v>0</v>
      </c>
      <c r="AG133">
        <f t="shared" si="174"/>
        <v>0</v>
      </c>
      <c r="AH133">
        <f t="shared" si="174"/>
        <v>0</v>
      </c>
      <c r="AI133">
        <f t="shared" si="174"/>
        <v>0</v>
      </c>
      <c r="AJ133">
        <f t="shared" si="174"/>
        <v>0</v>
      </c>
      <c r="AK133">
        <f t="shared" si="174"/>
        <v>0</v>
      </c>
      <c r="AL133">
        <f t="shared" si="174"/>
        <v>0</v>
      </c>
      <c r="AM133">
        <f t="shared" si="174"/>
        <v>0</v>
      </c>
      <c r="AN133">
        <f t="shared" ref="AN133:AW142" si="175">IFERROR(VLOOKUP($I133&amp;"-"&amp;AN$2,$A$3:$C$1700,3,FALSE),0)</f>
        <v>0</v>
      </c>
      <c r="AO133">
        <f t="shared" si="175"/>
        <v>0</v>
      </c>
      <c r="AP133">
        <f t="shared" si="175"/>
        <v>0</v>
      </c>
      <c r="AQ133">
        <f t="shared" si="175"/>
        <v>0</v>
      </c>
      <c r="AR133">
        <f t="shared" si="175"/>
        <v>0</v>
      </c>
      <c r="AS133">
        <f t="shared" si="175"/>
        <v>0</v>
      </c>
      <c r="AT133">
        <f t="shared" si="175"/>
        <v>0</v>
      </c>
      <c r="AU133">
        <f t="shared" si="175"/>
        <v>0</v>
      </c>
      <c r="AV133">
        <f t="shared" si="175"/>
        <v>0</v>
      </c>
      <c r="AW133">
        <f t="shared" si="175"/>
        <v>0</v>
      </c>
      <c r="AX133">
        <f t="shared" ref="AX133:BG142" si="176">IFERROR(VLOOKUP($I133&amp;"-"&amp;AX$2,$A$3:$C$1700,3,FALSE),0)</f>
        <v>0</v>
      </c>
      <c r="AY133">
        <f t="shared" si="176"/>
        <v>0</v>
      </c>
      <c r="AZ133">
        <f t="shared" si="176"/>
        <v>0</v>
      </c>
      <c r="BA133">
        <f t="shared" si="176"/>
        <v>0</v>
      </c>
      <c r="BB133">
        <f t="shared" si="176"/>
        <v>0</v>
      </c>
      <c r="BC133">
        <f t="shared" si="176"/>
        <v>0</v>
      </c>
      <c r="BD133">
        <f t="shared" si="176"/>
        <v>0</v>
      </c>
      <c r="BE133">
        <f t="shared" si="176"/>
        <v>0</v>
      </c>
      <c r="BF133">
        <f t="shared" si="176"/>
        <v>0</v>
      </c>
      <c r="BG133">
        <f t="shared" si="176"/>
        <v>0</v>
      </c>
      <c r="BH133">
        <f t="shared" ref="BH133:BQ142" si="177">IFERROR(VLOOKUP($I133&amp;"-"&amp;BH$2,$A$3:$C$1700,3,FALSE),0)</f>
        <v>0</v>
      </c>
      <c r="BI133">
        <f t="shared" si="177"/>
        <v>0</v>
      </c>
      <c r="BJ133">
        <f t="shared" si="177"/>
        <v>0</v>
      </c>
      <c r="BK133">
        <f t="shared" si="177"/>
        <v>0</v>
      </c>
      <c r="BL133">
        <f t="shared" si="177"/>
        <v>0</v>
      </c>
      <c r="BM133">
        <f t="shared" si="177"/>
        <v>0</v>
      </c>
      <c r="BN133">
        <f t="shared" si="177"/>
        <v>0</v>
      </c>
      <c r="BO133">
        <f t="shared" si="177"/>
        <v>0</v>
      </c>
      <c r="BP133">
        <f t="shared" si="177"/>
        <v>0</v>
      </c>
      <c r="BQ133">
        <f t="shared" si="177"/>
        <v>0</v>
      </c>
      <c r="BR133">
        <f t="shared" ref="BR133:CA142" si="178">IFERROR(VLOOKUP($I133&amp;"-"&amp;BR$2,$A$3:$C$1700,3,FALSE),0)</f>
        <v>0</v>
      </c>
      <c r="BS133">
        <f t="shared" si="178"/>
        <v>0</v>
      </c>
      <c r="BT133">
        <f t="shared" si="178"/>
        <v>0</v>
      </c>
      <c r="BU133">
        <f t="shared" si="178"/>
        <v>0</v>
      </c>
      <c r="BV133">
        <f t="shared" si="178"/>
        <v>0</v>
      </c>
      <c r="BW133">
        <f t="shared" si="178"/>
        <v>0</v>
      </c>
      <c r="BX133">
        <f t="shared" si="178"/>
        <v>0</v>
      </c>
      <c r="BY133">
        <f t="shared" si="178"/>
        <v>0</v>
      </c>
      <c r="BZ133">
        <f t="shared" si="178"/>
        <v>0</v>
      </c>
      <c r="CA133">
        <f t="shared" si="178"/>
        <v>0</v>
      </c>
      <c r="CB133">
        <f t="shared" ref="CB133:CK142" si="179">IFERROR(VLOOKUP($I133&amp;"-"&amp;CB$2,$A$3:$C$1700,3,FALSE),0)</f>
        <v>0</v>
      </c>
      <c r="CC133">
        <f t="shared" si="179"/>
        <v>0</v>
      </c>
      <c r="CD133">
        <f t="shared" si="179"/>
        <v>0</v>
      </c>
      <c r="CE133">
        <f t="shared" si="179"/>
        <v>0</v>
      </c>
      <c r="CF133">
        <f t="shared" si="179"/>
        <v>0</v>
      </c>
      <c r="CG133">
        <f t="shared" si="179"/>
        <v>0</v>
      </c>
      <c r="CH133">
        <f t="shared" si="179"/>
        <v>0</v>
      </c>
      <c r="CI133">
        <f t="shared" si="179"/>
        <v>0</v>
      </c>
      <c r="CJ133">
        <f t="shared" si="179"/>
        <v>0</v>
      </c>
      <c r="CK133">
        <f t="shared" si="179"/>
        <v>0</v>
      </c>
      <c r="CL133">
        <f t="shared" ref="CL133:CU142" si="180">IFERROR(VLOOKUP($I133&amp;"-"&amp;CL$2,$A$3:$C$1700,3,FALSE),0)</f>
        <v>0</v>
      </c>
      <c r="CM133">
        <f t="shared" si="180"/>
        <v>0</v>
      </c>
      <c r="CN133">
        <f t="shared" si="180"/>
        <v>0</v>
      </c>
      <c r="CO133">
        <f t="shared" si="180"/>
        <v>0</v>
      </c>
      <c r="CP133">
        <f t="shared" si="180"/>
        <v>0</v>
      </c>
      <c r="CQ133">
        <f t="shared" si="180"/>
        <v>0</v>
      </c>
      <c r="CR133">
        <f t="shared" si="180"/>
        <v>0</v>
      </c>
      <c r="CS133">
        <f t="shared" si="180"/>
        <v>0</v>
      </c>
      <c r="CT133">
        <f t="shared" si="180"/>
        <v>0</v>
      </c>
      <c r="CU133">
        <f t="shared" si="180"/>
        <v>0</v>
      </c>
      <c r="CV133">
        <f t="shared" ref="CV133:DE142" si="181">IFERROR(VLOOKUP($I133&amp;"-"&amp;CV$2,$A$3:$C$1700,3,FALSE),0)</f>
        <v>0</v>
      </c>
      <c r="CW133">
        <f t="shared" si="181"/>
        <v>0</v>
      </c>
      <c r="CX133">
        <f t="shared" si="181"/>
        <v>0</v>
      </c>
      <c r="CY133">
        <f t="shared" si="181"/>
        <v>0</v>
      </c>
      <c r="CZ133">
        <f t="shared" si="181"/>
        <v>0</v>
      </c>
      <c r="DA133">
        <f t="shared" si="181"/>
        <v>0</v>
      </c>
      <c r="DB133">
        <f t="shared" si="181"/>
        <v>0</v>
      </c>
      <c r="DC133">
        <f t="shared" si="181"/>
        <v>0</v>
      </c>
      <c r="DD133">
        <f t="shared" si="181"/>
        <v>0</v>
      </c>
      <c r="DE133">
        <f t="shared" si="181"/>
        <v>0</v>
      </c>
      <c r="DF133">
        <f t="shared" ref="DF133:DO142" si="182">IFERROR(VLOOKUP($I133&amp;"-"&amp;DF$2,$A$3:$C$1700,3,FALSE),0)</f>
        <v>0</v>
      </c>
      <c r="DG133">
        <f t="shared" si="182"/>
        <v>0</v>
      </c>
      <c r="DH133">
        <f t="shared" si="182"/>
        <v>0</v>
      </c>
      <c r="DI133">
        <f t="shared" si="182"/>
        <v>0</v>
      </c>
      <c r="DJ133">
        <f t="shared" si="182"/>
        <v>0</v>
      </c>
      <c r="DK133">
        <f t="shared" si="182"/>
        <v>0</v>
      </c>
      <c r="DL133">
        <f t="shared" si="182"/>
        <v>0</v>
      </c>
      <c r="DM133">
        <f t="shared" si="182"/>
        <v>0</v>
      </c>
      <c r="DN133">
        <f t="shared" si="182"/>
        <v>0</v>
      </c>
      <c r="DO133">
        <f t="shared" si="182"/>
        <v>0</v>
      </c>
      <c r="DP133">
        <f t="shared" ref="DP133:DY142" si="183">IFERROR(VLOOKUP($I133&amp;"-"&amp;DP$2,$A$3:$C$1700,3,FALSE),0)</f>
        <v>0</v>
      </c>
      <c r="DQ133">
        <f t="shared" si="183"/>
        <v>0</v>
      </c>
      <c r="DR133">
        <f t="shared" si="183"/>
        <v>0</v>
      </c>
      <c r="DS133">
        <f t="shared" si="183"/>
        <v>0</v>
      </c>
      <c r="DT133">
        <f t="shared" si="183"/>
        <v>0</v>
      </c>
      <c r="DU133">
        <f t="shared" si="183"/>
        <v>0</v>
      </c>
      <c r="DV133">
        <f t="shared" si="183"/>
        <v>0</v>
      </c>
      <c r="DW133">
        <f t="shared" si="183"/>
        <v>0</v>
      </c>
      <c r="DX133">
        <f t="shared" si="183"/>
        <v>0</v>
      </c>
      <c r="DY133">
        <f t="shared" si="183"/>
        <v>0</v>
      </c>
      <c r="DZ133">
        <f t="shared" ref="DZ133:EI142" si="184">IFERROR(VLOOKUP($I133&amp;"-"&amp;DZ$2,$A$3:$C$1700,3,FALSE),0)</f>
        <v>0</v>
      </c>
      <c r="EA133">
        <f t="shared" si="184"/>
        <v>0</v>
      </c>
      <c r="EB133">
        <f t="shared" si="184"/>
        <v>0</v>
      </c>
      <c r="EC133">
        <f t="shared" si="184"/>
        <v>0</v>
      </c>
      <c r="ED133">
        <f t="shared" si="184"/>
        <v>0</v>
      </c>
      <c r="EE133">
        <f t="shared" si="184"/>
        <v>0</v>
      </c>
      <c r="EF133">
        <f t="shared" si="184"/>
        <v>0</v>
      </c>
      <c r="EG133">
        <f t="shared" si="184"/>
        <v>0</v>
      </c>
      <c r="EH133">
        <f t="shared" si="184"/>
        <v>0</v>
      </c>
      <c r="EI133">
        <f t="shared" si="184"/>
        <v>0</v>
      </c>
      <c r="EJ133">
        <f>SUM(Tabla1[[#This Row],[1]:[130]])</f>
        <v>600</v>
      </c>
    </row>
    <row r="134" spans="1:140" x14ac:dyDescent="0.25">
      <c r="A134" t="str">
        <f>B134&amp;"-"&amp;COUNTIF($B$2:B134,B134)</f>
        <v>I. CREMA ESPESA-17</v>
      </c>
      <c r="B134" s="36" t="s">
        <v>16</v>
      </c>
      <c r="C134">
        <f>VLOOKUP(B134,RECETAS!D133:$E$1700,2,FALSE)</f>
        <v>0</v>
      </c>
      <c r="D134" s="34"/>
      <c r="G134" t="b">
        <f t="shared" si="171"/>
        <v>1</v>
      </c>
      <c r="I134" s="35" t="s">
        <v>100</v>
      </c>
      <c r="J134">
        <f t="shared" si="172"/>
        <v>0</v>
      </c>
      <c r="K134">
        <f t="shared" si="172"/>
        <v>0</v>
      </c>
      <c r="L134">
        <f t="shared" si="172"/>
        <v>0</v>
      </c>
      <c r="M134">
        <f t="shared" si="172"/>
        <v>0</v>
      </c>
      <c r="N134">
        <f t="shared" si="172"/>
        <v>0</v>
      </c>
      <c r="O134">
        <f t="shared" si="172"/>
        <v>0</v>
      </c>
      <c r="P134">
        <f t="shared" si="172"/>
        <v>0</v>
      </c>
      <c r="Q134">
        <f t="shared" si="172"/>
        <v>0</v>
      </c>
      <c r="R134">
        <f t="shared" si="172"/>
        <v>0</v>
      </c>
      <c r="S134">
        <f t="shared" si="172"/>
        <v>0</v>
      </c>
      <c r="T134">
        <f t="shared" si="173"/>
        <v>0</v>
      </c>
      <c r="U134">
        <f t="shared" si="173"/>
        <v>0</v>
      </c>
      <c r="V134">
        <f t="shared" si="173"/>
        <v>0</v>
      </c>
      <c r="W134">
        <f t="shared" si="173"/>
        <v>0</v>
      </c>
      <c r="X134">
        <f t="shared" si="173"/>
        <v>0</v>
      </c>
      <c r="Y134">
        <f t="shared" si="173"/>
        <v>0</v>
      </c>
      <c r="Z134">
        <f t="shared" si="173"/>
        <v>0</v>
      </c>
      <c r="AA134">
        <f t="shared" si="173"/>
        <v>0</v>
      </c>
      <c r="AB134">
        <f t="shared" si="173"/>
        <v>0</v>
      </c>
      <c r="AC134">
        <f t="shared" si="173"/>
        <v>0</v>
      </c>
      <c r="AD134">
        <f t="shared" si="174"/>
        <v>0</v>
      </c>
      <c r="AE134">
        <f t="shared" si="174"/>
        <v>0</v>
      </c>
      <c r="AF134">
        <f t="shared" si="174"/>
        <v>0</v>
      </c>
      <c r="AG134">
        <f t="shared" si="174"/>
        <v>0</v>
      </c>
      <c r="AH134">
        <f t="shared" si="174"/>
        <v>0</v>
      </c>
      <c r="AI134">
        <f t="shared" si="174"/>
        <v>0</v>
      </c>
      <c r="AJ134">
        <f t="shared" si="174"/>
        <v>0</v>
      </c>
      <c r="AK134">
        <f t="shared" si="174"/>
        <v>0</v>
      </c>
      <c r="AL134">
        <f t="shared" si="174"/>
        <v>0</v>
      </c>
      <c r="AM134">
        <f t="shared" si="174"/>
        <v>0</v>
      </c>
      <c r="AN134">
        <f t="shared" si="175"/>
        <v>0</v>
      </c>
      <c r="AO134">
        <f t="shared" si="175"/>
        <v>0</v>
      </c>
      <c r="AP134">
        <f t="shared" si="175"/>
        <v>0</v>
      </c>
      <c r="AQ134">
        <f t="shared" si="175"/>
        <v>0</v>
      </c>
      <c r="AR134">
        <f t="shared" si="175"/>
        <v>0</v>
      </c>
      <c r="AS134">
        <f t="shared" si="175"/>
        <v>0</v>
      </c>
      <c r="AT134">
        <f t="shared" si="175"/>
        <v>0</v>
      </c>
      <c r="AU134">
        <f t="shared" si="175"/>
        <v>0</v>
      </c>
      <c r="AV134">
        <f t="shared" si="175"/>
        <v>0</v>
      </c>
      <c r="AW134">
        <f t="shared" si="175"/>
        <v>0</v>
      </c>
      <c r="AX134">
        <f t="shared" si="176"/>
        <v>0</v>
      </c>
      <c r="AY134">
        <f t="shared" si="176"/>
        <v>0</v>
      </c>
      <c r="AZ134">
        <f t="shared" si="176"/>
        <v>0</v>
      </c>
      <c r="BA134">
        <f t="shared" si="176"/>
        <v>0</v>
      </c>
      <c r="BB134">
        <f t="shared" si="176"/>
        <v>0</v>
      </c>
      <c r="BC134">
        <f t="shared" si="176"/>
        <v>0</v>
      </c>
      <c r="BD134">
        <f t="shared" si="176"/>
        <v>0</v>
      </c>
      <c r="BE134">
        <f t="shared" si="176"/>
        <v>0</v>
      </c>
      <c r="BF134">
        <f t="shared" si="176"/>
        <v>0</v>
      </c>
      <c r="BG134">
        <f t="shared" si="176"/>
        <v>0</v>
      </c>
      <c r="BH134">
        <f t="shared" si="177"/>
        <v>0</v>
      </c>
      <c r="BI134">
        <f t="shared" si="177"/>
        <v>0</v>
      </c>
      <c r="BJ134">
        <f t="shared" si="177"/>
        <v>0</v>
      </c>
      <c r="BK134">
        <f t="shared" si="177"/>
        <v>0</v>
      </c>
      <c r="BL134">
        <f t="shared" si="177"/>
        <v>0</v>
      </c>
      <c r="BM134">
        <f t="shared" si="177"/>
        <v>0</v>
      </c>
      <c r="BN134">
        <f t="shared" si="177"/>
        <v>0</v>
      </c>
      <c r="BO134">
        <f t="shared" si="177"/>
        <v>0</v>
      </c>
      <c r="BP134">
        <f t="shared" si="177"/>
        <v>0</v>
      </c>
      <c r="BQ134">
        <f t="shared" si="177"/>
        <v>0</v>
      </c>
      <c r="BR134">
        <f t="shared" si="178"/>
        <v>0</v>
      </c>
      <c r="BS134">
        <f t="shared" si="178"/>
        <v>0</v>
      </c>
      <c r="BT134">
        <f t="shared" si="178"/>
        <v>0</v>
      </c>
      <c r="BU134">
        <f t="shared" si="178"/>
        <v>0</v>
      </c>
      <c r="BV134">
        <f t="shared" si="178"/>
        <v>0</v>
      </c>
      <c r="BW134">
        <f t="shared" si="178"/>
        <v>0</v>
      </c>
      <c r="BX134">
        <f t="shared" si="178"/>
        <v>0</v>
      </c>
      <c r="BY134">
        <f t="shared" si="178"/>
        <v>0</v>
      </c>
      <c r="BZ134">
        <f t="shared" si="178"/>
        <v>0</v>
      </c>
      <c r="CA134">
        <f t="shared" si="178"/>
        <v>0</v>
      </c>
      <c r="CB134">
        <f t="shared" si="179"/>
        <v>0</v>
      </c>
      <c r="CC134">
        <f t="shared" si="179"/>
        <v>0</v>
      </c>
      <c r="CD134">
        <f t="shared" si="179"/>
        <v>0</v>
      </c>
      <c r="CE134">
        <f t="shared" si="179"/>
        <v>0</v>
      </c>
      <c r="CF134">
        <f t="shared" si="179"/>
        <v>0</v>
      </c>
      <c r="CG134">
        <f t="shared" si="179"/>
        <v>0</v>
      </c>
      <c r="CH134">
        <f t="shared" si="179"/>
        <v>0</v>
      </c>
      <c r="CI134">
        <f t="shared" si="179"/>
        <v>0</v>
      </c>
      <c r="CJ134">
        <f t="shared" si="179"/>
        <v>0</v>
      </c>
      <c r="CK134">
        <f t="shared" si="179"/>
        <v>0</v>
      </c>
      <c r="CL134">
        <f t="shared" si="180"/>
        <v>0</v>
      </c>
      <c r="CM134">
        <f t="shared" si="180"/>
        <v>0</v>
      </c>
      <c r="CN134">
        <f t="shared" si="180"/>
        <v>0</v>
      </c>
      <c r="CO134">
        <f t="shared" si="180"/>
        <v>0</v>
      </c>
      <c r="CP134">
        <f t="shared" si="180"/>
        <v>0</v>
      </c>
      <c r="CQ134">
        <f t="shared" si="180"/>
        <v>0</v>
      </c>
      <c r="CR134">
        <f t="shared" si="180"/>
        <v>0</v>
      </c>
      <c r="CS134">
        <f t="shared" si="180"/>
        <v>0</v>
      </c>
      <c r="CT134">
        <f t="shared" si="180"/>
        <v>0</v>
      </c>
      <c r="CU134">
        <f t="shared" si="180"/>
        <v>0</v>
      </c>
      <c r="CV134">
        <f t="shared" si="181"/>
        <v>0</v>
      </c>
      <c r="CW134">
        <f t="shared" si="181"/>
        <v>0</v>
      </c>
      <c r="CX134">
        <f t="shared" si="181"/>
        <v>0</v>
      </c>
      <c r="CY134">
        <f t="shared" si="181"/>
        <v>0</v>
      </c>
      <c r="CZ134">
        <f t="shared" si="181"/>
        <v>0</v>
      </c>
      <c r="DA134">
        <f t="shared" si="181"/>
        <v>0</v>
      </c>
      <c r="DB134">
        <f t="shared" si="181"/>
        <v>0</v>
      </c>
      <c r="DC134">
        <f t="shared" si="181"/>
        <v>0</v>
      </c>
      <c r="DD134">
        <f t="shared" si="181"/>
        <v>0</v>
      </c>
      <c r="DE134">
        <f t="shared" si="181"/>
        <v>0</v>
      </c>
      <c r="DF134">
        <f t="shared" si="182"/>
        <v>0</v>
      </c>
      <c r="DG134">
        <f t="shared" si="182"/>
        <v>0</v>
      </c>
      <c r="DH134">
        <f t="shared" si="182"/>
        <v>0</v>
      </c>
      <c r="DI134">
        <f t="shared" si="182"/>
        <v>0</v>
      </c>
      <c r="DJ134">
        <f t="shared" si="182"/>
        <v>0</v>
      </c>
      <c r="DK134">
        <f t="shared" si="182"/>
        <v>0</v>
      </c>
      <c r="DL134">
        <f t="shared" si="182"/>
        <v>0</v>
      </c>
      <c r="DM134">
        <f t="shared" si="182"/>
        <v>0</v>
      </c>
      <c r="DN134">
        <f t="shared" si="182"/>
        <v>0</v>
      </c>
      <c r="DO134">
        <f t="shared" si="182"/>
        <v>0</v>
      </c>
      <c r="DP134">
        <f t="shared" si="183"/>
        <v>0</v>
      </c>
      <c r="DQ134">
        <f t="shared" si="183"/>
        <v>0</v>
      </c>
      <c r="DR134">
        <f t="shared" si="183"/>
        <v>0</v>
      </c>
      <c r="DS134">
        <f t="shared" si="183"/>
        <v>0</v>
      </c>
      <c r="DT134">
        <f t="shared" si="183"/>
        <v>0</v>
      </c>
      <c r="DU134">
        <f t="shared" si="183"/>
        <v>0</v>
      </c>
      <c r="DV134">
        <f t="shared" si="183"/>
        <v>0</v>
      </c>
      <c r="DW134">
        <f t="shared" si="183"/>
        <v>0</v>
      </c>
      <c r="DX134">
        <f t="shared" si="183"/>
        <v>0</v>
      </c>
      <c r="DY134">
        <f t="shared" si="183"/>
        <v>0</v>
      </c>
      <c r="DZ134">
        <f t="shared" si="184"/>
        <v>0</v>
      </c>
      <c r="EA134">
        <f t="shared" si="184"/>
        <v>0</v>
      </c>
      <c r="EB134">
        <f t="shared" si="184"/>
        <v>0</v>
      </c>
      <c r="EC134">
        <f t="shared" si="184"/>
        <v>0</v>
      </c>
      <c r="ED134">
        <f t="shared" si="184"/>
        <v>0</v>
      </c>
      <c r="EE134">
        <f t="shared" si="184"/>
        <v>0</v>
      </c>
      <c r="EF134">
        <f t="shared" si="184"/>
        <v>0</v>
      </c>
      <c r="EG134">
        <f t="shared" si="184"/>
        <v>0</v>
      </c>
      <c r="EH134">
        <f t="shared" si="184"/>
        <v>0</v>
      </c>
      <c r="EI134">
        <f t="shared" si="184"/>
        <v>0</v>
      </c>
      <c r="EJ134">
        <f>SUM(Tabla1[[#This Row],[1]:[130]])</f>
        <v>0</v>
      </c>
    </row>
    <row r="135" spans="1:140" ht="15.75" thickBot="1" x14ac:dyDescent="0.3">
      <c r="A135" t="str">
        <f>B135&amp;"-"&amp;COUNTIF($B$2:B135,B135)</f>
        <v>I. AZUCAR FLOR-4</v>
      </c>
      <c r="B135" s="40" t="s">
        <v>51</v>
      </c>
      <c r="C135">
        <f>VLOOKUP(B135,RECETAS!D134:$E$1700,2,FALSE)</f>
        <v>0</v>
      </c>
      <c r="D135" s="32"/>
      <c r="G135" t="b">
        <f t="shared" si="171"/>
        <v>1</v>
      </c>
      <c r="I135" s="33" t="s">
        <v>704</v>
      </c>
      <c r="J135">
        <f t="shared" si="172"/>
        <v>0</v>
      </c>
      <c r="K135">
        <f t="shared" si="172"/>
        <v>0</v>
      </c>
      <c r="L135">
        <f t="shared" si="172"/>
        <v>0</v>
      </c>
      <c r="M135">
        <f t="shared" si="172"/>
        <v>0</v>
      </c>
      <c r="N135">
        <f t="shared" si="172"/>
        <v>0</v>
      </c>
      <c r="O135">
        <f t="shared" si="172"/>
        <v>0</v>
      </c>
      <c r="P135">
        <f t="shared" si="172"/>
        <v>0</v>
      </c>
      <c r="Q135">
        <f t="shared" si="172"/>
        <v>0</v>
      </c>
      <c r="R135">
        <f t="shared" si="172"/>
        <v>0</v>
      </c>
      <c r="S135">
        <f t="shared" si="172"/>
        <v>0</v>
      </c>
      <c r="T135">
        <f t="shared" si="173"/>
        <v>0</v>
      </c>
      <c r="U135">
        <f t="shared" si="173"/>
        <v>0</v>
      </c>
      <c r="V135">
        <f t="shared" si="173"/>
        <v>0</v>
      </c>
      <c r="W135">
        <f t="shared" si="173"/>
        <v>0</v>
      </c>
      <c r="X135">
        <f t="shared" si="173"/>
        <v>0</v>
      </c>
      <c r="Y135">
        <f t="shared" si="173"/>
        <v>0</v>
      </c>
      <c r="Z135">
        <f t="shared" si="173"/>
        <v>0</v>
      </c>
      <c r="AA135">
        <f t="shared" si="173"/>
        <v>0</v>
      </c>
      <c r="AB135">
        <f t="shared" si="173"/>
        <v>0</v>
      </c>
      <c r="AC135">
        <f t="shared" si="173"/>
        <v>0</v>
      </c>
      <c r="AD135">
        <f t="shared" si="174"/>
        <v>0</v>
      </c>
      <c r="AE135">
        <f t="shared" si="174"/>
        <v>0</v>
      </c>
      <c r="AF135">
        <f t="shared" si="174"/>
        <v>0</v>
      </c>
      <c r="AG135">
        <f t="shared" si="174"/>
        <v>0</v>
      </c>
      <c r="AH135">
        <f t="shared" si="174"/>
        <v>0</v>
      </c>
      <c r="AI135">
        <f t="shared" si="174"/>
        <v>0</v>
      </c>
      <c r="AJ135">
        <f t="shared" si="174"/>
        <v>0</v>
      </c>
      <c r="AK135">
        <f t="shared" si="174"/>
        <v>0</v>
      </c>
      <c r="AL135">
        <f t="shared" si="174"/>
        <v>0</v>
      </c>
      <c r="AM135">
        <f t="shared" si="174"/>
        <v>0</v>
      </c>
      <c r="AN135">
        <f t="shared" si="175"/>
        <v>0</v>
      </c>
      <c r="AO135">
        <f t="shared" si="175"/>
        <v>0</v>
      </c>
      <c r="AP135">
        <f t="shared" si="175"/>
        <v>0</v>
      </c>
      <c r="AQ135">
        <f t="shared" si="175"/>
        <v>0</v>
      </c>
      <c r="AR135">
        <f t="shared" si="175"/>
        <v>0</v>
      </c>
      <c r="AS135">
        <f t="shared" si="175"/>
        <v>0</v>
      </c>
      <c r="AT135">
        <f t="shared" si="175"/>
        <v>0</v>
      </c>
      <c r="AU135">
        <f t="shared" si="175"/>
        <v>0</v>
      </c>
      <c r="AV135">
        <f t="shared" si="175"/>
        <v>0</v>
      </c>
      <c r="AW135">
        <f t="shared" si="175"/>
        <v>0</v>
      </c>
      <c r="AX135">
        <f t="shared" si="176"/>
        <v>0</v>
      </c>
      <c r="AY135">
        <f t="shared" si="176"/>
        <v>0</v>
      </c>
      <c r="AZ135">
        <f t="shared" si="176"/>
        <v>0</v>
      </c>
      <c r="BA135">
        <f t="shared" si="176"/>
        <v>0</v>
      </c>
      <c r="BB135">
        <f t="shared" si="176"/>
        <v>0</v>
      </c>
      <c r="BC135">
        <f t="shared" si="176"/>
        <v>0</v>
      </c>
      <c r="BD135">
        <f t="shared" si="176"/>
        <v>0</v>
      </c>
      <c r="BE135">
        <f t="shared" si="176"/>
        <v>0</v>
      </c>
      <c r="BF135">
        <f t="shared" si="176"/>
        <v>0</v>
      </c>
      <c r="BG135">
        <f t="shared" si="176"/>
        <v>0</v>
      </c>
      <c r="BH135">
        <f t="shared" si="177"/>
        <v>0</v>
      </c>
      <c r="BI135">
        <f t="shared" si="177"/>
        <v>0</v>
      </c>
      <c r="BJ135">
        <f t="shared" si="177"/>
        <v>0</v>
      </c>
      <c r="BK135">
        <f t="shared" si="177"/>
        <v>0</v>
      </c>
      <c r="BL135">
        <f t="shared" si="177"/>
        <v>0</v>
      </c>
      <c r="BM135">
        <f t="shared" si="177"/>
        <v>0</v>
      </c>
      <c r="BN135">
        <f t="shared" si="177"/>
        <v>0</v>
      </c>
      <c r="BO135">
        <f t="shared" si="177"/>
        <v>0</v>
      </c>
      <c r="BP135">
        <f t="shared" si="177"/>
        <v>0</v>
      </c>
      <c r="BQ135">
        <f t="shared" si="177"/>
        <v>0</v>
      </c>
      <c r="BR135">
        <f t="shared" si="178"/>
        <v>0</v>
      </c>
      <c r="BS135">
        <f t="shared" si="178"/>
        <v>0</v>
      </c>
      <c r="BT135">
        <f t="shared" si="178"/>
        <v>0</v>
      </c>
      <c r="BU135">
        <f t="shared" si="178"/>
        <v>0</v>
      </c>
      <c r="BV135">
        <f t="shared" si="178"/>
        <v>0</v>
      </c>
      <c r="BW135">
        <f t="shared" si="178"/>
        <v>0</v>
      </c>
      <c r="BX135">
        <f t="shared" si="178"/>
        <v>0</v>
      </c>
      <c r="BY135">
        <f t="shared" si="178"/>
        <v>0</v>
      </c>
      <c r="BZ135">
        <f t="shared" si="178"/>
        <v>0</v>
      </c>
      <c r="CA135">
        <f t="shared" si="178"/>
        <v>0</v>
      </c>
      <c r="CB135">
        <f t="shared" si="179"/>
        <v>0</v>
      </c>
      <c r="CC135">
        <f t="shared" si="179"/>
        <v>0</v>
      </c>
      <c r="CD135">
        <f t="shared" si="179"/>
        <v>0</v>
      </c>
      <c r="CE135">
        <f t="shared" si="179"/>
        <v>0</v>
      </c>
      <c r="CF135">
        <f t="shared" si="179"/>
        <v>0</v>
      </c>
      <c r="CG135">
        <f t="shared" si="179"/>
        <v>0</v>
      </c>
      <c r="CH135">
        <f t="shared" si="179"/>
        <v>0</v>
      </c>
      <c r="CI135">
        <f t="shared" si="179"/>
        <v>0</v>
      </c>
      <c r="CJ135">
        <f t="shared" si="179"/>
        <v>0</v>
      </c>
      <c r="CK135">
        <f t="shared" si="179"/>
        <v>0</v>
      </c>
      <c r="CL135">
        <f t="shared" si="180"/>
        <v>0</v>
      </c>
      <c r="CM135">
        <f t="shared" si="180"/>
        <v>0</v>
      </c>
      <c r="CN135">
        <f t="shared" si="180"/>
        <v>0</v>
      </c>
      <c r="CO135">
        <f t="shared" si="180"/>
        <v>0</v>
      </c>
      <c r="CP135">
        <f t="shared" si="180"/>
        <v>0</v>
      </c>
      <c r="CQ135">
        <f t="shared" si="180"/>
        <v>0</v>
      </c>
      <c r="CR135">
        <f t="shared" si="180"/>
        <v>0</v>
      </c>
      <c r="CS135">
        <f t="shared" si="180"/>
        <v>0</v>
      </c>
      <c r="CT135">
        <f t="shared" si="180"/>
        <v>0</v>
      </c>
      <c r="CU135">
        <f t="shared" si="180"/>
        <v>0</v>
      </c>
      <c r="CV135">
        <f t="shared" si="181"/>
        <v>0</v>
      </c>
      <c r="CW135">
        <f t="shared" si="181"/>
        <v>0</v>
      </c>
      <c r="CX135">
        <f t="shared" si="181"/>
        <v>0</v>
      </c>
      <c r="CY135">
        <f t="shared" si="181"/>
        <v>0</v>
      </c>
      <c r="CZ135">
        <f t="shared" si="181"/>
        <v>0</v>
      </c>
      <c r="DA135">
        <f t="shared" si="181"/>
        <v>0</v>
      </c>
      <c r="DB135">
        <f t="shared" si="181"/>
        <v>0</v>
      </c>
      <c r="DC135">
        <f t="shared" si="181"/>
        <v>0</v>
      </c>
      <c r="DD135">
        <f t="shared" si="181"/>
        <v>0</v>
      </c>
      <c r="DE135">
        <f t="shared" si="181"/>
        <v>0</v>
      </c>
      <c r="DF135">
        <f t="shared" si="182"/>
        <v>0</v>
      </c>
      <c r="DG135">
        <f t="shared" si="182"/>
        <v>0</v>
      </c>
      <c r="DH135">
        <f t="shared" si="182"/>
        <v>0</v>
      </c>
      <c r="DI135">
        <f t="shared" si="182"/>
        <v>0</v>
      </c>
      <c r="DJ135">
        <f t="shared" si="182"/>
        <v>0</v>
      </c>
      <c r="DK135">
        <f t="shared" si="182"/>
        <v>0</v>
      </c>
      <c r="DL135">
        <f t="shared" si="182"/>
        <v>0</v>
      </c>
      <c r="DM135">
        <f t="shared" si="182"/>
        <v>0</v>
      </c>
      <c r="DN135">
        <f t="shared" si="182"/>
        <v>0</v>
      </c>
      <c r="DO135">
        <f t="shared" si="182"/>
        <v>0</v>
      </c>
      <c r="DP135">
        <f t="shared" si="183"/>
        <v>0</v>
      </c>
      <c r="DQ135">
        <f t="shared" si="183"/>
        <v>0</v>
      </c>
      <c r="DR135">
        <f t="shared" si="183"/>
        <v>0</v>
      </c>
      <c r="DS135">
        <f t="shared" si="183"/>
        <v>0</v>
      </c>
      <c r="DT135">
        <f t="shared" si="183"/>
        <v>0</v>
      </c>
      <c r="DU135">
        <f t="shared" si="183"/>
        <v>0</v>
      </c>
      <c r="DV135">
        <f t="shared" si="183"/>
        <v>0</v>
      </c>
      <c r="DW135">
        <f t="shared" si="183"/>
        <v>0</v>
      </c>
      <c r="DX135">
        <f t="shared" si="183"/>
        <v>0</v>
      </c>
      <c r="DY135">
        <f t="shared" si="183"/>
        <v>0</v>
      </c>
      <c r="DZ135">
        <f t="shared" si="184"/>
        <v>0</v>
      </c>
      <c r="EA135">
        <f t="shared" si="184"/>
        <v>0</v>
      </c>
      <c r="EB135">
        <f t="shared" si="184"/>
        <v>0</v>
      </c>
      <c r="EC135">
        <f t="shared" si="184"/>
        <v>0</v>
      </c>
      <c r="ED135">
        <f t="shared" si="184"/>
        <v>0</v>
      </c>
      <c r="EE135">
        <f t="shared" si="184"/>
        <v>0</v>
      </c>
      <c r="EF135">
        <f t="shared" si="184"/>
        <v>0</v>
      </c>
      <c r="EG135">
        <f t="shared" si="184"/>
        <v>0</v>
      </c>
      <c r="EH135">
        <f t="shared" si="184"/>
        <v>0</v>
      </c>
      <c r="EI135">
        <f t="shared" si="184"/>
        <v>0</v>
      </c>
      <c r="EJ135">
        <f>SUM(Tabla1[[#This Row],[1]:[130]])</f>
        <v>0</v>
      </c>
    </row>
    <row r="136" spans="1:140" x14ac:dyDescent="0.25">
      <c r="A136" t="str">
        <f>B136&amp;"-"&amp;COUNTIF($B$2:B136,B136)</f>
        <v>I. MENTA-1</v>
      </c>
      <c r="B136" s="46" t="s">
        <v>637</v>
      </c>
      <c r="C136">
        <f>VLOOKUP(B136,RECETAS!D135:$E$1700,2,FALSE)</f>
        <v>30</v>
      </c>
      <c r="D136" s="25" t="s">
        <v>343</v>
      </c>
      <c r="G136" t="b">
        <f t="shared" si="171"/>
        <v>1</v>
      </c>
      <c r="I136" s="46" t="s">
        <v>703</v>
      </c>
      <c r="J136">
        <f t="shared" si="172"/>
        <v>0</v>
      </c>
      <c r="K136">
        <f t="shared" si="172"/>
        <v>0</v>
      </c>
      <c r="L136">
        <f t="shared" si="172"/>
        <v>0</v>
      </c>
      <c r="M136">
        <f t="shared" si="172"/>
        <v>0</v>
      </c>
      <c r="N136">
        <f t="shared" si="172"/>
        <v>0</v>
      </c>
      <c r="O136">
        <f t="shared" si="172"/>
        <v>0</v>
      </c>
      <c r="P136">
        <f t="shared" si="172"/>
        <v>0</v>
      </c>
      <c r="Q136">
        <f t="shared" si="172"/>
        <v>0</v>
      </c>
      <c r="R136">
        <f t="shared" si="172"/>
        <v>0</v>
      </c>
      <c r="S136">
        <f t="shared" si="172"/>
        <v>0</v>
      </c>
      <c r="T136">
        <f t="shared" si="173"/>
        <v>0</v>
      </c>
      <c r="U136">
        <f t="shared" si="173"/>
        <v>0</v>
      </c>
      <c r="V136">
        <f t="shared" si="173"/>
        <v>0</v>
      </c>
      <c r="W136">
        <f t="shared" si="173"/>
        <v>0</v>
      </c>
      <c r="X136">
        <f t="shared" si="173"/>
        <v>0</v>
      </c>
      <c r="Y136">
        <f t="shared" si="173"/>
        <v>0</v>
      </c>
      <c r="Z136">
        <f t="shared" si="173"/>
        <v>0</v>
      </c>
      <c r="AA136">
        <f t="shared" si="173"/>
        <v>0</v>
      </c>
      <c r="AB136">
        <f t="shared" si="173"/>
        <v>0</v>
      </c>
      <c r="AC136">
        <f t="shared" si="173"/>
        <v>0</v>
      </c>
      <c r="AD136">
        <f t="shared" si="174"/>
        <v>0</v>
      </c>
      <c r="AE136">
        <f t="shared" si="174"/>
        <v>0</v>
      </c>
      <c r="AF136">
        <f t="shared" si="174"/>
        <v>0</v>
      </c>
      <c r="AG136">
        <f t="shared" si="174"/>
        <v>0</v>
      </c>
      <c r="AH136">
        <f t="shared" si="174"/>
        <v>0</v>
      </c>
      <c r="AI136">
        <f t="shared" si="174"/>
        <v>0</v>
      </c>
      <c r="AJ136">
        <f t="shared" si="174"/>
        <v>0</v>
      </c>
      <c r="AK136">
        <f t="shared" si="174"/>
        <v>0</v>
      </c>
      <c r="AL136">
        <f t="shared" si="174"/>
        <v>0</v>
      </c>
      <c r="AM136">
        <f t="shared" si="174"/>
        <v>0</v>
      </c>
      <c r="AN136">
        <f t="shared" si="175"/>
        <v>0</v>
      </c>
      <c r="AO136">
        <f t="shared" si="175"/>
        <v>0</v>
      </c>
      <c r="AP136">
        <f t="shared" si="175"/>
        <v>0</v>
      </c>
      <c r="AQ136">
        <f t="shared" si="175"/>
        <v>0</v>
      </c>
      <c r="AR136">
        <f t="shared" si="175"/>
        <v>0</v>
      </c>
      <c r="AS136">
        <f t="shared" si="175"/>
        <v>0</v>
      </c>
      <c r="AT136">
        <f t="shared" si="175"/>
        <v>0</v>
      </c>
      <c r="AU136">
        <f t="shared" si="175"/>
        <v>0</v>
      </c>
      <c r="AV136">
        <f t="shared" si="175"/>
        <v>0</v>
      </c>
      <c r="AW136">
        <f t="shared" si="175"/>
        <v>0</v>
      </c>
      <c r="AX136">
        <f t="shared" si="176"/>
        <v>0</v>
      </c>
      <c r="AY136">
        <f t="shared" si="176"/>
        <v>0</v>
      </c>
      <c r="AZ136">
        <f t="shared" si="176"/>
        <v>0</v>
      </c>
      <c r="BA136">
        <f t="shared" si="176"/>
        <v>0</v>
      </c>
      <c r="BB136">
        <f t="shared" si="176"/>
        <v>0</v>
      </c>
      <c r="BC136">
        <f t="shared" si="176"/>
        <v>0</v>
      </c>
      <c r="BD136">
        <f t="shared" si="176"/>
        <v>0</v>
      </c>
      <c r="BE136">
        <f t="shared" si="176"/>
        <v>0</v>
      </c>
      <c r="BF136">
        <f t="shared" si="176"/>
        <v>0</v>
      </c>
      <c r="BG136">
        <f t="shared" si="176"/>
        <v>0</v>
      </c>
      <c r="BH136">
        <f t="shared" si="177"/>
        <v>0</v>
      </c>
      <c r="BI136">
        <f t="shared" si="177"/>
        <v>0</v>
      </c>
      <c r="BJ136">
        <f t="shared" si="177"/>
        <v>0</v>
      </c>
      <c r="BK136">
        <f t="shared" si="177"/>
        <v>0</v>
      </c>
      <c r="BL136">
        <f t="shared" si="177"/>
        <v>0</v>
      </c>
      <c r="BM136">
        <f t="shared" si="177"/>
        <v>0</v>
      </c>
      <c r="BN136">
        <f t="shared" si="177"/>
        <v>0</v>
      </c>
      <c r="BO136">
        <f t="shared" si="177"/>
        <v>0</v>
      </c>
      <c r="BP136">
        <f t="shared" si="177"/>
        <v>0</v>
      </c>
      <c r="BQ136">
        <f t="shared" si="177"/>
        <v>0</v>
      </c>
      <c r="BR136">
        <f t="shared" si="178"/>
        <v>0</v>
      </c>
      <c r="BS136">
        <f t="shared" si="178"/>
        <v>0</v>
      </c>
      <c r="BT136">
        <f t="shared" si="178"/>
        <v>0</v>
      </c>
      <c r="BU136">
        <f t="shared" si="178"/>
        <v>0</v>
      </c>
      <c r="BV136">
        <f t="shared" si="178"/>
        <v>0</v>
      </c>
      <c r="BW136">
        <f t="shared" si="178"/>
        <v>0</v>
      </c>
      <c r="BX136">
        <f t="shared" si="178"/>
        <v>0</v>
      </c>
      <c r="BY136">
        <f t="shared" si="178"/>
        <v>0</v>
      </c>
      <c r="BZ136">
        <f t="shared" si="178"/>
        <v>0</v>
      </c>
      <c r="CA136">
        <f t="shared" si="178"/>
        <v>0</v>
      </c>
      <c r="CB136">
        <f t="shared" si="179"/>
        <v>0</v>
      </c>
      <c r="CC136">
        <f t="shared" si="179"/>
        <v>0</v>
      </c>
      <c r="CD136">
        <f t="shared" si="179"/>
        <v>0</v>
      </c>
      <c r="CE136">
        <f t="shared" si="179"/>
        <v>0</v>
      </c>
      <c r="CF136">
        <f t="shared" si="179"/>
        <v>0</v>
      </c>
      <c r="CG136">
        <f t="shared" si="179"/>
        <v>0</v>
      </c>
      <c r="CH136">
        <f t="shared" si="179"/>
        <v>0</v>
      </c>
      <c r="CI136">
        <f t="shared" si="179"/>
        <v>0</v>
      </c>
      <c r="CJ136">
        <f t="shared" si="179"/>
        <v>0</v>
      </c>
      <c r="CK136">
        <f t="shared" si="179"/>
        <v>0</v>
      </c>
      <c r="CL136">
        <f t="shared" si="180"/>
        <v>0</v>
      </c>
      <c r="CM136">
        <f t="shared" si="180"/>
        <v>0</v>
      </c>
      <c r="CN136">
        <f t="shared" si="180"/>
        <v>0</v>
      </c>
      <c r="CO136">
        <f t="shared" si="180"/>
        <v>0</v>
      </c>
      <c r="CP136">
        <f t="shared" si="180"/>
        <v>0</v>
      </c>
      <c r="CQ136">
        <f t="shared" si="180"/>
        <v>0</v>
      </c>
      <c r="CR136">
        <f t="shared" si="180"/>
        <v>0</v>
      </c>
      <c r="CS136">
        <f t="shared" si="180"/>
        <v>0</v>
      </c>
      <c r="CT136">
        <f t="shared" si="180"/>
        <v>0</v>
      </c>
      <c r="CU136">
        <f t="shared" si="180"/>
        <v>0</v>
      </c>
      <c r="CV136">
        <f t="shared" si="181"/>
        <v>0</v>
      </c>
      <c r="CW136">
        <f t="shared" si="181"/>
        <v>0</v>
      </c>
      <c r="CX136">
        <f t="shared" si="181"/>
        <v>0</v>
      </c>
      <c r="CY136">
        <f t="shared" si="181"/>
        <v>0</v>
      </c>
      <c r="CZ136">
        <f t="shared" si="181"/>
        <v>0</v>
      </c>
      <c r="DA136">
        <f t="shared" si="181"/>
        <v>0</v>
      </c>
      <c r="DB136">
        <f t="shared" si="181"/>
        <v>0</v>
      </c>
      <c r="DC136">
        <f t="shared" si="181"/>
        <v>0</v>
      </c>
      <c r="DD136">
        <f t="shared" si="181"/>
        <v>0</v>
      </c>
      <c r="DE136">
        <f t="shared" si="181"/>
        <v>0</v>
      </c>
      <c r="DF136">
        <f t="shared" si="182"/>
        <v>0</v>
      </c>
      <c r="DG136">
        <f t="shared" si="182"/>
        <v>0</v>
      </c>
      <c r="DH136">
        <f t="shared" si="182"/>
        <v>0</v>
      </c>
      <c r="DI136">
        <f t="shared" si="182"/>
        <v>0</v>
      </c>
      <c r="DJ136">
        <f t="shared" si="182"/>
        <v>0</v>
      </c>
      <c r="DK136">
        <f t="shared" si="182"/>
        <v>0</v>
      </c>
      <c r="DL136">
        <f t="shared" si="182"/>
        <v>0</v>
      </c>
      <c r="DM136">
        <f t="shared" si="182"/>
        <v>0</v>
      </c>
      <c r="DN136">
        <f t="shared" si="182"/>
        <v>0</v>
      </c>
      <c r="DO136">
        <f t="shared" si="182"/>
        <v>0</v>
      </c>
      <c r="DP136">
        <f t="shared" si="183"/>
        <v>0</v>
      </c>
      <c r="DQ136">
        <f t="shared" si="183"/>
        <v>0</v>
      </c>
      <c r="DR136">
        <f t="shared" si="183"/>
        <v>0</v>
      </c>
      <c r="DS136">
        <f t="shared" si="183"/>
        <v>0</v>
      </c>
      <c r="DT136">
        <f t="shared" si="183"/>
        <v>0</v>
      </c>
      <c r="DU136">
        <f t="shared" si="183"/>
        <v>0</v>
      </c>
      <c r="DV136">
        <f t="shared" si="183"/>
        <v>0</v>
      </c>
      <c r="DW136">
        <f t="shared" si="183"/>
        <v>0</v>
      </c>
      <c r="DX136">
        <f t="shared" si="183"/>
        <v>0</v>
      </c>
      <c r="DY136">
        <f t="shared" si="183"/>
        <v>0</v>
      </c>
      <c r="DZ136">
        <f t="shared" si="184"/>
        <v>0</v>
      </c>
      <c r="EA136">
        <f t="shared" si="184"/>
        <v>0</v>
      </c>
      <c r="EB136">
        <f t="shared" si="184"/>
        <v>0</v>
      </c>
      <c r="EC136">
        <f t="shared" si="184"/>
        <v>0</v>
      </c>
      <c r="ED136">
        <f t="shared" si="184"/>
        <v>0</v>
      </c>
      <c r="EE136">
        <f t="shared" si="184"/>
        <v>0</v>
      </c>
      <c r="EF136">
        <f t="shared" si="184"/>
        <v>0</v>
      </c>
      <c r="EG136">
        <f t="shared" si="184"/>
        <v>0</v>
      </c>
      <c r="EH136">
        <f t="shared" si="184"/>
        <v>0</v>
      </c>
      <c r="EI136">
        <f t="shared" si="184"/>
        <v>0</v>
      </c>
      <c r="EJ136">
        <f>SUM(Tabla1[[#This Row],[1]:[130]])</f>
        <v>0</v>
      </c>
    </row>
    <row r="137" spans="1:140" x14ac:dyDescent="0.25">
      <c r="A137" t="str">
        <f>B137&amp;"-"&amp;COUNTIF($B$2:B137,B137)</f>
        <v>I. AZUCAR FLOR-5</v>
      </c>
      <c r="B137" s="36" t="s">
        <v>51</v>
      </c>
      <c r="C137">
        <f>VLOOKUP(B137,RECETAS!D136:$E$1700,2,FALSE)</f>
        <v>600</v>
      </c>
      <c r="D137" s="34"/>
      <c r="G137" t="b">
        <f t="shared" si="171"/>
        <v>1</v>
      </c>
      <c r="I137" s="35" t="s">
        <v>3</v>
      </c>
      <c r="J137">
        <f t="shared" si="172"/>
        <v>11</v>
      </c>
      <c r="K137">
        <f t="shared" si="172"/>
        <v>1</v>
      </c>
      <c r="L137">
        <f t="shared" si="172"/>
        <v>0</v>
      </c>
      <c r="M137">
        <f t="shared" si="172"/>
        <v>0</v>
      </c>
      <c r="N137">
        <f t="shared" si="172"/>
        <v>0</v>
      </c>
      <c r="O137">
        <f t="shared" si="172"/>
        <v>0</v>
      </c>
      <c r="P137">
        <f t="shared" si="172"/>
        <v>0</v>
      </c>
      <c r="Q137">
        <f t="shared" si="172"/>
        <v>0</v>
      </c>
      <c r="R137">
        <f t="shared" si="172"/>
        <v>0</v>
      </c>
      <c r="S137">
        <f t="shared" si="172"/>
        <v>0</v>
      </c>
      <c r="T137">
        <f t="shared" si="173"/>
        <v>0</v>
      </c>
      <c r="U137">
        <f t="shared" si="173"/>
        <v>0</v>
      </c>
      <c r="V137">
        <f t="shared" si="173"/>
        <v>0</v>
      </c>
      <c r="W137">
        <f t="shared" si="173"/>
        <v>0</v>
      </c>
      <c r="X137">
        <f t="shared" si="173"/>
        <v>0</v>
      </c>
      <c r="Y137">
        <f t="shared" si="173"/>
        <v>0</v>
      </c>
      <c r="Z137">
        <f t="shared" si="173"/>
        <v>0</v>
      </c>
      <c r="AA137">
        <f t="shared" si="173"/>
        <v>0</v>
      </c>
      <c r="AB137">
        <f t="shared" si="173"/>
        <v>0</v>
      </c>
      <c r="AC137">
        <f t="shared" si="173"/>
        <v>0</v>
      </c>
      <c r="AD137">
        <f t="shared" si="174"/>
        <v>0</v>
      </c>
      <c r="AE137">
        <f t="shared" si="174"/>
        <v>0</v>
      </c>
      <c r="AF137">
        <f t="shared" si="174"/>
        <v>0</v>
      </c>
      <c r="AG137">
        <f t="shared" si="174"/>
        <v>0</v>
      </c>
      <c r="AH137">
        <f t="shared" si="174"/>
        <v>0</v>
      </c>
      <c r="AI137">
        <f t="shared" si="174"/>
        <v>0</v>
      </c>
      <c r="AJ137">
        <f t="shared" si="174"/>
        <v>0</v>
      </c>
      <c r="AK137">
        <f t="shared" si="174"/>
        <v>0</v>
      </c>
      <c r="AL137">
        <f t="shared" si="174"/>
        <v>0</v>
      </c>
      <c r="AM137">
        <f t="shared" si="174"/>
        <v>0</v>
      </c>
      <c r="AN137">
        <f t="shared" si="175"/>
        <v>0</v>
      </c>
      <c r="AO137">
        <f t="shared" si="175"/>
        <v>0</v>
      </c>
      <c r="AP137">
        <f t="shared" si="175"/>
        <v>0</v>
      </c>
      <c r="AQ137">
        <f t="shared" si="175"/>
        <v>0</v>
      </c>
      <c r="AR137">
        <f t="shared" si="175"/>
        <v>0</v>
      </c>
      <c r="AS137">
        <f t="shared" si="175"/>
        <v>0</v>
      </c>
      <c r="AT137">
        <f t="shared" si="175"/>
        <v>0</v>
      </c>
      <c r="AU137">
        <f t="shared" si="175"/>
        <v>0</v>
      </c>
      <c r="AV137">
        <f t="shared" si="175"/>
        <v>0</v>
      </c>
      <c r="AW137">
        <f t="shared" si="175"/>
        <v>0</v>
      </c>
      <c r="AX137">
        <f t="shared" si="176"/>
        <v>0</v>
      </c>
      <c r="AY137">
        <f t="shared" si="176"/>
        <v>0</v>
      </c>
      <c r="AZ137">
        <f t="shared" si="176"/>
        <v>0</v>
      </c>
      <c r="BA137">
        <f t="shared" si="176"/>
        <v>0</v>
      </c>
      <c r="BB137">
        <f t="shared" si="176"/>
        <v>0</v>
      </c>
      <c r="BC137">
        <f t="shared" si="176"/>
        <v>0</v>
      </c>
      <c r="BD137">
        <f t="shared" si="176"/>
        <v>0</v>
      </c>
      <c r="BE137">
        <f t="shared" si="176"/>
        <v>0</v>
      </c>
      <c r="BF137">
        <f t="shared" si="176"/>
        <v>0</v>
      </c>
      <c r="BG137">
        <f t="shared" si="176"/>
        <v>0</v>
      </c>
      <c r="BH137">
        <f t="shared" si="177"/>
        <v>0</v>
      </c>
      <c r="BI137">
        <f t="shared" si="177"/>
        <v>0</v>
      </c>
      <c r="BJ137">
        <f t="shared" si="177"/>
        <v>0</v>
      </c>
      <c r="BK137">
        <f t="shared" si="177"/>
        <v>0</v>
      </c>
      <c r="BL137">
        <f t="shared" si="177"/>
        <v>0</v>
      </c>
      <c r="BM137">
        <f t="shared" si="177"/>
        <v>0</v>
      </c>
      <c r="BN137">
        <f t="shared" si="177"/>
        <v>0</v>
      </c>
      <c r="BO137">
        <f t="shared" si="177"/>
        <v>0</v>
      </c>
      <c r="BP137">
        <f t="shared" si="177"/>
        <v>0</v>
      </c>
      <c r="BQ137">
        <f t="shared" si="177"/>
        <v>0</v>
      </c>
      <c r="BR137">
        <f t="shared" si="178"/>
        <v>0</v>
      </c>
      <c r="BS137">
        <f t="shared" si="178"/>
        <v>0</v>
      </c>
      <c r="BT137">
        <f t="shared" si="178"/>
        <v>0</v>
      </c>
      <c r="BU137">
        <f t="shared" si="178"/>
        <v>0</v>
      </c>
      <c r="BV137">
        <f t="shared" si="178"/>
        <v>0</v>
      </c>
      <c r="BW137">
        <f t="shared" si="178"/>
        <v>0</v>
      </c>
      <c r="BX137">
        <f t="shared" si="178"/>
        <v>0</v>
      </c>
      <c r="BY137">
        <f t="shared" si="178"/>
        <v>0</v>
      </c>
      <c r="BZ137">
        <f t="shared" si="178"/>
        <v>0</v>
      </c>
      <c r="CA137">
        <f t="shared" si="178"/>
        <v>0</v>
      </c>
      <c r="CB137">
        <f t="shared" si="179"/>
        <v>0</v>
      </c>
      <c r="CC137">
        <f t="shared" si="179"/>
        <v>0</v>
      </c>
      <c r="CD137">
        <f t="shared" si="179"/>
        <v>0</v>
      </c>
      <c r="CE137">
        <f t="shared" si="179"/>
        <v>0</v>
      </c>
      <c r="CF137">
        <f t="shared" si="179"/>
        <v>0</v>
      </c>
      <c r="CG137">
        <f t="shared" si="179"/>
        <v>0</v>
      </c>
      <c r="CH137">
        <f t="shared" si="179"/>
        <v>0</v>
      </c>
      <c r="CI137">
        <f t="shared" si="179"/>
        <v>0</v>
      </c>
      <c r="CJ137">
        <f t="shared" si="179"/>
        <v>0</v>
      </c>
      <c r="CK137">
        <f t="shared" si="179"/>
        <v>0</v>
      </c>
      <c r="CL137">
        <f t="shared" si="180"/>
        <v>0</v>
      </c>
      <c r="CM137">
        <f t="shared" si="180"/>
        <v>0</v>
      </c>
      <c r="CN137">
        <f t="shared" si="180"/>
        <v>0</v>
      </c>
      <c r="CO137">
        <f t="shared" si="180"/>
        <v>0</v>
      </c>
      <c r="CP137">
        <f t="shared" si="180"/>
        <v>0</v>
      </c>
      <c r="CQ137">
        <f t="shared" si="180"/>
        <v>0</v>
      </c>
      <c r="CR137">
        <f t="shared" si="180"/>
        <v>0</v>
      </c>
      <c r="CS137">
        <f t="shared" si="180"/>
        <v>0</v>
      </c>
      <c r="CT137">
        <f t="shared" si="180"/>
        <v>0</v>
      </c>
      <c r="CU137">
        <f t="shared" si="180"/>
        <v>0</v>
      </c>
      <c r="CV137">
        <f t="shared" si="181"/>
        <v>0</v>
      </c>
      <c r="CW137">
        <f t="shared" si="181"/>
        <v>0</v>
      </c>
      <c r="CX137">
        <f t="shared" si="181"/>
        <v>0</v>
      </c>
      <c r="CY137">
        <f t="shared" si="181"/>
        <v>0</v>
      </c>
      <c r="CZ137">
        <f t="shared" si="181"/>
        <v>0</v>
      </c>
      <c r="DA137">
        <f t="shared" si="181"/>
        <v>0</v>
      </c>
      <c r="DB137">
        <f t="shared" si="181"/>
        <v>0</v>
      </c>
      <c r="DC137">
        <f t="shared" si="181"/>
        <v>0</v>
      </c>
      <c r="DD137">
        <f t="shared" si="181"/>
        <v>0</v>
      </c>
      <c r="DE137">
        <f t="shared" si="181"/>
        <v>0</v>
      </c>
      <c r="DF137">
        <f t="shared" si="182"/>
        <v>0</v>
      </c>
      <c r="DG137">
        <f t="shared" si="182"/>
        <v>0</v>
      </c>
      <c r="DH137">
        <f t="shared" si="182"/>
        <v>0</v>
      </c>
      <c r="DI137">
        <f t="shared" si="182"/>
        <v>0</v>
      </c>
      <c r="DJ137">
        <f t="shared" si="182"/>
        <v>0</v>
      </c>
      <c r="DK137">
        <f t="shared" si="182"/>
        <v>0</v>
      </c>
      <c r="DL137">
        <f t="shared" si="182"/>
        <v>0</v>
      </c>
      <c r="DM137">
        <f t="shared" si="182"/>
        <v>0</v>
      </c>
      <c r="DN137">
        <f t="shared" si="182"/>
        <v>0</v>
      </c>
      <c r="DO137">
        <f t="shared" si="182"/>
        <v>0</v>
      </c>
      <c r="DP137">
        <f t="shared" si="183"/>
        <v>0</v>
      </c>
      <c r="DQ137">
        <f t="shared" si="183"/>
        <v>0</v>
      </c>
      <c r="DR137">
        <f t="shared" si="183"/>
        <v>0</v>
      </c>
      <c r="DS137">
        <f t="shared" si="183"/>
        <v>0</v>
      </c>
      <c r="DT137">
        <f t="shared" si="183"/>
        <v>0</v>
      </c>
      <c r="DU137">
        <f t="shared" si="183"/>
        <v>0</v>
      </c>
      <c r="DV137">
        <f t="shared" si="183"/>
        <v>0</v>
      </c>
      <c r="DW137">
        <f t="shared" si="183"/>
        <v>0</v>
      </c>
      <c r="DX137">
        <f t="shared" si="183"/>
        <v>0</v>
      </c>
      <c r="DY137">
        <f t="shared" si="183"/>
        <v>0</v>
      </c>
      <c r="DZ137">
        <f t="shared" si="184"/>
        <v>0</v>
      </c>
      <c r="EA137">
        <f t="shared" si="184"/>
        <v>0</v>
      </c>
      <c r="EB137">
        <f t="shared" si="184"/>
        <v>0</v>
      </c>
      <c r="EC137">
        <f t="shared" si="184"/>
        <v>0</v>
      </c>
      <c r="ED137">
        <f t="shared" si="184"/>
        <v>0</v>
      </c>
      <c r="EE137">
        <f t="shared" si="184"/>
        <v>0</v>
      </c>
      <c r="EF137">
        <f t="shared" si="184"/>
        <v>0</v>
      </c>
      <c r="EG137">
        <f t="shared" si="184"/>
        <v>0</v>
      </c>
      <c r="EH137">
        <f t="shared" si="184"/>
        <v>0</v>
      </c>
      <c r="EI137">
        <f t="shared" si="184"/>
        <v>0</v>
      </c>
      <c r="EJ137">
        <f>SUM(Tabla1[[#This Row],[1]:[130]])</f>
        <v>12</v>
      </c>
    </row>
    <row r="138" spans="1:140" x14ac:dyDescent="0.25">
      <c r="A138" t="str">
        <f>B138&amp;"-"&amp;COUNTIF($B$2:B138,B138)</f>
        <v>I. PULPA LIMON-1</v>
      </c>
      <c r="B138" s="36" t="s">
        <v>106</v>
      </c>
      <c r="C138">
        <f>VLOOKUP(B138,RECETAS!D137:$E$1700,2,FALSE)</f>
        <v>600</v>
      </c>
      <c r="D138" s="34"/>
      <c r="G138" t="b">
        <f t="shared" si="171"/>
        <v>1</v>
      </c>
      <c r="I138" s="36" t="s">
        <v>101</v>
      </c>
      <c r="J138">
        <f t="shared" si="172"/>
        <v>0</v>
      </c>
      <c r="K138">
        <f t="shared" si="172"/>
        <v>0</v>
      </c>
      <c r="L138">
        <f t="shared" si="172"/>
        <v>0</v>
      </c>
      <c r="M138">
        <f t="shared" si="172"/>
        <v>0</v>
      </c>
      <c r="N138">
        <f t="shared" si="172"/>
        <v>0</v>
      </c>
      <c r="O138">
        <f t="shared" si="172"/>
        <v>0</v>
      </c>
      <c r="P138">
        <f t="shared" si="172"/>
        <v>0</v>
      </c>
      <c r="Q138">
        <f t="shared" si="172"/>
        <v>0</v>
      </c>
      <c r="R138">
        <f t="shared" si="172"/>
        <v>0</v>
      </c>
      <c r="S138">
        <f t="shared" si="172"/>
        <v>0</v>
      </c>
      <c r="T138">
        <f t="shared" si="173"/>
        <v>0</v>
      </c>
      <c r="U138">
        <f t="shared" si="173"/>
        <v>0</v>
      </c>
      <c r="V138">
        <f t="shared" si="173"/>
        <v>0</v>
      </c>
      <c r="W138">
        <f t="shared" si="173"/>
        <v>0</v>
      </c>
      <c r="X138">
        <f t="shared" si="173"/>
        <v>0</v>
      </c>
      <c r="Y138">
        <f t="shared" si="173"/>
        <v>0</v>
      </c>
      <c r="Z138">
        <f t="shared" si="173"/>
        <v>0</v>
      </c>
      <c r="AA138">
        <f t="shared" si="173"/>
        <v>0</v>
      </c>
      <c r="AB138">
        <f t="shared" si="173"/>
        <v>0</v>
      </c>
      <c r="AC138">
        <f t="shared" si="173"/>
        <v>0</v>
      </c>
      <c r="AD138">
        <f t="shared" si="174"/>
        <v>0</v>
      </c>
      <c r="AE138">
        <f t="shared" si="174"/>
        <v>0</v>
      </c>
      <c r="AF138">
        <f t="shared" si="174"/>
        <v>0</v>
      </c>
      <c r="AG138">
        <f t="shared" si="174"/>
        <v>0</v>
      </c>
      <c r="AH138">
        <f t="shared" si="174"/>
        <v>0</v>
      </c>
      <c r="AI138">
        <f t="shared" si="174"/>
        <v>0</v>
      </c>
      <c r="AJ138">
        <f t="shared" si="174"/>
        <v>0</v>
      </c>
      <c r="AK138">
        <f t="shared" si="174"/>
        <v>0</v>
      </c>
      <c r="AL138">
        <f t="shared" si="174"/>
        <v>0</v>
      </c>
      <c r="AM138">
        <f t="shared" si="174"/>
        <v>0</v>
      </c>
      <c r="AN138">
        <f t="shared" si="175"/>
        <v>0</v>
      </c>
      <c r="AO138">
        <f t="shared" si="175"/>
        <v>0</v>
      </c>
      <c r="AP138">
        <f t="shared" si="175"/>
        <v>0</v>
      </c>
      <c r="AQ138">
        <f t="shared" si="175"/>
        <v>0</v>
      </c>
      <c r="AR138">
        <f t="shared" si="175"/>
        <v>0</v>
      </c>
      <c r="AS138">
        <f t="shared" si="175"/>
        <v>0</v>
      </c>
      <c r="AT138">
        <f t="shared" si="175"/>
        <v>0</v>
      </c>
      <c r="AU138">
        <f t="shared" si="175"/>
        <v>0</v>
      </c>
      <c r="AV138">
        <f t="shared" si="175"/>
        <v>0</v>
      </c>
      <c r="AW138">
        <f t="shared" si="175"/>
        <v>0</v>
      </c>
      <c r="AX138">
        <f t="shared" si="176"/>
        <v>0</v>
      </c>
      <c r="AY138">
        <f t="shared" si="176"/>
        <v>0</v>
      </c>
      <c r="AZ138">
        <f t="shared" si="176"/>
        <v>0</v>
      </c>
      <c r="BA138">
        <f t="shared" si="176"/>
        <v>0</v>
      </c>
      <c r="BB138">
        <f t="shared" si="176"/>
        <v>0</v>
      </c>
      <c r="BC138">
        <f t="shared" si="176"/>
        <v>0</v>
      </c>
      <c r="BD138">
        <f t="shared" si="176"/>
        <v>0</v>
      </c>
      <c r="BE138">
        <f t="shared" si="176"/>
        <v>0</v>
      </c>
      <c r="BF138">
        <f t="shared" si="176"/>
        <v>0</v>
      </c>
      <c r="BG138">
        <f t="shared" si="176"/>
        <v>0</v>
      </c>
      <c r="BH138">
        <f t="shared" si="177"/>
        <v>0</v>
      </c>
      <c r="BI138">
        <f t="shared" si="177"/>
        <v>0</v>
      </c>
      <c r="BJ138">
        <f t="shared" si="177"/>
        <v>0</v>
      </c>
      <c r="BK138">
        <f t="shared" si="177"/>
        <v>0</v>
      </c>
      <c r="BL138">
        <f t="shared" si="177"/>
        <v>0</v>
      </c>
      <c r="BM138">
        <f t="shared" si="177"/>
        <v>0</v>
      </c>
      <c r="BN138">
        <f t="shared" si="177"/>
        <v>0</v>
      </c>
      <c r="BO138">
        <f t="shared" si="177"/>
        <v>0</v>
      </c>
      <c r="BP138">
        <f t="shared" si="177"/>
        <v>0</v>
      </c>
      <c r="BQ138">
        <f t="shared" si="177"/>
        <v>0</v>
      </c>
      <c r="BR138">
        <f t="shared" si="178"/>
        <v>0</v>
      </c>
      <c r="BS138">
        <f t="shared" si="178"/>
        <v>0</v>
      </c>
      <c r="BT138">
        <f t="shared" si="178"/>
        <v>0</v>
      </c>
      <c r="BU138">
        <f t="shared" si="178"/>
        <v>0</v>
      </c>
      <c r="BV138">
        <f t="shared" si="178"/>
        <v>0</v>
      </c>
      <c r="BW138">
        <f t="shared" si="178"/>
        <v>0</v>
      </c>
      <c r="BX138">
        <f t="shared" si="178"/>
        <v>0</v>
      </c>
      <c r="BY138">
        <f t="shared" si="178"/>
        <v>0</v>
      </c>
      <c r="BZ138">
        <f t="shared" si="178"/>
        <v>0</v>
      </c>
      <c r="CA138">
        <f t="shared" si="178"/>
        <v>0</v>
      </c>
      <c r="CB138">
        <f t="shared" si="179"/>
        <v>0</v>
      </c>
      <c r="CC138">
        <f t="shared" si="179"/>
        <v>0</v>
      </c>
      <c r="CD138">
        <f t="shared" si="179"/>
        <v>0</v>
      </c>
      <c r="CE138">
        <f t="shared" si="179"/>
        <v>0</v>
      </c>
      <c r="CF138">
        <f t="shared" si="179"/>
        <v>0</v>
      </c>
      <c r="CG138">
        <f t="shared" si="179"/>
        <v>0</v>
      </c>
      <c r="CH138">
        <f t="shared" si="179"/>
        <v>0</v>
      </c>
      <c r="CI138">
        <f t="shared" si="179"/>
        <v>0</v>
      </c>
      <c r="CJ138">
        <f t="shared" si="179"/>
        <v>0</v>
      </c>
      <c r="CK138">
        <f t="shared" si="179"/>
        <v>0</v>
      </c>
      <c r="CL138">
        <f t="shared" si="180"/>
        <v>0</v>
      </c>
      <c r="CM138">
        <f t="shared" si="180"/>
        <v>0</v>
      </c>
      <c r="CN138">
        <f t="shared" si="180"/>
        <v>0</v>
      </c>
      <c r="CO138">
        <f t="shared" si="180"/>
        <v>0</v>
      </c>
      <c r="CP138">
        <f t="shared" si="180"/>
        <v>0</v>
      </c>
      <c r="CQ138">
        <f t="shared" si="180"/>
        <v>0</v>
      </c>
      <c r="CR138">
        <f t="shared" si="180"/>
        <v>0</v>
      </c>
      <c r="CS138">
        <f t="shared" si="180"/>
        <v>0</v>
      </c>
      <c r="CT138">
        <f t="shared" si="180"/>
        <v>0</v>
      </c>
      <c r="CU138">
        <f t="shared" si="180"/>
        <v>0</v>
      </c>
      <c r="CV138">
        <f t="shared" si="181"/>
        <v>0</v>
      </c>
      <c r="CW138">
        <f t="shared" si="181"/>
        <v>0</v>
      </c>
      <c r="CX138">
        <f t="shared" si="181"/>
        <v>0</v>
      </c>
      <c r="CY138">
        <f t="shared" si="181"/>
        <v>0</v>
      </c>
      <c r="CZ138">
        <f t="shared" si="181"/>
        <v>0</v>
      </c>
      <c r="DA138">
        <f t="shared" si="181"/>
        <v>0</v>
      </c>
      <c r="DB138">
        <f t="shared" si="181"/>
        <v>0</v>
      </c>
      <c r="DC138">
        <f t="shared" si="181"/>
        <v>0</v>
      </c>
      <c r="DD138">
        <f t="shared" si="181"/>
        <v>0</v>
      </c>
      <c r="DE138">
        <f t="shared" si="181"/>
        <v>0</v>
      </c>
      <c r="DF138">
        <f t="shared" si="182"/>
        <v>0</v>
      </c>
      <c r="DG138">
        <f t="shared" si="182"/>
        <v>0</v>
      </c>
      <c r="DH138">
        <f t="shared" si="182"/>
        <v>0</v>
      </c>
      <c r="DI138">
        <f t="shared" si="182"/>
        <v>0</v>
      </c>
      <c r="DJ138">
        <f t="shared" si="182"/>
        <v>0</v>
      </c>
      <c r="DK138">
        <f t="shared" si="182"/>
        <v>0</v>
      </c>
      <c r="DL138">
        <f t="shared" si="182"/>
        <v>0</v>
      </c>
      <c r="DM138">
        <f t="shared" si="182"/>
        <v>0</v>
      </c>
      <c r="DN138">
        <f t="shared" si="182"/>
        <v>0</v>
      </c>
      <c r="DO138">
        <f t="shared" si="182"/>
        <v>0</v>
      </c>
      <c r="DP138">
        <f t="shared" si="183"/>
        <v>0</v>
      </c>
      <c r="DQ138">
        <f t="shared" si="183"/>
        <v>0</v>
      </c>
      <c r="DR138">
        <f t="shared" si="183"/>
        <v>0</v>
      </c>
      <c r="DS138">
        <f t="shared" si="183"/>
        <v>0</v>
      </c>
      <c r="DT138">
        <f t="shared" si="183"/>
        <v>0</v>
      </c>
      <c r="DU138">
        <f t="shared" si="183"/>
        <v>0</v>
      </c>
      <c r="DV138">
        <f t="shared" si="183"/>
        <v>0</v>
      </c>
      <c r="DW138">
        <f t="shared" si="183"/>
        <v>0</v>
      </c>
      <c r="DX138">
        <f t="shared" si="183"/>
        <v>0</v>
      </c>
      <c r="DY138">
        <f t="shared" si="183"/>
        <v>0</v>
      </c>
      <c r="DZ138">
        <f t="shared" si="184"/>
        <v>0</v>
      </c>
      <c r="EA138">
        <f t="shared" si="184"/>
        <v>0</v>
      </c>
      <c r="EB138">
        <f t="shared" si="184"/>
        <v>0</v>
      </c>
      <c r="EC138">
        <f t="shared" si="184"/>
        <v>0</v>
      </c>
      <c r="ED138">
        <f t="shared" si="184"/>
        <v>0</v>
      </c>
      <c r="EE138">
        <f t="shared" si="184"/>
        <v>0</v>
      </c>
      <c r="EF138">
        <f t="shared" si="184"/>
        <v>0</v>
      </c>
      <c r="EG138">
        <f t="shared" si="184"/>
        <v>0</v>
      </c>
      <c r="EH138">
        <f t="shared" si="184"/>
        <v>0</v>
      </c>
      <c r="EI138">
        <f t="shared" si="184"/>
        <v>0</v>
      </c>
      <c r="EJ138">
        <f>SUM(Tabla1[[#This Row],[1]:[130]])</f>
        <v>0</v>
      </c>
    </row>
    <row r="139" spans="1:140" x14ac:dyDescent="0.25">
      <c r="A139" t="str">
        <f>B139&amp;"-"&amp;COUNTIF($B$2:B139,B139)</f>
        <v>I. LIMON PICA-2</v>
      </c>
      <c r="B139" s="36" t="s">
        <v>636</v>
      </c>
      <c r="C139">
        <f>VLOOKUP(B139,RECETAS!D138:$E$1700,2,FALSE)</f>
        <v>30</v>
      </c>
      <c r="D139" s="34"/>
      <c r="G139" t="b">
        <f t="shared" si="171"/>
        <v>1</v>
      </c>
      <c r="I139" s="35" t="s">
        <v>674</v>
      </c>
      <c r="J139">
        <f t="shared" si="172"/>
        <v>8</v>
      </c>
      <c r="K139">
        <f t="shared" si="172"/>
        <v>0</v>
      </c>
      <c r="L139">
        <f t="shared" si="172"/>
        <v>0</v>
      </c>
      <c r="M139">
        <f t="shared" si="172"/>
        <v>0</v>
      </c>
      <c r="N139">
        <f t="shared" si="172"/>
        <v>0</v>
      </c>
      <c r="O139">
        <f t="shared" si="172"/>
        <v>0</v>
      </c>
      <c r="P139">
        <f t="shared" si="172"/>
        <v>0</v>
      </c>
      <c r="Q139">
        <f t="shared" si="172"/>
        <v>0</v>
      </c>
      <c r="R139">
        <f t="shared" si="172"/>
        <v>0</v>
      </c>
      <c r="S139">
        <f t="shared" si="172"/>
        <v>0</v>
      </c>
      <c r="T139">
        <f t="shared" si="173"/>
        <v>0</v>
      </c>
      <c r="U139">
        <f t="shared" si="173"/>
        <v>0</v>
      </c>
      <c r="V139">
        <f t="shared" si="173"/>
        <v>0</v>
      </c>
      <c r="W139">
        <f t="shared" si="173"/>
        <v>0</v>
      </c>
      <c r="X139">
        <f t="shared" si="173"/>
        <v>0</v>
      </c>
      <c r="Y139">
        <f t="shared" si="173"/>
        <v>0</v>
      </c>
      <c r="Z139">
        <f t="shared" si="173"/>
        <v>0</v>
      </c>
      <c r="AA139">
        <f t="shared" si="173"/>
        <v>0</v>
      </c>
      <c r="AB139">
        <f t="shared" si="173"/>
        <v>0</v>
      </c>
      <c r="AC139">
        <f t="shared" si="173"/>
        <v>0</v>
      </c>
      <c r="AD139">
        <f t="shared" si="174"/>
        <v>0</v>
      </c>
      <c r="AE139">
        <f t="shared" si="174"/>
        <v>0</v>
      </c>
      <c r="AF139">
        <f t="shared" si="174"/>
        <v>0</v>
      </c>
      <c r="AG139">
        <f t="shared" si="174"/>
        <v>0</v>
      </c>
      <c r="AH139">
        <f t="shared" si="174"/>
        <v>0</v>
      </c>
      <c r="AI139">
        <f t="shared" si="174"/>
        <v>0</v>
      </c>
      <c r="AJ139">
        <f t="shared" si="174"/>
        <v>0</v>
      </c>
      <c r="AK139">
        <f t="shared" si="174"/>
        <v>0</v>
      </c>
      <c r="AL139">
        <f t="shared" si="174"/>
        <v>0</v>
      </c>
      <c r="AM139">
        <f t="shared" si="174"/>
        <v>0</v>
      </c>
      <c r="AN139">
        <f t="shared" si="175"/>
        <v>0</v>
      </c>
      <c r="AO139">
        <f t="shared" si="175"/>
        <v>0</v>
      </c>
      <c r="AP139">
        <f t="shared" si="175"/>
        <v>0</v>
      </c>
      <c r="AQ139">
        <f t="shared" si="175"/>
        <v>0</v>
      </c>
      <c r="AR139">
        <f t="shared" si="175"/>
        <v>0</v>
      </c>
      <c r="AS139">
        <f t="shared" si="175"/>
        <v>0</v>
      </c>
      <c r="AT139">
        <f t="shared" si="175"/>
        <v>0</v>
      </c>
      <c r="AU139">
        <f t="shared" si="175"/>
        <v>0</v>
      </c>
      <c r="AV139">
        <f t="shared" si="175"/>
        <v>0</v>
      </c>
      <c r="AW139">
        <f t="shared" si="175"/>
        <v>0</v>
      </c>
      <c r="AX139">
        <f t="shared" si="176"/>
        <v>0</v>
      </c>
      <c r="AY139">
        <f t="shared" si="176"/>
        <v>0</v>
      </c>
      <c r="AZ139">
        <f t="shared" si="176"/>
        <v>0</v>
      </c>
      <c r="BA139">
        <f t="shared" si="176"/>
        <v>0</v>
      </c>
      <c r="BB139">
        <f t="shared" si="176"/>
        <v>0</v>
      </c>
      <c r="BC139">
        <f t="shared" si="176"/>
        <v>0</v>
      </c>
      <c r="BD139">
        <f t="shared" si="176"/>
        <v>0</v>
      </c>
      <c r="BE139">
        <f t="shared" si="176"/>
        <v>0</v>
      </c>
      <c r="BF139">
        <f t="shared" si="176"/>
        <v>0</v>
      </c>
      <c r="BG139">
        <f t="shared" si="176"/>
        <v>0</v>
      </c>
      <c r="BH139">
        <f t="shared" si="177"/>
        <v>0</v>
      </c>
      <c r="BI139">
        <f t="shared" si="177"/>
        <v>0</v>
      </c>
      <c r="BJ139">
        <f t="shared" si="177"/>
        <v>0</v>
      </c>
      <c r="BK139">
        <f t="shared" si="177"/>
        <v>0</v>
      </c>
      <c r="BL139">
        <f t="shared" si="177"/>
        <v>0</v>
      </c>
      <c r="BM139">
        <f t="shared" si="177"/>
        <v>0</v>
      </c>
      <c r="BN139">
        <f t="shared" si="177"/>
        <v>0</v>
      </c>
      <c r="BO139">
        <f t="shared" si="177"/>
        <v>0</v>
      </c>
      <c r="BP139">
        <f t="shared" si="177"/>
        <v>0</v>
      </c>
      <c r="BQ139">
        <f t="shared" si="177"/>
        <v>0</v>
      </c>
      <c r="BR139">
        <f t="shared" si="178"/>
        <v>0</v>
      </c>
      <c r="BS139">
        <f t="shared" si="178"/>
        <v>0</v>
      </c>
      <c r="BT139">
        <f t="shared" si="178"/>
        <v>0</v>
      </c>
      <c r="BU139">
        <f t="shared" si="178"/>
        <v>0</v>
      </c>
      <c r="BV139">
        <f t="shared" si="178"/>
        <v>0</v>
      </c>
      <c r="BW139">
        <f t="shared" si="178"/>
        <v>0</v>
      </c>
      <c r="BX139">
        <f t="shared" si="178"/>
        <v>0</v>
      </c>
      <c r="BY139">
        <f t="shared" si="178"/>
        <v>0</v>
      </c>
      <c r="BZ139">
        <f t="shared" si="178"/>
        <v>0</v>
      </c>
      <c r="CA139">
        <f t="shared" si="178"/>
        <v>0</v>
      </c>
      <c r="CB139">
        <f t="shared" si="179"/>
        <v>0</v>
      </c>
      <c r="CC139">
        <f t="shared" si="179"/>
        <v>0</v>
      </c>
      <c r="CD139">
        <f t="shared" si="179"/>
        <v>0</v>
      </c>
      <c r="CE139">
        <f t="shared" si="179"/>
        <v>0</v>
      </c>
      <c r="CF139">
        <f t="shared" si="179"/>
        <v>0</v>
      </c>
      <c r="CG139">
        <f t="shared" si="179"/>
        <v>0</v>
      </c>
      <c r="CH139">
        <f t="shared" si="179"/>
        <v>0</v>
      </c>
      <c r="CI139">
        <f t="shared" si="179"/>
        <v>0</v>
      </c>
      <c r="CJ139">
        <f t="shared" si="179"/>
        <v>0</v>
      </c>
      <c r="CK139">
        <f t="shared" si="179"/>
        <v>0</v>
      </c>
      <c r="CL139">
        <f t="shared" si="180"/>
        <v>0</v>
      </c>
      <c r="CM139">
        <f t="shared" si="180"/>
        <v>0</v>
      </c>
      <c r="CN139">
        <f t="shared" si="180"/>
        <v>0</v>
      </c>
      <c r="CO139">
        <f t="shared" si="180"/>
        <v>0</v>
      </c>
      <c r="CP139">
        <f t="shared" si="180"/>
        <v>0</v>
      </c>
      <c r="CQ139">
        <f t="shared" si="180"/>
        <v>0</v>
      </c>
      <c r="CR139">
        <f t="shared" si="180"/>
        <v>0</v>
      </c>
      <c r="CS139">
        <f t="shared" si="180"/>
        <v>0</v>
      </c>
      <c r="CT139">
        <f t="shared" si="180"/>
        <v>0</v>
      </c>
      <c r="CU139">
        <f t="shared" si="180"/>
        <v>0</v>
      </c>
      <c r="CV139">
        <f t="shared" si="181"/>
        <v>0</v>
      </c>
      <c r="CW139">
        <f t="shared" si="181"/>
        <v>0</v>
      </c>
      <c r="CX139">
        <f t="shared" si="181"/>
        <v>0</v>
      </c>
      <c r="CY139">
        <f t="shared" si="181"/>
        <v>0</v>
      </c>
      <c r="CZ139">
        <f t="shared" si="181"/>
        <v>0</v>
      </c>
      <c r="DA139">
        <f t="shared" si="181"/>
        <v>0</v>
      </c>
      <c r="DB139">
        <f t="shared" si="181"/>
        <v>0</v>
      </c>
      <c r="DC139">
        <f t="shared" si="181"/>
        <v>0</v>
      </c>
      <c r="DD139">
        <f t="shared" si="181"/>
        <v>0</v>
      </c>
      <c r="DE139">
        <f t="shared" si="181"/>
        <v>0</v>
      </c>
      <c r="DF139">
        <f t="shared" si="182"/>
        <v>0</v>
      </c>
      <c r="DG139">
        <f t="shared" si="182"/>
        <v>0</v>
      </c>
      <c r="DH139">
        <f t="shared" si="182"/>
        <v>0</v>
      </c>
      <c r="DI139">
        <f t="shared" si="182"/>
        <v>0</v>
      </c>
      <c r="DJ139">
        <f t="shared" si="182"/>
        <v>0</v>
      </c>
      <c r="DK139">
        <f t="shared" si="182"/>
        <v>0</v>
      </c>
      <c r="DL139">
        <f t="shared" si="182"/>
        <v>0</v>
      </c>
      <c r="DM139">
        <f t="shared" si="182"/>
        <v>0</v>
      </c>
      <c r="DN139">
        <f t="shared" si="182"/>
        <v>0</v>
      </c>
      <c r="DO139">
        <f t="shared" si="182"/>
        <v>0</v>
      </c>
      <c r="DP139">
        <f t="shared" si="183"/>
        <v>0</v>
      </c>
      <c r="DQ139">
        <f t="shared" si="183"/>
        <v>0</v>
      </c>
      <c r="DR139">
        <f t="shared" si="183"/>
        <v>0</v>
      </c>
      <c r="DS139">
        <f t="shared" si="183"/>
        <v>0</v>
      </c>
      <c r="DT139">
        <f t="shared" si="183"/>
        <v>0</v>
      </c>
      <c r="DU139">
        <f t="shared" si="183"/>
        <v>0</v>
      </c>
      <c r="DV139">
        <f t="shared" si="183"/>
        <v>0</v>
      </c>
      <c r="DW139">
        <f t="shared" si="183"/>
        <v>0</v>
      </c>
      <c r="DX139">
        <f t="shared" si="183"/>
        <v>0</v>
      </c>
      <c r="DY139">
        <f t="shared" si="183"/>
        <v>0</v>
      </c>
      <c r="DZ139">
        <f t="shared" si="184"/>
        <v>0</v>
      </c>
      <c r="EA139">
        <f t="shared" si="184"/>
        <v>0</v>
      </c>
      <c r="EB139">
        <f t="shared" si="184"/>
        <v>0</v>
      </c>
      <c r="EC139">
        <f t="shared" si="184"/>
        <v>0</v>
      </c>
      <c r="ED139">
        <f t="shared" si="184"/>
        <v>0</v>
      </c>
      <c r="EE139">
        <f t="shared" si="184"/>
        <v>0</v>
      </c>
      <c r="EF139">
        <f t="shared" si="184"/>
        <v>0</v>
      </c>
      <c r="EG139">
        <f t="shared" si="184"/>
        <v>0</v>
      </c>
      <c r="EH139">
        <f t="shared" si="184"/>
        <v>0</v>
      </c>
      <c r="EI139">
        <f t="shared" si="184"/>
        <v>0</v>
      </c>
      <c r="EJ139">
        <f>SUM(Tabla1[[#This Row],[1]:[130]])</f>
        <v>8</v>
      </c>
    </row>
    <row r="140" spans="1:140" ht="15.75" thickBot="1" x14ac:dyDescent="0.3">
      <c r="A140" t="str">
        <f>B140&amp;"-"&amp;COUNTIF($B$2:B140,B140)</f>
        <v>I. SPRITE 237CC-2</v>
      </c>
      <c r="B140" s="40" t="s">
        <v>586</v>
      </c>
      <c r="C140">
        <f>VLOOKUP(B140,RECETAS!D139:$E$1700,2,FALSE)</f>
        <v>30</v>
      </c>
      <c r="D140" s="32"/>
      <c r="G140" t="b">
        <f t="shared" si="171"/>
        <v>1</v>
      </c>
      <c r="I140" s="33" t="s">
        <v>634</v>
      </c>
      <c r="J140">
        <f t="shared" si="172"/>
        <v>0</v>
      </c>
      <c r="K140">
        <f t="shared" si="172"/>
        <v>0</v>
      </c>
      <c r="L140">
        <f t="shared" si="172"/>
        <v>0</v>
      </c>
      <c r="M140">
        <f t="shared" si="172"/>
        <v>0</v>
      </c>
      <c r="N140">
        <f t="shared" si="172"/>
        <v>0</v>
      </c>
      <c r="O140">
        <f t="shared" si="172"/>
        <v>0</v>
      </c>
      <c r="P140">
        <f t="shared" si="172"/>
        <v>0</v>
      </c>
      <c r="Q140">
        <f t="shared" si="172"/>
        <v>0</v>
      </c>
      <c r="R140">
        <f t="shared" si="172"/>
        <v>0</v>
      </c>
      <c r="S140">
        <f t="shared" si="172"/>
        <v>0</v>
      </c>
      <c r="T140">
        <f t="shared" si="173"/>
        <v>0</v>
      </c>
      <c r="U140">
        <f t="shared" si="173"/>
        <v>0</v>
      </c>
      <c r="V140">
        <f t="shared" si="173"/>
        <v>0</v>
      </c>
      <c r="W140">
        <f t="shared" si="173"/>
        <v>0</v>
      </c>
      <c r="X140">
        <f t="shared" si="173"/>
        <v>0</v>
      </c>
      <c r="Y140">
        <f t="shared" si="173"/>
        <v>0</v>
      </c>
      <c r="Z140">
        <f t="shared" si="173"/>
        <v>0</v>
      </c>
      <c r="AA140">
        <f t="shared" si="173"/>
        <v>0</v>
      </c>
      <c r="AB140">
        <f t="shared" si="173"/>
        <v>0</v>
      </c>
      <c r="AC140">
        <f t="shared" si="173"/>
        <v>0</v>
      </c>
      <c r="AD140">
        <f t="shared" si="174"/>
        <v>0</v>
      </c>
      <c r="AE140">
        <f t="shared" si="174"/>
        <v>0</v>
      </c>
      <c r="AF140">
        <f t="shared" si="174"/>
        <v>0</v>
      </c>
      <c r="AG140">
        <f t="shared" si="174"/>
        <v>0</v>
      </c>
      <c r="AH140">
        <f t="shared" si="174"/>
        <v>0</v>
      </c>
      <c r="AI140">
        <f t="shared" si="174"/>
        <v>0</v>
      </c>
      <c r="AJ140">
        <f t="shared" si="174"/>
        <v>0</v>
      </c>
      <c r="AK140">
        <f t="shared" si="174"/>
        <v>0</v>
      </c>
      <c r="AL140">
        <f t="shared" si="174"/>
        <v>0</v>
      </c>
      <c r="AM140">
        <f t="shared" si="174"/>
        <v>0</v>
      </c>
      <c r="AN140">
        <f t="shared" si="175"/>
        <v>0</v>
      </c>
      <c r="AO140">
        <f t="shared" si="175"/>
        <v>0</v>
      </c>
      <c r="AP140">
        <f t="shared" si="175"/>
        <v>0</v>
      </c>
      <c r="AQ140">
        <f t="shared" si="175"/>
        <v>0</v>
      </c>
      <c r="AR140">
        <f t="shared" si="175"/>
        <v>0</v>
      </c>
      <c r="AS140">
        <f t="shared" si="175"/>
        <v>0</v>
      </c>
      <c r="AT140">
        <f t="shared" si="175"/>
        <v>0</v>
      </c>
      <c r="AU140">
        <f t="shared" si="175"/>
        <v>0</v>
      </c>
      <c r="AV140">
        <f t="shared" si="175"/>
        <v>0</v>
      </c>
      <c r="AW140">
        <f t="shared" si="175"/>
        <v>0</v>
      </c>
      <c r="AX140">
        <f t="shared" si="176"/>
        <v>0</v>
      </c>
      <c r="AY140">
        <f t="shared" si="176"/>
        <v>0</v>
      </c>
      <c r="AZ140">
        <f t="shared" si="176"/>
        <v>0</v>
      </c>
      <c r="BA140">
        <f t="shared" si="176"/>
        <v>0</v>
      </c>
      <c r="BB140">
        <f t="shared" si="176"/>
        <v>0</v>
      </c>
      <c r="BC140">
        <f t="shared" si="176"/>
        <v>0</v>
      </c>
      <c r="BD140">
        <f t="shared" si="176"/>
        <v>0</v>
      </c>
      <c r="BE140">
        <f t="shared" si="176"/>
        <v>0</v>
      </c>
      <c r="BF140">
        <f t="shared" si="176"/>
        <v>0</v>
      </c>
      <c r="BG140">
        <f t="shared" si="176"/>
        <v>0</v>
      </c>
      <c r="BH140">
        <f t="shared" si="177"/>
        <v>0</v>
      </c>
      <c r="BI140">
        <f t="shared" si="177"/>
        <v>0</v>
      </c>
      <c r="BJ140">
        <f t="shared" si="177"/>
        <v>0</v>
      </c>
      <c r="BK140">
        <f t="shared" si="177"/>
        <v>0</v>
      </c>
      <c r="BL140">
        <f t="shared" si="177"/>
        <v>0</v>
      </c>
      <c r="BM140">
        <f t="shared" si="177"/>
        <v>0</v>
      </c>
      <c r="BN140">
        <f t="shared" si="177"/>
        <v>0</v>
      </c>
      <c r="BO140">
        <f t="shared" si="177"/>
        <v>0</v>
      </c>
      <c r="BP140">
        <f t="shared" si="177"/>
        <v>0</v>
      </c>
      <c r="BQ140">
        <f t="shared" si="177"/>
        <v>0</v>
      </c>
      <c r="BR140">
        <f t="shared" si="178"/>
        <v>0</v>
      </c>
      <c r="BS140">
        <f t="shared" si="178"/>
        <v>0</v>
      </c>
      <c r="BT140">
        <f t="shared" si="178"/>
        <v>0</v>
      </c>
      <c r="BU140">
        <f t="shared" si="178"/>
        <v>0</v>
      </c>
      <c r="BV140">
        <f t="shared" si="178"/>
        <v>0</v>
      </c>
      <c r="BW140">
        <f t="shared" si="178"/>
        <v>0</v>
      </c>
      <c r="BX140">
        <f t="shared" si="178"/>
        <v>0</v>
      </c>
      <c r="BY140">
        <f t="shared" si="178"/>
        <v>0</v>
      </c>
      <c r="BZ140">
        <f t="shared" si="178"/>
        <v>0</v>
      </c>
      <c r="CA140">
        <f t="shared" si="178"/>
        <v>0</v>
      </c>
      <c r="CB140">
        <f t="shared" si="179"/>
        <v>0</v>
      </c>
      <c r="CC140">
        <f t="shared" si="179"/>
        <v>0</v>
      </c>
      <c r="CD140">
        <f t="shared" si="179"/>
        <v>0</v>
      </c>
      <c r="CE140">
        <f t="shared" si="179"/>
        <v>0</v>
      </c>
      <c r="CF140">
        <f t="shared" si="179"/>
        <v>0</v>
      </c>
      <c r="CG140">
        <f t="shared" si="179"/>
        <v>0</v>
      </c>
      <c r="CH140">
        <f t="shared" si="179"/>
        <v>0</v>
      </c>
      <c r="CI140">
        <f t="shared" si="179"/>
        <v>0</v>
      </c>
      <c r="CJ140">
        <f t="shared" si="179"/>
        <v>0</v>
      </c>
      <c r="CK140">
        <f t="shared" si="179"/>
        <v>0</v>
      </c>
      <c r="CL140">
        <f t="shared" si="180"/>
        <v>0</v>
      </c>
      <c r="CM140">
        <f t="shared" si="180"/>
        <v>0</v>
      </c>
      <c r="CN140">
        <f t="shared" si="180"/>
        <v>0</v>
      </c>
      <c r="CO140">
        <f t="shared" si="180"/>
        <v>0</v>
      </c>
      <c r="CP140">
        <f t="shared" si="180"/>
        <v>0</v>
      </c>
      <c r="CQ140">
        <f t="shared" si="180"/>
        <v>0</v>
      </c>
      <c r="CR140">
        <f t="shared" si="180"/>
        <v>0</v>
      </c>
      <c r="CS140">
        <f t="shared" si="180"/>
        <v>0</v>
      </c>
      <c r="CT140">
        <f t="shared" si="180"/>
        <v>0</v>
      </c>
      <c r="CU140">
        <f t="shared" si="180"/>
        <v>0</v>
      </c>
      <c r="CV140">
        <f t="shared" si="181"/>
        <v>0</v>
      </c>
      <c r="CW140">
        <f t="shared" si="181"/>
        <v>0</v>
      </c>
      <c r="CX140">
        <f t="shared" si="181"/>
        <v>0</v>
      </c>
      <c r="CY140">
        <f t="shared" si="181"/>
        <v>0</v>
      </c>
      <c r="CZ140">
        <f t="shared" si="181"/>
        <v>0</v>
      </c>
      <c r="DA140">
        <f t="shared" si="181"/>
        <v>0</v>
      </c>
      <c r="DB140">
        <f t="shared" si="181"/>
        <v>0</v>
      </c>
      <c r="DC140">
        <f t="shared" si="181"/>
        <v>0</v>
      </c>
      <c r="DD140">
        <f t="shared" si="181"/>
        <v>0</v>
      </c>
      <c r="DE140">
        <f t="shared" si="181"/>
        <v>0</v>
      </c>
      <c r="DF140">
        <f t="shared" si="182"/>
        <v>0</v>
      </c>
      <c r="DG140">
        <f t="shared" si="182"/>
        <v>0</v>
      </c>
      <c r="DH140">
        <f t="shared" si="182"/>
        <v>0</v>
      </c>
      <c r="DI140">
        <f t="shared" si="182"/>
        <v>0</v>
      </c>
      <c r="DJ140">
        <f t="shared" si="182"/>
        <v>0</v>
      </c>
      <c r="DK140">
        <f t="shared" si="182"/>
        <v>0</v>
      </c>
      <c r="DL140">
        <f t="shared" si="182"/>
        <v>0</v>
      </c>
      <c r="DM140">
        <f t="shared" si="182"/>
        <v>0</v>
      </c>
      <c r="DN140">
        <f t="shared" si="182"/>
        <v>0</v>
      </c>
      <c r="DO140">
        <f t="shared" si="182"/>
        <v>0</v>
      </c>
      <c r="DP140">
        <f t="shared" si="183"/>
        <v>0</v>
      </c>
      <c r="DQ140">
        <f t="shared" si="183"/>
        <v>0</v>
      </c>
      <c r="DR140">
        <f t="shared" si="183"/>
        <v>0</v>
      </c>
      <c r="DS140">
        <f t="shared" si="183"/>
        <v>0</v>
      </c>
      <c r="DT140">
        <f t="shared" si="183"/>
        <v>0</v>
      </c>
      <c r="DU140">
        <f t="shared" si="183"/>
        <v>0</v>
      </c>
      <c r="DV140">
        <f t="shared" si="183"/>
        <v>0</v>
      </c>
      <c r="DW140">
        <f t="shared" si="183"/>
        <v>0</v>
      </c>
      <c r="DX140">
        <f t="shared" si="183"/>
        <v>0</v>
      </c>
      <c r="DY140">
        <f t="shared" si="183"/>
        <v>0</v>
      </c>
      <c r="DZ140">
        <f t="shared" si="184"/>
        <v>0</v>
      </c>
      <c r="EA140">
        <f t="shared" si="184"/>
        <v>0</v>
      </c>
      <c r="EB140">
        <f t="shared" si="184"/>
        <v>0</v>
      </c>
      <c r="EC140">
        <f t="shared" si="184"/>
        <v>0</v>
      </c>
      <c r="ED140">
        <f t="shared" si="184"/>
        <v>0</v>
      </c>
      <c r="EE140">
        <f t="shared" si="184"/>
        <v>0</v>
      </c>
      <c r="EF140">
        <f t="shared" si="184"/>
        <v>0</v>
      </c>
      <c r="EG140">
        <f t="shared" si="184"/>
        <v>0</v>
      </c>
      <c r="EH140">
        <f t="shared" si="184"/>
        <v>0</v>
      </c>
      <c r="EI140">
        <f t="shared" si="184"/>
        <v>0</v>
      </c>
      <c r="EJ140">
        <f>SUM(Tabla1[[#This Row],[1]:[130]])</f>
        <v>0</v>
      </c>
    </row>
    <row r="141" spans="1:140" x14ac:dyDescent="0.25">
      <c r="A141" t="str">
        <f>B141&amp;"-"&amp;COUNTIF($B$2:B141,B141)</f>
        <v>I. AZUCAR FLOR-6</v>
      </c>
      <c r="B141" s="46" t="s">
        <v>51</v>
      </c>
      <c r="C141">
        <f>VLOOKUP(B141,RECETAS!D140:$E$1700,2,FALSE)</f>
        <v>480</v>
      </c>
      <c r="D141" s="25" t="s">
        <v>344</v>
      </c>
      <c r="G141" t="b">
        <f t="shared" si="171"/>
        <v>1</v>
      </c>
      <c r="I141" s="46" t="s">
        <v>1</v>
      </c>
      <c r="J141">
        <f t="shared" si="172"/>
        <v>12</v>
      </c>
      <c r="K141">
        <f t="shared" si="172"/>
        <v>38</v>
      </c>
      <c r="L141">
        <f t="shared" si="172"/>
        <v>2</v>
      </c>
      <c r="M141">
        <f t="shared" si="172"/>
        <v>2</v>
      </c>
      <c r="N141">
        <f t="shared" si="172"/>
        <v>0</v>
      </c>
      <c r="O141">
        <f t="shared" si="172"/>
        <v>0</v>
      </c>
      <c r="P141">
        <f t="shared" si="172"/>
        <v>0</v>
      </c>
      <c r="Q141">
        <f t="shared" si="172"/>
        <v>0</v>
      </c>
      <c r="R141">
        <f t="shared" si="172"/>
        <v>0</v>
      </c>
      <c r="S141">
        <f t="shared" si="172"/>
        <v>0</v>
      </c>
      <c r="T141">
        <f t="shared" si="173"/>
        <v>0</v>
      </c>
      <c r="U141">
        <f t="shared" si="173"/>
        <v>0</v>
      </c>
      <c r="V141">
        <f t="shared" si="173"/>
        <v>0</v>
      </c>
      <c r="W141">
        <f t="shared" si="173"/>
        <v>0</v>
      </c>
      <c r="X141">
        <f t="shared" si="173"/>
        <v>0</v>
      </c>
      <c r="Y141">
        <f t="shared" si="173"/>
        <v>0</v>
      </c>
      <c r="Z141">
        <f t="shared" si="173"/>
        <v>0</v>
      </c>
      <c r="AA141">
        <f t="shared" si="173"/>
        <v>0</v>
      </c>
      <c r="AB141">
        <f t="shared" si="173"/>
        <v>0</v>
      </c>
      <c r="AC141">
        <f t="shared" si="173"/>
        <v>0</v>
      </c>
      <c r="AD141">
        <f t="shared" si="174"/>
        <v>0</v>
      </c>
      <c r="AE141">
        <f t="shared" si="174"/>
        <v>0</v>
      </c>
      <c r="AF141">
        <f t="shared" si="174"/>
        <v>0</v>
      </c>
      <c r="AG141">
        <f t="shared" si="174"/>
        <v>0</v>
      </c>
      <c r="AH141">
        <f t="shared" si="174"/>
        <v>0</v>
      </c>
      <c r="AI141">
        <f t="shared" si="174"/>
        <v>0</v>
      </c>
      <c r="AJ141">
        <f t="shared" si="174"/>
        <v>0</v>
      </c>
      <c r="AK141">
        <f t="shared" si="174"/>
        <v>0</v>
      </c>
      <c r="AL141">
        <f t="shared" si="174"/>
        <v>0</v>
      </c>
      <c r="AM141">
        <f t="shared" si="174"/>
        <v>0</v>
      </c>
      <c r="AN141">
        <f t="shared" si="175"/>
        <v>0</v>
      </c>
      <c r="AO141">
        <f t="shared" si="175"/>
        <v>0</v>
      </c>
      <c r="AP141">
        <f t="shared" si="175"/>
        <v>0</v>
      </c>
      <c r="AQ141">
        <f t="shared" si="175"/>
        <v>0</v>
      </c>
      <c r="AR141">
        <f t="shared" si="175"/>
        <v>0</v>
      </c>
      <c r="AS141">
        <f t="shared" si="175"/>
        <v>0</v>
      </c>
      <c r="AT141">
        <f t="shared" si="175"/>
        <v>0</v>
      </c>
      <c r="AU141">
        <f t="shared" si="175"/>
        <v>0</v>
      </c>
      <c r="AV141">
        <f t="shared" si="175"/>
        <v>0</v>
      </c>
      <c r="AW141">
        <f t="shared" si="175"/>
        <v>0</v>
      </c>
      <c r="AX141">
        <f t="shared" si="176"/>
        <v>0</v>
      </c>
      <c r="AY141">
        <f t="shared" si="176"/>
        <v>0</v>
      </c>
      <c r="AZ141">
        <f t="shared" si="176"/>
        <v>0</v>
      </c>
      <c r="BA141">
        <f t="shared" si="176"/>
        <v>0</v>
      </c>
      <c r="BB141">
        <f t="shared" si="176"/>
        <v>0</v>
      </c>
      <c r="BC141">
        <f t="shared" si="176"/>
        <v>0</v>
      </c>
      <c r="BD141">
        <f t="shared" si="176"/>
        <v>0</v>
      </c>
      <c r="BE141">
        <f t="shared" si="176"/>
        <v>0</v>
      </c>
      <c r="BF141">
        <f t="shared" si="176"/>
        <v>0</v>
      </c>
      <c r="BG141">
        <f t="shared" si="176"/>
        <v>0</v>
      </c>
      <c r="BH141">
        <f t="shared" si="177"/>
        <v>0</v>
      </c>
      <c r="BI141">
        <f t="shared" si="177"/>
        <v>0</v>
      </c>
      <c r="BJ141">
        <f t="shared" si="177"/>
        <v>0</v>
      </c>
      <c r="BK141">
        <f t="shared" si="177"/>
        <v>0</v>
      </c>
      <c r="BL141">
        <f t="shared" si="177"/>
        <v>0</v>
      </c>
      <c r="BM141">
        <f t="shared" si="177"/>
        <v>0</v>
      </c>
      <c r="BN141">
        <f t="shared" si="177"/>
        <v>0</v>
      </c>
      <c r="BO141">
        <f t="shared" si="177"/>
        <v>0</v>
      </c>
      <c r="BP141">
        <f t="shared" si="177"/>
        <v>0</v>
      </c>
      <c r="BQ141">
        <f t="shared" si="177"/>
        <v>0</v>
      </c>
      <c r="BR141">
        <f t="shared" si="178"/>
        <v>0</v>
      </c>
      <c r="BS141">
        <f t="shared" si="178"/>
        <v>0</v>
      </c>
      <c r="BT141">
        <f t="shared" si="178"/>
        <v>0</v>
      </c>
      <c r="BU141">
        <f t="shared" si="178"/>
        <v>0</v>
      </c>
      <c r="BV141">
        <f t="shared" si="178"/>
        <v>0</v>
      </c>
      <c r="BW141">
        <f t="shared" si="178"/>
        <v>0</v>
      </c>
      <c r="BX141">
        <f t="shared" si="178"/>
        <v>0</v>
      </c>
      <c r="BY141">
        <f t="shared" si="178"/>
        <v>0</v>
      </c>
      <c r="BZ141">
        <f t="shared" si="178"/>
        <v>0</v>
      </c>
      <c r="CA141">
        <f t="shared" si="178"/>
        <v>0</v>
      </c>
      <c r="CB141">
        <f t="shared" si="179"/>
        <v>0</v>
      </c>
      <c r="CC141">
        <f t="shared" si="179"/>
        <v>0</v>
      </c>
      <c r="CD141">
        <f t="shared" si="179"/>
        <v>0</v>
      </c>
      <c r="CE141">
        <f t="shared" si="179"/>
        <v>0</v>
      </c>
      <c r="CF141">
        <f t="shared" si="179"/>
        <v>0</v>
      </c>
      <c r="CG141">
        <f t="shared" si="179"/>
        <v>0</v>
      </c>
      <c r="CH141">
        <f t="shared" si="179"/>
        <v>0</v>
      </c>
      <c r="CI141">
        <f t="shared" si="179"/>
        <v>0</v>
      </c>
      <c r="CJ141">
        <f t="shared" si="179"/>
        <v>0</v>
      </c>
      <c r="CK141">
        <f t="shared" si="179"/>
        <v>0</v>
      </c>
      <c r="CL141">
        <f t="shared" si="180"/>
        <v>0</v>
      </c>
      <c r="CM141">
        <f t="shared" si="180"/>
        <v>0</v>
      </c>
      <c r="CN141">
        <f t="shared" si="180"/>
        <v>0</v>
      </c>
      <c r="CO141">
        <f t="shared" si="180"/>
        <v>0</v>
      </c>
      <c r="CP141">
        <f t="shared" si="180"/>
        <v>0</v>
      </c>
      <c r="CQ141">
        <f t="shared" si="180"/>
        <v>0</v>
      </c>
      <c r="CR141">
        <f t="shared" si="180"/>
        <v>0</v>
      </c>
      <c r="CS141">
        <f t="shared" si="180"/>
        <v>0</v>
      </c>
      <c r="CT141">
        <f t="shared" si="180"/>
        <v>0</v>
      </c>
      <c r="CU141">
        <f t="shared" si="180"/>
        <v>0</v>
      </c>
      <c r="CV141">
        <f t="shared" si="181"/>
        <v>0</v>
      </c>
      <c r="CW141">
        <f t="shared" si="181"/>
        <v>0</v>
      </c>
      <c r="CX141">
        <f t="shared" si="181"/>
        <v>0</v>
      </c>
      <c r="CY141">
        <f t="shared" si="181"/>
        <v>0</v>
      </c>
      <c r="CZ141">
        <f t="shared" si="181"/>
        <v>0</v>
      </c>
      <c r="DA141">
        <f t="shared" si="181"/>
        <v>0</v>
      </c>
      <c r="DB141">
        <f t="shared" si="181"/>
        <v>0</v>
      </c>
      <c r="DC141">
        <f t="shared" si="181"/>
        <v>0</v>
      </c>
      <c r="DD141">
        <f t="shared" si="181"/>
        <v>0</v>
      </c>
      <c r="DE141">
        <f t="shared" si="181"/>
        <v>0</v>
      </c>
      <c r="DF141">
        <f t="shared" si="182"/>
        <v>0</v>
      </c>
      <c r="DG141">
        <f t="shared" si="182"/>
        <v>0</v>
      </c>
      <c r="DH141">
        <f t="shared" si="182"/>
        <v>0</v>
      </c>
      <c r="DI141">
        <f t="shared" si="182"/>
        <v>0</v>
      </c>
      <c r="DJ141">
        <f t="shared" si="182"/>
        <v>0</v>
      </c>
      <c r="DK141">
        <f t="shared" si="182"/>
        <v>0</v>
      </c>
      <c r="DL141">
        <f t="shared" si="182"/>
        <v>0</v>
      </c>
      <c r="DM141">
        <f t="shared" si="182"/>
        <v>0</v>
      </c>
      <c r="DN141">
        <f t="shared" si="182"/>
        <v>0</v>
      </c>
      <c r="DO141">
        <f t="shared" si="182"/>
        <v>0</v>
      </c>
      <c r="DP141">
        <f t="shared" si="183"/>
        <v>0</v>
      </c>
      <c r="DQ141">
        <f t="shared" si="183"/>
        <v>0</v>
      </c>
      <c r="DR141">
        <f t="shared" si="183"/>
        <v>0</v>
      </c>
      <c r="DS141">
        <f t="shared" si="183"/>
        <v>0</v>
      </c>
      <c r="DT141">
        <f t="shared" si="183"/>
        <v>0</v>
      </c>
      <c r="DU141">
        <f t="shared" si="183"/>
        <v>0</v>
      </c>
      <c r="DV141">
        <f t="shared" si="183"/>
        <v>0</v>
      </c>
      <c r="DW141">
        <f t="shared" si="183"/>
        <v>0</v>
      </c>
      <c r="DX141">
        <f t="shared" si="183"/>
        <v>0</v>
      </c>
      <c r="DY141">
        <f t="shared" si="183"/>
        <v>0</v>
      </c>
      <c r="DZ141">
        <f t="shared" si="184"/>
        <v>0</v>
      </c>
      <c r="EA141">
        <f t="shared" si="184"/>
        <v>0</v>
      </c>
      <c r="EB141">
        <f t="shared" si="184"/>
        <v>0</v>
      </c>
      <c r="EC141">
        <f t="shared" si="184"/>
        <v>0</v>
      </c>
      <c r="ED141">
        <f t="shared" si="184"/>
        <v>0</v>
      </c>
      <c r="EE141">
        <f t="shared" si="184"/>
        <v>0</v>
      </c>
      <c r="EF141">
        <f t="shared" si="184"/>
        <v>0</v>
      </c>
      <c r="EG141">
        <f t="shared" si="184"/>
        <v>0</v>
      </c>
      <c r="EH141">
        <f t="shared" si="184"/>
        <v>0</v>
      </c>
      <c r="EI141">
        <f t="shared" si="184"/>
        <v>0</v>
      </c>
      <c r="EJ141">
        <f>SUM(Tabla1[[#This Row],[1]:[130]])</f>
        <v>54</v>
      </c>
    </row>
    <row r="142" spans="1:140" x14ac:dyDescent="0.25">
      <c r="A142" t="str">
        <f>B142&amp;"-"&amp;COUNTIF($B$2:B142,B142)</f>
        <v>I. ESENCIA COCO-1</v>
      </c>
      <c r="B142" s="36" t="s">
        <v>134</v>
      </c>
      <c r="C142">
        <f>VLOOKUP(B142,RECETAS!D141:$E$1700,2,FALSE)</f>
        <v>120</v>
      </c>
      <c r="D142" s="34"/>
      <c r="G142" t="b">
        <f t="shared" si="171"/>
        <v>1</v>
      </c>
      <c r="I142" s="35" t="s">
        <v>35</v>
      </c>
      <c r="J142">
        <f t="shared" si="172"/>
        <v>1650</v>
      </c>
      <c r="K142">
        <f t="shared" si="172"/>
        <v>0</v>
      </c>
      <c r="L142">
        <f t="shared" si="172"/>
        <v>1650</v>
      </c>
      <c r="M142">
        <f t="shared" si="172"/>
        <v>1000</v>
      </c>
      <c r="N142">
        <f t="shared" si="172"/>
        <v>950</v>
      </c>
      <c r="O142">
        <f t="shared" si="172"/>
        <v>400</v>
      </c>
      <c r="P142">
        <f t="shared" si="172"/>
        <v>500</v>
      </c>
      <c r="Q142">
        <f t="shared" si="172"/>
        <v>1900</v>
      </c>
      <c r="R142">
        <f t="shared" si="172"/>
        <v>40</v>
      </c>
      <c r="S142">
        <f t="shared" si="172"/>
        <v>50</v>
      </c>
      <c r="T142">
        <f t="shared" si="173"/>
        <v>100</v>
      </c>
      <c r="U142">
        <f t="shared" si="173"/>
        <v>0</v>
      </c>
      <c r="V142">
        <f t="shared" si="173"/>
        <v>200</v>
      </c>
      <c r="W142">
        <f t="shared" si="173"/>
        <v>100</v>
      </c>
      <c r="X142">
        <f t="shared" si="173"/>
        <v>100</v>
      </c>
      <c r="Y142">
        <f t="shared" si="173"/>
        <v>150</v>
      </c>
      <c r="Z142">
        <f t="shared" si="173"/>
        <v>0</v>
      </c>
      <c r="AA142">
        <f t="shared" si="173"/>
        <v>0</v>
      </c>
      <c r="AB142">
        <f t="shared" si="173"/>
        <v>0</v>
      </c>
      <c r="AC142">
        <f t="shared" si="173"/>
        <v>0</v>
      </c>
      <c r="AD142">
        <f t="shared" si="174"/>
        <v>0</v>
      </c>
      <c r="AE142">
        <f t="shared" si="174"/>
        <v>0</v>
      </c>
      <c r="AF142">
        <f t="shared" si="174"/>
        <v>0</v>
      </c>
      <c r="AG142">
        <f t="shared" si="174"/>
        <v>0</v>
      </c>
      <c r="AH142">
        <f t="shared" si="174"/>
        <v>0</v>
      </c>
      <c r="AI142">
        <f t="shared" si="174"/>
        <v>0</v>
      </c>
      <c r="AJ142">
        <f t="shared" si="174"/>
        <v>0</v>
      </c>
      <c r="AK142">
        <f t="shared" si="174"/>
        <v>0</v>
      </c>
      <c r="AL142">
        <f t="shared" si="174"/>
        <v>0</v>
      </c>
      <c r="AM142">
        <f t="shared" si="174"/>
        <v>0</v>
      </c>
      <c r="AN142">
        <f t="shared" si="175"/>
        <v>0</v>
      </c>
      <c r="AO142">
        <f t="shared" si="175"/>
        <v>0</v>
      </c>
      <c r="AP142">
        <f t="shared" si="175"/>
        <v>0</v>
      </c>
      <c r="AQ142">
        <f t="shared" si="175"/>
        <v>2</v>
      </c>
      <c r="AR142">
        <f t="shared" si="175"/>
        <v>0</v>
      </c>
      <c r="AS142">
        <f t="shared" si="175"/>
        <v>2</v>
      </c>
      <c r="AT142">
        <f t="shared" si="175"/>
        <v>0</v>
      </c>
      <c r="AU142">
        <f t="shared" si="175"/>
        <v>0</v>
      </c>
      <c r="AV142">
        <f t="shared" si="175"/>
        <v>0</v>
      </c>
      <c r="AW142">
        <f t="shared" si="175"/>
        <v>0</v>
      </c>
      <c r="AX142">
        <f t="shared" si="176"/>
        <v>0</v>
      </c>
      <c r="AY142">
        <f t="shared" si="176"/>
        <v>0</v>
      </c>
      <c r="AZ142">
        <f t="shared" si="176"/>
        <v>0</v>
      </c>
      <c r="BA142">
        <f t="shared" si="176"/>
        <v>0</v>
      </c>
      <c r="BB142">
        <f t="shared" si="176"/>
        <v>0</v>
      </c>
      <c r="BC142">
        <f t="shared" si="176"/>
        <v>0</v>
      </c>
      <c r="BD142">
        <f t="shared" si="176"/>
        <v>0</v>
      </c>
      <c r="BE142">
        <f t="shared" si="176"/>
        <v>0</v>
      </c>
      <c r="BF142">
        <f t="shared" si="176"/>
        <v>0</v>
      </c>
      <c r="BG142">
        <f t="shared" si="176"/>
        <v>0</v>
      </c>
      <c r="BH142">
        <f t="shared" si="177"/>
        <v>0</v>
      </c>
      <c r="BI142">
        <f t="shared" si="177"/>
        <v>0</v>
      </c>
      <c r="BJ142">
        <f t="shared" si="177"/>
        <v>0</v>
      </c>
      <c r="BK142">
        <f t="shared" si="177"/>
        <v>0</v>
      </c>
      <c r="BL142">
        <f t="shared" si="177"/>
        <v>0</v>
      </c>
      <c r="BM142">
        <f t="shared" si="177"/>
        <v>0</v>
      </c>
      <c r="BN142">
        <f t="shared" si="177"/>
        <v>0</v>
      </c>
      <c r="BO142">
        <f t="shared" si="177"/>
        <v>0</v>
      </c>
      <c r="BP142">
        <f t="shared" si="177"/>
        <v>0</v>
      </c>
      <c r="BQ142">
        <f t="shared" si="177"/>
        <v>0</v>
      </c>
      <c r="BR142">
        <f t="shared" si="178"/>
        <v>0</v>
      </c>
      <c r="BS142">
        <f t="shared" si="178"/>
        <v>0</v>
      </c>
      <c r="BT142">
        <f t="shared" si="178"/>
        <v>0</v>
      </c>
      <c r="BU142">
        <f t="shared" si="178"/>
        <v>0</v>
      </c>
      <c r="BV142">
        <f t="shared" si="178"/>
        <v>0</v>
      </c>
      <c r="BW142">
        <f t="shared" si="178"/>
        <v>0</v>
      </c>
      <c r="BX142">
        <f t="shared" si="178"/>
        <v>0</v>
      </c>
      <c r="BY142">
        <f t="shared" si="178"/>
        <v>0</v>
      </c>
      <c r="BZ142">
        <f t="shared" si="178"/>
        <v>0</v>
      </c>
      <c r="CA142">
        <f t="shared" si="178"/>
        <v>0</v>
      </c>
      <c r="CB142">
        <f t="shared" si="179"/>
        <v>0</v>
      </c>
      <c r="CC142">
        <f t="shared" si="179"/>
        <v>0</v>
      </c>
      <c r="CD142">
        <f t="shared" si="179"/>
        <v>0</v>
      </c>
      <c r="CE142">
        <f t="shared" si="179"/>
        <v>0</v>
      </c>
      <c r="CF142">
        <f t="shared" si="179"/>
        <v>0</v>
      </c>
      <c r="CG142">
        <f t="shared" si="179"/>
        <v>0</v>
      </c>
      <c r="CH142">
        <f t="shared" si="179"/>
        <v>0</v>
      </c>
      <c r="CI142">
        <f t="shared" si="179"/>
        <v>0</v>
      </c>
      <c r="CJ142">
        <f t="shared" si="179"/>
        <v>0</v>
      </c>
      <c r="CK142">
        <f t="shared" si="179"/>
        <v>0</v>
      </c>
      <c r="CL142">
        <f t="shared" si="180"/>
        <v>0</v>
      </c>
      <c r="CM142">
        <f t="shared" si="180"/>
        <v>0</v>
      </c>
      <c r="CN142">
        <f t="shared" si="180"/>
        <v>0</v>
      </c>
      <c r="CO142">
        <f t="shared" si="180"/>
        <v>0</v>
      </c>
      <c r="CP142">
        <f t="shared" si="180"/>
        <v>0</v>
      </c>
      <c r="CQ142">
        <f t="shared" si="180"/>
        <v>0</v>
      </c>
      <c r="CR142">
        <f t="shared" si="180"/>
        <v>0</v>
      </c>
      <c r="CS142">
        <f t="shared" si="180"/>
        <v>0</v>
      </c>
      <c r="CT142">
        <f t="shared" si="180"/>
        <v>0</v>
      </c>
      <c r="CU142">
        <f t="shared" si="180"/>
        <v>0</v>
      </c>
      <c r="CV142">
        <f t="shared" si="181"/>
        <v>0</v>
      </c>
      <c r="CW142">
        <f t="shared" si="181"/>
        <v>0</v>
      </c>
      <c r="CX142">
        <f t="shared" si="181"/>
        <v>0</v>
      </c>
      <c r="CY142">
        <f t="shared" si="181"/>
        <v>0</v>
      </c>
      <c r="CZ142">
        <f t="shared" si="181"/>
        <v>0</v>
      </c>
      <c r="DA142">
        <f t="shared" si="181"/>
        <v>0</v>
      </c>
      <c r="DB142">
        <f t="shared" si="181"/>
        <v>0</v>
      </c>
      <c r="DC142">
        <f t="shared" si="181"/>
        <v>0</v>
      </c>
      <c r="DD142">
        <f t="shared" si="181"/>
        <v>0</v>
      </c>
      <c r="DE142">
        <f t="shared" si="181"/>
        <v>0</v>
      </c>
      <c r="DF142">
        <f t="shared" si="182"/>
        <v>0</v>
      </c>
      <c r="DG142">
        <f t="shared" si="182"/>
        <v>0</v>
      </c>
      <c r="DH142">
        <f t="shared" si="182"/>
        <v>0</v>
      </c>
      <c r="DI142">
        <f t="shared" si="182"/>
        <v>0</v>
      </c>
      <c r="DJ142">
        <f t="shared" si="182"/>
        <v>0</v>
      </c>
      <c r="DK142">
        <f t="shared" si="182"/>
        <v>0</v>
      </c>
      <c r="DL142">
        <f t="shared" si="182"/>
        <v>0</v>
      </c>
      <c r="DM142">
        <f t="shared" si="182"/>
        <v>0</v>
      </c>
      <c r="DN142">
        <f t="shared" si="182"/>
        <v>0</v>
      </c>
      <c r="DO142">
        <f t="shared" si="182"/>
        <v>0</v>
      </c>
      <c r="DP142">
        <f t="shared" si="183"/>
        <v>0</v>
      </c>
      <c r="DQ142">
        <f t="shared" si="183"/>
        <v>0</v>
      </c>
      <c r="DR142">
        <f t="shared" si="183"/>
        <v>0</v>
      </c>
      <c r="DS142">
        <f t="shared" si="183"/>
        <v>0</v>
      </c>
      <c r="DT142">
        <f t="shared" si="183"/>
        <v>0</v>
      </c>
      <c r="DU142">
        <f t="shared" si="183"/>
        <v>0</v>
      </c>
      <c r="DV142">
        <f t="shared" si="183"/>
        <v>0</v>
      </c>
      <c r="DW142">
        <f t="shared" si="183"/>
        <v>0</v>
      </c>
      <c r="DX142">
        <f t="shared" si="183"/>
        <v>0</v>
      </c>
      <c r="DY142">
        <f t="shared" si="183"/>
        <v>0</v>
      </c>
      <c r="DZ142">
        <f t="shared" si="184"/>
        <v>0</v>
      </c>
      <c r="EA142">
        <f t="shared" si="184"/>
        <v>0</v>
      </c>
      <c r="EB142">
        <f t="shared" si="184"/>
        <v>0</v>
      </c>
      <c r="EC142">
        <f t="shared" si="184"/>
        <v>0</v>
      </c>
      <c r="ED142">
        <f t="shared" si="184"/>
        <v>0</v>
      </c>
      <c r="EE142">
        <f t="shared" si="184"/>
        <v>0</v>
      </c>
      <c r="EF142">
        <f t="shared" si="184"/>
        <v>0</v>
      </c>
      <c r="EG142">
        <f t="shared" si="184"/>
        <v>0</v>
      </c>
      <c r="EH142">
        <f t="shared" si="184"/>
        <v>0</v>
      </c>
      <c r="EI142">
        <f t="shared" si="184"/>
        <v>0</v>
      </c>
      <c r="EJ142">
        <f>SUM(Tabla1[[#This Row],[1]:[130]])</f>
        <v>8794</v>
      </c>
    </row>
    <row r="143" spans="1:140" x14ac:dyDescent="0.25">
      <c r="A143" t="str">
        <f>B143&amp;"-"&amp;COUNTIF($B$2:B143,B143)</f>
        <v>I. JUGO PINA 1 LTS-1</v>
      </c>
      <c r="B143" s="36" t="s">
        <v>90</v>
      </c>
      <c r="C143">
        <f>VLOOKUP(B143,RECETAS!D142:$E$1700,2,FALSE)</f>
        <v>1800</v>
      </c>
      <c r="D143" s="34"/>
      <c r="G143" t="b">
        <f t="shared" si="171"/>
        <v>1</v>
      </c>
      <c r="I143" s="35" t="s">
        <v>102</v>
      </c>
      <c r="J143">
        <f t="shared" ref="J143:S152" si="185">IFERROR(VLOOKUP($I143&amp;"-"&amp;J$2,$A$3:$C$1700,3,FALSE),0)</f>
        <v>0</v>
      </c>
      <c r="K143">
        <f t="shared" si="185"/>
        <v>2</v>
      </c>
      <c r="L143">
        <f t="shared" si="185"/>
        <v>0</v>
      </c>
      <c r="M143">
        <f t="shared" si="185"/>
        <v>0</v>
      </c>
      <c r="N143">
        <f t="shared" si="185"/>
        <v>0</v>
      </c>
      <c r="O143">
        <f t="shared" si="185"/>
        <v>0</v>
      </c>
      <c r="P143">
        <f t="shared" si="185"/>
        <v>100</v>
      </c>
      <c r="Q143">
        <f t="shared" si="185"/>
        <v>0</v>
      </c>
      <c r="R143">
        <f t="shared" si="185"/>
        <v>0</v>
      </c>
      <c r="S143">
        <f t="shared" si="185"/>
        <v>0</v>
      </c>
      <c r="T143">
        <f t="shared" ref="T143:AC152" si="186">IFERROR(VLOOKUP($I143&amp;"-"&amp;T$2,$A$3:$C$1700,3,FALSE),0)</f>
        <v>0</v>
      </c>
      <c r="U143">
        <f t="shared" si="186"/>
        <v>0</v>
      </c>
      <c r="V143">
        <f t="shared" si="186"/>
        <v>0</v>
      </c>
      <c r="W143">
        <f t="shared" si="186"/>
        <v>0</v>
      </c>
      <c r="X143">
        <f t="shared" si="186"/>
        <v>0</v>
      </c>
      <c r="Y143">
        <f t="shared" si="186"/>
        <v>0</v>
      </c>
      <c r="Z143">
        <f t="shared" si="186"/>
        <v>0</v>
      </c>
      <c r="AA143">
        <f t="shared" si="186"/>
        <v>0</v>
      </c>
      <c r="AB143">
        <f t="shared" si="186"/>
        <v>0</v>
      </c>
      <c r="AC143">
        <f t="shared" si="186"/>
        <v>0</v>
      </c>
      <c r="AD143">
        <f t="shared" ref="AD143:AM152" si="187">IFERROR(VLOOKUP($I143&amp;"-"&amp;AD$2,$A$3:$C$1700,3,FALSE),0)</f>
        <v>0</v>
      </c>
      <c r="AE143">
        <f t="shared" si="187"/>
        <v>0</v>
      </c>
      <c r="AF143">
        <f t="shared" si="187"/>
        <v>0</v>
      </c>
      <c r="AG143">
        <f t="shared" si="187"/>
        <v>0</v>
      </c>
      <c r="AH143">
        <f t="shared" si="187"/>
        <v>0</v>
      </c>
      <c r="AI143">
        <f t="shared" si="187"/>
        <v>0</v>
      </c>
      <c r="AJ143">
        <f t="shared" si="187"/>
        <v>0</v>
      </c>
      <c r="AK143">
        <f t="shared" si="187"/>
        <v>0</v>
      </c>
      <c r="AL143">
        <f t="shared" si="187"/>
        <v>0</v>
      </c>
      <c r="AM143">
        <f t="shared" si="187"/>
        <v>0</v>
      </c>
      <c r="AN143">
        <f t="shared" ref="AN143:AW152" si="188">IFERROR(VLOOKUP($I143&amp;"-"&amp;AN$2,$A$3:$C$1700,3,FALSE),0)</f>
        <v>0</v>
      </c>
      <c r="AO143">
        <f t="shared" si="188"/>
        <v>0</v>
      </c>
      <c r="AP143">
        <f t="shared" si="188"/>
        <v>0</v>
      </c>
      <c r="AQ143">
        <f t="shared" si="188"/>
        <v>0</v>
      </c>
      <c r="AR143">
        <f t="shared" si="188"/>
        <v>0</v>
      </c>
      <c r="AS143">
        <f t="shared" si="188"/>
        <v>0</v>
      </c>
      <c r="AT143">
        <f t="shared" si="188"/>
        <v>0</v>
      </c>
      <c r="AU143">
        <f t="shared" si="188"/>
        <v>0</v>
      </c>
      <c r="AV143">
        <f t="shared" si="188"/>
        <v>0</v>
      </c>
      <c r="AW143">
        <f t="shared" si="188"/>
        <v>0</v>
      </c>
      <c r="AX143">
        <f t="shared" ref="AX143:BG152" si="189">IFERROR(VLOOKUP($I143&amp;"-"&amp;AX$2,$A$3:$C$1700,3,FALSE),0)</f>
        <v>0</v>
      </c>
      <c r="AY143">
        <f t="shared" si="189"/>
        <v>0</v>
      </c>
      <c r="AZ143">
        <f t="shared" si="189"/>
        <v>0</v>
      </c>
      <c r="BA143">
        <f t="shared" si="189"/>
        <v>0</v>
      </c>
      <c r="BB143">
        <f t="shared" si="189"/>
        <v>0</v>
      </c>
      <c r="BC143">
        <f t="shared" si="189"/>
        <v>0</v>
      </c>
      <c r="BD143">
        <f t="shared" si="189"/>
        <v>0</v>
      </c>
      <c r="BE143">
        <f t="shared" si="189"/>
        <v>0</v>
      </c>
      <c r="BF143">
        <f t="shared" si="189"/>
        <v>0</v>
      </c>
      <c r="BG143">
        <f t="shared" si="189"/>
        <v>0</v>
      </c>
      <c r="BH143">
        <f t="shared" ref="BH143:BQ152" si="190">IFERROR(VLOOKUP($I143&amp;"-"&amp;BH$2,$A$3:$C$1700,3,FALSE),0)</f>
        <v>0</v>
      </c>
      <c r="BI143">
        <f t="shared" si="190"/>
        <v>0</v>
      </c>
      <c r="BJ143">
        <f t="shared" si="190"/>
        <v>0</v>
      </c>
      <c r="BK143">
        <f t="shared" si="190"/>
        <v>0</v>
      </c>
      <c r="BL143">
        <f t="shared" si="190"/>
        <v>0</v>
      </c>
      <c r="BM143">
        <f t="shared" si="190"/>
        <v>0</v>
      </c>
      <c r="BN143">
        <f t="shared" si="190"/>
        <v>0</v>
      </c>
      <c r="BO143">
        <f t="shared" si="190"/>
        <v>0</v>
      </c>
      <c r="BP143">
        <f t="shared" si="190"/>
        <v>0</v>
      </c>
      <c r="BQ143">
        <f t="shared" si="190"/>
        <v>0</v>
      </c>
      <c r="BR143">
        <f t="shared" ref="BR143:CA152" si="191">IFERROR(VLOOKUP($I143&amp;"-"&amp;BR$2,$A$3:$C$1700,3,FALSE),0)</f>
        <v>0</v>
      </c>
      <c r="BS143">
        <f t="shared" si="191"/>
        <v>0</v>
      </c>
      <c r="BT143">
        <f t="shared" si="191"/>
        <v>0</v>
      </c>
      <c r="BU143">
        <f t="shared" si="191"/>
        <v>0</v>
      </c>
      <c r="BV143">
        <f t="shared" si="191"/>
        <v>0</v>
      </c>
      <c r="BW143">
        <f t="shared" si="191"/>
        <v>0</v>
      </c>
      <c r="BX143">
        <f t="shared" si="191"/>
        <v>0</v>
      </c>
      <c r="BY143">
        <f t="shared" si="191"/>
        <v>0</v>
      </c>
      <c r="BZ143">
        <f t="shared" si="191"/>
        <v>0</v>
      </c>
      <c r="CA143">
        <f t="shared" si="191"/>
        <v>0</v>
      </c>
      <c r="CB143">
        <f t="shared" ref="CB143:CK152" si="192">IFERROR(VLOOKUP($I143&amp;"-"&amp;CB$2,$A$3:$C$1700,3,FALSE),0)</f>
        <v>0</v>
      </c>
      <c r="CC143">
        <f t="shared" si="192"/>
        <v>0</v>
      </c>
      <c r="CD143">
        <f t="shared" si="192"/>
        <v>0</v>
      </c>
      <c r="CE143">
        <f t="shared" si="192"/>
        <v>0</v>
      </c>
      <c r="CF143">
        <f t="shared" si="192"/>
        <v>0</v>
      </c>
      <c r="CG143">
        <f t="shared" si="192"/>
        <v>0</v>
      </c>
      <c r="CH143">
        <f t="shared" si="192"/>
        <v>0</v>
      </c>
      <c r="CI143">
        <f t="shared" si="192"/>
        <v>0</v>
      </c>
      <c r="CJ143">
        <f t="shared" si="192"/>
        <v>0</v>
      </c>
      <c r="CK143">
        <f t="shared" si="192"/>
        <v>0</v>
      </c>
      <c r="CL143">
        <f t="shared" ref="CL143:CU152" si="193">IFERROR(VLOOKUP($I143&amp;"-"&amp;CL$2,$A$3:$C$1700,3,FALSE),0)</f>
        <v>0</v>
      </c>
      <c r="CM143">
        <f t="shared" si="193"/>
        <v>0</v>
      </c>
      <c r="CN143">
        <f t="shared" si="193"/>
        <v>0</v>
      </c>
      <c r="CO143">
        <f t="shared" si="193"/>
        <v>0</v>
      </c>
      <c r="CP143">
        <f t="shared" si="193"/>
        <v>0</v>
      </c>
      <c r="CQ143">
        <f t="shared" si="193"/>
        <v>0</v>
      </c>
      <c r="CR143">
        <f t="shared" si="193"/>
        <v>0</v>
      </c>
      <c r="CS143">
        <f t="shared" si="193"/>
        <v>0</v>
      </c>
      <c r="CT143">
        <f t="shared" si="193"/>
        <v>0</v>
      </c>
      <c r="CU143">
        <f t="shared" si="193"/>
        <v>0</v>
      </c>
      <c r="CV143">
        <f t="shared" ref="CV143:DE152" si="194">IFERROR(VLOOKUP($I143&amp;"-"&amp;CV$2,$A$3:$C$1700,3,FALSE),0)</f>
        <v>0</v>
      </c>
      <c r="CW143">
        <f t="shared" si="194"/>
        <v>0</v>
      </c>
      <c r="CX143">
        <f t="shared" si="194"/>
        <v>0</v>
      </c>
      <c r="CY143">
        <f t="shared" si="194"/>
        <v>0</v>
      </c>
      <c r="CZ143">
        <f t="shared" si="194"/>
        <v>0</v>
      </c>
      <c r="DA143">
        <f t="shared" si="194"/>
        <v>0</v>
      </c>
      <c r="DB143">
        <f t="shared" si="194"/>
        <v>0</v>
      </c>
      <c r="DC143">
        <f t="shared" si="194"/>
        <v>0</v>
      </c>
      <c r="DD143">
        <f t="shared" si="194"/>
        <v>0</v>
      </c>
      <c r="DE143">
        <f t="shared" si="194"/>
        <v>0</v>
      </c>
      <c r="DF143">
        <f t="shared" ref="DF143:DO152" si="195">IFERROR(VLOOKUP($I143&amp;"-"&amp;DF$2,$A$3:$C$1700,3,FALSE),0)</f>
        <v>0</v>
      </c>
      <c r="DG143">
        <f t="shared" si="195"/>
        <v>0</v>
      </c>
      <c r="DH143">
        <f t="shared" si="195"/>
        <v>0</v>
      </c>
      <c r="DI143">
        <f t="shared" si="195"/>
        <v>0</v>
      </c>
      <c r="DJ143">
        <f t="shared" si="195"/>
        <v>0</v>
      </c>
      <c r="DK143">
        <f t="shared" si="195"/>
        <v>0</v>
      </c>
      <c r="DL143">
        <f t="shared" si="195"/>
        <v>0</v>
      </c>
      <c r="DM143">
        <f t="shared" si="195"/>
        <v>0</v>
      </c>
      <c r="DN143">
        <f t="shared" si="195"/>
        <v>0</v>
      </c>
      <c r="DO143">
        <f t="shared" si="195"/>
        <v>0</v>
      </c>
      <c r="DP143">
        <f t="shared" ref="DP143:DY152" si="196">IFERROR(VLOOKUP($I143&amp;"-"&amp;DP$2,$A$3:$C$1700,3,FALSE),0)</f>
        <v>0</v>
      </c>
      <c r="DQ143">
        <f t="shared" si="196"/>
        <v>0</v>
      </c>
      <c r="DR143">
        <f t="shared" si="196"/>
        <v>0</v>
      </c>
      <c r="DS143">
        <f t="shared" si="196"/>
        <v>0</v>
      </c>
      <c r="DT143">
        <f t="shared" si="196"/>
        <v>0</v>
      </c>
      <c r="DU143">
        <f t="shared" si="196"/>
        <v>0</v>
      </c>
      <c r="DV143">
        <f t="shared" si="196"/>
        <v>0</v>
      </c>
      <c r="DW143">
        <f t="shared" si="196"/>
        <v>0</v>
      </c>
      <c r="DX143">
        <f t="shared" si="196"/>
        <v>0</v>
      </c>
      <c r="DY143">
        <f t="shared" si="196"/>
        <v>0</v>
      </c>
      <c r="DZ143">
        <f t="shared" ref="DZ143:EI152" si="197">IFERROR(VLOOKUP($I143&amp;"-"&amp;DZ$2,$A$3:$C$1700,3,FALSE),0)</f>
        <v>0</v>
      </c>
      <c r="EA143">
        <f t="shared" si="197"/>
        <v>0</v>
      </c>
      <c r="EB143">
        <f t="shared" si="197"/>
        <v>0</v>
      </c>
      <c r="EC143">
        <f t="shared" si="197"/>
        <v>0</v>
      </c>
      <c r="ED143">
        <f t="shared" si="197"/>
        <v>0</v>
      </c>
      <c r="EE143">
        <f t="shared" si="197"/>
        <v>0</v>
      </c>
      <c r="EF143">
        <f t="shared" si="197"/>
        <v>0</v>
      </c>
      <c r="EG143">
        <f t="shared" si="197"/>
        <v>0</v>
      </c>
      <c r="EH143">
        <f t="shared" si="197"/>
        <v>0</v>
      </c>
      <c r="EI143">
        <f t="shared" si="197"/>
        <v>0</v>
      </c>
      <c r="EJ143">
        <f>SUM(Tabla1[[#This Row],[1]:[130]])</f>
        <v>102</v>
      </c>
    </row>
    <row r="144" spans="1:140" x14ac:dyDescent="0.25">
      <c r="A144" t="str">
        <f>B144&amp;"-"&amp;COUNTIF($B$2:B144,B144)</f>
        <v>I. AZUCAR FLOR-7</v>
      </c>
      <c r="B144" s="36" t="s">
        <v>51</v>
      </c>
      <c r="C144">
        <f>VLOOKUP(B144,RECETAS!D143:$E$1700,2,FALSE)</f>
        <v>480</v>
      </c>
      <c r="D144" s="34"/>
      <c r="G144" t="b">
        <f t="shared" si="171"/>
        <v>1</v>
      </c>
      <c r="I144" s="38" t="s">
        <v>272</v>
      </c>
      <c r="J144">
        <f t="shared" si="185"/>
        <v>75</v>
      </c>
      <c r="K144">
        <f t="shared" si="185"/>
        <v>0</v>
      </c>
      <c r="L144">
        <f t="shared" si="185"/>
        <v>0</v>
      </c>
      <c r="M144">
        <f t="shared" si="185"/>
        <v>0</v>
      </c>
      <c r="N144">
        <f t="shared" si="185"/>
        <v>0</v>
      </c>
      <c r="O144">
        <f t="shared" si="185"/>
        <v>0</v>
      </c>
      <c r="P144">
        <f t="shared" si="185"/>
        <v>0</v>
      </c>
      <c r="Q144">
        <f t="shared" si="185"/>
        <v>0</v>
      </c>
      <c r="R144">
        <f t="shared" si="185"/>
        <v>0</v>
      </c>
      <c r="S144">
        <f t="shared" si="185"/>
        <v>0</v>
      </c>
      <c r="T144">
        <f t="shared" si="186"/>
        <v>0</v>
      </c>
      <c r="U144">
        <f t="shared" si="186"/>
        <v>0</v>
      </c>
      <c r="V144">
        <f t="shared" si="186"/>
        <v>0</v>
      </c>
      <c r="W144">
        <f t="shared" si="186"/>
        <v>0</v>
      </c>
      <c r="X144">
        <f t="shared" si="186"/>
        <v>0</v>
      </c>
      <c r="Y144">
        <f t="shared" si="186"/>
        <v>0</v>
      </c>
      <c r="Z144">
        <f t="shared" si="186"/>
        <v>0</v>
      </c>
      <c r="AA144">
        <f t="shared" si="186"/>
        <v>0</v>
      </c>
      <c r="AB144">
        <f t="shared" si="186"/>
        <v>0</v>
      </c>
      <c r="AC144">
        <f t="shared" si="186"/>
        <v>0</v>
      </c>
      <c r="AD144">
        <f t="shared" si="187"/>
        <v>0</v>
      </c>
      <c r="AE144">
        <f t="shared" si="187"/>
        <v>0</v>
      </c>
      <c r="AF144">
        <f t="shared" si="187"/>
        <v>0</v>
      </c>
      <c r="AG144">
        <f t="shared" si="187"/>
        <v>0</v>
      </c>
      <c r="AH144">
        <f t="shared" si="187"/>
        <v>0</v>
      </c>
      <c r="AI144">
        <f t="shared" si="187"/>
        <v>0</v>
      </c>
      <c r="AJ144">
        <f t="shared" si="187"/>
        <v>0</v>
      </c>
      <c r="AK144">
        <f t="shared" si="187"/>
        <v>0</v>
      </c>
      <c r="AL144">
        <f t="shared" si="187"/>
        <v>0</v>
      </c>
      <c r="AM144">
        <f t="shared" si="187"/>
        <v>0</v>
      </c>
      <c r="AN144">
        <f t="shared" si="188"/>
        <v>0</v>
      </c>
      <c r="AO144">
        <f t="shared" si="188"/>
        <v>0</v>
      </c>
      <c r="AP144">
        <f t="shared" si="188"/>
        <v>0</v>
      </c>
      <c r="AQ144">
        <f t="shared" si="188"/>
        <v>0</v>
      </c>
      <c r="AR144">
        <f t="shared" si="188"/>
        <v>0</v>
      </c>
      <c r="AS144">
        <f t="shared" si="188"/>
        <v>0</v>
      </c>
      <c r="AT144">
        <f t="shared" si="188"/>
        <v>0</v>
      </c>
      <c r="AU144">
        <f t="shared" si="188"/>
        <v>0</v>
      </c>
      <c r="AV144">
        <f t="shared" si="188"/>
        <v>0</v>
      </c>
      <c r="AW144">
        <f t="shared" si="188"/>
        <v>0</v>
      </c>
      <c r="AX144">
        <f t="shared" si="189"/>
        <v>0</v>
      </c>
      <c r="AY144">
        <f t="shared" si="189"/>
        <v>0</v>
      </c>
      <c r="AZ144">
        <f t="shared" si="189"/>
        <v>0</v>
      </c>
      <c r="BA144">
        <f t="shared" si="189"/>
        <v>0</v>
      </c>
      <c r="BB144">
        <f t="shared" si="189"/>
        <v>0</v>
      </c>
      <c r="BC144">
        <f t="shared" si="189"/>
        <v>0</v>
      </c>
      <c r="BD144">
        <f t="shared" si="189"/>
        <v>0</v>
      </c>
      <c r="BE144">
        <f t="shared" si="189"/>
        <v>0</v>
      </c>
      <c r="BF144">
        <f t="shared" si="189"/>
        <v>0</v>
      </c>
      <c r="BG144">
        <f t="shared" si="189"/>
        <v>0</v>
      </c>
      <c r="BH144">
        <f t="shared" si="190"/>
        <v>0</v>
      </c>
      <c r="BI144">
        <f t="shared" si="190"/>
        <v>0</v>
      </c>
      <c r="BJ144">
        <f t="shared" si="190"/>
        <v>0</v>
      </c>
      <c r="BK144">
        <f t="shared" si="190"/>
        <v>0</v>
      </c>
      <c r="BL144">
        <f t="shared" si="190"/>
        <v>0</v>
      </c>
      <c r="BM144">
        <f t="shared" si="190"/>
        <v>0</v>
      </c>
      <c r="BN144">
        <f t="shared" si="190"/>
        <v>0</v>
      </c>
      <c r="BO144">
        <f t="shared" si="190"/>
        <v>0</v>
      </c>
      <c r="BP144">
        <f t="shared" si="190"/>
        <v>0</v>
      </c>
      <c r="BQ144">
        <f t="shared" si="190"/>
        <v>0</v>
      </c>
      <c r="BR144">
        <f t="shared" si="191"/>
        <v>0</v>
      </c>
      <c r="BS144">
        <f t="shared" si="191"/>
        <v>0</v>
      </c>
      <c r="BT144">
        <f t="shared" si="191"/>
        <v>0</v>
      </c>
      <c r="BU144">
        <f t="shared" si="191"/>
        <v>0</v>
      </c>
      <c r="BV144">
        <f t="shared" si="191"/>
        <v>0</v>
      </c>
      <c r="BW144">
        <f t="shared" si="191"/>
        <v>0</v>
      </c>
      <c r="BX144">
        <f t="shared" si="191"/>
        <v>0</v>
      </c>
      <c r="BY144">
        <f t="shared" si="191"/>
        <v>0</v>
      </c>
      <c r="BZ144">
        <f t="shared" si="191"/>
        <v>0</v>
      </c>
      <c r="CA144">
        <f t="shared" si="191"/>
        <v>0</v>
      </c>
      <c r="CB144">
        <f t="shared" si="192"/>
        <v>0</v>
      </c>
      <c r="CC144">
        <f t="shared" si="192"/>
        <v>0</v>
      </c>
      <c r="CD144">
        <f t="shared" si="192"/>
        <v>0</v>
      </c>
      <c r="CE144">
        <f t="shared" si="192"/>
        <v>0</v>
      </c>
      <c r="CF144">
        <f t="shared" si="192"/>
        <v>0</v>
      </c>
      <c r="CG144">
        <f t="shared" si="192"/>
        <v>0</v>
      </c>
      <c r="CH144">
        <f t="shared" si="192"/>
        <v>0</v>
      </c>
      <c r="CI144">
        <f t="shared" si="192"/>
        <v>0</v>
      </c>
      <c r="CJ144">
        <f t="shared" si="192"/>
        <v>0</v>
      </c>
      <c r="CK144">
        <f t="shared" si="192"/>
        <v>0</v>
      </c>
      <c r="CL144">
        <f t="shared" si="193"/>
        <v>0</v>
      </c>
      <c r="CM144">
        <f t="shared" si="193"/>
        <v>0</v>
      </c>
      <c r="CN144">
        <f t="shared" si="193"/>
        <v>0</v>
      </c>
      <c r="CO144">
        <f t="shared" si="193"/>
        <v>0</v>
      </c>
      <c r="CP144">
        <f t="shared" si="193"/>
        <v>0</v>
      </c>
      <c r="CQ144">
        <f t="shared" si="193"/>
        <v>0</v>
      </c>
      <c r="CR144">
        <f t="shared" si="193"/>
        <v>0</v>
      </c>
      <c r="CS144">
        <f t="shared" si="193"/>
        <v>0</v>
      </c>
      <c r="CT144">
        <f t="shared" si="193"/>
        <v>0</v>
      </c>
      <c r="CU144">
        <f t="shared" si="193"/>
        <v>0</v>
      </c>
      <c r="CV144">
        <f t="shared" si="194"/>
        <v>0</v>
      </c>
      <c r="CW144">
        <f t="shared" si="194"/>
        <v>0</v>
      </c>
      <c r="CX144">
        <f t="shared" si="194"/>
        <v>0</v>
      </c>
      <c r="CY144">
        <f t="shared" si="194"/>
        <v>0</v>
      </c>
      <c r="CZ144">
        <f t="shared" si="194"/>
        <v>0</v>
      </c>
      <c r="DA144">
        <f t="shared" si="194"/>
        <v>0</v>
      </c>
      <c r="DB144">
        <f t="shared" si="194"/>
        <v>0</v>
      </c>
      <c r="DC144">
        <f t="shared" si="194"/>
        <v>0</v>
      </c>
      <c r="DD144">
        <f t="shared" si="194"/>
        <v>0</v>
      </c>
      <c r="DE144">
        <f t="shared" si="194"/>
        <v>0</v>
      </c>
      <c r="DF144">
        <f t="shared" si="195"/>
        <v>0</v>
      </c>
      <c r="DG144">
        <f t="shared" si="195"/>
        <v>0</v>
      </c>
      <c r="DH144">
        <f t="shared" si="195"/>
        <v>0</v>
      </c>
      <c r="DI144">
        <f t="shared" si="195"/>
        <v>0</v>
      </c>
      <c r="DJ144">
        <f t="shared" si="195"/>
        <v>0</v>
      </c>
      <c r="DK144">
        <f t="shared" si="195"/>
        <v>0</v>
      </c>
      <c r="DL144">
        <f t="shared" si="195"/>
        <v>0</v>
      </c>
      <c r="DM144">
        <f t="shared" si="195"/>
        <v>0</v>
      </c>
      <c r="DN144">
        <f t="shared" si="195"/>
        <v>0</v>
      </c>
      <c r="DO144">
        <f t="shared" si="195"/>
        <v>0</v>
      </c>
      <c r="DP144">
        <f t="shared" si="196"/>
        <v>0</v>
      </c>
      <c r="DQ144">
        <f t="shared" si="196"/>
        <v>0</v>
      </c>
      <c r="DR144">
        <f t="shared" si="196"/>
        <v>0</v>
      </c>
      <c r="DS144">
        <f t="shared" si="196"/>
        <v>0</v>
      </c>
      <c r="DT144">
        <f t="shared" si="196"/>
        <v>0</v>
      </c>
      <c r="DU144">
        <f t="shared" si="196"/>
        <v>0</v>
      </c>
      <c r="DV144">
        <f t="shared" si="196"/>
        <v>0</v>
      </c>
      <c r="DW144">
        <f t="shared" si="196"/>
        <v>0</v>
      </c>
      <c r="DX144">
        <f t="shared" si="196"/>
        <v>0</v>
      </c>
      <c r="DY144">
        <f t="shared" si="196"/>
        <v>0</v>
      </c>
      <c r="DZ144">
        <f t="shared" si="197"/>
        <v>0</v>
      </c>
      <c r="EA144">
        <f t="shared" si="197"/>
        <v>0</v>
      </c>
      <c r="EB144">
        <f t="shared" si="197"/>
        <v>0</v>
      </c>
      <c r="EC144">
        <f t="shared" si="197"/>
        <v>0</v>
      </c>
      <c r="ED144">
        <f t="shared" si="197"/>
        <v>0</v>
      </c>
      <c r="EE144">
        <f t="shared" si="197"/>
        <v>0</v>
      </c>
      <c r="EF144">
        <f t="shared" si="197"/>
        <v>0</v>
      </c>
      <c r="EG144">
        <f t="shared" si="197"/>
        <v>0</v>
      </c>
      <c r="EH144">
        <f t="shared" si="197"/>
        <v>0</v>
      </c>
      <c r="EI144">
        <f t="shared" si="197"/>
        <v>0</v>
      </c>
      <c r="EJ144">
        <f>SUM(Tabla1[[#This Row],[1]:[130]])</f>
        <v>75</v>
      </c>
    </row>
    <row r="145" spans="1:140" ht="15.75" thickBot="1" x14ac:dyDescent="0.3">
      <c r="A145" t="str">
        <f>B145&amp;"-"&amp;COUNTIF($B$2:B145,B145)</f>
        <v>I. CREMA ESPESA-18</v>
      </c>
      <c r="B145" s="40" t="s">
        <v>16</v>
      </c>
      <c r="C145">
        <f>VLOOKUP(B145,RECETAS!D144:$E$1700,2,FALSE)</f>
        <v>1200</v>
      </c>
      <c r="D145" s="32"/>
      <c r="G145" t="b">
        <f t="shared" si="171"/>
        <v>1</v>
      </c>
      <c r="I145" s="39" t="s">
        <v>273</v>
      </c>
      <c r="J145">
        <f t="shared" si="185"/>
        <v>75</v>
      </c>
      <c r="K145">
        <f t="shared" si="185"/>
        <v>0</v>
      </c>
      <c r="L145">
        <f t="shared" si="185"/>
        <v>0</v>
      </c>
      <c r="M145">
        <f t="shared" si="185"/>
        <v>0</v>
      </c>
      <c r="N145">
        <f t="shared" si="185"/>
        <v>0</v>
      </c>
      <c r="O145">
        <f t="shared" si="185"/>
        <v>0</v>
      </c>
      <c r="P145">
        <f t="shared" si="185"/>
        <v>0</v>
      </c>
      <c r="Q145">
        <f t="shared" si="185"/>
        <v>0</v>
      </c>
      <c r="R145">
        <f t="shared" si="185"/>
        <v>0</v>
      </c>
      <c r="S145">
        <f t="shared" si="185"/>
        <v>0</v>
      </c>
      <c r="T145">
        <f t="shared" si="186"/>
        <v>0</v>
      </c>
      <c r="U145">
        <f t="shared" si="186"/>
        <v>0</v>
      </c>
      <c r="V145">
        <f t="shared" si="186"/>
        <v>0</v>
      </c>
      <c r="W145">
        <f t="shared" si="186"/>
        <v>0</v>
      </c>
      <c r="X145">
        <f t="shared" si="186"/>
        <v>0</v>
      </c>
      <c r="Y145">
        <f t="shared" si="186"/>
        <v>0</v>
      </c>
      <c r="Z145">
        <f t="shared" si="186"/>
        <v>0</v>
      </c>
      <c r="AA145">
        <f t="shared" si="186"/>
        <v>0</v>
      </c>
      <c r="AB145">
        <f t="shared" si="186"/>
        <v>0</v>
      </c>
      <c r="AC145">
        <f t="shared" si="186"/>
        <v>0</v>
      </c>
      <c r="AD145">
        <f t="shared" si="187"/>
        <v>0</v>
      </c>
      <c r="AE145">
        <f t="shared" si="187"/>
        <v>0</v>
      </c>
      <c r="AF145">
        <f t="shared" si="187"/>
        <v>0</v>
      </c>
      <c r="AG145">
        <f t="shared" si="187"/>
        <v>0</v>
      </c>
      <c r="AH145">
        <f t="shared" si="187"/>
        <v>0</v>
      </c>
      <c r="AI145">
        <f t="shared" si="187"/>
        <v>0</v>
      </c>
      <c r="AJ145">
        <f t="shared" si="187"/>
        <v>0</v>
      </c>
      <c r="AK145">
        <f t="shared" si="187"/>
        <v>0</v>
      </c>
      <c r="AL145">
        <f t="shared" si="187"/>
        <v>0</v>
      </c>
      <c r="AM145">
        <f t="shared" si="187"/>
        <v>0</v>
      </c>
      <c r="AN145">
        <f t="shared" si="188"/>
        <v>0</v>
      </c>
      <c r="AO145">
        <f t="shared" si="188"/>
        <v>0</v>
      </c>
      <c r="AP145">
        <f t="shared" si="188"/>
        <v>0</v>
      </c>
      <c r="AQ145">
        <f t="shared" si="188"/>
        <v>0</v>
      </c>
      <c r="AR145">
        <f t="shared" si="188"/>
        <v>0</v>
      </c>
      <c r="AS145">
        <f t="shared" si="188"/>
        <v>0</v>
      </c>
      <c r="AT145">
        <f t="shared" si="188"/>
        <v>0</v>
      </c>
      <c r="AU145">
        <f t="shared" si="188"/>
        <v>0</v>
      </c>
      <c r="AV145">
        <f t="shared" si="188"/>
        <v>0</v>
      </c>
      <c r="AW145">
        <f t="shared" si="188"/>
        <v>0</v>
      </c>
      <c r="AX145">
        <f t="shared" si="189"/>
        <v>0</v>
      </c>
      <c r="AY145">
        <f t="shared" si="189"/>
        <v>0</v>
      </c>
      <c r="AZ145">
        <f t="shared" si="189"/>
        <v>0</v>
      </c>
      <c r="BA145">
        <f t="shared" si="189"/>
        <v>0</v>
      </c>
      <c r="BB145">
        <f t="shared" si="189"/>
        <v>0</v>
      </c>
      <c r="BC145">
        <f t="shared" si="189"/>
        <v>0</v>
      </c>
      <c r="BD145">
        <f t="shared" si="189"/>
        <v>0</v>
      </c>
      <c r="BE145">
        <f t="shared" si="189"/>
        <v>0</v>
      </c>
      <c r="BF145">
        <f t="shared" si="189"/>
        <v>0</v>
      </c>
      <c r="BG145">
        <f t="shared" si="189"/>
        <v>0</v>
      </c>
      <c r="BH145">
        <f t="shared" si="190"/>
        <v>0</v>
      </c>
      <c r="BI145">
        <f t="shared" si="190"/>
        <v>0</v>
      </c>
      <c r="BJ145">
        <f t="shared" si="190"/>
        <v>0</v>
      </c>
      <c r="BK145">
        <f t="shared" si="190"/>
        <v>0</v>
      </c>
      <c r="BL145">
        <f t="shared" si="190"/>
        <v>0</v>
      </c>
      <c r="BM145">
        <f t="shared" si="190"/>
        <v>0</v>
      </c>
      <c r="BN145">
        <f t="shared" si="190"/>
        <v>0</v>
      </c>
      <c r="BO145">
        <f t="shared" si="190"/>
        <v>0</v>
      </c>
      <c r="BP145">
        <f t="shared" si="190"/>
        <v>0</v>
      </c>
      <c r="BQ145">
        <f t="shared" si="190"/>
        <v>0</v>
      </c>
      <c r="BR145">
        <f t="shared" si="191"/>
        <v>0</v>
      </c>
      <c r="BS145">
        <f t="shared" si="191"/>
        <v>0</v>
      </c>
      <c r="BT145">
        <f t="shared" si="191"/>
        <v>0</v>
      </c>
      <c r="BU145">
        <f t="shared" si="191"/>
        <v>0</v>
      </c>
      <c r="BV145">
        <f t="shared" si="191"/>
        <v>0</v>
      </c>
      <c r="BW145">
        <f t="shared" si="191"/>
        <v>0</v>
      </c>
      <c r="BX145">
        <f t="shared" si="191"/>
        <v>0</v>
      </c>
      <c r="BY145">
        <f t="shared" si="191"/>
        <v>0</v>
      </c>
      <c r="BZ145">
        <f t="shared" si="191"/>
        <v>0</v>
      </c>
      <c r="CA145">
        <f t="shared" si="191"/>
        <v>0</v>
      </c>
      <c r="CB145">
        <f t="shared" si="192"/>
        <v>0</v>
      </c>
      <c r="CC145">
        <f t="shared" si="192"/>
        <v>0</v>
      </c>
      <c r="CD145">
        <f t="shared" si="192"/>
        <v>0</v>
      </c>
      <c r="CE145">
        <f t="shared" si="192"/>
        <v>0</v>
      </c>
      <c r="CF145">
        <f t="shared" si="192"/>
        <v>0</v>
      </c>
      <c r="CG145">
        <f t="shared" si="192"/>
        <v>0</v>
      </c>
      <c r="CH145">
        <f t="shared" si="192"/>
        <v>0</v>
      </c>
      <c r="CI145">
        <f t="shared" si="192"/>
        <v>0</v>
      </c>
      <c r="CJ145">
        <f t="shared" si="192"/>
        <v>0</v>
      </c>
      <c r="CK145">
        <f t="shared" si="192"/>
        <v>0</v>
      </c>
      <c r="CL145">
        <f t="shared" si="193"/>
        <v>0</v>
      </c>
      <c r="CM145">
        <f t="shared" si="193"/>
        <v>0</v>
      </c>
      <c r="CN145">
        <f t="shared" si="193"/>
        <v>0</v>
      </c>
      <c r="CO145">
        <f t="shared" si="193"/>
        <v>0</v>
      </c>
      <c r="CP145">
        <f t="shared" si="193"/>
        <v>0</v>
      </c>
      <c r="CQ145">
        <f t="shared" si="193"/>
        <v>0</v>
      </c>
      <c r="CR145">
        <f t="shared" si="193"/>
        <v>0</v>
      </c>
      <c r="CS145">
        <f t="shared" si="193"/>
        <v>0</v>
      </c>
      <c r="CT145">
        <f t="shared" si="193"/>
        <v>0</v>
      </c>
      <c r="CU145">
        <f t="shared" si="193"/>
        <v>0</v>
      </c>
      <c r="CV145">
        <f t="shared" si="194"/>
        <v>0</v>
      </c>
      <c r="CW145">
        <f t="shared" si="194"/>
        <v>0</v>
      </c>
      <c r="CX145">
        <f t="shared" si="194"/>
        <v>0</v>
      </c>
      <c r="CY145">
        <f t="shared" si="194"/>
        <v>0</v>
      </c>
      <c r="CZ145">
        <f t="shared" si="194"/>
        <v>0</v>
      </c>
      <c r="DA145">
        <f t="shared" si="194"/>
        <v>0</v>
      </c>
      <c r="DB145">
        <f t="shared" si="194"/>
        <v>0</v>
      </c>
      <c r="DC145">
        <f t="shared" si="194"/>
        <v>0</v>
      </c>
      <c r="DD145">
        <f t="shared" si="194"/>
        <v>0</v>
      </c>
      <c r="DE145">
        <f t="shared" si="194"/>
        <v>0</v>
      </c>
      <c r="DF145">
        <f t="shared" si="195"/>
        <v>0</v>
      </c>
      <c r="DG145">
        <f t="shared" si="195"/>
        <v>0</v>
      </c>
      <c r="DH145">
        <f t="shared" si="195"/>
        <v>0</v>
      </c>
      <c r="DI145">
        <f t="shared" si="195"/>
        <v>0</v>
      </c>
      <c r="DJ145">
        <f t="shared" si="195"/>
        <v>0</v>
      </c>
      <c r="DK145">
        <f t="shared" si="195"/>
        <v>0</v>
      </c>
      <c r="DL145">
        <f t="shared" si="195"/>
        <v>0</v>
      </c>
      <c r="DM145">
        <f t="shared" si="195"/>
        <v>0</v>
      </c>
      <c r="DN145">
        <f t="shared" si="195"/>
        <v>0</v>
      </c>
      <c r="DO145">
        <f t="shared" si="195"/>
        <v>0</v>
      </c>
      <c r="DP145">
        <f t="shared" si="196"/>
        <v>0</v>
      </c>
      <c r="DQ145">
        <f t="shared" si="196"/>
        <v>0</v>
      </c>
      <c r="DR145">
        <f t="shared" si="196"/>
        <v>0</v>
      </c>
      <c r="DS145">
        <f t="shared" si="196"/>
        <v>0</v>
      </c>
      <c r="DT145">
        <f t="shared" si="196"/>
        <v>0</v>
      </c>
      <c r="DU145">
        <f t="shared" si="196"/>
        <v>0</v>
      </c>
      <c r="DV145">
        <f t="shared" si="196"/>
        <v>0</v>
      </c>
      <c r="DW145">
        <f t="shared" si="196"/>
        <v>0</v>
      </c>
      <c r="DX145">
        <f t="shared" si="196"/>
        <v>0</v>
      </c>
      <c r="DY145">
        <f t="shared" si="196"/>
        <v>0</v>
      </c>
      <c r="DZ145">
        <f t="shared" si="197"/>
        <v>0</v>
      </c>
      <c r="EA145">
        <f t="shared" si="197"/>
        <v>0</v>
      </c>
      <c r="EB145">
        <f t="shared" si="197"/>
        <v>0</v>
      </c>
      <c r="EC145">
        <f t="shared" si="197"/>
        <v>0</v>
      </c>
      <c r="ED145">
        <f t="shared" si="197"/>
        <v>0</v>
      </c>
      <c r="EE145">
        <f t="shared" si="197"/>
        <v>0</v>
      </c>
      <c r="EF145">
        <f t="shared" si="197"/>
        <v>0</v>
      </c>
      <c r="EG145">
        <f t="shared" si="197"/>
        <v>0</v>
      </c>
      <c r="EH145">
        <f t="shared" si="197"/>
        <v>0</v>
      </c>
      <c r="EI145">
        <f t="shared" si="197"/>
        <v>0</v>
      </c>
      <c r="EJ145">
        <f>SUM(Tabla1[[#This Row],[1]:[130]])</f>
        <v>75</v>
      </c>
    </row>
    <row r="146" spans="1:140" ht="15.75" thickBot="1" x14ac:dyDescent="0.3">
      <c r="A146" t="str">
        <f>B146&amp;"-"&amp;COUNTIF($B$2:B146,B146)</f>
        <v>I. PULPA ARAN FRAM-1</v>
      </c>
      <c r="B146" s="48" t="s">
        <v>104</v>
      </c>
      <c r="C146">
        <f>VLOOKUP(B146,RECETAS!D145:$E$1700,2,FALSE)</f>
        <v>0</v>
      </c>
      <c r="D146" s="18" t="s">
        <v>345</v>
      </c>
      <c r="G146" t="b">
        <f t="shared" si="171"/>
        <v>1</v>
      </c>
      <c r="I146" s="20" t="s">
        <v>28</v>
      </c>
      <c r="J146">
        <f t="shared" si="185"/>
        <v>16</v>
      </c>
      <c r="K146">
        <f t="shared" si="185"/>
        <v>14</v>
      </c>
      <c r="L146">
        <f t="shared" si="185"/>
        <v>20</v>
      </c>
      <c r="M146">
        <f t="shared" si="185"/>
        <v>0</v>
      </c>
      <c r="N146">
        <f t="shared" si="185"/>
        <v>0</v>
      </c>
      <c r="O146">
        <f t="shared" si="185"/>
        <v>1</v>
      </c>
      <c r="P146">
        <f t="shared" si="185"/>
        <v>0</v>
      </c>
      <c r="Q146">
        <f t="shared" si="185"/>
        <v>0</v>
      </c>
      <c r="R146">
        <f t="shared" si="185"/>
        <v>0</v>
      </c>
      <c r="S146">
        <f t="shared" si="185"/>
        <v>4</v>
      </c>
      <c r="T146">
        <f t="shared" si="186"/>
        <v>0</v>
      </c>
      <c r="U146">
        <f t="shared" si="186"/>
        <v>20</v>
      </c>
      <c r="V146">
        <f t="shared" si="186"/>
        <v>0</v>
      </c>
      <c r="W146">
        <f t="shared" si="186"/>
        <v>0</v>
      </c>
      <c r="X146">
        <f t="shared" si="186"/>
        <v>0</v>
      </c>
      <c r="Y146">
        <f t="shared" si="186"/>
        <v>0</v>
      </c>
      <c r="Z146">
        <f t="shared" si="186"/>
        <v>0</v>
      </c>
      <c r="AA146">
        <f t="shared" si="186"/>
        <v>0</v>
      </c>
      <c r="AB146">
        <f t="shared" si="186"/>
        <v>0</v>
      </c>
      <c r="AC146">
        <f t="shared" si="186"/>
        <v>0</v>
      </c>
      <c r="AD146">
        <f t="shared" si="187"/>
        <v>0</v>
      </c>
      <c r="AE146">
        <f t="shared" si="187"/>
        <v>0</v>
      </c>
      <c r="AF146">
        <f t="shared" si="187"/>
        <v>0</v>
      </c>
      <c r="AG146">
        <f t="shared" si="187"/>
        <v>0</v>
      </c>
      <c r="AH146">
        <f t="shared" si="187"/>
        <v>0</v>
      </c>
      <c r="AI146">
        <f t="shared" si="187"/>
        <v>0</v>
      </c>
      <c r="AJ146">
        <f t="shared" si="187"/>
        <v>0</v>
      </c>
      <c r="AK146">
        <f t="shared" si="187"/>
        <v>0</v>
      </c>
      <c r="AL146">
        <f t="shared" si="187"/>
        <v>0</v>
      </c>
      <c r="AM146">
        <f t="shared" si="187"/>
        <v>0</v>
      </c>
      <c r="AN146">
        <f t="shared" si="188"/>
        <v>0</v>
      </c>
      <c r="AO146">
        <f t="shared" si="188"/>
        <v>0</v>
      </c>
      <c r="AP146">
        <f t="shared" si="188"/>
        <v>0</v>
      </c>
      <c r="AQ146">
        <f t="shared" si="188"/>
        <v>0</v>
      </c>
      <c r="AR146">
        <f t="shared" si="188"/>
        <v>0</v>
      </c>
      <c r="AS146">
        <f t="shared" si="188"/>
        <v>0</v>
      </c>
      <c r="AT146">
        <f t="shared" si="188"/>
        <v>0</v>
      </c>
      <c r="AU146">
        <f t="shared" si="188"/>
        <v>0</v>
      </c>
      <c r="AV146">
        <f t="shared" si="188"/>
        <v>0</v>
      </c>
      <c r="AW146">
        <f t="shared" si="188"/>
        <v>0</v>
      </c>
      <c r="AX146">
        <f t="shared" si="189"/>
        <v>0</v>
      </c>
      <c r="AY146">
        <f t="shared" si="189"/>
        <v>0</v>
      </c>
      <c r="AZ146">
        <f t="shared" si="189"/>
        <v>0</v>
      </c>
      <c r="BA146">
        <f t="shared" si="189"/>
        <v>0</v>
      </c>
      <c r="BB146">
        <f t="shared" si="189"/>
        <v>0</v>
      </c>
      <c r="BC146">
        <f t="shared" si="189"/>
        <v>0</v>
      </c>
      <c r="BD146">
        <f t="shared" si="189"/>
        <v>0</v>
      </c>
      <c r="BE146">
        <f t="shared" si="189"/>
        <v>0</v>
      </c>
      <c r="BF146">
        <f t="shared" si="189"/>
        <v>0</v>
      </c>
      <c r="BG146">
        <f t="shared" si="189"/>
        <v>0</v>
      </c>
      <c r="BH146">
        <f t="shared" si="190"/>
        <v>0</v>
      </c>
      <c r="BI146">
        <f t="shared" si="190"/>
        <v>0</v>
      </c>
      <c r="BJ146">
        <f t="shared" si="190"/>
        <v>0</v>
      </c>
      <c r="BK146">
        <f t="shared" si="190"/>
        <v>0</v>
      </c>
      <c r="BL146">
        <f t="shared" si="190"/>
        <v>0</v>
      </c>
      <c r="BM146">
        <f t="shared" si="190"/>
        <v>0</v>
      </c>
      <c r="BN146">
        <f t="shared" si="190"/>
        <v>0</v>
      </c>
      <c r="BO146">
        <f t="shared" si="190"/>
        <v>0</v>
      </c>
      <c r="BP146">
        <f t="shared" si="190"/>
        <v>0</v>
      </c>
      <c r="BQ146">
        <f t="shared" si="190"/>
        <v>0</v>
      </c>
      <c r="BR146">
        <f t="shared" si="191"/>
        <v>0</v>
      </c>
      <c r="BS146">
        <f t="shared" si="191"/>
        <v>0</v>
      </c>
      <c r="BT146">
        <f t="shared" si="191"/>
        <v>0</v>
      </c>
      <c r="BU146">
        <f t="shared" si="191"/>
        <v>0</v>
      </c>
      <c r="BV146">
        <f t="shared" si="191"/>
        <v>0</v>
      </c>
      <c r="BW146">
        <f t="shared" si="191"/>
        <v>0</v>
      </c>
      <c r="BX146">
        <f t="shared" si="191"/>
        <v>0</v>
      </c>
      <c r="BY146">
        <f t="shared" si="191"/>
        <v>0</v>
      </c>
      <c r="BZ146">
        <f t="shared" si="191"/>
        <v>0</v>
      </c>
      <c r="CA146">
        <f t="shared" si="191"/>
        <v>0</v>
      </c>
      <c r="CB146">
        <f t="shared" si="192"/>
        <v>0</v>
      </c>
      <c r="CC146">
        <f t="shared" si="192"/>
        <v>0</v>
      </c>
      <c r="CD146">
        <f t="shared" si="192"/>
        <v>0</v>
      </c>
      <c r="CE146">
        <f t="shared" si="192"/>
        <v>0</v>
      </c>
      <c r="CF146">
        <f t="shared" si="192"/>
        <v>0</v>
      </c>
      <c r="CG146">
        <f t="shared" si="192"/>
        <v>0</v>
      </c>
      <c r="CH146">
        <f t="shared" si="192"/>
        <v>0</v>
      </c>
      <c r="CI146">
        <f t="shared" si="192"/>
        <v>0</v>
      </c>
      <c r="CJ146">
        <f t="shared" si="192"/>
        <v>0</v>
      </c>
      <c r="CK146">
        <f t="shared" si="192"/>
        <v>0</v>
      </c>
      <c r="CL146">
        <f t="shared" si="193"/>
        <v>0</v>
      </c>
      <c r="CM146">
        <f t="shared" si="193"/>
        <v>0</v>
      </c>
      <c r="CN146">
        <f t="shared" si="193"/>
        <v>0</v>
      </c>
      <c r="CO146">
        <f t="shared" si="193"/>
        <v>0</v>
      </c>
      <c r="CP146">
        <f t="shared" si="193"/>
        <v>0</v>
      </c>
      <c r="CQ146">
        <f t="shared" si="193"/>
        <v>0</v>
      </c>
      <c r="CR146">
        <f t="shared" si="193"/>
        <v>0</v>
      </c>
      <c r="CS146">
        <f t="shared" si="193"/>
        <v>0</v>
      </c>
      <c r="CT146">
        <f t="shared" si="193"/>
        <v>0</v>
      </c>
      <c r="CU146">
        <f t="shared" si="193"/>
        <v>0</v>
      </c>
      <c r="CV146">
        <f t="shared" si="194"/>
        <v>0</v>
      </c>
      <c r="CW146">
        <f t="shared" si="194"/>
        <v>0</v>
      </c>
      <c r="CX146">
        <f t="shared" si="194"/>
        <v>0</v>
      </c>
      <c r="CY146">
        <f t="shared" si="194"/>
        <v>0</v>
      </c>
      <c r="CZ146">
        <f t="shared" si="194"/>
        <v>0</v>
      </c>
      <c r="DA146">
        <f t="shared" si="194"/>
        <v>0</v>
      </c>
      <c r="DB146">
        <f t="shared" si="194"/>
        <v>0</v>
      </c>
      <c r="DC146">
        <f t="shared" si="194"/>
        <v>0</v>
      </c>
      <c r="DD146">
        <f t="shared" si="194"/>
        <v>0</v>
      </c>
      <c r="DE146">
        <f t="shared" si="194"/>
        <v>0</v>
      </c>
      <c r="DF146">
        <f t="shared" si="195"/>
        <v>0</v>
      </c>
      <c r="DG146">
        <f t="shared" si="195"/>
        <v>0</v>
      </c>
      <c r="DH146">
        <f t="shared" si="195"/>
        <v>0</v>
      </c>
      <c r="DI146">
        <f t="shared" si="195"/>
        <v>0</v>
      </c>
      <c r="DJ146">
        <f t="shared" si="195"/>
        <v>0</v>
      </c>
      <c r="DK146">
        <f t="shared" si="195"/>
        <v>0</v>
      </c>
      <c r="DL146">
        <f t="shared" si="195"/>
        <v>0</v>
      </c>
      <c r="DM146">
        <f t="shared" si="195"/>
        <v>0</v>
      </c>
      <c r="DN146">
        <f t="shared" si="195"/>
        <v>0</v>
      </c>
      <c r="DO146">
        <f t="shared" si="195"/>
        <v>0</v>
      </c>
      <c r="DP146">
        <f t="shared" si="196"/>
        <v>0</v>
      </c>
      <c r="DQ146">
        <f t="shared" si="196"/>
        <v>0</v>
      </c>
      <c r="DR146">
        <f t="shared" si="196"/>
        <v>0</v>
      </c>
      <c r="DS146">
        <f t="shared" si="196"/>
        <v>0</v>
      </c>
      <c r="DT146">
        <f t="shared" si="196"/>
        <v>0</v>
      </c>
      <c r="DU146">
        <f t="shared" si="196"/>
        <v>0</v>
      </c>
      <c r="DV146">
        <f t="shared" si="196"/>
        <v>0</v>
      </c>
      <c r="DW146">
        <f t="shared" si="196"/>
        <v>0</v>
      </c>
      <c r="DX146">
        <f t="shared" si="196"/>
        <v>0</v>
      </c>
      <c r="DY146">
        <f t="shared" si="196"/>
        <v>0</v>
      </c>
      <c r="DZ146">
        <f t="shared" si="197"/>
        <v>0</v>
      </c>
      <c r="EA146">
        <f t="shared" si="197"/>
        <v>0</v>
      </c>
      <c r="EB146">
        <f t="shared" si="197"/>
        <v>0</v>
      </c>
      <c r="EC146">
        <f t="shared" si="197"/>
        <v>0</v>
      </c>
      <c r="ED146">
        <f t="shared" si="197"/>
        <v>0</v>
      </c>
      <c r="EE146">
        <f t="shared" si="197"/>
        <v>0</v>
      </c>
      <c r="EF146">
        <f t="shared" si="197"/>
        <v>0</v>
      </c>
      <c r="EG146">
        <f t="shared" si="197"/>
        <v>0</v>
      </c>
      <c r="EH146">
        <f t="shared" si="197"/>
        <v>0</v>
      </c>
      <c r="EI146">
        <f t="shared" si="197"/>
        <v>0</v>
      </c>
      <c r="EJ146">
        <f>SUM(Tabla1[[#This Row],[1]:[130]])</f>
        <v>75</v>
      </c>
    </row>
    <row r="147" spans="1:140" ht="15.75" thickBot="1" x14ac:dyDescent="0.3">
      <c r="A147" t="str">
        <f>B147&amp;"-"&amp;COUNTIF($B$2:B147,B147)</f>
        <v>I. PULPA MANGO-2</v>
      </c>
      <c r="B147" s="48" t="s">
        <v>107</v>
      </c>
      <c r="C147">
        <f>VLOOKUP(B147,RECETAS!D146:$E$1700,2,FALSE)</f>
        <v>8910</v>
      </c>
      <c r="D147" s="18" t="s">
        <v>346</v>
      </c>
      <c r="G147" t="b">
        <f t="shared" si="171"/>
        <v>1</v>
      </c>
      <c r="I147" s="20" t="s">
        <v>38</v>
      </c>
      <c r="J147">
        <f t="shared" si="185"/>
        <v>0</v>
      </c>
      <c r="K147">
        <f t="shared" si="185"/>
        <v>0</v>
      </c>
      <c r="L147">
        <f t="shared" si="185"/>
        <v>0</v>
      </c>
      <c r="M147">
        <f t="shared" si="185"/>
        <v>0</v>
      </c>
      <c r="N147">
        <f t="shared" si="185"/>
        <v>0</v>
      </c>
      <c r="O147">
        <f t="shared" si="185"/>
        <v>0</v>
      </c>
      <c r="P147">
        <f t="shared" si="185"/>
        <v>0</v>
      </c>
      <c r="Q147">
        <f t="shared" si="185"/>
        <v>0</v>
      </c>
      <c r="R147">
        <f t="shared" si="185"/>
        <v>0</v>
      </c>
      <c r="S147">
        <f t="shared" si="185"/>
        <v>0</v>
      </c>
      <c r="T147">
        <f t="shared" si="186"/>
        <v>0</v>
      </c>
      <c r="U147">
        <f t="shared" si="186"/>
        <v>0</v>
      </c>
      <c r="V147">
        <f t="shared" si="186"/>
        <v>0</v>
      </c>
      <c r="W147">
        <f t="shared" si="186"/>
        <v>0</v>
      </c>
      <c r="X147">
        <f t="shared" si="186"/>
        <v>0</v>
      </c>
      <c r="Y147">
        <f t="shared" si="186"/>
        <v>0</v>
      </c>
      <c r="Z147">
        <f t="shared" si="186"/>
        <v>0</v>
      </c>
      <c r="AA147">
        <f t="shared" si="186"/>
        <v>0</v>
      </c>
      <c r="AB147">
        <f t="shared" si="186"/>
        <v>0</v>
      </c>
      <c r="AC147">
        <f t="shared" si="186"/>
        <v>0</v>
      </c>
      <c r="AD147">
        <f t="shared" si="187"/>
        <v>0</v>
      </c>
      <c r="AE147">
        <f t="shared" si="187"/>
        <v>0</v>
      </c>
      <c r="AF147">
        <f t="shared" si="187"/>
        <v>0</v>
      </c>
      <c r="AG147">
        <f t="shared" si="187"/>
        <v>0</v>
      </c>
      <c r="AH147">
        <f t="shared" si="187"/>
        <v>0</v>
      </c>
      <c r="AI147">
        <f t="shared" si="187"/>
        <v>0</v>
      </c>
      <c r="AJ147">
        <f t="shared" si="187"/>
        <v>0</v>
      </c>
      <c r="AK147">
        <f t="shared" si="187"/>
        <v>0</v>
      </c>
      <c r="AL147">
        <f t="shared" si="187"/>
        <v>0</v>
      </c>
      <c r="AM147">
        <f t="shared" si="187"/>
        <v>0</v>
      </c>
      <c r="AN147">
        <f t="shared" si="188"/>
        <v>0</v>
      </c>
      <c r="AO147">
        <f t="shared" si="188"/>
        <v>0</v>
      </c>
      <c r="AP147">
        <f t="shared" si="188"/>
        <v>0</v>
      </c>
      <c r="AQ147">
        <f t="shared" si="188"/>
        <v>0</v>
      </c>
      <c r="AR147">
        <f t="shared" si="188"/>
        <v>0</v>
      </c>
      <c r="AS147">
        <f t="shared" si="188"/>
        <v>0</v>
      </c>
      <c r="AT147">
        <f t="shared" si="188"/>
        <v>0</v>
      </c>
      <c r="AU147">
        <f t="shared" si="188"/>
        <v>0</v>
      </c>
      <c r="AV147">
        <f t="shared" si="188"/>
        <v>0</v>
      </c>
      <c r="AW147">
        <f t="shared" si="188"/>
        <v>0</v>
      </c>
      <c r="AX147">
        <f t="shared" si="189"/>
        <v>0</v>
      </c>
      <c r="AY147">
        <f t="shared" si="189"/>
        <v>0</v>
      </c>
      <c r="AZ147">
        <f t="shared" si="189"/>
        <v>0</v>
      </c>
      <c r="BA147">
        <f t="shared" si="189"/>
        <v>0</v>
      </c>
      <c r="BB147">
        <f t="shared" si="189"/>
        <v>0</v>
      </c>
      <c r="BC147">
        <f t="shared" si="189"/>
        <v>0</v>
      </c>
      <c r="BD147">
        <f t="shared" si="189"/>
        <v>0</v>
      </c>
      <c r="BE147">
        <f t="shared" si="189"/>
        <v>0</v>
      </c>
      <c r="BF147">
        <f t="shared" si="189"/>
        <v>0</v>
      </c>
      <c r="BG147">
        <f t="shared" si="189"/>
        <v>0</v>
      </c>
      <c r="BH147">
        <f t="shared" si="190"/>
        <v>0</v>
      </c>
      <c r="BI147">
        <f t="shared" si="190"/>
        <v>0</v>
      </c>
      <c r="BJ147">
        <f t="shared" si="190"/>
        <v>0</v>
      </c>
      <c r="BK147">
        <f t="shared" si="190"/>
        <v>0</v>
      </c>
      <c r="BL147">
        <f t="shared" si="190"/>
        <v>0</v>
      </c>
      <c r="BM147">
        <f t="shared" si="190"/>
        <v>0</v>
      </c>
      <c r="BN147">
        <f t="shared" si="190"/>
        <v>0</v>
      </c>
      <c r="BO147">
        <f t="shared" si="190"/>
        <v>0</v>
      </c>
      <c r="BP147">
        <f t="shared" si="190"/>
        <v>0</v>
      </c>
      <c r="BQ147">
        <f t="shared" si="190"/>
        <v>0</v>
      </c>
      <c r="BR147">
        <f t="shared" si="191"/>
        <v>0</v>
      </c>
      <c r="BS147">
        <f t="shared" si="191"/>
        <v>0</v>
      </c>
      <c r="BT147">
        <f t="shared" si="191"/>
        <v>0</v>
      </c>
      <c r="BU147">
        <f t="shared" si="191"/>
        <v>0</v>
      </c>
      <c r="BV147">
        <f t="shared" si="191"/>
        <v>0</v>
      </c>
      <c r="BW147">
        <f t="shared" si="191"/>
        <v>0</v>
      </c>
      <c r="BX147">
        <f t="shared" si="191"/>
        <v>0</v>
      </c>
      <c r="BY147">
        <f t="shared" si="191"/>
        <v>0</v>
      </c>
      <c r="BZ147">
        <f t="shared" si="191"/>
        <v>0</v>
      </c>
      <c r="CA147">
        <f t="shared" si="191"/>
        <v>0</v>
      </c>
      <c r="CB147">
        <f t="shared" si="192"/>
        <v>0</v>
      </c>
      <c r="CC147">
        <f t="shared" si="192"/>
        <v>0</v>
      </c>
      <c r="CD147">
        <f t="shared" si="192"/>
        <v>0</v>
      </c>
      <c r="CE147">
        <f t="shared" si="192"/>
        <v>0</v>
      </c>
      <c r="CF147">
        <f t="shared" si="192"/>
        <v>0</v>
      </c>
      <c r="CG147">
        <f t="shared" si="192"/>
        <v>0</v>
      </c>
      <c r="CH147">
        <f t="shared" si="192"/>
        <v>0</v>
      </c>
      <c r="CI147">
        <f t="shared" si="192"/>
        <v>0</v>
      </c>
      <c r="CJ147">
        <f t="shared" si="192"/>
        <v>0</v>
      </c>
      <c r="CK147">
        <f t="shared" si="192"/>
        <v>0</v>
      </c>
      <c r="CL147">
        <f t="shared" si="193"/>
        <v>0</v>
      </c>
      <c r="CM147">
        <f t="shared" si="193"/>
        <v>0</v>
      </c>
      <c r="CN147">
        <f t="shared" si="193"/>
        <v>0</v>
      </c>
      <c r="CO147">
        <f t="shared" si="193"/>
        <v>0</v>
      </c>
      <c r="CP147">
        <f t="shared" si="193"/>
        <v>0</v>
      </c>
      <c r="CQ147">
        <f t="shared" si="193"/>
        <v>0</v>
      </c>
      <c r="CR147">
        <f t="shared" si="193"/>
        <v>0</v>
      </c>
      <c r="CS147">
        <f t="shared" si="193"/>
        <v>0</v>
      </c>
      <c r="CT147">
        <f t="shared" si="193"/>
        <v>0</v>
      </c>
      <c r="CU147">
        <f t="shared" si="193"/>
        <v>0</v>
      </c>
      <c r="CV147">
        <f t="shared" si="194"/>
        <v>0</v>
      </c>
      <c r="CW147">
        <f t="shared" si="194"/>
        <v>0</v>
      </c>
      <c r="CX147">
        <f t="shared" si="194"/>
        <v>0</v>
      </c>
      <c r="CY147">
        <f t="shared" si="194"/>
        <v>0</v>
      </c>
      <c r="CZ147">
        <f t="shared" si="194"/>
        <v>0</v>
      </c>
      <c r="DA147">
        <f t="shared" si="194"/>
        <v>0</v>
      </c>
      <c r="DB147">
        <f t="shared" si="194"/>
        <v>0</v>
      </c>
      <c r="DC147">
        <f t="shared" si="194"/>
        <v>0</v>
      </c>
      <c r="DD147">
        <f t="shared" si="194"/>
        <v>0</v>
      </c>
      <c r="DE147">
        <f t="shared" si="194"/>
        <v>0</v>
      </c>
      <c r="DF147">
        <f t="shared" si="195"/>
        <v>0</v>
      </c>
      <c r="DG147">
        <f t="shared" si="195"/>
        <v>0</v>
      </c>
      <c r="DH147">
        <f t="shared" si="195"/>
        <v>0</v>
      </c>
      <c r="DI147">
        <f t="shared" si="195"/>
        <v>0</v>
      </c>
      <c r="DJ147">
        <f t="shared" si="195"/>
        <v>0</v>
      </c>
      <c r="DK147">
        <f t="shared" si="195"/>
        <v>0</v>
      </c>
      <c r="DL147">
        <f t="shared" si="195"/>
        <v>0</v>
      </c>
      <c r="DM147">
        <f t="shared" si="195"/>
        <v>0</v>
      </c>
      <c r="DN147">
        <f t="shared" si="195"/>
        <v>0</v>
      </c>
      <c r="DO147">
        <f t="shared" si="195"/>
        <v>0</v>
      </c>
      <c r="DP147">
        <f t="shared" si="196"/>
        <v>0</v>
      </c>
      <c r="DQ147">
        <f t="shared" si="196"/>
        <v>0</v>
      </c>
      <c r="DR147">
        <f t="shared" si="196"/>
        <v>0</v>
      </c>
      <c r="DS147">
        <f t="shared" si="196"/>
        <v>0</v>
      </c>
      <c r="DT147">
        <f t="shared" si="196"/>
        <v>0</v>
      </c>
      <c r="DU147">
        <f t="shared" si="196"/>
        <v>0</v>
      </c>
      <c r="DV147">
        <f t="shared" si="196"/>
        <v>0</v>
      </c>
      <c r="DW147">
        <f t="shared" si="196"/>
        <v>0</v>
      </c>
      <c r="DX147">
        <f t="shared" si="196"/>
        <v>0</v>
      </c>
      <c r="DY147">
        <f t="shared" si="196"/>
        <v>0</v>
      </c>
      <c r="DZ147">
        <f t="shared" si="197"/>
        <v>0</v>
      </c>
      <c r="EA147">
        <f t="shared" si="197"/>
        <v>0</v>
      </c>
      <c r="EB147">
        <f t="shared" si="197"/>
        <v>0</v>
      </c>
      <c r="EC147">
        <f t="shared" si="197"/>
        <v>0</v>
      </c>
      <c r="ED147">
        <f t="shared" si="197"/>
        <v>0</v>
      </c>
      <c r="EE147">
        <f t="shared" si="197"/>
        <v>0</v>
      </c>
      <c r="EF147">
        <f t="shared" si="197"/>
        <v>0</v>
      </c>
      <c r="EG147">
        <f t="shared" si="197"/>
        <v>0</v>
      </c>
      <c r="EH147">
        <f t="shared" si="197"/>
        <v>0</v>
      </c>
      <c r="EI147">
        <f t="shared" si="197"/>
        <v>0</v>
      </c>
      <c r="EJ147">
        <f>SUM(Tabla1[[#This Row],[1]:[130]])</f>
        <v>0</v>
      </c>
    </row>
    <row r="148" spans="1:140" ht="15.75" thickBot="1" x14ac:dyDescent="0.3">
      <c r="A148" t="str">
        <f>B148&amp;"-"&amp;COUNTIF($B$2:B148,B148)</f>
        <v>I. PULPA FRAMBUESA-2</v>
      </c>
      <c r="B148" s="48" t="s">
        <v>105</v>
      </c>
      <c r="C148">
        <f>VLOOKUP(B148,RECETAS!D147:$E$1700,2,FALSE)</f>
        <v>8580</v>
      </c>
      <c r="D148" s="18" t="s">
        <v>347</v>
      </c>
      <c r="G148" t="b">
        <f t="shared" si="171"/>
        <v>1</v>
      </c>
      <c r="I148" s="47" t="s">
        <v>13</v>
      </c>
      <c r="J148">
        <f t="shared" si="185"/>
        <v>1500</v>
      </c>
      <c r="K148">
        <f t="shared" si="185"/>
        <v>9500</v>
      </c>
      <c r="L148">
        <f t="shared" si="185"/>
        <v>110400</v>
      </c>
      <c r="M148">
        <f t="shared" si="185"/>
        <v>18400</v>
      </c>
      <c r="N148">
        <f t="shared" si="185"/>
        <v>17600</v>
      </c>
      <c r="O148">
        <f t="shared" si="185"/>
        <v>26400</v>
      </c>
      <c r="P148">
        <f t="shared" si="185"/>
        <v>28000</v>
      </c>
      <c r="Q148">
        <f t="shared" si="185"/>
        <v>8800</v>
      </c>
      <c r="R148">
        <f t="shared" si="185"/>
        <v>1920</v>
      </c>
      <c r="S148">
        <f t="shared" si="185"/>
        <v>1680</v>
      </c>
      <c r="T148">
        <f t="shared" si="186"/>
        <v>2400</v>
      </c>
      <c r="U148">
        <f t="shared" si="186"/>
        <v>0</v>
      </c>
      <c r="V148">
        <f t="shared" si="186"/>
        <v>1500</v>
      </c>
      <c r="W148">
        <f t="shared" si="186"/>
        <v>2100</v>
      </c>
      <c r="X148">
        <f t="shared" si="186"/>
        <v>900</v>
      </c>
      <c r="Y148">
        <f t="shared" si="186"/>
        <v>400</v>
      </c>
      <c r="Z148">
        <f t="shared" si="186"/>
        <v>1200</v>
      </c>
      <c r="AA148">
        <f t="shared" si="186"/>
        <v>0</v>
      </c>
      <c r="AB148">
        <f t="shared" si="186"/>
        <v>0</v>
      </c>
      <c r="AC148">
        <f t="shared" si="186"/>
        <v>4000</v>
      </c>
      <c r="AD148">
        <f t="shared" si="187"/>
        <v>12000</v>
      </c>
      <c r="AE148">
        <f t="shared" si="187"/>
        <v>3200</v>
      </c>
      <c r="AF148">
        <f t="shared" si="187"/>
        <v>800</v>
      </c>
      <c r="AG148">
        <f t="shared" si="187"/>
        <v>500</v>
      </c>
      <c r="AH148">
        <f t="shared" si="187"/>
        <v>0</v>
      </c>
      <c r="AI148">
        <f t="shared" si="187"/>
        <v>100</v>
      </c>
      <c r="AJ148">
        <f t="shared" si="187"/>
        <v>0</v>
      </c>
      <c r="AK148">
        <f t="shared" si="187"/>
        <v>0</v>
      </c>
      <c r="AL148">
        <f t="shared" si="187"/>
        <v>0</v>
      </c>
      <c r="AM148">
        <f t="shared" si="187"/>
        <v>0</v>
      </c>
      <c r="AN148">
        <f t="shared" si="188"/>
        <v>0</v>
      </c>
      <c r="AO148">
        <f t="shared" si="188"/>
        <v>800</v>
      </c>
      <c r="AP148">
        <f t="shared" si="188"/>
        <v>0</v>
      </c>
      <c r="AQ148">
        <f t="shared" si="188"/>
        <v>0</v>
      </c>
      <c r="AR148">
        <f t="shared" si="188"/>
        <v>0</v>
      </c>
      <c r="AS148">
        <f t="shared" si="188"/>
        <v>0</v>
      </c>
      <c r="AT148">
        <f t="shared" si="188"/>
        <v>0</v>
      </c>
      <c r="AU148">
        <f t="shared" si="188"/>
        <v>0</v>
      </c>
      <c r="AV148">
        <f t="shared" si="188"/>
        <v>0</v>
      </c>
      <c r="AW148">
        <f t="shared" si="188"/>
        <v>0</v>
      </c>
      <c r="AX148">
        <f t="shared" si="189"/>
        <v>0</v>
      </c>
      <c r="AY148">
        <f t="shared" si="189"/>
        <v>0</v>
      </c>
      <c r="AZ148">
        <f t="shared" si="189"/>
        <v>0</v>
      </c>
      <c r="BA148">
        <f t="shared" si="189"/>
        <v>0</v>
      </c>
      <c r="BB148">
        <f t="shared" si="189"/>
        <v>0</v>
      </c>
      <c r="BC148">
        <f t="shared" si="189"/>
        <v>800</v>
      </c>
      <c r="BD148">
        <f t="shared" si="189"/>
        <v>1600</v>
      </c>
      <c r="BE148">
        <f t="shared" si="189"/>
        <v>0</v>
      </c>
      <c r="BF148">
        <f t="shared" si="189"/>
        <v>0</v>
      </c>
      <c r="BG148">
        <f t="shared" si="189"/>
        <v>400</v>
      </c>
      <c r="BH148">
        <f t="shared" si="190"/>
        <v>0</v>
      </c>
      <c r="BI148">
        <f t="shared" si="190"/>
        <v>2000</v>
      </c>
      <c r="BJ148">
        <f t="shared" si="190"/>
        <v>3200</v>
      </c>
      <c r="BK148">
        <f t="shared" si="190"/>
        <v>0</v>
      </c>
      <c r="BL148">
        <f t="shared" si="190"/>
        <v>0</v>
      </c>
      <c r="BM148">
        <f t="shared" si="190"/>
        <v>0</v>
      </c>
      <c r="BN148">
        <f t="shared" si="190"/>
        <v>0</v>
      </c>
      <c r="BO148">
        <f t="shared" si="190"/>
        <v>0</v>
      </c>
      <c r="BP148">
        <f t="shared" si="190"/>
        <v>0</v>
      </c>
      <c r="BQ148">
        <f t="shared" si="190"/>
        <v>0</v>
      </c>
      <c r="BR148">
        <f t="shared" si="191"/>
        <v>0</v>
      </c>
      <c r="BS148">
        <f t="shared" si="191"/>
        <v>0</v>
      </c>
      <c r="BT148">
        <f t="shared" si="191"/>
        <v>0</v>
      </c>
      <c r="BU148">
        <f t="shared" si="191"/>
        <v>0</v>
      </c>
      <c r="BV148">
        <f t="shared" si="191"/>
        <v>0</v>
      </c>
      <c r="BW148">
        <f t="shared" si="191"/>
        <v>3200</v>
      </c>
      <c r="BX148">
        <f t="shared" si="191"/>
        <v>0</v>
      </c>
      <c r="BY148">
        <f t="shared" si="191"/>
        <v>0</v>
      </c>
      <c r="BZ148">
        <f t="shared" si="191"/>
        <v>0</v>
      </c>
      <c r="CA148">
        <f t="shared" si="191"/>
        <v>0</v>
      </c>
      <c r="CB148">
        <f t="shared" si="192"/>
        <v>0</v>
      </c>
      <c r="CC148">
        <f t="shared" si="192"/>
        <v>0</v>
      </c>
      <c r="CD148">
        <f t="shared" si="192"/>
        <v>0</v>
      </c>
      <c r="CE148">
        <f t="shared" si="192"/>
        <v>0</v>
      </c>
      <c r="CF148">
        <f t="shared" si="192"/>
        <v>0</v>
      </c>
      <c r="CG148">
        <f t="shared" si="192"/>
        <v>0</v>
      </c>
      <c r="CH148">
        <f t="shared" si="192"/>
        <v>0</v>
      </c>
      <c r="CI148">
        <f t="shared" si="192"/>
        <v>0</v>
      </c>
      <c r="CJ148">
        <f t="shared" si="192"/>
        <v>0</v>
      </c>
      <c r="CK148">
        <f t="shared" si="192"/>
        <v>0</v>
      </c>
      <c r="CL148">
        <f t="shared" si="193"/>
        <v>0</v>
      </c>
      <c r="CM148">
        <f t="shared" si="193"/>
        <v>0</v>
      </c>
      <c r="CN148">
        <f t="shared" si="193"/>
        <v>0</v>
      </c>
      <c r="CO148">
        <f t="shared" si="193"/>
        <v>0</v>
      </c>
      <c r="CP148">
        <f t="shared" si="193"/>
        <v>0</v>
      </c>
      <c r="CQ148">
        <f t="shared" si="193"/>
        <v>0</v>
      </c>
      <c r="CR148">
        <f t="shared" si="193"/>
        <v>0</v>
      </c>
      <c r="CS148">
        <f t="shared" si="193"/>
        <v>0</v>
      </c>
      <c r="CT148">
        <f t="shared" si="193"/>
        <v>0</v>
      </c>
      <c r="CU148">
        <f t="shared" si="193"/>
        <v>0</v>
      </c>
      <c r="CV148">
        <f t="shared" si="194"/>
        <v>0</v>
      </c>
      <c r="CW148">
        <f t="shared" si="194"/>
        <v>0</v>
      </c>
      <c r="CX148">
        <f t="shared" si="194"/>
        <v>0</v>
      </c>
      <c r="CY148">
        <f t="shared" si="194"/>
        <v>0</v>
      </c>
      <c r="CZ148">
        <f t="shared" si="194"/>
        <v>0</v>
      </c>
      <c r="DA148">
        <f t="shared" si="194"/>
        <v>0</v>
      </c>
      <c r="DB148">
        <f t="shared" si="194"/>
        <v>0</v>
      </c>
      <c r="DC148">
        <f t="shared" si="194"/>
        <v>0</v>
      </c>
      <c r="DD148">
        <f t="shared" si="194"/>
        <v>0</v>
      </c>
      <c r="DE148">
        <f t="shared" si="194"/>
        <v>0</v>
      </c>
      <c r="DF148">
        <f t="shared" si="195"/>
        <v>0</v>
      </c>
      <c r="DG148">
        <f t="shared" si="195"/>
        <v>0</v>
      </c>
      <c r="DH148">
        <f t="shared" si="195"/>
        <v>0</v>
      </c>
      <c r="DI148">
        <f t="shared" si="195"/>
        <v>0</v>
      </c>
      <c r="DJ148">
        <f t="shared" si="195"/>
        <v>0</v>
      </c>
      <c r="DK148">
        <f t="shared" si="195"/>
        <v>0</v>
      </c>
      <c r="DL148">
        <f t="shared" si="195"/>
        <v>0</v>
      </c>
      <c r="DM148">
        <f t="shared" si="195"/>
        <v>0</v>
      </c>
      <c r="DN148">
        <f t="shared" si="195"/>
        <v>0</v>
      </c>
      <c r="DO148">
        <f t="shared" si="195"/>
        <v>0</v>
      </c>
      <c r="DP148">
        <f t="shared" si="196"/>
        <v>0</v>
      </c>
      <c r="DQ148">
        <f t="shared" si="196"/>
        <v>0</v>
      </c>
      <c r="DR148">
        <f t="shared" si="196"/>
        <v>0</v>
      </c>
      <c r="DS148">
        <f t="shared" si="196"/>
        <v>0</v>
      </c>
      <c r="DT148">
        <f t="shared" si="196"/>
        <v>0</v>
      </c>
      <c r="DU148">
        <f t="shared" si="196"/>
        <v>0</v>
      </c>
      <c r="DV148">
        <f t="shared" si="196"/>
        <v>0</v>
      </c>
      <c r="DW148">
        <f t="shared" si="196"/>
        <v>0</v>
      </c>
      <c r="DX148">
        <f t="shared" si="196"/>
        <v>0</v>
      </c>
      <c r="DY148">
        <f t="shared" si="196"/>
        <v>0</v>
      </c>
      <c r="DZ148">
        <f t="shared" si="197"/>
        <v>0</v>
      </c>
      <c r="EA148">
        <f t="shared" si="197"/>
        <v>0</v>
      </c>
      <c r="EB148">
        <f t="shared" si="197"/>
        <v>0</v>
      </c>
      <c r="EC148">
        <f t="shared" si="197"/>
        <v>0</v>
      </c>
      <c r="ED148">
        <f t="shared" si="197"/>
        <v>0</v>
      </c>
      <c r="EE148">
        <f t="shared" si="197"/>
        <v>0</v>
      </c>
      <c r="EF148">
        <f t="shared" si="197"/>
        <v>0</v>
      </c>
      <c r="EG148">
        <f t="shared" si="197"/>
        <v>0</v>
      </c>
      <c r="EH148">
        <f t="shared" si="197"/>
        <v>0</v>
      </c>
      <c r="EI148">
        <f t="shared" si="197"/>
        <v>0</v>
      </c>
      <c r="EJ148">
        <f>SUM(Tabla1[[#This Row],[1]:[130]])</f>
        <v>265300</v>
      </c>
    </row>
    <row r="149" spans="1:140" ht="15.75" thickBot="1" x14ac:dyDescent="0.3">
      <c r="A149" t="str">
        <f>B149&amp;"-"&amp;COUNTIF($B$2:B149,B149)</f>
        <v>I. PULPA FRUTILLA-2</v>
      </c>
      <c r="B149" s="48" t="s">
        <v>582</v>
      </c>
      <c r="C149">
        <f>VLOOKUP(B149,RECETAS!D148:$E$1700,2,FALSE)</f>
        <v>8250</v>
      </c>
      <c r="D149" s="18" t="s">
        <v>348</v>
      </c>
      <c r="G149" t="b">
        <f t="shared" si="171"/>
        <v>1</v>
      </c>
      <c r="I149" s="47" t="s">
        <v>103</v>
      </c>
      <c r="J149">
        <f t="shared" si="185"/>
        <v>3</v>
      </c>
      <c r="K149">
        <f t="shared" si="185"/>
        <v>0</v>
      </c>
      <c r="L149">
        <f t="shared" si="185"/>
        <v>0</v>
      </c>
      <c r="M149">
        <f t="shared" si="185"/>
        <v>0</v>
      </c>
      <c r="N149">
        <f t="shared" si="185"/>
        <v>0</v>
      </c>
      <c r="O149">
        <f t="shared" si="185"/>
        <v>0</v>
      </c>
      <c r="P149">
        <f t="shared" si="185"/>
        <v>0</v>
      </c>
      <c r="Q149">
        <f t="shared" si="185"/>
        <v>0</v>
      </c>
      <c r="R149">
        <f t="shared" si="185"/>
        <v>0</v>
      </c>
      <c r="S149">
        <f t="shared" si="185"/>
        <v>0</v>
      </c>
      <c r="T149">
        <f t="shared" si="186"/>
        <v>0</v>
      </c>
      <c r="U149">
        <f t="shared" si="186"/>
        <v>0</v>
      </c>
      <c r="V149">
        <f t="shared" si="186"/>
        <v>0</v>
      </c>
      <c r="W149">
        <f t="shared" si="186"/>
        <v>0</v>
      </c>
      <c r="X149">
        <f t="shared" si="186"/>
        <v>0</v>
      </c>
      <c r="Y149">
        <f t="shared" si="186"/>
        <v>0</v>
      </c>
      <c r="Z149">
        <f t="shared" si="186"/>
        <v>0</v>
      </c>
      <c r="AA149">
        <f t="shared" si="186"/>
        <v>0</v>
      </c>
      <c r="AB149">
        <f t="shared" si="186"/>
        <v>0</v>
      </c>
      <c r="AC149">
        <f t="shared" si="186"/>
        <v>0</v>
      </c>
      <c r="AD149">
        <f t="shared" si="187"/>
        <v>0</v>
      </c>
      <c r="AE149">
        <f t="shared" si="187"/>
        <v>0</v>
      </c>
      <c r="AF149">
        <f t="shared" si="187"/>
        <v>0</v>
      </c>
      <c r="AG149">
        <f t="shared" si="187"/>
        <v>0</v>
      </c>
      <c r="AH149">
        <f t="shared" si="187"/>
        <v>0</v>
      </c>
      <c r="AI149">
        <f t="shared" si="187"/>
        <v>0</v>
      </c>
      <c r="AJ149">
        <f t="shared" si="187"/>
        <v>0</v>
      </c>
      <c r="AK149">
        <f t="shared" si="187"/>
        <v>0</v>
      </c>
      <c r="AL149">
        <f t="shared" si="187"/>
        <v>0</v>
      </c>
      <c r="AM149">
        <f t="shared" si="187"/>
        <v>0</v>
      </c>
      <c r="AN149">
        <f t="shared" si="188"/>
        <v>0</v>
      </c>
      <c r="AO149">
        <f t="shared" si="188"/>
        <v>0</v>
      </c>
      <c r="AP149">
        <f t="shared" si="188"/>
        <v>0</v>
      </c>
      <c r="AQ149">
        <f t="shared" si="188"/>
        <v>0</v>
      </c>
      <c r="AR149">
        <f t="shared" si="188"/>
        <v>0</v>
      </c>
      <c r="AS149">
        <f t="shared" si="188"/>
        <v>0</v>
      </c>
      <c r="AT149">
        <f t="shared" si="188"/>
        <v>0</v>
      </c>
      <c r="AU149">
        <f t="shared" si="188"/>
        <v>0</v>
      </c>
      <c r="AV149">
        <f t="shared" si="188"/>
        <v>0</v>
      </c>
      <c r="AW149">
        <f t="shared" si="188"/>
        <v>0</v>
      </c>
      <c r="AX149">
        <f t="shared" si="189"/>
        <v>0</v>
      </c>
      <c r="AY149">
        <f t="shared" si="189"/>
        <v>0</v>
      </c>
      <c r="AZ149">
        <f t="shared" si="189"/>
        <v>0</v>
      </c>
      <c r="BA149">
        <f t="shared" si="189"/>
        <v>0</v>
      </c>
      <c r="BB149">
        <f t="shared" si="189"/>
        <v>0</v>
      </c>
      <c r="BC149">
        <f t="shared" si="189"/>
        <v>0</v>
      </c>
      <c r="BD149">
        <f t="shared" si="189"/>
        <v>0</v>
      </c>
      <c r="BE149">
        <f t="shared" si="189"/>
        <v>0</v>
      </c>
      <c r="BF149">
        <f t="shared" si="189"/>
        <v>0</v>
      </c>
      <c r="BG149">
        <f t="shared" si="189"/>
        <v>0</v>
      </c>
      <c r="BH149">
        <f t="shared" si="190"/>
        <v>0</v>
      </c>
      <c r="BI149">
        <f t="shared" si="190"/>
        <v>0</v>
      </c>
      <c r="BJ149">
        <f t="shared" si="190"/>
        <v>0</v>
      </c>
      <c r="BK149">
        <f t="shared" si="190"/>
        <v>0</v>
      </c>
      <c r="BL149">
        <f t="shared" si="190"/>
        <v>0</v>
      </c>
      <c r="BM149">
        <f t="shared" si="190"/>
        <v>0</v>
      </c>
      <c r="BN149">
        <f t="shared" si="190"/>
        <v>0</v>
      </c>
      <c r="BO149">
        <f t="shared" si="190"/>
        <v>0</v>
      </c>
      <c r="BP149">
        <f t="shared" si="190"/>
        <v>0</v>
      </c>
      <c r="BQ149">
        <f t="shared" si="190"/>
        <v>0</v>
      </c>
      <c r="BR149">
        <f t="shared" si="191"/>
        <v>0</v>
      </c>
      <c r="BS149">
        <f t="shared" si="191"/>
        <v>0</v>
      </c>
      <c r="BT149">
        <f t="shared" si="191"/>
        <v>0</v>
      </c>
      <c r="BU149">
        <f t="shared" si="191"/>
        <v>0</v>
      </c>
      <c r="BV149">
        <f t="shared" si="191"/>
        <v>0</v>
      </c>
      <c r="BW149">
        <f t="shared" si="191"/>
        <v>0</v>
      </c>
      <c r="BX149">
        <f t="shared" si="191"/>
        <v>0</v>
      </c>
      <c r="BY149">
        <f t="shared" si="191"/>
        <v>0</v>
      </c>
      <c r="BZ149">
        <f t="shared" si="191"/>
        <v>0</v>
      </c>
      <c r="CA149">
        <f t="shared" si="191"/>
        <v>0</v>
      </c>
      <c r="CB149">
        <f t="shared" si="192"/>
        <v>0</v>
      </c>
      <c r="CC149">
        <f t="shared" si="192"/>
        <v>0</v>
      </c>
      <c r="CD149">
        <f t="shared" si="192"/>
        <v>0</v>
      </c>
      <c r="CE149">
        <f t="shared" si="192"/>
        <v>0</v>
      </c>
      <c r="CF149">
        <f t="shared" si="192"/>
        <v>0</v>
      </c>
      <c r="CG149">
        <f t="shared" si="192"/>
        <v>0</v>
      </c>
      <c r="CH149">
        <f t="shared" si="192"/>
        <v>0</v>
      </c>
      <c r="CI149">
        <f t="shared" si="192"/>
        <v>0</v>
      </c>
      <c r="CJ149">
        <f t="shared" si="192"/>
        <v>0</v>
      </c>
      <c r="CK149">
        <f t="shared" si="192"/>
        <v>0</v>
      </c>
      <c r="CL149">
        <f t="shared" si="193"/>
        <v>0</v>
      </c>
      <c r="CM149">
        <f t="shared" si="193"/>
        <v>0</v>
      </c>
      <c r="CN149">
        <f t="shared" si="193"/>
        <v>0</v>
      </c>
      <c r="CO149">
        <f t="shared" si="193"/>
        <v>0</v>
      </c>
      <c r="CP149">
        <f t="shared" si="193"/>
        <v>0</v>
      </c>
      <c r="CQ149">
        <f t="shared" si="193"/>
        <v>0</v>
      </c>
      <c r="CR149">
        <f t="shared" si="193"/>
        <v>0</v>
      </c>
      <c r="CS149">
        <f t="shared" si="193"/>
        <v>0</v>
      </c>
      <c r="CT149">
        <f t="shared" si="193"/>
        <v>0</v>
      </c>
      <c r="CU149">
        <f t="shared" si="193"/>
        <v>0</v>
      </c>
      <c r="CV149">
        <f t="shared" si="194"/>
        <v>0</v>
      </c>
      <c r="CW149">
        <f t="shared" si="194"/>
        <v>0</v>
      </c>
      <c r="CX149">
        <f t="shared" si="194"/>
        <v>0</v>
      </c>
      <c r="CY149">
        <f t="shared" si="194"/>
        <v>0</v>
      </c>
      <c r="CZ149">
        <f t="shared" si="194"/>
        <v>0</v>
      </c>
      <c r="DA149">
        <f t="shared" si="194"/>
        <v>0</v>
      </c>
      <c r="DB149">
        <f t="shared" si="194"/>
        <v>0</v>
      </c>
      <c r="DC149">
        <f t="shared" si="194"/>
        <v>0</v>
      </c>
      <c r="DD149">
        <f t="shared" si="194"/>
        <v>0</v>
      </c>
      <c r="DE149">
        <f t="shared" si="194"/>
        <v>0</v>
      </c>
      <c r="DF149">
        <f t="shared" si="195"/>
        <v>0</v>
      </c>
      <c r="DG149">
        <f t="shared" si="195"/>
        <v>0</v>
      </c>
      <c r="DH149">
        <f t="shared" si="195"/>
        <v>0</v>
      </c>
      <c r="DI149">
        <f t="shared" si="195"/>
        <v>0</v>
      </c>
      <c r="DJ149">
        <f t="shared" si="195"/>
        <v>0</v>
      </c>
      <c r="DK149">
        <f t="shared" si="195"/>
        <v>0</v>
      </c>
      <c r="DL149">
        <f t="shared" si="195"/>
        <v>0</v>
      </c>
      <c r="DM149">
        <f t="shared" si="195"/>
        <v>0</v>
      </c>
      <c r="DN149">
        <f t="shared" si="195"/>
        <v>0</v>
      </c>
      <c r="DO149">
        <f t="shared" si="195"/>
        <v>0</v>
      </c>
      <c r="DP149">
        <f t="shared" si="196"/>
        <v>0</v>
      </c>
      <c r="DQ149">
        <f t="shared" si="196"/>
        <v>0</v>
      </c>
      <c r="DR149">
        <f t="shared" si="196"/>
        <v>0</v>
      </c>
      <c r="DS149">
        <f t="shared" si="196"/>
        <v>0</v>
      </c>
      <c r="DT149">
        <f t="shared" si="196"/>
        <v>0</v>
      </c>
      <c r="DU149">
        <f t="shared" si="196"/>
        <v>0</v>
      </c>
      <c r="DV149">
        <f t="shared" si="196"/>
        <v>0</v>
      </c>
      <c r="DW149">
        <f t="shared" si="196"/>
        <v>0</v>
      </c>
      <c r="DX149">
        <f t="shared" si="196"/>
        <v>0</v>
      </c>
      <c r="DY149">
        <f t="shared" si="196"/>
        <v>0</v>
      </c>
      <c r="DZ149">
        <f t="shared" si="197"/>
        <v>0</v>
      </c>
      <c r="EA149">
        <f t="shared" si="197"/>
        <v>0</v>
      </c>
      <c r="EB149">
        <f t="shared" si="197"/>
        <v>0</v>
      </c>
      <c r="EC149">
        <f t="shared" si="197"/>
        <v>0</v>
      </c>
      <c r="ED149">
        <f t="shared" si="197"/>
        <v>0</v>
      </c>
      <c r="EE149">
        <f t="shared" si="197"/>
        <v>0</v>
      </c>
      <c r="EF149">
        <f t="shared" si="197"/>
        <v>0</v>
      </c>
      <c r="EG149">
        <f t="shared" si="197"/>
        <v>0</v>
      </c>
      <c r="EH149">
        <f t="shared" si="197"/>
        <v>0</v>
      </c>
      <c r="EI149">
        <f t="shared" si="197"/>
        <v>0</v>
      </c>
      <c r="EJ149">
        <f>SUM(Tabla1[[#This Row],[1]:[130]])</f>
        <v>3</v>
      </c>
    </row>
    <row r="150" spans="1:140" ht="15.75" thickBot="1" x14ac:dyDescent="0.3">
      <c r="A150" t="str">
        <f>B150&amp;"-"&amp;COUNTIF($B$2:B150,B150)</f>
        <v>I. PULPA LIMON-2</v>
      </c>
      <c r="B150" s="48" t="s">
        <v>106</v>
      </c>
      <c r="C150">
        <f>VLOOKUP(B150,RECETAS!D149:$E$1700,2,FALSE)</f>
        <v>20130</v>
      </c>
      <c r="D150" s="18" t="s">
        <v>349</v>
      </c>
      <c r="G150" t="b">
        <f t="shared" si="171"/>
        <v>1</v>
      </c>
      <c r="I150" s="48" t="s">
        <v>104</v>
      </c>
      <c r="J150">
        <f t="shared" si="185"/>
        <v>0</v>
      </c>
      <c r="K150">
        <f t="shared" si="185"/>
        <v>300</v>
      </c>
      <c r="L150">
        <f t="shared" si="185"/>
        <v>0</v>
      </c>
      <c r="M150">
        <f t="shared" si="185"/>
        <v>0</v>
      </c>
      <c r="N150">
        <f t="shared" si="185"/>
        <v>0</v>
      </c>
      <c r="O150">
        <f t="shared" si="185"/>
        <v>0</v>
      </c>
      <c r="P150">
        <f t="shared" si="185"/>
        <v>0</v>
      </c>
      <c r="Q150">
        <f t="shared" si="185"/>
        <v>0</v>
      </c>
      <c r="R150">
        <f t="shared" si="185"/>
        <v>0</v>
      </c>
      <c r="S150">
        <f t="shared" si="185"/>
        <v>0</v>
      </c>
      <c r="T150">
        <f t="shared" si="186"/>
        <v>0</v>
      </c>
      <c r="U150">
        <f t="shared" si="186"/>
        <v>0</v>
      </c>
      <c r="V150">
        <f t="shared" si="186"/>
        <v>0</v>
      </c>
      <c r="W150">
        <f t="shared" si="186"/>
        <v>0</v>
      </c>
      <c r="X150">
        <f t="shared" si="186"/>
        <v>0</v>
      </c>
      <c r="Y150">
        <f t="shared" si="186"/>
        <v>0</v>
      </c>
      <c r="Z150">
        <f t="shared" si="186"/>
        <v>0</v>
      </c>
      <c r="AA150">
        <f t="shared" si="186"/>
        <v>0</v>
      </c>
      <c r="AB150">
        <f t="shared" si="186"/>
        <v>0</v>
      </c>
      <c r="AC150">
        <f t="shared" si="186"/>
        <v>0</v>
      </c>
      <c r="AD150">
        <f t="shared" si="187"/>
        <v>0</v>
      </c>
      <c r="AE150">
        <f t="shared" si="187"/>
        <v>0</v>
      </c>
      <c r="AF150">
        <f t="shared" si="187"/>
        <v>0</v>
      </c>
      <c r="AG150">
        <f t="shared" si="187"/>
        <v>0</v>
      </c>
      <c r="AH150">
        <f t="shared" si="187"/>
        <v>0</v>
      </c>
      <c r="AI150">
        <f t="shared" si="187"/>
        <v>0</v>
      </c>
      <c r="AJ150">
        <f t="shared" si="187"/>
        <v>0</v>
      </c>
      <c r="AK150">
        <f t="shared" si="187"/>
        <v>0</v>
      </c>
      <c r="AL150">
        <f t="shared" si="187"/>
        <v>0</v>
      </c>
      <c r="AM150">
        <f t="shared" si="187"/>
        <v>0</v>
      </c>
      <c r="AN150">
        <f t="shared" si="188"/>
        <v>0</v>
      </c>
      <c r="AO150">
        <f t="shared" si="188"/>
        <v>0</v>
      </c>
      <c r="AP150">
        <f t="shared" si="188"/>
        <v>0</v>
      </c>
      <c r="AQ150">
        <f t="shared" si="188"/>
        <v>0</v>
      </c>
      <c r="AR150">
        <f t="shared" si="188"/>
        <v>0</v>
      </c>
      <c r="AS150">
        <f t="shared" si="188"/>
        <v>0</v>
      </c>
      <c r="AT150">
        <f t="shared" si="188"/>
        <v>0</v>
      </c>
      <c r="AU150">
        <f t="shared" si="188"/>
        <v>0</v>
      </c>
      <c r="AV150">
        <f t="shared" si="188"/>
        <v>0</v>
      </c>
      <c r="AW150">
        <f t="shared" si="188"/>
        <v>0</v>
      </c>
      <c r="AX150">
        <f t="shared" si="189"/>
        <v>0</v>
      </c>
      <c r="AY150">
        <f t="shared" si="189"/>
        <v>0</v>
      </c>
      <c r="AZ150">
        <f t="shared" si="189"/>
        <v>0</v>
      </c>
      <c r="BA150">
        <f t="shared" si="189"/>
        <v>0</v>
      </c>
      <c r="BB150">
        <f t="shared" si="189"/>
        <v>0</v>
      </c>
      <c r="BC150">
        <f t="shared" si="189"/>
        <v>0</v>
      </c>
      <c r="BD150">
        <f t="shared" si="189"/>
        <v>0</v>
      </c>
      <c r="BE150">
        <f t="shared" si="189"/>
        <v>0</v>
      </c>
      <c r="BF150">
        <f t="shared" si="189"/>
        <v>0</v>
      </c>
      <c r="BG150">
        <f t="shared" si="189"/>
        <v>0</v>
      </c>
      <c r="BH150">
        <f t="shared" si="190"/>
        <v>0</v>
      </c>
      <c r="BI150">
        <f t="shared" si="190"/>
        <v>0</v>
      </c>
      <c r="BJ150">
        <f t="shared" si="190"/>
        <v>0</v>
      </c>
      <c r="BK150">
        <f t="shared" si="190"/>
        <v>0</v>
      </c>
      <c r="BL150">
        <f t="shared" si="190"/>
        <v>0</v>
      </c>
      <c r="BM150">
        <f t="shared" si="190"/>
        <v>0</v>
      </c>
      <c r="BN150">
        <f t="shared" si="190"/>
        <v>0</v>
      </c>
      <c r="BO150">
        <f t="shared" si="190"/>
        <v>0</v>
      </c>
      <c r="BP150">
        <f t="shared" si="190"/>
        <v>0</v>
      </c>
      <c r="BQ150">
        <f t="shared" si="190"/>
        <v>0</v>
      </c>
      <c r="BR150">
        <f t="shared" si="191"/>
        <v>0</v>
      </c>
      <c r="BS150">
        <f t="shared" si="191"/>
        <v>0</v>
      </c>
      <c r="BT150">
        <f t="shared" si="191"/>
        <v>0</v>
      </c>
      <c r="BU150">
        <f t="shared" si="191"/>
        <v>0</v>
      </c>
      <c r="BV150">
        <f t="shared" si="191"/>
        <v>0</v>
      </c>
      <c r="BW150">
        <f t="shared" si="191"/>
        <v>0</v>
      </c>
      <c r="BX150">
        <f t="shared" si="191"/>
        <v>0</v>
      </c>
      <c r="BY150">
        <f t="shared" si="191"/>
        <v>0</v>
      </c>
      <c r="BZ150">
        <f t="shared" si="191"/>
        <v>0</v>
      </c>
      <c r="CA150">
        <f t="shared" si="191"/>
        <v>0</v>
      </c>
      <c r="CB150">
        <f t="shared" si="192"/>
        <v>0</v>
      </c>
      <c r="CC150">
        <f t="shared" si="192"/>
        <v>0</v>
      </c>
      <c r="CD150">
        <f t="shared" si="192"/>
        <v>0</v>
      </c>
      <c r="CE150">
        <f t="shared" si="192"/>
        <v>0</v>
      </c>
      <c r="CF150">
        <f t="shared" si="192"/>
        <v>0</v>
      </c>
      <c r="CG150">
        <f t="shared" si="192"/>
        <v>0</v>
      </c>
      <c r="CH150">
        <f t="shared" si="192"/>
        <v>0</v>
      </c>
      <c r="CI150">
        <f t="shared" si="192"/>
        <v>0</v>
      </c>
      <c r="CJ150">
        <f t="shared" si="192"/>
        <v>0</v>
      </c>
      <c r="CK150">
        <f t="shared" si="192"/>
        <v>0</v>
      </c>
      <c r="CL150">
        <f t="shared" si="193"/>
        <v>0</v>
      </c>
      <c r="CM150">
        <f t="shared" si="193"/>
        <v>0</v>
      </c>
      <c r="CN150">
        <f t="shared" si="193"/>
        <v>0</v>
      </c>
      <c r="CO150">
        <f t="shared" si="193"/>
        <v>0</v>
      </c>
      <c r="CP150">
        <f t="shared" si="193"/>
        <v>0</v>
      </c>
      <c r="CQ150">
        <f t="shared" si="193"/>
        <v>0</v>
      </c>
      <c r="CR150">
        <f t="shared" si="193"/>
        <v>0</v>
      </c>
      <c r="CS150">
        <f t="shared" si="193"/>
        <v>0</v>
      </c>
      <c r="CT150">
        <f t="shared" si="193"/>
        <v>0</v>
      </c>
      <c r="CU150">
        <f t="shared" si="193"/>
        <v>0</v>
      </c>
      <c r="CV150">
        <f t="shared" si="194"/>
        <v>0</v>
      </c>
      <c r="CW150">
        <f t="shared" si="194"/>
        <v>0</v>
      </c>
      <c r="CX150">
        <f t="shared" si="194"/>
        <v>0</v>
      </c>
      <c r="CY150">
        <f t="shared" si="194"/>
        <v>0</v>
      </c>
      <c r="CZ150">
        <f t="shared" si="194"/>
        <v>0</v>
      </c>
      <c r="DA150">
        <f t="shared" si="194"/>
        <v>0</v>
      </c>
      <c r="DB150">
        <f t="shared" si="194"/>
        <v>0</v>
      </c>
      <c r="DC150">
        <f t="shared" si="194"/>
        <v>0</v>
      </c>
      <c r="DD150">
        <f t="shared" si="194"/>
        <v>0</v>
      </c>
      <c r="DE150">
        <f t="shared" si="194"/>
        <v>0</v>
      </c>
      <c r="DF150">
        <f t="shared" si="195"/>
        <v>0</v>
      </c>
      <c r="DG150">
        <f t="shared" si="195"/>
        <v>0</v>
      </c>
      <c r="DH150">
        <f t="shared" si="195"/>
        <v>0</v>
      </c>
      <c r="DI150">
        <f t="shared" si="195"/>
        <v>0</v>
      </c>
      <c r="DJ150">
        <f t="shared" si="195"/>
        <v>0</v>
      </c>
      <c r="DK150">
        <f t="shared" si="195"/>
        <v>0</v>
      </c>
      <c r="DL150">
        <f t="shared" si="195"/>
        <v>0</v>
      </c>
      <c r="DM150">
        <f t="shared" si="195"/>
        <v>0</v>
      </c>
      <c r="DN150">
        <f t="shared" si="195"/>
        <v>0</v>
      </c>
      <c r="DO150">
        <f t="shared" si="195"/>
        <v>0</v>
      </c>
      <c r="DP150">
        <f t="shared" si="196"/>
        <v>0</v>
      </c>
      <c r="DQ150">
        <f t="shared" si="196"/>
        <v>0</v>
      </c>
      <c r="DR150">
        <f t="shared" si="196"/>
        <v>0</v>
      </c>
      <c r="DS150">
        <f t="shared" si="196"/>
        <v>0</v>
      </c>
      <c r="DT150">
        <f t="shared" si="196"/>
        <v>0</v>
      </c>
      <c r="DU150">
        <f t="shared" si="196"/>
        <v>0</v>
      </c>
      <c r="DV150">
        <f t="shared" si="196"/>
        <v>0</v>
      </c>
      <c r="DW150">
        <f t="shared" si="196"/>
        <v>0</v>
      </c>
      <c r="DX150">
        <f t="shared" si="196"/>
        <v>0</v>
      </c>
      <c r="DY150">
        <f t="shared" si="196"/>
        <v>0</v>
      </c>
      <c r="DZ150">
        <f t="shared" si="197"/>
        <v>0</v>
      </c>
      <c r="EA150">
        <f t="shared" si="197"/>
        <v>0</v>
      </c>
      <c r="EB150">
        <f t="shared" si="197"/>
        <v>0</v>
      </c>
      <c r="EC150">
        <f t="shared" si="197"/>
        <v>0</v>
      </c>
      <c r="ED150">
        <f t="shared" si="197"/>
        <v>0</v>
      </c>
      <c r="EE150">
        <f t="shared" si="197"/>
        <v>0</v>
      </c>
      <c r="EF150">
        <f t="shared" si="197"/>
        <v>0</v>
      </c>
      <c r="EG150">
        <f t="shared" si="197"/>
        <v>0</v>
      </c>
      <c r="EH150">
        <f t="shared" si="197"/>
        <v>0</v>
      </c>
      <c r="EI150">
        <f t="shared" si="197"/>
        <v>0</v>
      </c>
      <c r="EJ150">
        <f>SUM(Tabla1[[#This Row],[1]:[130]])</f>
        <v>300</v>
      </c>
    </row>
    <row r="151" spans="1:140" ht="15.75" thickBot="1" x14ac:dyDescent="0.3">
      <c r="A151" t="str">
        <f>B151&amp;"-"&amp;COUNTIF($B$2:B151,B151)</f>
        <v>I. COCA COLA 350-1</v>
      </c>
      <c r="B151" s="48" t="s">
        <v>61</v>
      </c>
      <c r="C151">
        <f>VLOOKUP(B151,RECETAS!D150:$E$1700,2,FALSE)</f>
        <v>39</v>
      </c>
      <c r="D151" s="18" t="s">
        <v>350</v>
      </c>
      <c r="G151" t="b">
        <f t="shared" si="171"/>
        <v>1</v>
      </c>
      <c r="I151" s="48" t="s">
        <v>105</v>
      </c>
      <c r="J151">
        <f t="shared" si="185"/>
        <v>0</v>
      </c>
      <c r="K151">
        <f t="shared" si="185"/>
        <v>8580</v>
      </c>
      <c r="L151">
        <f t="shared" si="185"/>
        <v>0</v>
      </c>
      <c r="M151">
        <f t="shared" si="185"/>
        <v>20</v>
      </c>
      <c r="N151">
        <f t="shared" si="185"/>
        <v>20</v>
      </c>
      <c r="O151">
        <f t="shared" si="185"/>
        <v>2850</v>
      </c>
      <c r="P151">
        <f t="shared" si="185"/>
        <v>0</v>
      </c>
      <c r="Q151">
        <f t="shared" si="185"/>
        <v>0</v>
      </c>
      <c r="R151">
        <f t="shared" si="185"/>
        <v>0</v>
      </c>
      <c r="S151">
        <f t="shared" si="185"/>
        <v>0</v>
      </c>
      <c r="T151">
        <f t="shared" si="186"/>
        <v>225</v>
      </c>
      <c r="U151">
        <f t="shared" si="186"/>
        <v>450</v>
      </c>
      <c r="V151">
        <f t="shared" si="186"/>
        <v>0</v>
      </c>
      <c r="W151">
        <f t="shared" si="186"/>
        <v>0</v>
      </c>
      <c r="X151">
        <f t="shared" si="186"/>
        <v>600</v>
      </c>
      <c r="Y151">
        <f t="shared" si="186"/>
        <v>30</v>
      </c>
      <c r="Z151">
        <f t="shared" si="186"/>
        <v>0</v>
      </c>
      <c r="AA151">
        <f t="shared" si="186"/>
        <v>0</v>
      </c>
      <c r="AB151">
        <f t="shared" si="186"/>
        <v>0</v>
      </c>
      <c r="AC151">
        <f t="shared" si="186"/>
        <v>0</v>
      </c>
      <c r="AD151">
        <f t="shared" si="187"/>
        <v>0</v>
      </c>
      <c r="AE151">
        <f t="shared" si="187"/>
        <v>0</v>
      </c>
      <c r="AF151">
        <f t="shared" si="187"/>
        <v>0</v>
      </c>
      <c r="AG151">
        <f t="shared" si="187"/>
        <v>0</v>
      </c>
      <c r="AH151">
        <f t="shared" si="187"/>
        <v>0</v>
      </c>
      <c r="AI151">
        <f t="shared" si="187"/>
        <v>0</v>
      </c>
      <c r="AJ151">
        <f t="shared" si="187"/>
        <v>0</v>
      </c>
      <c r="AK151">
        <f t="shared" si="187"/>
        <v>0</v>
      </c>
      <c r="AL151">
        <f t="shared" si="187"/>
        <v>0</v>
      </c>
      <c r="AM151">
        <f t="shared" si="187"/>
        <v>0</v>
      </c>
      <c r="AN151">
        <f t="shared" si="188"/>
        <v>0</v>
      </c>
      <c r="AO151">
        <f t="shared" si="188"/>
        <v>0</v>
      </c>
      <c r="AP151">
        <f t="shared" si="188"/>
        <v>0</v>
      </c>
      <c r="AQ151">
        <f t="shared" si="188"/>
        <v>0</v>
      </c>
      <c r="AR151">
        <f t="shared" si="188"/>
        <v>0</v>
      </c>
      <c r="AS151">
        <f t="shared" si="188"/>
        <v>0</v>
      </c>
      <c r="AT151">
        <f t="shared" si="188"/>
        <v>0</v>
      </c>
      <c r="AU151">
        <f t="shared" si="188"/>
        <v>0</v>
      </c>
      <c r="AV151">
        <f t="shared" si="188"/>
        <v>0</v>
      </c>
      <c r="AW151">
        <f t="shared" si="188"/>
        <v>0</v>
      </c>
      <c r="AX151">
        <f t="shared" si="189"/>
        <v>0</v>
      </c>
      <c r="AY151">
        <f t="shared" si="189"/>
        <v>0</v>
      </c>
      <c r="AZ151">
        <f t="shared" si="189"/>
        <v>0</v>
      </c>
      <c r="BA151">
        <f t="shared" si="189"/>
        <v>0</v>
      </c>
      <c r="BB151">
        <f t="shared" si="189"/>
        <v>0</v>
      </c>
      <c r="BC151">
        <f t="shared" si="189"/>
        <v>0</v>
      </c>
      <c r="BD151">
        <f t="shared" si="189"/>
        <v>0</v>
      </c>
      <c r="BE151">
        <f t="shared" si="189"/>
        <v>0</v>
      </c>
      <c r="BF151">
        <f t="shared" si="189"/>
        <v>0</v>
      </c>
      <c r="BG151">
        <f t="shared" si="189"/>
        <v>0</v>
      </c>
      <c r="BH151">
        <f t="shared" si="190"/>
        <v>0</v>
      </c>
      <c r="BI151">
        <f t="shared" si="190"/>
        <v>0</v>
      </c>
      <c r="BJ151">
        <f t="shared" si="190"/>
        <v>0</v>
      </c>
      <c r="BK151">
        <f t="shared" si="190"/>
        <v>0</v>
      </c>
      <c r="BL151">
        <f t="shared" si="190"/>
        <v>0</v>
      </c>
      <c r="BM151">
        <f t="shared" si="190"/>
        <v>0</v>
      </c>
      <c r="BN151">
        <f t="shared" si="190"/>
        <v>0</v>
      </c>
      <c r="BO151">
        <f t="shared" si="190"/>
        <v>0</v>
      </c>
      <c r="BP151">
        <f t="shared" si="190"/>
        <v>0</v>
      </c>
      <c r="BQ151">
        <f t="shared" si="190"/>
        <v>0</v>
      </c>
      <c r="BR151">
        <f t="shared" si="191"/>
        <v>0</v>
      </c>
      <c r="BS151">
        <f t="shared" si="191"/>
        <v>0</v>
      </c>
      <c r="BT151">
        <f t="shared" si="191"/>
        <v>0</v>
      </c>
      <c r="BU151">
        <f t="shared" si="191"/>
        <v>0</v>
      </c>
      <c r="BV151">
        <f t="shared" si="191"/>
        <v>0</v>
      </c>
      <c r="BW151">
        <f t="shared" si="191"/>
        <v>0</v>
      </c>
      <c r="BX151">
        <f t="shared" si="191"/>
        <v>0</v>
      </c>
      <c r="BY151">
        <f t="shared" si="191"/>
        <v>0</v>
      </c>
      <c r="BZ151">
        <f t="shared" si="191"/>
        <v>0</v>
      </c>
      <c r="CA151">
        <f t="shared" si="191"/>
        <v>0</v>
      </c>
      <c r="CB151">
        <f t="shared" si="192"/>
        <v>0</v>
      </c>
      <c r="CC151">
        <f t="shared" si="192"/>
        <v>0</v>
      </c>
      <c r="CD151">
        <f t="shared" si="192"/>
        <v>0</v>
      </c>
      <c r="CE151">
        <f t="shared" si="192"/>
        <v>0</v>
      </c>
      <c r="CF151">
        <f t="shared" si="192"/>
        <v>0</v>
      </c>
      <c r="CG151">
        <f t="shared" si="192"/>
        <v>0</v>
      </c>
      <c r="CH151">
        <f t="shared" si="192"/>
        <v>0</v>
      </c>
      <c r="CI151">
        <f t="shared" si="192"/>
        <v>0</v>
      </c>
      <c r="CJ151">
        <f t="shared" si="192"/>
        <v>0</v>
      </c>
      <c r="CK151">
        <f t="shared" si="192"/>
        <v>0</v>
      </c>
      <c r="CL151">
        <f t="shared" si="193"/>
        <v>0</v>
      </c>
      <c r="CM151">
        <f t="shared" si="193"/>
        <v>0</v>
      </c>
      <c r="CN151">
        <f t="shared" si="193"/>
        <v>0</v>
      </c>
      <c r="CO151">
        <f t="shared" si="193"/>
        <v>0</v>
      </c>
      <c r="CP151">
        <f t="shared" si="193"/>
        <v>0</v>
      </c>
      <c r="CQ151">
        <f t="shared" si="193"/>
        <v>0</v>
      </c>
      <c r="CR151">
        <f t="shared" si="193"/>
        <v>0</v>
      </c>
      <c r="CS151">
        <f t="shared" si="193"/>
        <v>0</v>
      </c>
      <c r="CT151">
        <f t="shared" si="193"/>
        <v>0</v>
      </c>
      <c r="CU151">
        <f t="shared" si="193"/>
        <v>0</v>
      </c>
      <c r="CV151">
        <f t="shared" si="194"/>
        <v>0</v>
      </c>
      <c r="CW151">
        <f t="shared" si="194"/>
        <v>0</v>
      </c>
      <c r="CX151">
        <f t="shared" si="194"/>
        <v>0</v>
      </c>
      <c r="CY151">
        <f t="shared" si="194"/>
        <v>0</v>
      </c>
      <c r="CZ151">
        <f t="shared" si="194"/>
        <v>0</v>
      </c>
      <c r="DA151">
        <f t="shared" si="194"/>
        <v>0</v>
      </c>
      <c r="DB151">
        <f t="shared" si="194"/>
        <v>0</v>
      </c>
      <c r="DC151">
        <f t="shared" si="194"/>
        <v>0</v>
      </c>
      <c r="DD151">
        <f t="shared" si="194"/>
        <v>0</v>
      </c>
      <c r="DE151">
        <f t="shared" si="194"/>
        <v>0</v>
      </c>
      <c r="DF151">
        <f t="shared" si="195"/>
        <v>0</v>
      </c>
      <c r="DG151">
        <f t="shared" si="195"/>
        <v>0</v>
      </c>
      <c r="DH151">
        <f t="shared" si="195"/>
        <v>0</v>
      </c>
      <c r="DI151">
        <f t="shared" si="195"/>
        <v>0</v>
      </c>
      <c r="DJ151">
        <f t="shared" si="195"/>
        <v>0</v>
      </c>
      <c r="DK151">
        <f t="shared" si="195"/>
        <v>0</v>
      </c>
      <c r="DL151">
        <f t="shared" si="195"/>
        <v>0</v>
      </c>
      <c r="DM151">
        <f t="shared" si="195"/>
        <v>0</v>
      </c>
      <c r="DN151">
        <f t="shared" si="195"/>
        <v>0</v>
      </c>
      <c r="DO151">
        <f t="shared" si="195"/>
        <v>0</v>
      </c>
      <c r="DP151">
        <f t="shared" si="196"/>
        <v>0</v>
      </c>
      <c r="DQ151">
        <f t="shared" si="196"/>
        <v>0</v>
      </c>
      <c r="DR151">
        <f t="shared" si="196"/>
        <v>0</v>
      </c>
      <c r="DS151">
        <f t="shared" si="196"/>
        <v>0</v>
      </c>
      <c r="DT151">
        <f t="shared" si="196"/>
        <v>0</v>
      </c>
      <c r="DU151">
        <f t="shared" si="196"/>
        <v>0</v>
      </c>
      <c r="DV151">
        <f t="shared" si="196"/>
        <v>0</v>
      </c>
      <c r="DW151">
        <f t="shared" si="196"/>
        <v>0</v>
      </c>
      <c r="DX151">
        <f t="shared" si="196"/>
        <v>0</v>
      </c>
      <c r="DY151">
        <f t="shared" si="196"/>
        <v>0</v>
      </c>
      <c r="DZ151">
        <f t="shared" si="197"/>
        <v>0</v>
      </c>
      <c r="EA151">
        <f t="shared" si="197"/>
        <v>0</v>
      </c>
      <c r="EB151">
        <f t="shared" si="197"/>
        <v>0</v>
      </c>
      <c r="EC151">
        <f t="shared" si="197"/>
        <v>0</v>
      </c>
      <c r="ED151">
        <f t="shared" si="197"/>
        <v>0</v>
      </c>
      <c r="EE151">
        <f t="shared" si="197"/>
        <v>0</v>
      </c>
      <c r="EF151">
        <f t="shared" si="197"/>
        <v>0</v>
      </c>
      <c r="EG151">
        <f t="shared" si="197"/>
        <v>0</v>
      </c>
      <c r="EH151">
        <f t="shared" si="197"/>
        <v>0</v>
      </c>
      <c r="EI151">
        <f t="shared" si="197"/>
        <v>0</v>
      </c>
      <c r="EJ151">
        <f>SUM(Tabla1[[#This Row],[1]:[130]])</f>
        <v>12775</v>
      </c>
    </row>
    <row r="152" spans="1:140" ht="15.75" thickBot="1" x14ac:dyDescent="0.3">
      <c r="A152" t="str">
        <f>B152&amp;"-"&amp;COUNTIF($B$2:B152,B152)</f>
        <v>I. COCA ZERO 350-1</v>
      </c>
      <c r="B152" s="48" t="s">
        <v>63</v>
      </c>
      <c r="C152">
        <f>VLOOKUP(B152,RECETAS!D151:$E$1700,2,FALSE)</f>
        <v>67</v>
      </c>
      <c r="D152" s="18" t="s">
        <v>316</v>
      </c>
      <c r="G152" t="b">
        <f t="shared" si="171"/>
        <v>1</v>
      </c>
      <c r="I152" s="48" t="s">
        <v>582</v>
      </c>
      <c r="J152">
        <f t="shared" si="185"/>
        <v>0</v>
      </c>
      <c r="K152">
        <f t="shared" si="185"/>
        <v>8250</v>
      </c>
      <c r="L152">
        <f t="shared" si="185"/>
        <v>0</v>
      </c>
      <c r="M152">
        <f t="shared" si="185"/>
        <v>0</v>
      </c>
      <c r="N152">
        <f t="shared" si="185"/>
        <v>1800</v>
      </c>
      <c r="O152">
        <f t="shared" si="185"/>
        <v>90</v>
      </c>
      <c r="P152">
        <f t="shared" si="185"/>
        <v>0</v>
      </c>
      <c r="Q152">
        <f t="shared" si="185"/>
        <v>0</v>
      </c>
      <c r="R152">
        <f t="shared" si="185"/>
        <v>20</v>
      </c>
      <c r="S152">
        <f t="shared" si="185"/>
        <v>1050</v>
      </c>
      <c r="T152">
        <f t="shared" si="186"/>
        <v>0</v>
      </c>
      <c r="U152">
        <f t="shared" si="186"/>
        <v>0</v>
      </c>
      <c r="V152">
        <f t="shared" si="186"/>
        <v>0</v>
      </c>
      <c r="W152">
        <f t="shared" si="186"/>
        <v>0</v>
      </c>
      <c r="X152">
        <f t="shared" si="186"/>
        <v>0</v>
      </c>
      <c r="Y152">
        <f t="shared" si="186"/>
        <v>0</v>
      </c>
      <c r="Z152">
        <f t="shared" si="186"/>
        <v>0</v>
      </c>
      <c r="AA152">
        <f t="shared" si="186"/>
        <v>0</v>
      </c>
      <c r="AB152">
        <f t="shared" si="186"/>
        <v>0</v>
      </c>
      <c r="AC152">
        <f t="shared" si="186"/>
        <v>0</v>
      </c>
      <c r="AD152">
        <f t="shared" si="187"/>
        <v>0</v>
      </c>
      <c r="AE152">
        <f t="shared" si="187"/>
        <v>0</v>
      </c>
      <c r="AF152">
        <f t="shared" si="187"/>
        <v>0</v>
      </c>
      <c r="AG152">
        <f t="shared" si="187"/>
        <v>0</v>
      </c>
      <c r="AH152">
        <f t="shared" si="187"/>
        <v>0</v>
      </c>
      <c r="AI152">
        <f t="shared" si="187"/>
        <v>0</v>
      </c>
      <c r="AJ152">
        <f t="shared" si="187"/>
        <v>0</v>
      </c>
      <c r="AK152">
        <f t="shared" si="187"/>
        <v>0</v>
      </c>
      <c r="AL152">
        <f t="shared" si="187"/>
        <v>0</v>
      </c>
      <c r="AM152">
        <f t="shared" si="187"/>
        <v>0</v>
      </c>
      <c r="AN152">
        <f t="shared" si="188"/>
        <v>0</v>
      </c>
      <c r="AO152">
        <f t="shared" si="188"/>
        <v>0</v>
      </c>
      <c r="AP152">
        <f t="shared" si="188"/>
        <v>0</v>
      </c>
      <c r="AQ152">
        <f t="shared" si="188"/>
        <v>0</v>
      </c>
      <c r="AR152">
        <f t="shared" si="188"/>
        <v>0</v>
      </c>
      <c r="AS152">
        <f t="shared" si="188"/>
        <v>0</v>
      </c>
      <c r="AT152">
        <f t="shared" si="188"/>
        <v>0</v>
      </c>
      <c r="AU152">
        <f t="shared" si="188"/>
        <v>0</v>
      </c>
      <c r="AV152">
        <f t="shared" si="188"/>
        <v>0</v>
      </c>
      <c r="AW152">
        <f t="shared" si="188"/>
        <v>0</v>
      </c>
      <c r="AX152">
        <f t="shared" si="189"/>
        <v>0</v>
      </c>
      <c r="AY152">
        <f t="shared" si="189"/>
        <v>0</v>
      </c>
      <c r="AZ152">
        <f t="shared" si="189"/>
        <v>0</v>
      </c>
      <c r="BA152">
        <f t="shared" si="189"/>
        <v>0</v>
      </c>
      <c r="BB152">
        <f t="shared" si="189"/>
        <v>0</v>
      </c>
      <c r="BC152">
        <f t="shared" si="189"/>
        <v>0</v>
      </c>
      <c r="BD152">
        <f t="shared" si="189"/>
        <v>0</v>
      </c>
      <c r="BE152">
        <f t="shared" si="189"/>
        <v>0</v>
      </c>
      <c r="BF152">
        <f t="shared" si="189"/>
        <v>0</v>
      </c>
      <c r="BG152">
        <f t="shared" si="189"/>
        <v>0</v>
      </c>
      <c r="BH152">
        <f t="shared" si="190"/>
        <v>0</v>
      </c>
      <c r="BI152">
        <f t="shared" si="190"/>
        <v>0</v>
      </c>
      <c r="BJ152">
        <f t="shared" si="190"/>
        <v>0</v>
      </c>
      <c r="BK152">
        <f t="shared" si="190"/>
        <v>0</v>
      </c>
      <c r="BL152">
        <f t="shared" si="190"/>
        <v>0</v>
      </c>
      <c r="BM152">
        <f t="shared" si="190"/>
        <v>0</v>
      </c>
      <c r="BN152">
        <f t="shared" si="190"/>
        <v>0</v>
      </c>
      <c r="BO152">
        <f t="shared" si="190"/>
        <v>0</v>
      </c>
      <c r="BP152">
        <f t="shared" si="190"/>
        <v>0</v>
      </c>
      <c r="BQ152">
        <f t="shared" si="190"/>
        <v>0</v>
      </c>
      <c r="BR152">
        <f t="shared" si="191"/>
        <v>0</v>
      </c>
      <c r="BS152">
        <f t="shared" si="191"/>
        <v>0</v>
      </c>
      <c r="BT152">
        <f t="shared" si="191"/>
        <v>0</v>
      </c>
      <c r="BU152">
        <f t="shared" si="191"/>
        <v>0</v>
      </c>
      <c r="BV152">
        <f t="shared" si="191"/>
        <v>0</v>
      </c>
      <c r="BW152">
        <f t="shared" si="191"/>
        <v>0</v>
      </c>
      <c r="BX152">
        <f t="shared" si="191"/>
        <v>0</v>
      </c>
      <c r="BY152">
        <f t="shared" si="191"/>
        <v>0</v>
      </c>
      <c r="BZ152">
        <f t="shared" si="191"/>
        <v>0</v>
      </c>
      <c r="CA152">
        <f t="shared" si="191"/>
        <v>0</v>
      </c>
      <c r="CB152">
        <f t="shared" si="192"/>
        <v>0</v>
      </c>
      <c r="CC152">
        <f t="shared" si="192"/>
        <v>0</v>
      </c>
      <c r="CD152">
        <f t="shared" si="192"/>
        <v>0</v>
      </c>
      <c r="CE152">
        <f t="shared" si="192"/>
        <v>0</v>
      </c>
      <c r="CF152">
        <f t="shared" si="192"/>
        <v>0</v>
      </c>
      <c r="CG152">
        <f t="shared" si="192"/>
        <v>0</v>
      </c>
      <c r="CH152">
        <f t="shared" si="192"/>
        <v>0</v>
      </c>
      <c r="CI152">
        <f t="shared" si="192"/>
        <v>0</v>
      </c>
      <c r="CJ152">
        <f t="shared" si="192"/>
        <v>0</v>
      </c>
      <c r="CK152">
        <f t="shared" si="192"/>
        <v>0</v>
      </c>
      <c r="CL152">
        <f t="shared" si="193"/>
        <v>0</v>
      </c>
      <c r="CM152">
        <f t="shared" si="193"/>
        <v>0</v>
      </c>
      <c r="CN152">
        <f t="shared" si="193"/>
        <v>0</v>
      </c>
      <c r="CO152">
        <f t="shared" si="193"/>
        <v>0</v>
      </c>
      <c r="CP152">
        <f t="shared" si="193"/>
        <v>0</v>
      </c>
      <c r="CQ152">
        <f t="shared" si="193"/>
        <v>0</v>
      </c>
      <c r="CR152">
        <f t="shared" si="193"/>
        <v>0</v>
      </c>
      <c r="CS152">
        <f t="shared" si="193"/>
        <v>0</v>
      </c>
      <c r="CT152">
        <f t="shared" si="193"/>
        <v>0</v>
      </c>
      <c r="CU152">
        <f t="shared" si="193"/>
        <v>0</v>
      </c>
      <c r="CV152">
        <f t="shared" si="194"/>
        <v>0</v>
      </c>
      <c r="CW152">
        <f t="shared" si="194"/>
        <v>0</v>
      </c>
      <c r="CX152">
        <f t="shared" si="194"/>
        <v>0</v>
      </c>
      <c r="CY152">
        <f t="shared" si="194"/>
        <v>0</v>
      </c>
      <c r="CZ152">
        <f t="shared" si="194"/>
        <v>0</v>
      </c>
      <c r="DA152">
        <f t="shared" si="194"/>
        <v>0</v>
      </c>
      <c r="DB152">
        <f t="shared" si="194"/>
        <v>0</v>
      </c>
      <c r="DC152">
        <f t="shared" si="194"/>
        <v>0</v>
      </c>
      <c r="DD152">
        <f t="shared" si="194"/>
        <v>0</v>
      </c>
      <c r="DE152">
        <f t="shared" si="194"/>
        <v>0</v>
      </c>
      <c r="DF152">
        <f t="shared" si="195"/>
        <v>0</v>
      </c>
      <c r="DG152">
        <f t="shared" si="195"/>
        <v>0</v>
      </c>
      <c r="DH152">
        <f t="shared" si="195"/>
        <v>0</v>
      </c>
      <c r="DI152">
        <f t="shared" si="195"/>
        <v>0</v>
      </c>
      <c r="DJ152">
        <f t="shared" si="195"/>
        <v>0</v>
      </c>
      <c r="DK152">
        <f t="shared" si="195"/>
        <v>0</v>
      </c>
      <c r="DL152">
        <f t="shared" si="195"/>
        <v>0</v>
      </c>
      <c r="DM152">
        <f t="shared" si="195"/>
        <v>0</v>
      </c>
      <c r="DN152">
        <f t="shared" si="195"/>
        <v>0</v>
      </c>
      <c r="DO152">
        <f t="shared" si="195"/>
        <v>0</v>
      </c>
      <c r="DP152">
        <f t="shared" si="196"/>
        <v>0</v>
      </c>
      <c r="DQ152">
        <f t="shared" si="196"/>
        <v>0</v>
      </c>
      <c r="DR152">
        <f t="shared" si="196"/>
        <v>0</v>
      </c>
      <c r="DS152">
        <f t="shared" si="196"/>
        <v>0</v>
      </c>
      <c r="DT152">
        <f t="shared" si="196"/>
        <v>0</v>
      </c>
      <c r="DU152">
        <f t="shared" si="196"/>
        <v>0</v>
      </c>
      <c r="DV152">
        <f t="shared" si="196"/>
        <v>0</v>
      </c>
      <c r="DW152">
        <f t="shared" si="196"/>
        <v>0</v>
      </c>
      <c r="DX152">
        <f t="shared" si="196"/>
        <v>0</v>
      </c>
      <c r="DY152">
        <f t="shared" si="196"/>
        <v>0</v>
      </c>
      <c r="DZ152">
        <f t="shared" si="197"/>
        <v>0</v>
      </c>
      <c r="EA152">
        <f t="shared" si="197"/>
        <v>0</v>
      </c>
      <c r="EB152">
        <f t="shared" si="197"/>
        <v>0</v>
      </c>
      <c r="EC152">
        <f t="shared" si="197"/>
        <v>0</v>
      </c>
      <c r="ED152">
        <f t="shared" si="197"/>
        <v>0</v>
      </c>
      <c r="EE152">
        <f t="shared" si="197"/>
        <v>0</v>
      </c>
      <c r="EF152">
        <f t="shared" si="197"/>
        <v>0</v>
      </c>
      <c r="EG152">
        <f t="shared" si="197"/>
        <v>0</v>
      </c>
      <c r="EH152">
        <f t="shared" si="197"/>
        <v>0</v>
      </c>
      <c r="EI152">
        <f t="shared" si="197"/>
        <v>0</v>
      </c>
      <c r="EJ152">
        <f>SUM(Tabla1[[#This Row],[1]:[130]])</f>
        <v>11210</v>
      </c>
    </row>
    <row r="153" spans="1:140" ht="15.75" thickBot="1" x14ac:dyDescent="0.3">
      <c r="A153" t="str">
        <f>B153&amp;"-"&amp;COUNTIF($B$2:B153,B153)</f>
        <v>I. COCA LIGHT 350-1</v>
      </c>
      <c r="B153" s="48" t="s">
        <v>62</v>
      </c>
      <c r="C153">
        <f>VLOOKUP(B153,RECETAS!D152:$E$1700,2,FALSE)</f>
        <v>27</v>
      </c>
      <c r="D153" s="18" t="s">
        <v>351</v>
      </c>
      <c r="G153" t="b">
        <f t="shared" si="171"/>
        <v>1</v>
      </c>
      <c r="I153" s="48" t="s">
        <v>106</v>
      </c>
      <c r="J153">
        <f t="shared" ref="J153:S162" si="198">IFERROR(VLOOKUP($I153&amp;"-"&amp;J$2,$A$3:$C$1700,3,FALSE),0)</f>
        <v>600</v>
      </c>
      <c r="K153">
        <f t="shared" si="198"/>
        <v>20130</v>
      </c>
      <c r="L153">
        <f t="shared" si="198"/>
        <v>60</v>
      </c>
      <c r="M153">
        <f t="shared" si="198"/>
        <v>240</v>
      </c>
      <c r="N153">
        <f t="shared" si="198"/>
        <v>60</v>
      </c>
      <c r="O153">
        <f t="shared" si="198"/>
        <v>0</v>
      </c>
      <c r="P153">
        <f t="shared" si="198"/>
        <v>0</v>
      </c>
      <c r="Q153">
        <f t="shared" si="198"/>
        <v>100</v>
      </c>
      <c r="R153">
        <f t="shared" si="198"/>
        <v>0</v>
      </c>
      <c r="S153">
        <f t="shared" si="198"/>
        <v>20</v>
      </c>
      <c r="T153">
        <f t="shared" ref="T153:AC162" si="199">IFERROR(VLOOKUP($I153&amp;"-"&amp;T$2,$A$3:$C$1700,3,FALSE),0)</f>
        <v>0</v>
      </c>
      <c r="U153">
        <f t="shared" si="199"/>
        <v>0</v>
      </c>
      <c r="V153">
        <f t="shared" si="199"/>
        <v>0</v>
      </c>
      <c r="W153">
        <f t="shared" si="199"/>
        <v>20</v>
      </c>
      <c r="X153">
        <f t="shared" si="199"/>
        <v>0</v>
      </c>
      <c r="Y153">
        <f t="shared" si="199"/>
        <v>0</v>
      </c>
      <c r="Z153">
        <f t="shared" si="199"/>
        <v>60</v>
      </c>
      <c r="AA153">
        <f t="shared" si="199"/>
        <v>380</v>
      </c>
      <c r="AB153">
        <f t="shared" si="199"/>
        <v>240</v>
      </c>
      <c r="AC153">
        <f t="shared" si="199"/>
        <v>120</v>
      </c>
      <c r="AD153">
        <f t="shared" ref="AD153:AM162" si="200">IFERROR(VLOOKUP($I153&amp;"-"&amp;AD$2,$A$3:$C$1700,3,FALSE),0)</f>
        <v>450</v>
      </c>
      <c r="AE153">
        <f t="shared" si="200"/>
        <v>90</v>
      </c>
      <c r="AF153">
        <f t="shared" si="200"/>
        <v>0</v>
      </c>
      <c r="AG153">
        <f t="shared" si="200"/>
        <v>120</v>
      </c>
      <c r="AH153">
        <f t="shared" si="200"/>
        <v>220</v>
      </c>
      <c r="AI153">
        <f t="shared" si="200"/>
        <v>200</v>
      </c>
      <c r="AJ153">
        <f t="shared" si="200"/>
        <v>520</v>
      </c>
      <c r="AK153">
        <f t="shared" si="200"/>
        <v>20</v>
      </c>
      <c r="AL153">
        <f t="shared" si="200"/>
        <v>60</v>
      </c>
      <c r="AM153">
        <f t="shared" si="200"/>
        <v>260</v>
      </c>
      <c r="AN153">
        <f t="shared" ref="AN153:AW162" si="201">IFERROR(VLOOKUP($I153&amp;"-"&amp;AN$2,$A$3:$C$1700,3,FALSE),0)</f>
        <v>30</v>
      </c>
      <c r="AO153">
        <f t="shared" si="201"/>
        <v>40</v>
      </c>
      <c r="AP153">
        <f t="shared" si="201"/>
        <v>720</v>
      </c>
      <c r="AQ153">
        <f t="shared" si="201"/>
        <v>20</v>
      </c>
      <c r="AR153">
        <f t="shared" si="201"/>
        <v>20</v>
      </c>
      <c r="AS153">
        <f t="shared" si="201"/>
        <v>20</v>
      </c>
      <c r="AT153">
        <f t="shared" si="201"/>
        <v>40</v>
      </c>
      <c r="AU153">
        <f t="shared" si="201"/>
        <v>840</v>
      </c>
      <c r="AV153">
        <f t="shared" si="201"/>
        <v>0</v>
      </c>
      <c r="AW153">
        <f t="shared" si="201"/>
        <v>0</v>
      </c>
      <c r="AX153">
        <f t="shared" ref="AX153:BG162" si="202">IFERROR(VLOOKUP($I153&amp;"-"&amp;AX$2,$A$3:$C$1700,3,FALSE),0)</f>
        <v>20</v>
      </c>
      <c r="AY153">
        <f t="shared" si="202"/>
        <v>40</v>
      </c>
      <c r="AZ153">
        <f t="shared" si="202"/>
        <v>630</v>
      </c>
      <c r="BA153">
        <f t="shared" si="202"/>
        <v>0</v>
      </c>
      <c r="BB153">
        <f t="shared" si="202"/>
        <v>0</v>
      </c>
      <c r="BC153">
        <f t="shared" si="202"/>
        <v>0</v>
      </c>
      <c r="BD153">
        <f t="shared" si="202"/>
        <v>0</v>
      </c>
      <c r="BE153">
        <f t="shared" si="202"/>
        <v>0</v>
      </c>
      <c r="BF153">
        <f t="shared" si="202"/>
        <v>0</v>
      </c>
      <c r="BG153">
        <f t="shared" si="202"/>
        <v>5625</v>
      </c>
      <c r="BH153">
        <f t="shared" ref="BH153:BQ162" si="203">IFERROR(VLOOKUP($I153&amp;"-"&amp;BH$2,$A$3:$C$1700,3,FALSE),0)</f>
        <v>4350</v>
      </c>
      <c r="BI153">
        <f t="shared" si="203"/>
        <v>60</v>
      </c>
      <c r="BJ153">
        <f t="shared" si="203"/>
        <v>0</v>
      </c>
      <c r="BK153">
        <f t="shared" si="203"/>
        <v>0</v>
      </c>
      <c r="BL153">
        <f t="shared" si="203"/>
        <v>60</v>
      </c>
      <c r="BM153">
        <f t="shared" si="203"/>
        <v>0</v>
      </c>
      <c r="BN153">
        <f t="shared" si="203"/>
        <v>0</v>
      </c>
      <c r="BO153">
        <f t="shared" si="203"/>
        <v>0</v>
      </c>
      <c r="BP153">
        <f t="shared" si="203"/>
        <v>0</v>
      </c>
      <c r="BQ153">
        <f t="shared" si="203"/>
        <v>0</v>
      </c>
      <c r="BR153">
        <f t="shared" ref="BR153:CA162" si="204">IFERROR(VLOOKUP($I153&amp;"-"&amp;BR$2,$A$3:$C$1700,3,FALSE),0)</f>
        <v>0</v>
      </c>
      <c r="BS153">
        <f t="shared" si="204"/>
        <v>0</v>
      </c>
      <c r="BT153">
        <f t="shared" si="204"/>
        <v>0</v>
      </c>
      <c r="BU153">
        <f t="shared" si="204"/>
        <v>0</v>
      </c>
      <c r="BV153">
        <f t="shared" si="204"/>
        <v>0</v>
      </c>
      <c r="BW153">
        <f t="shared" si="204"/>
        <v>0</v>
      </c>
      <c r="BX153">
        <f t="shared" si="204"/>
        <v>0</v>
      </c>
      <c r="BY153">
        <f t="shared" si="204"/>
        <v>0</v>
      </c>
      <c r="BZ153">
        <f t="shared" si="204"/>
        <v>0</v>
      </c>
      <c r="CA153">
        <f t="shared" si="204"/>
        <v>0</v>
      </c>
      <c r="CB153">
        <f t="shared" ref="CB153:CK162" si="205">IFERROR(VLOOKUP($I153&amp;"-"&amp;CB$2,$A$3:$C$1700,3,FALSE),0)</f>
        <v>0</v>
      </c>
      <c r="CC153">
        <f t="shared" si="205"/>
        <v>0</v>
      </c>
      <c r="CD153">
        <f t="shared" si="205"/>
        <v>0</v>
      </c>
      <c r="CE153">
        <f t="shared" si="205"/>
        <v>120</v>
      </c>
      <c r="CF153">
        <f t="shared" si="205"/>
        <v>60</v>
      </c>
      <c r="CG153">
        <f t="shared" si="205"/>
        <v>0</v>
      </c>
      <c r="CH153">
        <f t="shared" si="205"/>
        <v>60</v>
      </c>
      <c r="CI153">
        <f t="shared" si="205"/>
        <v>120</v>
      </c>
      <c r="CJ153">
        <f t="shared" si="205"/>
        <v>0</v>
      </c>
      <c r="CK153">
        <f t="shared" si="205"/>
        <v>720</v>
      </c>
      <c r="CL153">
        <f t="shared" ref="CL153:CU162" si="206">IFERROR(VLOOKUP($I153&amp;"-"&amp;CL$2,$A$3:$C$1700,3,FALSE),0)</f>
        <v>40</v>
      </c>
      <c r="CM153">
        <f t="shared" si="206"/>
        <v>0</v>
      </c>
      <c r="CN153">
        <f t="shared" si="206"/>
        <v>20</v>
      </c>
      <c r="CO153">
        <f t="shared" si="206"/>
        <v>0</v>
      </c>
      <c r="CP153">
        <f t="shared" si="206"/>
        <v>0</v>
      </c>
      <c r="CQ153">
        <f t="shared" si="206"/>
        <v>80</v>
      </c>
      <c r="CR153">
        <f t="shared" si="206"/>
        <v>140</v>
      </c>
      <c r="CS153">
        <f t="shared" si="206"/>
        <v>60</v>
      </c>
      <c r="CT153">
        <f t="shared" si="206"/>
        <v>200</v>
      </c>
      <c r="CU153">
        <f t="shared" si="206"/>
        <v>60</v>
      </c>
      <c r="CV153">
        <f t="shared" ref="CV153:DE162" si="207">IFERROR(VLOOKUP($I153&amp;"-"&amp;CV$2,$A$3:$C$1700,3,FALSE),0)</f>
        <v>30</v>
      </c>
      <c r="CW153">
        <f t="shared" si="207"/>
        <v>0</v>
      </c>
      <c r="CX153">
        <f t="shared" si="207"/>
        <v>100</v>
      </c>
      <c r="CY153">
        <f t="shared" si="207"/>
        <v>140</v>
      </c>
      <c r="CZ153">
        <f t="shared" si="207"/>
        <v>180</v>
      </c>
      <c r="DA153">
        <f t="shared" si="207"/>
        <v>80</v>
      </c>
      <c r="DB153">
        <f t="shared" si="207"/>
        <v>460</v>
      </c>
      <c r="DC153">
        <f t="shared" si="207"/>
        <v>420</v>
      </c>
      <c r="DD153">
        <f t="shared" si="207"/>
        <v>3360</v>
      </c>
      <c r="DE153">
        <f t="shared" si="207"/>
        <v>60</v>
      </c>
      <c r="DF153">
        <f t="shared" ref="DF153:DO162" si="208">IFERROR(VLOOKUP($I153&amp;"-"&amp;DF$2,$A$3:$C$1700,3,FALSE),0)</f>
        <v>100</v>
      </c>
      <c r="DG153">
        <f t="shared" si="208"/>
        <v>80</v>
      </c>
      <c r="DH153">
        <f t="shared" si="208"/>
        <v>0</v>
      </c>
      <c r="DI153">
        <f t="shared" si="208"/>
        <v>0</v>
      </c>
      <c r="DJ153">
        <f t="shared" si="208"/>
        <v>60</v>
      </c>
      <c r="DK153">
        <f t="shared" si="208"/>
        <v>0</v>
      </c>
      <c r="DL153">
        <f t="shared" si="208"/>
        <v>0</v>
      </c>
      <c r="DM153">
        <f t="shared" si="208"/>
        <v>0</v>
      </c>
      <c r="DN153">
        <f t="shared" si="208"/>
        <v>0</v>
      </c>
      <c r="DO153">
        <f t="shared" si="208"/>
        <v>0</v>
      </c>
      <c r="DP153">
        <f t="shared" ref="DP153:DY162" si="209">IFERROR(VLOOKUP($I153&amp;"-"&amp;DP$2,$A$3:$C$1700,3,FALSE),0)</f>
        <v>0</v>
      </c>
      <c r="DQ153">
        <f t="shared" si="209"/>
        <v>0</v>
      </c>
      <c r="DR153">
        <f t="shared" si="209"/>
        <v>0</v>
      </c>
      <c r="DS153">
        <f t="shared" si="209"/>
        <v>0</v>
      </c>
      <c r="DT153">
        <f t="shared" si="209"/>
        <v>0</v>
      </c>
      <c r="DU153">
        <f t="shared" si="209"/>
        <v>0</v>
      </c>
      <c r="DV153">
        <f t="shared" si="209"/>
        <v>0</v>
      </c>
      <c r="DW153">
        <f t="shared" si="209"/>
        <v>0</v>
      </c>
      <c r="DX153">
        <f t="shared" si="209"/>
        <v>0</v>
      </c>
      <c r="DY153">
        <f t="shared" si="209"/>
        <v>0</v>
      </c>
      <c r="DZ153">
        <f t="shared" ref="DZ153:EI162" si="210">IFERROR(VLOOKUP($I153&amp;"-"&amp;DZ$2,$A$3:$C$1700,3,FALSE),0)</f>
        <v>0</v>
      </c>
      <c r="EA153">
        <f t="shared" si="210"/>
        <v>0</v>
      </c>
      <c r="EB153">
        <f t="shared" si="210"/>
        <v>0</v>
      </c>
      <c r="EC153">
        <f t="shared" si="210"/>
        <v>0</v>
      </c>
      <c r="ED153">
        <f t="shared" si="210"/>
        <v>0</v>
      </c>
      <c r="EE153">
        <f t="shared" si="210"/>
        <v>0</v>
      </c>
      <c r="EF153">
        <f t="shared" si="210"/>
        <v>0</v>
      </c>
      <c r="EG153">
        <f t="shared" si="210"/>
        <v>0</v>
      </c>
      <c r="EH153">
        <f t="shared" si="210"/>
        <v>0</v>
      </c>
      <c r="EI153">
        <f t="shared" si="210"/>
        <v>0</v>
      </c>
      <c r="EJ153">
        <f>SUM(Tabla1[[#This Row],[1]:[130]])</f>
        <v>43235</v>
      </c>
    </row>
    <row r="154" spans="1:140" ht="15.75" thickBot="1" x14ac:dyDescent="0.3">
      <c r="A154" t="str">
        <f>B154&amp;"-"&amp;COUNTIF($B$2:B154,B154)</f>
        <v>I. SPRITE 350-1</v>
      </c>
      <c r="B154" s="52" t="s">
        <v>119</v>
      </c>
      <c r="C154">
        <f>VLOOKUP(B154,RECETAS!D153:$E$1700,2,FALSE)</f>
        <v>8</v>
      </c>
      <c r="D154" s="49" t="s">
        <v>352</v>
      </c>
      <c r="G154" t="b">
        <f t="shared" si="171"/>
        <v>1</v>
      </c>
      <c r="I154" s="52" t="s">
        <v>107</v>
      </c>
      <c r="J154">
        <f t="shared" si="198"/>
        <v>0</v>
      </c>
      <c r="K154">
        <f t="shared" si="198"/>
        <v>8910</v>
      </c>
      <c r="L154">
        <f t="shared" si="198"/>
        <v>0</v>
      </c>
      <c r="M154">
        <f t="shared" si="198"/>
        <v>0</v>
      </c>
      <c r="N154">
        <f t="shared" si="198"/>
        <v>900</v>
      </c>
      <c r="O154">
        <f t="shared" si="198"/>
        <v>150</v>
      </c>
      <c r="P154">
        <f t="shared" si="198"/>
        <v>100</v>
      </c>
      <c r="Q154">
        <f t="shared" si="198"/>
        <v>0</v>
      </c>
      <c r="R154">
        <f t="shared" si="198"/>
        <v>450</v>
      </c>
      <c r="S154">
        <f t="shared" si="198"/>
        <v>0</v>
      </c>
      <c r="T154">
        <f t="shared" si="199"/>
        <v>0</v>
      </c>
      <c r="U154">
        <f t="shared" si="199"/>
        <v>0</v>
      </c>
      <c r="V154">
        <f t="shared" si="199"/>
        <v>0</v>
      </c>
      <c r="W154">
        <f t="shared" si="199"/>
        <v>0</v>
      </c>
      <c r="X154">
        <f t="shared" si="199"/>
        <v>0</v>
      </c>
      <c r="Y154">
        <f t="shared" si="199"/>
        <v>0</v>
      </c>
      <c r="Z154">
        <f t="shared" si="199"/>
        <v>0</v>
      </c>
      <c r="AA154">
        <f t="shared" si="199"/>
        <v>0</v>
      </c>
      <c r="AB154">
        <f t="shared" si="199"/>
        <v>0</v>
      </c>
      <c r="AC154">
        <f t="shared" si="199"/>
        <v>0</v>
      </c>
      <c r="AD154">
        <f t="shared" si="200"/>
        <v>0</v>
      </c>
      <c r="AE154">
        <f t="shared" si="200"/>
        <v>0</v>
      </c>
      <c r="AF154">
        <f t="shared" si="200"/>
        <v>0</v>
      </c>
      <c r="AG154">
        <f t="shared" si="200"/>
        <v>0</v>
      </c>
      <c r="AH154">
        <f t="shared" si="200"/>
        <v>0</v>
      </c>
      <c r="AI154">
        <f t="shared" si="200"/>
        <v>0</v>
      </c>
      <c r="AJ154">
        <f t="shared" si="200"/>
        <v>0</v>
      </c>
      <c r="AK154">
        <f t="shared" si="200"/>
        <v>0</v>
      </c>
      <c r="AL154">
        <f t="shared" si="200"/>
        <v>0</v>
      </c>
      <c r="AM154">
        <f t="shared" si="200"/>
        <v>0</v>
      </c>
      <c r="AN154">
        <f t="shared" si="201"/>
        <v>0</v>
      </c>
      <c r="AO154">
        <f t="shared" si="201"/>
        <v>0</v>
      </c>
      <c r="AP154">
        <f t="shared" si="201"/>
        <v>0</v>
      </c>
      <c r="AQ154">
        <f t="shared" si="201"/>
        <v>0</v>
      </c>
      <c r="AR154">
        <f t="shared" si="201"/>
        <v>0</v>
      </c>
      <c r="AS154">
        <f t="shared" si="201"/>
        <v>0</v>
      </c>
      <c r="AT154">
        <f t="shared" si="201"/>
        <v>0</v>
      </c>
      <c r="AU154">
        <f t="shared" si="201"/>
        <v>0</v>
      </c>
      <c r="AV154">
        <f t="shared" si="201"/>
        <v>0</v>
      </c>
      <c r="AW154">
        <f t="shared" si="201"/>
        <v>0</v>
      </c>
      <c r="AX154">
        <f t="shared" si="202"/>
        <v>0</v>
      </c>
      <c r="AY154">
        <f t="shared" si="202"/>
        <v>0</v>
      </c>
      <c r="AZ154">
        <f t="shared" si="202"/>
        <v>0</v>
      </c>
      <c r="BA154">
        <f t="shared" si="202"/>
        <v>0</v>
      </c>
      <c r="BB154">
        <f t="shared" si="202"/>
        <v>0</v>
      </c>
      <c r="BC154">
        <f t="shared" si="202"/>
        <v>0</v>
      </c>
      <c r="BD154">
        <f t="shared" si="202"/>
        <v>0</v>
      </c>
      <c r="BE154">
        <f t="shared" si="202"/>
        <v>0</v>
      </c>
      <c r="BF154">
        <f t="shared" si="202"/>
        <v>0</v>
      </c>
      <c r="BG154">
        <f t="shared" si="202"/>
        <v>0</v>
      </c>
      <c r="BH154">
        <f t="shared" si="203"/>
        <v>0</v>
      </c>
      <c r="BI154">
        <f t="shared" si="203"/>
        <v>0</v>
      </c>
      <c r="BJ154">
        <f t="shared" si="203"/>
        <v>0</v>
      </c>
      <c r="BK154">
        <f t="shared" si="203"/>
        <v>0</v>
      </c>
      <c r="BL154">
        <f t="shared" si="203"/>
        <v>0</v>
      </c>
      <c r="BM154">
        <f t="shared" si="203"/>
        <v>0</v>
      </c>
      <c r="BN154">
        <f t="shared" si="203"/>
        <v>0</v>
      </c>
      <c r="BO154">
        <f t="shared" si="203"/>
        <v>0</v>
      </c>
      <c r="BP154">
        <f t="shared" si="203"/>
        <v>0</v>
      </c>
      <c r="BQ154">
        <f t="shared" si="203"/>
        <v>0</v>
      </c>
      <c r="BR154">
        <f t="shared" si="204"/>
        <v>0</v>
      </c>
      <c r="BS154">
        <f t="shared" si="204"/>
        <v>0</v>
      </c>
      <c r="BT154">
        <f t="shared" si="204"/>
        <v>0</v>
      </c>
      <c r="BU154">
        <f t="shared" si="204"/>
        <v>0</v>
      </c>
      <c r="BV154">
        <f t="shared" si="204"/>
        <v>0</v>
      </c>
      <c r="BW154">
        <f t="shared" si="204"/>
        <v>0</v>
      </c>
      <c r="BX154">
        <f t="shared" si="204"/>
        <v>0</v>
      </c>
      <c r="BY154">
        <f t="shared" si="204"/>
        <v>0</v>
      </c>
      <c r="BZ154">
        <f t="shared" si="204"/>
        <v>0</v>
      </c>
      <c r="CA154">
        <f t="shared" si="204"/>
        <v>0</v>
      </c>
      <c r="CB154">
        <f t="shared" si="205"/>
        <v>0</v>
      </c>
      <c r="CC154">
        <f t="shared" si="205"/>
        <v>0</v>
      </c>
      <c r="CD154">
        <f t="shared" si="205"/>
        <v>0</v>
      </c>
      <c r="CE154">
        <f t="shared" si="205"/>
        <v>0</v>
      </c>
      <c r="CF154">
        <f t="shared" si="205"/>
        <v>0</v>
      </c>
      <c r="CG154">
        <f t="shared" si="205"/>
        <v>0</v>
      </c>
      <c r="CH154">
        <f t="shared" si="205"/>
        <v>0</v>
      </c>
      <c r="CI154">
        <f t="shared" si="205"/>
        <v>0</v>
      </c>
      <c r="CJ154">
        <f t="shared" si="205"/>
        <v>0</v>
      </c>
      <c r="CK154">
        <f t="shared" si="205"/>
        <v>0</v>
      </c>
      <c r="CL154">
        <f t="shared" si="206"/>
        <v>0</v>
      </c>
      <c r="CM154">
        <f t="shared" si="206"/>
        <v>0</v>
      </c>
      <c r="CN154">
        <f t="shared" si="206"/>
        <v>0</v>
      </c>
      <c r="CO154">
        <f t="shared" si="206"/>
        <v>0</v>
      </c>
      <c r="CP154">
        <f t="shared" si="206"/>
        <v>0</v>
      </c>
      <c r="CQ154">
        <f t="shared" si="206"/>
        <v>0</v>
      </c>
      <c r="CR154">
        <f t="shared" si="206"/>
        <v>0</v>
      </c>
      <c r="CS154">
        <f t="shared" si="206"/>
        <v>0</v>
      </c>
      <c r="CT154">
        <f t="shared" si="206"/>
        <v>0</v>
      </c>
      <c r="CU154">
        <f t="shared" si="206"/>
        <v>0</v>
      </c>
      <c r="CV154">
        <f t="shared" si="207"/>
        <v>0</v>
      </c>
      <c r="CW154">
        <f t="shared" si="207"/>
        <v>0</v>
      </c>
      <c r="CX154">
        <f t="shared" si="207"/>
        <v>0</v>
      </c>
      <c r="CY154">
        <f t="shared" si="207"/>
        <v>0</v>
      </c>
      <c r="CZ154">
        <f t="shared" si="207"/>
        <v>0</v>
      </c>
      <c r="DA154">
        <f t="shared" si="207"/>
        <v>0</v>
      </c>
      <c r="DB154">
        <f t="shared" si="207"/>
        <v>0</v>
      </c>
      <c r="DC154">
        <f t="shared" si="207"/>
        <v>0</v>
      </c>
      <c r="DD154">
        <f t="shared" si="207"/>
        <v>0</v>
      </c>
      <c r="DE154">
        <f t="shared" si="207"/>
        <v>0</v>
      </c>
      <c r="DF154">
        <f t="shared" si="208"/>
        <v>0</v>
      </c>
      <c r="DG154">
        <f t="shared" si="208"/>
        <v>0</v>
      </c>
      <c r="DH154">
        <f t="shared" si="208"/>
        <v>0</v>
      </c>
      <c r="DI154">
        <f t="shared" si="208"/>
        <v>0</v>
      </c>
      <c r="DJ154">
        <f t="shared" si="208"/>
        <v>0</v>
      </c>
      <c r="DK154">
        <f t="shared" si="208"/>
        <v>0</v>
      </c>
      <c r="DL154">
        <f t="shared" si="208"/>
        <v>0</v>
      </c>
      <c r="DM154">
        <f t="shared" si="208"/>
        <v>0</v>
      </c>
      <c r="DN154">
        <f t="shared" si="208"/>
        <v>0</v>
      </c>
      <c r="DO154">
        <f t="shared" si="208"/>
        <v>0</v>
      </c>
      <c r="DP154">
        <f t="shared" si="209"/>
        <v>0</v>
      </c>
      <c r="DQ154">
        <f t="shared" si="209"/>
        <v>0</v>
      </c>
      <c r="DR154">
        <f t="shared" si="209"/>
        <v>0</v>
      </c>
      <c r="DS154">
        <f t="shared" si="209"/>
        <v>0</v>
      </c>
      <c r="DT154">
        <f t="shared" si="209"/>
        <v>0</v>
      </c>
      <c r="DU154">
        <f t="shared" si="209"/>
        <v>0</v>
      </c>
      <c r="DV154">
        <f t="shared" si="209"/>
        <v>0</v>
      </c>
      <c r="DW154">
        <f t="shared" si="209"/>
        <v>0</v>
      </c>
      <c r="DX154">
        <f t="shared" si="209"/>
        <v>0</v>
      </c>
      <c r="DY154">
        <f t="shared" si="209"/>
        <v>0</v>
      </c>
      <c r="DZ154">
        <f t="shared" si="210"/>
        <v>0</v>
      </c>
      <c r="EA154">
        <f t="shared" si="210"/>
        <v>0</v>
      </c>
      <c r="EB154">
        <f t="shared" si="210"/>
        <v>0</v>
      </c>
      <c r="EC154">
        <f t="shared" si="210"/>
        <v>0</v>
      </c>
      <c r="ED154">
        <f t="shared" si="210"/>
        <v>0</v>
      </c>
      <c r="EE154">
        <f t="shared" si="210"/>
        <v>0</v>
      </c>
      <c r="EF154">
        <f t="shared" si="210"/>
        <v>0</v>
      </c>
      <c r="EG154">
        <f t="shared" si="210"/>
        <v>0</v>
      </c>
      <c r="EH154">
        <f t="shared" si="210"/>
        <v>0</v>
      </c>
      <c r="EI154">
        <f t="shared" si="210"/>
        <v>0</v>
      </c>
      <c r="EJ154">
        <f>SUM(Tabla1[[#This Row],[1]:[130]])</f>
        <v>10510</v>
      </c>
    </row>
    <row r="155" spans="1:140" ht="15.75" thickBot="1" x14ac:dyDescent="0.3">
      <c r="A155" t="str">
        <f>B155&amp;"-"&amp;COUNTIF($B$2:B155,B155)</f>
        <v>I. SPRITE ZERO 350-1</v>
      </c>
      <c r="B155" s="48" t="s">
        <v>120</v>
      </c>
      <c r="C155">
        <f>VLOOKUP(B155,RECETAS!D154:$E$1700,2,FALSE)</f>
        <v>20</v>
      </c>
      <c r="D155" s="18" t="s">
        <v>353</v>
      </c>
      <c r="G155" t="b">
        <f t="shared" si="171"/>
        <v>1</v>
      </c>
      <c r="I155" s="47" t="s">
        <v>108</v>
      </c>
      <c r="J155">
        <f t="shared" si="198"/>
        <v>0</v>
      </c>
      <c r="K155">
        <f t="shared" si="198"/>
        <v>450</v>
      </c>
      <c r="L155">
        <f t="shared" si="198"/>
        <v>225</v>
      </c>
      <c r="M155">
        <f t="shared" si="198"/>
        <v>0</v>
      </c>
      <c r="N155">
        <f t="shared" si="198"/>
        <v>2700</v>
      </c>
      <c r="O155">
        <f t="shared" si="198"/>
        <v>675</v>
      </c>
      <c r="P155">
        <f t="shared" si="198"/>
        <v>0</v>
      </c>
      <c r="Q155">
        <f t="shared" si="198"/>
        <v>0</v>
      </c>
      <c r="R155">
        <f t="shared" si="198"/>
        <v>0</v>
      </c>
      <c r="S155">
        <f t="shared" si="198"/>
        <v>0</v>
      </c>
      <c r="T155">
        <f t="shared" si="199"/>
        <v>0</v>
      </c>
      <c r="U155">
        <f t="shared" si="199"/>
        <v>0</v>
      </c>
      <c r="V155">
        <f t="shared" si="199"/>
        <v>0</v>
      </c>
      <c r="W155">
        <f t="shared" si="199"/>
        <v>0</v>
      </c>
      <c r="X155">
        <f t="shared" si="199"/>
        <v>0</v>
      </c>
      <c r="Y155">
        <f t="shared" si="199"/>
        <v>0</v>
      </c>
      <c r="Z155">
        <f t="shared" si="199"/>
        <v>0</v>
      </c>
      <c r="AA155">
        <f t="shared" si="199"/>
        <v>0</v>
      </c>
      <c r="AB155">
        <f t="shared" si="199"/>
        <v>0</v>
      </c>
      <c r="AC155">
        <f t="shared" si="199"/>
        <v>0</v>
      </c>
      <c r="AD155">
        <f t="shared" si="200"/>
        <v>0</v>
      </c>
      <c r="AE155">
        <f t="shared" si="200"/>
        <v>0</v>
      </c>
      <c r="AF155">
        <f t="shared" si="200"/>
        <v>0</v>
      </c>
      <c r="AG155">
        <f t="shared" si="200"/>
        <v>0</v>
      </c>
      <c r="AH155">
        <f t="shared" si="200"/>
        <v>0</v>
      </c>
      <c r="AI155">
        <f t="shared" si="200"/>
        <v>0</v>
      </c>
      <c r="AJ155">
        <f t="shared" si="200"/>
        <v>0</v>
      </c>
      <c r="AK155">
        <f t="shared" si="200"/>
        <v>0</v>
      </c>
      <c r="AL155">
        <f t="shared" si="200"/>
        <v>0</v>
      </c>
      <c r="AM155">
        <f t="shared" si="200"/>
        <v>0</v>
      </c>
      <c r="AN155">
        <f t="shared" si="201"/>
        <v>0</v>
      </c>
      <c r="AO155">
        <f t="shared" si="201"/>
        <v>0</v>
      </c>
      <c r="AP155">
        <f t="shared" si="201"/>
        <v>0</v>
      </c>
      <c r="AQ155">
        <f t="shared" si="201"/>
        <v>0</v>
      </c>
      <c r="AR155">
        <f t="shared" si="201"/>
        <v>0</v>
      </c>
      <c r="AS155">
        <f t="shared" si="201"/>
        <v>0</v>
      </c>
      <c r="AT155">
        <f t="shared" si="201"/>
        <v>0</v>
      </c>
      <c r="AU155">
        <f t="shared" si="201"/>
        <v>0</v>
      </c>
      <c r="AV155">
        <f t="shared" si="201"/>
        <v>0</v>
      </c>
      <c r="AW155">
        <f t="shared" si="201"/>
        <v>0</v>
      </c>
      <c r="AX155">
        <f t="shared" si="202"/>
        <v>0</v>
      </c>
      <c r="AY155">
        <f t="shared" si="202"/>
        <v>0</v>
      </c>
      <c r="AZ155">
        <f t="shared" si="202"/>
        <v>0</v>
      </c>
      <c r="BA155">
        <f t="shared" si="202"/>
        <v>0</v>
      </c>
      <c r="BB155">
        <f t="shared" si="202"/>
        <v>0</v>
      </c>
      <c r="BC155">
        <f t="shared" si="202"/>
        <v>0</v>
      </c>
      <c r="BD155">
        <f t="shared" si="202"/>
        <v>0</v>
      </c>
      <c r="BE155">
        <f t="shared" si="202"/>
        <v>0</v>
      </c>
      <c r="BF155">
        <f t="shared" si="202"/>
        <v>0</v>
      </c>
      <c r="BG155">
        <f t="shared" si="202"/>
        <v>0</v>
      </c>
      <c r="BH155">
        <f t="shared" si="203"/>
        <v>0</v>
      </c>
      <c r="BI155">
        <f t="shared" si="203"/>
        <v>0</v>
      </c>
      <c r="BJ155">
        <f t="shared" si="203"/>
        <v>0</v>
      </c>
      <c r="BK155">
        <f t="shared" si="203"/>
        <v>0</v>
      </c>
      <c r="BL155">
        <f t="shared" si="203"/>
        <v>0</v>
      </c>
      <c r="BM155">
        <f t="shared" si="203"/>
        <v>0</v>
      </c>
      <c r="BN155">
        <f t="shared" si="203"/>
        <v>0</v>
      </c>
      <c r="BO155">
        <f t="shared" si="203"/>
        <v>0</v>
      </c>
      <c r="BP155">
        <f t="shared" si="203"/>
        <v>0</v>
      </c>
      <c r="BQ155">
        <f t="shared" si="203"/>
        <v>0</v>
      </c>
      <c r="BR155">
        <f t="shared" si="204"/>
        <v>0</v>
      </c>
      <c r="BS155">
        <f t="shared" si="204"/>
        <v>0</v>
      </c>
      <c r="BT155">
        <f t="shared" si="204"/>
        <v>0</v>
      </c>
      <c r="BU155">
        <f t="shared" si="204"/>
        <v>0</v>
      </c>
      <c r="BV155">
        <f t="shared" si="204"/>
        <v>0</v>
      </c>
      <c r="BW155">
        <f t="shared" si="204"/>
        <v>0</v>
      </c>
      <c r="BX155">
        <f t="shared" si="204"/>
        <v>0</v>
      </c>
      <c r="BY155">
        <f t="shared" si="204"/>
        <v>0</v>
      </c>
      <c r="BZ155">
        <f t="shared" si="204"/>
        <v>0</v>
      </c>
      <c r="CA155">
        <f t="shared" si="204"/>
        <v>0</v>
      </c>
      <c r="CB155">
        <f t="shared" si="205"/>
        <v>0</v>
      </c>
      <c r="CC155">
        <f t="shared" si="205"/>
        <v>0</v>
      </c>
      <c r="CD155">
        <f t="shared" si="205"/>
        <v>0</v>
      </c>
      <c r="CE155">
        <f t="shared" si="205"/>
        <v>0</v>
      </c>
      <c r="CF155">
        <f t="shared" si="205"/>
        <v>0</v>
      </c>
      <c r="CG155">
        <f t="shared" si="205"/>
        <v>0</v>
      </c>
      <c r="CH155">
        <f t="shared" si="205"/>
        <v>0</v>
      </c>
      <c r="CI155">
        <f t="shared" si="205"/>
        <v>0</v>
      </c>
      <c r="CJ155">
        <f t="shared" si="205"/>
        <v>0</v>
      </c>
      <c r="CK155">
        <f t="shared" si="205"/>
        <v>0</v>
      </c>
      <c r="CL155">
        <f t="shared" si="206"/>
        <v>0</v>
      </c>
      <c r="CM155">
        <f t="shared" si="206"/>
        <v>0</v>
      </c>
      <c r="CN155">
        <f t="shared" si="206"/>
        <v>0</v>
      </c>
      <c r="CO155">
        <f t="shared" si="206"/>
        <v>0</v>
      </c>
      <c r="CP155">
        <f t="shared" si="206"/>
        <v>0</v>
      </c>
      <c r="CQ155">
        <f t="shared" si="206"/>
        <v>0</v>
      </c>
      <c r="CR155">
        <f t="shared" si="206"/>
        <v>0</v>
      </c>
      <c r="CS155">
        <f t="shared" si="206"/>
        <v>0</v>
      </c>
      <c r="CT155">
        <f t="shared" si="206"/>
        <v>0</v>
      </c>
      <c r="CU155">
        <f t="shared" si="206"/>
        <v>0</v>
      </c>
      <c r="CV155">
        <f t="shared" si="207"/>
        <v>0</v>
      </c>
      <c r="CW155">
        <f t="shared" si="207"/>
        <v>0</v>
      </c>
      <c r="CX155">
        <f t="shared" si="207"/>
        <v>0</v>
      </c>
      <c r="CY155">
        <f t="shared" si="207"/>
        <v>0</v>
      </c>
      <c r="CZ155">
        <f t="shared" si="207"/>
        <v>0</v>
      </c>
      <c r="DA155">
        <f t="shared" si="207"/>
        <v>0</v>
      </c>
      <c r="DB155">
        <f t="shared" si="207"/>
        <v>0</v>
      </c>
      <c r="DC155">
        <f t="shared" si="207"/>
        <v>0</v>
      </c>
      <c r="DD155">
        <f t="shared" si="207"/>
        <v>0</v>
      </c>
      <c r="DE155">
        <f t="shared" si="207"/>
        <v>0</v>
      </c>
      <c r="DF155">
        <f t="shared" si="208"/>
        <v>0</v>
      </c>
      <c r="DG155">
        <f t="shared" si="208"/>
        <v>0</v>
      </c>
      <c r="DH155">
        <f t="shared" si="208"/>
        <v>0</v>
      </c>
      <c r="DI155">
        <f t="shared" si="208"/>
        <v>0</v>
      </c>
      <c r="DJ155">
        <f t="shared" si="208"/>
        <v>0</v>
      </c>
      <c r="DK155">
        <f t="shared" si="208"/>
        <v>0</v>
      </c>
      <c r="DL155">
        <f t="shared" si="208"/>
        <v>0</v>
      </c>
      <c r="DM155">
        <f t="shared" si="208"/>
        <v>0</v>
      </c>
      <c r="DN155">
        <f t="shared" si="208"/>
        <v>0</v>
      </c>
      <c r="DO155">
        <f t="shared" si="208"/>
        <v>0</v>
      </c>
      <c r="DP155">
        <f t="shared" si="209"/>
        <v>0</v>
      </c>
      <c r="DQ155">
        <f t="shared" si="209"/>
        <v>0</v>
      </c>
      <c r="DR155">
        <f t="shared" si="209"/>
        <v>0</v>
      </c>
      <c r="DS155">
        <f t="shared" si="209"/>
        <v>0</v>
      </c>
      <c r="DT155">
        <f t="shared" si="209"/>
        <v>0</v>
      </c>
      <c r="DU155">
        <f t="shared" si="209"/>
        <v>0</v>
      </c>
      <c r="DV155">
        <f t="shared" si="209"/>
        <v>0</v>
      </c>
      <c r="DW155">
        <f t="shared" si="209"/>
        <v>0</v>
      </c>
      <c r="DX155">
        <f t="shared" si="209"/>
        <v>0</v>
      </c>
      <c r="DY155">
        <f t="shared" si="209"/>
        <v>0</v>
      </c>
      <c r="DZ155">
        <f t="shared" si="210"/>
        <v>0</v>
      </c>
      <c r="EA155">
        <f t="shared" si="210"/>
        <v>0</v>
      </c>
      <c r="EB155">
        <f t="shared" si="210"/>
        <v>0</v>
      </c>
      <c r="EC155">
        <f t="shared" si="210"/>
        <v>0</v>
      </c>
      <c r="ED155">
        <f t="shared" si="210"/>
        <v>0</v>
      </c>
      <c r="EE155">
        <f t="shared" si="210"/>
        <v>0</v>
      </c>
      <c r="EF155">
        <f t="shared" si="210"/>
        <v>0</v>
      </c>
      <c r="EG155">
        <f t="shared" si="210"/>
        <v>0</v>
      </c>
      <c r="EH155">
        <f t="shared" si="210"/>
        <v>0</v>
      </c>
      <c r="EI155">
        <f t="shared" si="210"/>
        <v>0</v>
      </c>
      <c r="EJ155">
        <f>SUM(Tabla1[[#This Row],[1]:[130]])</f>
        <v>4050</v>
      </c>
    </row>
    <row r="156" spans="1:140" ht="15.75" thickBot="1" x14ac:dyDescent="0.3">
      <c r="A156" t="str">
        <f>B156&amp;"-"&amp;COUNTIF($B$2:B156,B156)</f>
        <v>I. FANTA 350-1</v>
      </c>
      <c r="B156" s="48" t="s">
        <v>71</v>
      </c>
      <c r="C156">
        <f>VLOOKUP(B156,RECETAS!D155:$E$1700,2,FALSE)</f>
        <v>5</v>
      </c>
      <c r="D156" s="18" t="s">
        <v>354</v>
      </c>
      <c r="G156" t="b">
        <f t="shared" si="171"/>
        <v>1</v>
      </c>
      <c r="I156" s="20" t="s">
        <v>27</v>
      </c>
      <c r="J156">
        <f t="shared" si="198"/>
        <v>28</v>
      </c>
      <c r="K156">
        <f t="shared" si="198"/>
        <v>20</v>
      </c>
      <c r="L156">
        <f t="shared" si="198"/>
        <v>0</v>
      </c>
      <c r="M156">
        <f t="shared" si="198"/>
        <v>0</v>
      </c>
      <c r="N156">
        <f t="shared" si="198"/>
        <v>2</v>
      </c>
      <c r="O156">
        <f t="shared" si="198"/>
        <v>4</v>
      </c>
      <c r="P156">
        <f t="shared" si="198"/>
        <v>0</v>
      </c>
      <c r="Q156">
        <f t="shared" si="198"/>
        <v>0</v>
      </c>
      <c r="R156">
        <f t="shared" si="198"/>
        <v>0</v>
      </c>
      <c r="S156">
        <f t="shared" si="198"/>
        <v>0</v>
      </c>
      <c r="T156">
        <f t="shared" si="199"/>
        <v>0</v>
      </c>
      <c r="U156">
        <f t="shared" si="199"/>
        <v>0</v>
      </c>
      <c r="V156">
        <f t="shared" si="199"/>
        <v>0</v>
      </c>
      <c r="W156">
        <f t="shared" si="199"/>
        <v>0</v>
      </c>
      <c r="X156">
        <f t="shared" si="199"/>
        <v>0</v>
      </c>
      <c r="Y156">
        <f t="shared" si="199"/>
        <v>0</v>
      </c>
      <c r="Z156">
        <f t="shared" si="199"/>
        <v>0</v>
      </c>
      <c r="AA156">
        <f t="shared" si="199"/>
        <v>0</v>
      </c>
      <c r="AB156">
        <f t="shared" si="199"/>
        <v>0</v>
      </c>
      <c r="AC156">
        <f t="shared" si="199"/>
        <v>0</v>
      </c>
      <c r="AD156">
        <f t="shared" si="200"/>
        <v>0</v>
      </c>
      <c r="AE156">
        <f t="shared" si="200"/>
        <v>0</v>
      </c>
      <c r="AF156">
        <f t="shared" si="200"/>
        <v>0</v>
      </c>
      <c r="AG156">
        <f t="shared" si="200"/>
        <v>0</v>
      </c>
      <c r="AH156">
        <f t="shared" si="200"/>
        <v>0</v>
      </c>
      <c r="AI156">
        <f t="shared" si="200"/>
        <v>0</v>
      </c>
      <c r="AJ156">
        <f t="shared" si="200"/>
        <v>0</v>
      </c>
      <c r="AK156">
        <f t="shared" si="200"/>
        <v>0</v>
      </c>
      <c r="AL156">
        <f t="shared" si="200"/>
        <v>0</v>
      </c>
      <c r="AM156">
        <f t="shared" si="200"/>
        <v>0</v>
      </c>
      <c r="AN156">
        <f t="shared" si="201"/>
        <v>0</v>
      </c>
      <c r="AO156">
        <f t="shared" si="201"/>
        <v>0</v>
      </c>
      <c r="AP156">
        <f t="shared" si="201"/>
        <v>0</v>
      </c>
      <c r="AQ156">
        <f t="shared" si="201"/>
        <v>0</v>
      </c>
      <c r="AR156">
        <f t="shared" si="201"/>
        <v>0</v>
      </c>
      <c r="AS156">
        <f t="shared" si="201"/>
        <v>0</v>
      </c>
      <c r="AT156">
        <f t="shared" si="201"/>
        <v>0</v>
      </c>
      <c r="AU156">
        <f t="shared" si="201"/>
        <v>0</v>
      </c>
      <c r="AV156">
        <f t="shared" si="201"/>
        <v>0</v>
      </c>
      <c r="AW156">
        <f t="shared" si="201"/>
        <v>0</v>
      </c>
      <c r="AX156">
        <f t="shared" si="202"/>
        <v>0</v>
      </c>
      <c r="AY156">
        <f t="shared" si="202"/>
        <v>0</v>
      </c>
      <c r="AZ156">
        <f t="shared" si="202"/>
        <v>0</v>
      </c>
      <c r="BA156">
        <f t="shared" si="202"/>
        <v>0</v>
      </c>
      <c r="BB156">
        <f t="shared" si="202"/>
        <v>0</v>
      </c>
      <c r="BC156">
        <f t="shared" si="202"/>
        <v>0</v>
      </c>
      <c r="BD156">
        <f t="shared" si="202"/>
        <v>0</v>
      </c>
      <c r="BE156">
        <f t="shared" si="202"/>
        <v>0</v>
      </c>
      <c r="BF156">
        <f t="shared" si="202"/>
        <v>0</v>
      </c>
      <c r="BG156">
        <f t="shared" si="202"/>
        <v>0</v>
      </c>
      <c r="BH156">
        <f t="shared" si="203"/>
        <v>0</v>
      </c>
      <c r="BI156">
        <f t="shared" si="203"/>
        <v>0</v>
      </c>
      <c r="BJ156">
        <f t="shared" si="203"/>
        <v>0</v>
      </c>
      <c r="BK156">
        <f t="shared" si="203"/>
        <v>0</v>
      </c>
      <c r="BL156">
        <f t="shared" si="203"/>
        <v>0</v>
      </c>
      <c r="BM156">
        <f t="shared" si="203"/>
        <v>0</v>
      </c>
      <c r="BN156">
        <f t="shared" si="203"/>
        <v>0</v>
      </c>
      <c r="BO156">
        <f t="shared" si="203"/>
        <v>0</v>
      </c>
      <c r="BP156">
        <f t="shared" si="203"/>
        <v>0</v>
      </c>
      <c r="BQ156">
        <f t="shared" si="203"/>
        <v>0</v>
      </c>
      <c r="BR156">
        <f t="shared" si="204"/>
        <v>0</v>
      </c>
      <c r="BS156">
        <f t="shared" si="204"/>
        <v>0</v>
      </c>
      <c r="BT156">
        <f t="shared" si="204"/>
        <v>0</v>
      </c>
      <c r="BU156">
        <f t="shared" si="204"/>
        <v>0</v>
      </c>
      <c r="BV156">
        <f t="shared" si="204"/>
        <v>0</v>
      </c>
      <c r="BW156">
        <f t="shared" si="204"/>
        <v>0</v>
      </c>
      <c r="BX156">
        <f t="shared" si="204"/>
        <v>0</v>
      </c>
      <c r="BY156">
        <f t="shared" si="204"/>
        <v>0</v>
      </c>
      <c r="BZ156">
        <f t="shared" si="204"/>
        <v>0</v>
      </c>
      <c r="CA156">
        <f t="shared" si="204"/>
        <v>0</v>
      </c>
      <c r="CB156">
        <f t="shared" si="205"/>
        <v>0</v>
      </c>
      <c r="CC156">
        <f t="shared" si="205"/>
        <v>0</v>
      </c>
      <c r="CD156">
        <f t="shared" si="205"/>
        <v>0</v>
      </c>
      <c r="CE156">
        <f t="shared" si="205"/>
        <v>0</v>
      </c>
      <c r="CF156">
        <f t="shared" si="205"/>
        <v>0</v>
      </c>
      <c r="CG156">
        <f t="shared" si="205"/>
        <v>0</v>
      </c>
      <c r="CH156">
        <f t="shared" si="205"/>
        <v>0</v>
      </c>
      <c r="CI156">
        <f t="shared" si="205"/>
        <v>0</v>
      </c>
      <c r="CJ156">
        <f t="shared" si="205"/>
        <v>0</v>
      </c>
      <c r="CK156">
        <f t="shared" si="205"/>
        <v>0</v>
      </c>
      <c r="CL156">
        <f t="shared" si="206"/>
        <v>0</v>
      </c>
      <c r="CM156">
        <f t="shared" si="206"/>
        <v>0</v>
      </c>
      <c r="CN156">
        <f t="shared" si="206"/>
        <v>0</v>
      </c>
      <c r="CO156">
        <f t="shared" si="206"/>
        <v>0</v>
      </c>
      <c r="CP156">
        <f t="shared" si="206"/>
        <v>0</v>
      </c>
      <c r="CQ156">
        <f t="shared" si="206"/>
        <v>0</v>
      </c>
      <c r="CR156">
        <f t="shared" si="206"/>
        <v>0</v>
      </c>
      <c r="CS156">
        <f t="shared" si="206"/>
        <v>0</v>
      </c>
      <c r="CT156">
        <f t="shared" si="206"/>
        <v>0</v>
      </c>
      <c r="CU156">
        <f t="shared" si="206"/>
        <v>0</v>
      </c>
      <c r="CV156">
        <f t="shared" si="207"/>
        <v>0</v>
      </c>
      <c r="CW156">
        <f t="shared" si="207"/>
        <v>0</v>
      </c>
      <c r="CX156">
        <f t="shared" si="207"/>
        <v>0</v>
      </c>
      <c r="CY156">
        <f t="shared" si="207"/>
        <v>0</v>
      </c>
      <c r="CZ156">
        <f t="shared" si="207"/>
        <v>0</v>
      </c>
      <c r="DA156">
        <f t="shared" si="207"/>
        <v>0</v>
      </c>
      <c r="DB156">
        <f t="shared" si="207"/>
        <v>0</v>
      </c>
      <c r="DC156">
        <f t="shared" si="207"/>
        <v>0</v>
      </c>
      <c r="DD156">
        <f t="shared" si="207"/>
        <v>0</v>
      </c>
      <c r="DE156">
        <f t="shared" si="207"/>
        <v>0</v>
      </c>
      <c r="DF156">
        <f t="shared" si="208"/>
        <v>0</v>
      </c>
      <c r="DG156">
        <f t="shared" si="208"/>
        <v>0</v>
      </c>
      <c r="DH156">
        <f t="shared" si="208"/>
        <v>0</v>
      </c>
      <c r="DI156">
        <f t="shared" si="208"/>
        <v>0</v>
      </c>
      <c r="DJ156">
        <f t="shared" si="208"/>
        <v>0</v>
      </c>
      <c r="DK156">
        <f t="shared" si="208"/>
        <v>0</v>
      </c>
      <c r="DL156">
        <f t="shared" si="208"/>
        <v>0</v>
      </c>
      <c r="DM156">
        <f t="shared" si="208"/>
        <v>0</v>
      </c>
      <c r="DN156">
        <f t="shared" si="208"/>
        <v>0</v>
      </c>
      <c r="DO156">
        <f t="shared" si="208"/>
        <v>0</v>
      </c>
      <c r="DP156">
        <f t="shared" si="209"/>
        <v>0</v>
      </c>
      <c r="DQ156">
        <f t="shared" si="209"/>
        <v>0</v>
      </c>
      <c r="DR156">
        <f t="shared" si="209"/>
        <v>0</v>
      </c>
      <c r="DS156">
        <f t="shared" si="209"/>
        <v>0</v>
      </c>
      <c r="DT156">
        <f t="shared" si="209"/>
        <v>0</v>
      </c>
      <c r="DU156">
        <f t="shared" si="209"/>
        <v>0</v>
      </c>
      <c r="DV156">
        <f t="shared" si="209"/>
        <v>0</v>
      </c>
      <c r="DW156">
        <f t="shared" si="209"/>
        <v>0</v>
      </c>
      <c r="DX156">
        <f t="shared" si="209"/>
        <v>0</v>
      </c>
      <c r="DY156">
        <f t="shared" si="209"/>
        <v>0</v>
      </c>
      <c r="DZ156">
        <f t="shared" si="210"/>
        <v>0</v>
      </c>
      <c r="EA156">
        <f t="shared" si="210"/>
        <v>0</v>
      </c>
      <c r="EB156">
        <f t="shared" si="210"/>
        <v>0</v>
      </c>
      <c r="EC156">
        <f t="shared" si="210"/>
        <v>0</v>
      </c>
      <c r="ED156">
        <f t="shared" si="210"/>
        <v>0</v>
      </c>
      <c r="EE156">
        <f t="shared" si="210"/>
        <v>0</v>
      </c>
      <c r="EF156">
        <f t="shared" si="210"/>
        <v>0</v>
      </c>
      <c r="EG156">
        <f t="shared" si="210"/>
        <v>0</v>
      </c>
      <c r="EH156">
        <f t="shared" si="210"/>
        <v>0</v>
      </c>
      <c r="EI156">
        <f t="shared" si="210"/>
        <v>0</v>
      </c>
      <c r="EJ156">
        <f>SUM(Tabla1[[#This Row],[1]:[130]])</f>
        <v>54</v>
      </c>
    </row>
    <row r="157" spans="1:140" ht="15.75" thickBot="1" x14ac:dyDescent="0.3">
      <c r="A157" t="str">
        <f>B157&amp;"-"&amp;COUNTIF($B$2:B157,B157)</f>
        <v>I. MINERAL S/GAS 330-1</v>
      </c>
      <c r="B157" s="56" t="s">
        <v>96</v>
      </c>
      <c r="C157">
        <f>VLOOKUP(B157,RECETAS!D156:$E$1700,2,FALSE)</f>
        <v>19</v>
      </c>
      <c r="D157" s="53" t="s">
        <v>355</v>
      </c>
      <c r="G157" t="b">
        <f t="shared" si="171"/>
        <v>1</v>
      </c>
      <c r="I157" s="54" t="s">
        <v>9</v>
      </c>
      <c r="J157">
        <f t="shared" si="198"/>
        <v>0</v>
      </c>
      <c r="K157">
        <f t="shared" si="198"/>
        <v>2970</v>
      </c>
      <c r="L157">
        <f t="shared" si="198"/>
        <v>1800</v>
      </c>
      <c r="M157">
        <f t="shared" si="198"/>
        <v>1710</v>
      </c>
      <c r="N157">
        <f t="shared" si="198"/>
        <v>900</v>
      </c>
      <c r="O157">
        <f t="shared" si="198"/>
        <v>20700</v>
      </c>
      <c r="P157">
        <f t="shared" si="198"/>
        <v>3450</v>
      </c>
      <c r="Q157">
        <f t="shared" si="198"/>
        <v>3300</v>
      </c>
      <c r="R157">
        <f t="shared" si="198"/>
        <v>4950</v>
      </c>
      <c r="S157">
        <f t="shared" si="198"/>
        <v>5250</v>
      </c>
      <c r="T157">
        <f t="shared" si="199"/>
        <v>480</v>
      </c>
      <c r="U157">
        <f t="shared" si="199"/>
        <v>90</v>
      </c>
      <c r="V157">
        <f t="shared" si="199"/>
        <v>750</v>
      </c>
      <c r="W157">
        <f t="shared" si="199"/>
        <v>1950</v>
      </c>
      <c r="X157">
        <f t="shared" si="199"/>
        <v>600</v>
      </c>
      <c r="Y157">
        <f t="shared" si="199"/>
        <v>150</v>
      </c>
      <c r="Z157">
        <f t="shared" si="199"/>
        <v>90</v>
      </c>
      <c r="AA157">
        <f t="shared" si="199"/>
        <v>0</v>
      </c>
      <c r="AB157">
        <f t="shared" si="199"/>
        <v>360</v>
      </c>
      <c r="AC157">
        <f t="shared" si="199"/>
        <v>180</v>
      </c>
      <c r="AD157">
        <f t="shared" si="200"/>
        <v>180</v>
      </c>
      <c r="AE157">
        <f t="shared" si="200"/>
        <v>0</v>
      </c>
      <c r="AF157">
        <f t="shared" si="200"/>
        <v>0</v>
      </c>
      <c r="AG157">
        <f t="shared" si="200"/>
        <v>0</v>
      </c>
      <c r="AH157">
        <f t="shared" si="200"/>
        <v>0</v>
      </c>
      <c r="AI157">
        <f t="shared" si="200"/>
        <v>150</v>
      </c>
      <c r="AJ157">
        <f t="shared" si="200"/>
        <v>0</v>
      </c>
      <c r="AK157">
        <f t="shared" si="200"/>
        <v>0</v>
      </c>
      <c r="AL157">
        <f t="shared" si="200"/>
        <v>0</v>
      </c>
      <c r="AM157">
        <f t="shared" si="200"/>
        <v>0</v>
      </c>
      <c r="AN157">
        <f t="shared" si="201"/>
        <v>0</v>
      </c>
      <c r="AO157">
        <f t="shared" si="201"/>
        <v>0</v>
      </c>
      <c r="AP157">
        <f t="shared" si="201"/>
        <v>0</v>
      </c>
      <c r="AQ157">
        <f t="shared" si="201"/>
        <v>0</v>
      </c>
      <c r="AR157">
        <f t="shared" si="201"/>
        <v>0</v>
      </c>
      <c r="AS157">
        <f t="shared" si="201"/>
        <v>0</v>
      </c>
      <c r="AT157">
        <f t="shared" si="201"/>
        <v>0</v>
      </c>
      <c r="AU157">
        <f t="shared" si="201"/>
        <v>0</v>
      </c>
      <c r="AV157">
        <f t="shared" si="201"/>
        <v>0</v>
      </c>
      <c r="AW157">
        <f t="shared" si="201"/>
        <v>0</v>
      </c>
      <c r="AX157">
        <f t="shared" si="202"/>
        <v>0</v>
      </c>
      <c r="AY157">
        <f t="shared" si="202"/>
        <v>0</v>
      </c>
      <c r="AZ157">
        <f t="shared" si="202"/>
        <v>0</v>
      </c>
      <c r="BA157">
        <f t="shared" si="202"/>
        <v>0</v>
      </c>
      <c r="BB157">
        <f t="shared" si="202"/>
        <v>0</v>
      </c>
      <c r="BC157">
        <f t="shared" si="202"/>
        <v>0</v>
      </c>
      <c r="BD157">
        <f t="shared" si="202"/>
        <v>0</v>
      </c>
      <c r="BE157">
        <f t="shared" si="202"/>
        <v>150</v>
      </c>
      <c r="BF157">
        <f t="shared" si="202"/>
        <v>0</v>
      </c>
      <c r="BG157">
        <f t="shared" si="202"/>
        <v>0</v>
      </c>
      <c r="BH157">
        <f t="shared" si="203"/>
        <v>0</v>
      </c>
      <c r="BI157">
        <f t="shared" si="203"/>
        <v>300</v>
      </c>
      <c r="BJ157">
        <f t="shared" si="203"/>
        <v>0</v>
      </c>
      <c r="BK157">
        <f t="shared" si="203"/>
        <v>0</v>
      </c>
      <c r="BL157">
        <f t="shared" si="203"/>
        <v>0</v>
      </c>
      <c r="BM157">
        <f t="shared" si="203"/>
        <v>0</v>
      </c>
      <c r="BN157">
        <f t="shared" si="203"/>
        <v>0</v>
      </c>
      <c r="BO157">
        <f t="shared" si="203"/>
        <v>600</v>
      </c>
      <c r="BP157">
        <f t="shared" si="203"/>
        <v>0</v>
      </c>
      <c r="BQ157">
        <f t="shared" si="203"/>
        <v>0</v>
      </c>
      <c r="BR157">
        <f t="shared" si="204"/>
        <v>0</v>
      </c>
      <c r="BS157">
        <f t="shared" si="204"/>
        <v>0</v>
      </c>
      <c r="BT157">
        <f t="shared" si="204"/>
        <v>0</v>
      </c>
      <c r="BU157">
        <f t="shared" si="204"/>
        <v>0</v>
      </c>
      <c r="BV157">
        <f t="shared" si="204"/>
        <v>0</v>
      </c>
      <c r="BW157">
        <f t="shared" si="204"/>
        <v>0</v>
      </c>
      <c r="BX157">
        <f t="shared" si="204"/>
        <v>0</v>
      </c>
      <c r="BY157">
        <f t="shared" si="204"/>
        <v>0</v>
      </c>
      <c r="BZ157">
        <f t="shared" si="204"/>
        <v>600</v>
      </c>
      <c r="CA157">
        <f t="shared" si="204"/>
        <v>0</v>
      </c>
      <c r="CB157">
        <f t="shared" si="205"/>
        <v>0</v>
      </c>
      <c r="CC157">
        <f t="shared" si="205"/>
        <v>0</v>
      </c>
      <c r="CD157">
        <f t="shared" si="205"/>
        <v>0</v>
      </c>
      <c r="CE157">
        <f t="shared" si="205"/>
        <v>0</v>
      </c>
      <c r="CF157">
        <f t="shared" si="205"/>
        <v>0</v>
      </c>
      <c r="CG157">
        <f t="shared" si="205"/>
        <v>0</v>
      </c>
      <c r="CH157">
        <f t="shared" si="205"/>
        <v>0</v>
      </c>
      <c r="CI157">
        <f t="shared" si="205"/>
        <v>0</v>
      </c>
      <c r="CJ157">
        <f t="shared" si="205"/>
        <v>0</v>
      </c>
      <c r="CK157">
        <f t="shared" si="205"/>
        <v>0</v>
      </c>
      <c r="CL157">
        <f t="shared" si="206"/>
        <v>0</v>
      </c>
      <c r="CM157">
        <f t="shared" si="206"/>
        <v>0</v>
      </c>
      <c r="CN157">
        <f t="shared" si="206"/>
        <v>0</v>
      </c>
      <c r="CO157">
        <f t="shared" si="206"/>
        <v>0</v>
      </c>
      <c r="CP157">
        <f t="shared" si="206"/>
        <v>0</v>
      </c>
      <c r="CQ157">
        <f t="shared" si="206"/>
        <v>0</v>
      </c>
      <c r="CR157">
        <f t="shared" si="206"/>
        <v>0</v>
      </c>
      <c r="CS157">
        <f t="shared" si="206"/>
        <v>0</v>
      </c>
      <c r="CT157">
        <f t="shared" si="206"/>
        <v>0</v>
      </c>
      <c r="CU157">
        <f t="shared" si="206"/>
        <v>0</v>
      </c>
      <c r="CV157">
        <f t="shared" si="207"/>
        <v>0</v>
      </c>
      <c r="CW157">
        <f t="shared" si="207"/>
        <v>0</v>
      </c>
      <c r="CX157">
        <f t="shared" si="207"/>
        <v>0</v>
      </c>
      <c r="CY157">
        <f t="shared" si="207"/>
        <v>0</v>
      </c>
      <c r="CZ157">
        <f t="shared" si="207"/>
        <v>0</v>
      </c>
      <c r="DA157">
        <f t="shared" si="207"/>
        <v>0</v>
      </c>
      <c r="DB157">
        <f t="shared" si="207"/>
        <v>0</v>
      </c>
      <c r="DC157">
        <f t="shared" si="207"/>
        <v>0</v>
      </c>
      <c r="DD157">
        <f t="shared" si="207"/>
        <v>0</v>
      </c>
      <c r="DE157">
        <f t="shared" si="207"/>
        <v>0</v>
      </c>
      <c r="DF157">
        <f t="shared" si="208"/>
        <v>0</v>
      </c>
      <c r="DG157">
        <f t="shared" si="208"/>
        <v>0</v>
      </c>
      <c r="DH157">
        <f t="shared" si="208"/>
        <v>0</v>
      </c>
      <c r="DI157">
        <f t="shared" si="208"/>
        <v>0</v>
      </c>
      <c r="DJ157">
        <f t="shared" si="208"/>
        <v>0</v>
      </c>
      <c r="DK157">
        <f t="shared" si="208"/>
        <v>0</v>
      </c>
      <c r="DL157">
        <f t="shared" si="208"/>
        <v>0</v>
      </c>
      <c r="DM157">
        <f t="shared" si="208"/>
        <v>0</v>
      </c>
      <c r="DN157">
        <f t="shared" si="208"/>
        <v>0</v>
      </c>
      <c r="DO157">
        <f t="shared" si="208"/>
        <v>0</v>
      </c>
      <c r="DP157">
        <f t="shared" si="209"/>
        <v>0</v>
      </c>
      <c r="DQ157">
        <f t="shared" si="209"/>
        <v>0</v>
      </c>
      <c r="DR157">
        <f t="shared" si="209"/>
        <v>0</v>
      </c>
      <c r="DS157">
        <f t="shared" si="209"/>
        <v>0</v>
      </c>
      <c r="DT157">
        <f t="shared" si="209"/>
        <v>0</v>
      </c>
      <c r="DU157">
        <f t="shared" si="209"/>
        <v>0</v>
      </c>
      <c r="DV157">
        <f t="shared" si="209"/>
        <v>0</v>
      </c>
      <c r="DW157">
        <f t="shared" si="209"/>
        <v>0</v>
      </c>
      <c r="DX157">
        <f t="shared" si="209"/>
        <v>0</v>
      </c>
      <c r="DY157">
        <f t="shared" si="209"/>
        <v>0</v>
      </c>
      <c r="DZ157">
        <f t="shared" si="210"/>
        <v>0</v>
      </c>
      <c r="EA157">
        <f t="shared" si="210"/>
        <v>0</v>
      </c>
      <c r="EB157">
        <f t="shared" si="210"/>
        <v>0</v>
      </c>
      <c r="EC157">
        <f t="shared" si="210"/>
        <v>0</v>
      </c>
      <c r="ED157">
        <f t="shared" si="210"/>
        <v>0</v>
      </c>
      <c r="EE157">
        <f t="shared" si="210"/>
        <v>0</v>
      </c>
      <c r="EF157">
        <f t="shared" si="210"/>
        <v>0</v>
      </c>
      <c r="EG157">
        <f t="shared" si="210"/>
        <v>0</v>
      </c>
      <c r="EH157">
        <f t="shared" si="210"/>
        <v>0</v>
      </c>
      <c r="EI157">
        <f t="shared" si="210"/>
        <v>0</v>
      </c>
      <c r="EJ157">
        <f>SUM(Tabla1[[#This Row],[1]:[130]])</f>
        <v>51660</v>
      </c>
    </row>
    <row r="158" spans="1:140" ht="15.75" thickBot="1" x14ac:dyDescent="0.3">
      <c r="A158" t="str">
        <f>B158&amp;"-"&amp;COUNTIF($B$2:B158,B158)</f>
        <v>I. MINERAL C/GAS 330-1</v>
      </c>
      <c r="B158" s="48" t="s">
        <v>95</v>
      </c>
      <c r="C158">
        <f>VLOOKUP(B158,RECETAS!D157:$E$1700,2,FALSE)</f>
        <v>11</v>
      </c>
      <c r="D158" s="18" t="s">
        <v>356</v>
      </c>
      <c r="G158" t="b">
        <f t="shared" si="171"/>
        <v>1</v>
      </c>
      <c r="I158" s="20" t="s">
        <v>109</v>
      </c>
      <c r="J158">
        <f t="shared" si="198"/>
        <v>2850</v>
      </c>
      <c r="K158">
        <f t="shared" si="198"/>
        <v>525</v>
      </c>
      <c r="L158">
        <f t="shared" si="198"/>
        <v>0</v>
      </c>
      <c r="M158">
        <f t="shared" si="198"/>
        <v>0</v>
      </c>
      <c r="N158">
        <f t="shared" si="198"/>
        <v>0</v>
      </c>
      <c r="O158">
        <f t="shared" si="198"/>
        <v>0</v>
      </c>
      <c r="P158">
        <f t="shared" si="198"/>
        <v>0</v>
      </c>
      <c r="Q158">
        <f t="shared" si="198"/>
        <v>0</v>
      </c>
      <c r="R158">
        <f t="shared" si="198"/>
        <v>0</v>
      </c>
      <c r="S158">
        <f t="shared" si="198"/>
        <v>0</v>
      </c>
      <c r="T158">
        <f t="shared" si="199"/>
        <v>0</v>
      </c>
      <c r="U158">
        <f t="shared" si="199"/>
        <v>0</v>
      </c>
      <c r="V158">
        <f t="shared" si="199"/>
        <v>0</v>
      </c>
      <c r="W158">
        <f t="shared" si="199"/>
        <v>0</v>
      </c>
      <c r="X158">
        <f t="shared" si="199"/>
        <v>0</v>
      </c>
      <c r="Y158">
        <f t="shared" si="199"/>
        <v>0</v>
      </c>
      <c r="Z158">
        <f t="shared" si="199"/>
        <v>0</v>
      </c>
      <c r="AA158">
        <f t="shared" si="199"/>
        <v>0</v>
      </c>
      <c r="AB158">
        <f t="shared" si="199"/>
        <v>0</v>
      </c>
      <c r="AC158">
        <f t="shared" si="199"/>
        <v>0</v>
      </c>
      <c r="AD158">
        <f t="shared" si="200"/>
        <v>0</v>
      </c>
      <c r="AE158">
        <f t="shared" si="200"/>
        <v>0</v>
      </c>
      <c r="AF158">
        <f t="shared" si="200"/>
        <v>0</v>
      </c>
      <c r="AG158">
        <f t="shared" si="200"/>
        <v>0</v>
      </c>
      <c r="AH158">
        <f t="shared" si="200"/>
        <v>0</v>
      </c>
      <c r="AI158">
        <f t="shared" si="200"/>
        <v>0</v>
      </c>
      <c r="AJ158">
        <f t="shared" si="200"/>
        <v>0</v>
      </c>
      <c r="AK158">
        <f t="shared" si="200"/>
        <v>0</v>
      </c>
      <c r="AL158">
        <f t="shared" si="200"/>
        <v>0</v>
      </c>
      <c r="AM158">
        <f t="shared" si="200"/>
        <v>0</v>
      </c>
      <c r="AN158">
        <f t="shared" si="201"/>
        <v>0</v>
      </c>
      <c r="AO158">
        <f t="shared" si="201"/>
        <v>0</v>
      </c>
      <c r="AP158">
        <f t="shared" si="201"/>
        <v>0</v>
      </c>
      <c r="AQ158">
        <f t="shared" si="201"/>
        <v>0</v>
      </c>
      <c r="AR158">
        <f t="shared" si="201"/>
        <v>0</v>
      </c>
      <c r="AS158">
        <f t="shared" si="201"/>
        <v>0</v>
      </c>
      <c r="AT158">
        <f t="shared" si="201"/>
        <v>0</v>
      </c>
      <c r="AU158">
        <f t="shared" si="201"/>
        <v>0</v>
      </c>
      <c r="AV158">
        <f t="shared" si="201"/>
        <v>0</v>
      </c>
      <c r="AW158">
        <f t="shared" si="201"/>
        <v>0</v>
      </c>
      <c r="AX158">
        <f t="shared" si="202"/>
        <v>0</v>
      </c>
      <c r="AY158">
        <f t="shared" si="202"/>
        <v>0</v>
      </c>
      <c r="AZ158">
        <f t="shared" si="202"/>
        <v>0</v>
      </c>
      <c r="BA158">
        <f t="shared" si="202"/>
        <v>0</v>
      </c>
      <c r="BB158">
        <f t="shared" si="202"/>
        <v>0</v>
      </c>
      <c r="BC158">
        <f t="shared" si="202"/>
        <v>0</v>
      </c>
      <c r="BD158">
        <f t="shared" si="202"/>
        <v>0</v>
      </c>
      <c r="BE158">
        <f t="shared" si="202"/>
        <v>0</v>
      </c>
      <c r="BF158">
        <f t="shared" si="202"/>
        <v>0</v>
      </c>
      <c r="BG158">
        <f t="shared" si="202"/>
        <v>0</v>
      </c>
      <c r="BH158">
        <f t="shared" si="203"/>
        <v>0</v>
      </c>
      <c r="BI158">
        <f t="shared" si="203"/>
        <v>0</v>
      </c>
      <c r="BJ158">
        <f t="shared" si="203"/>
        <v>0</v>
      </c>
      <c r="BK158">
        <f t="shared" si="203"/>
        <v>0</v>
      </c>
      <c r="BL158">
        <f t="shared" si="203"/>
        <v>0</v>
      </c>
      <c r="BM158">
        <f t="shared" si="203"/>
        <v>0</v>
      </c>
      <c r="BN158">
        <f t="shared" si="203"/>
        <v>0</v>
      </c>
      <c r="BO158">
        <f t="shared" si="203"/>
        <v>0</v>
      </c>
      <c r="BP158">
        <f t="shared" si="203"/>
        <v>0</v>
      </c>
      <c r="BQ158">
        <f t="shared" si="203"/>
        <v>0</v>
      </c>
      <c r="BR158">
        <f t="shared" si="204"/>
        <v>0</v>
      </c>
      <c r="BS158">
        <f t="shared" si="204"/>
        <v>0</v>
      </c>
      <c r="BT158">
        <f t="shared" si="204"/>
        <v>0</v>
      </c>
      <c r="BU158">
        <f t="shared" si="204"/>
        <v>0</v>
      </c>
      <c r="BV158">
        <f t="shared" si="204"/>
        <v>0</v>
      </c>
      <c r="BW158">
        <f t="shared" si="204"/>
        <v>0</v>
      </c>
      <c r="BX158">
        <f t="shared" si="204"/>
        <v>0</v>
      </c>
      <c r="BY158">
        <f t="shared" si="204"/>
        <v>0</v>
      </c>
      <c r="BZ158">
        <f t="shared" si="204"/>
        <v>0</v>
      </c>
      <c r="CA158">
        <f t="shared" si="204"/>
        <v>0</v>
      </c>
      <c r="CB158">
        <f t="shared" si="205"/>
        <v>0</v>
      </c>
      <c r="CC158">
        <f t="shared" si="205"/>
        <v>0</v>
      </c>
      <c r="CD158">
        <f t="shared" si="205"/>
        <v>0</v>
      </c>
      <c r="CE158">
        <f t="shared" si="205"/>
        <v>0</v>
      </c>
      <c r="CF158">
        <f t="shared" si="205"/>
        <v>0</v>
      </c>
      <c r="CG158">
        <f t="shared" si="205"/>
        <v>0</v>
      </c>
      <c r="CH158">
        <f t="shared" si="205"/>
        <v>0</v>
      </c>
      <c r="CI158">
        <f t="shared" si="205"/>
        <v>0</v>
      </c>
      <c r="CJ158">
        <f t="shared" si="205"/>
        <v>0</v>
      </c>
      <c r="CK158">
        <f t="shared" si="205"/>
        <v>0</v>
      </c>
      <c r="CL158">
        <f t="shared" si="206"/>
        <v>0</v>
      </c>
      <c r="CM158">
        <f t="shared" si="206"/>
        <v>0</v>
      </c>
      <c r="CN158">
        <f t="shared" si="206"/>
        <v>0</v>
      </c>
      <c r="CO158">
        <f t="shared" si="206"/>
        <v>0</v>
      </c>
      <c r="CP158">
        <f t="shared" si="206"/>
        <v>0</v>
      </c>
      <c r="CQ158">
        <f t="shared" si="206"/>
        <v>0</v>
      </c>
      <c r="CR158">
        <f t="shared" si="206"/>
        <v>0</v>
      </c>
      <c r="CS158">
        <f t="shared" si="206"/>
        <v>0</v>
      </c>
      <c r="CT158">
        <f t="shared" si="206"/>
        <v>0</v>
      </c>
      <c r="CU158">
        <f t="shared" si="206"/>
        <v>0</v>
      </c>
      <c r="CV158">
        <f t="shared" si="207"/>
        <v>0</v>
      </c>
      <c r="CW158">
        <f t="shared" si="207"/>
        <v>0</v>
      </c>
      <c r="CX158">
        <f t="shared" si="207"/>
        <v>0</v>
      </c>
      <c r="CY158">
        <f t="shared" si="207"/>
        <v>0</v>
      </c>
      <c r="CZ158">
        <f t="shared" si="207"/>
        <v>0</v>
      </c>
      <c r="DA158">
        <f t="shared" si="207"/>
        <v>0</v>
      </c>
      <c r="DB158">
        <f t="shared" si="207"/>
        <v>0</v>
      </c>
      <c r="DC158">
        <f t="shared" si="207"/>
        <v>0</v>
      </c>
      <c r="DD158">
        <f t="shared" si="207"/>
        <v>0</v>
      </c>
      <c r="DE158">
        <f t="shared" si="207"/>
        <v>0</v>
      </c>
      <c r="DF158">
        <f t="shared" si="208"/>
        <v>0</v>
      </c>
      <c r="DG158">
        <f t="shared" si="208"/>
        <v>0</v>
      </c>
      <c r="DH158">
        <f t="shared" si="208"/>
        <v>0</v>
      </c>
      <c r="DI158">
        <f t="shared" si="208"/>
        <v>0</v>
      </c>
      <c r="DJ158">
        <f t="shared" si="208"/>
        <v>0</v>
      </c>
      <c r="DK158">
        <f t="shared" si="208"/>
        <v>0</v>
      </c>
      <c r="DL158">
        <f t="shared" si="208"/>
        <v>0</v>
      </c>
      <c r="DM158">
        <f t="shared" si="208"/>
        <v>0</v>
      </c>
      <c r="DN158">
        <f t="shared" si="208"/>
        <v>0</v>
      </c>
      <c r="DO158">
        <f t="shared" si="208"/>
        <v>0</v>
      </c>
      <c r="DP158">
        <f t="shared" si="209"/>
        <v>0</v>
      </c>
      <c r="DQ158">
        <f t="shared" si="209"/>
        <v>0</v>
      </c>
      <c r="DR158">
        <f t="shared" si="209"/>
        <v>0</v>
      </c>
      <c r="DS158">
        <f t="shared" si="209"/>
        <v>0</v>
      </c>
      <c r="DT158">
        <f t="shared" si="209"/>
        <v>0</v>
      </c>
      <c r="DU158">
        <f t="shared" si="209"/>
        <v>0</v>
      </c>
      <c r="DV158">
        <f t="shared" si="209"/>
        <v>0</v>
      </c>
      <c r="DW158">
        <f t="shared" si="209"/>
        <v>0</v>
      </c>
      <c r="DX158">
        <f t="shared" si="209"/>
        <v>0</v>
      </c>
      <c r="DY158">
        <f t="shared" si="209"/>
        <v>0</v>
      </c>
      <c r="DZ158">
        <f t="shared" si="210"/>
        <v>0</v>
      </c>
      <c r="EA158">
        <f t="shared" si="210"/>
        <v>0</v>
      </c>
      <c r="EB158">
        <f t="shared" si="210"/>
        <v>0</v>
      </c>
      <c r="EC158">
        <f t="shared" si="210"/>
        <v>0</v>
      </c>
      <c r="ED158">
        <f t="shared" si="210"/>
        <v>0</v>
      </c>
      <c r="EE158">
        <f t="shared" si="210"/>
        <v>0</v>
      </c>
      <c r="EF158">
        <f t="shared" si="210"/>
        <v>0</v>
      </c>
      <c r="EG158">
        <f t="shared" si="210"/>
        <v>0</v>
      </c>
      <c r="EH158">
        <f t="shared" si="210"/>
        <v>0</v>
      </c>
      <c r="EI158">
        <f t="shared" si="210"/>
        <v>0</v>
      </c>
      <c r="EJ158">
        <f>SUM(Tabla1[[#This Row],[1]:[130]])</f>
        <v>3375</v>
      </c>
    </row>
    <row r="159" spans="1:140" ht="15.75" thickBot="1" x14ac:dyDescent="0.3">
      <c r="A159" t="str">
        <f>B159&amp;"-"&amp;COUNTIF($B$2:B159,B159)</f>
        <v>I. RBULL ENERGY DR-1</v>
      </c>
      <c r="B159" s="48" t="s">
        <v>110</v>
      </c>
      <c r="C159">
        <f>VLOOKUP(B159,RECETAS!D158:$E$1700,2,FALSE)</f>
        <v>5</v>
      </c>
      <c r="D159" s="18" t="s">
        <v>357</v>
      </c>
      <c r="G159" t="b">
        <f t="shared" si="171"/>
        <v>1</v>
      </c>
      <c r="I159" s="20" t="s">
        <v>738</v>
      </c>
      <c r="J159">
        <f t="shared" si="198"/>
        <v>0</v>
      </c>
      <c r="K159">
        <f t="shared" si="198"/>
        <v>0</v>
      </c>
      <c r="L159">
        <f t="shared" si="198"/>
        <v>0</v>
      </c>
      <c r="M159">
        <f t="shared" si="198"/>
        <v>0</v>
      </c>
      <c r="N159">
        <f t="shared" si="198"/>
        <v>0</v>
      </c>
      <c r="O159">
        <f t="shared" si="198"/>
        <v>0</v>
      </c>
      <c r="P159">
        <f t="shared" si="198"/>
        <v>0</v>
      </c>
      <c r="Q159">
        <f t="shared" si="198"/>
        <v>0</v>
      </c>
      <c r="R159">
        <f t="shared" si="198"/>
        <v>0</v>
      </c>
      <c r="S159">
        <f t="shared" si="198"/>
        <v>0</v>
      </c>
      <c r="T159">
        <f t="shared" si="199"/>
        <v>0</v>
      </c>
      <c r="U159">
        <f t="shared" si="199"/>
        <v>0</v>
      </c>
      <c r="V159">
        <f t="shared" si="199"/>
        <v>0</v>
      </c>
      <c r="W159">
        <f t="shared" si="199"/>
        <v>0</v>
      </c>
      <c r="X159">
        <f t="shared" si="199"/>
        <v>0</v>
      </c>
      <c r="Y159">
        <f t="shared" si="199"/>
        <v>0</v>
      </c>
      <c r="Z159">
        <f t="shared" si="199"/>
        <v>0</v>
      </c>
      <c r="AA159">
        <f t="shared" si="199"/>
        <v>0</v>
      </c>
      <c r="AB159">
        <f t="shared" si="199"/>
        <v>0</v>
      </c>
      <c r="AC159">
        <f t="shared" si="199"/>
        <v>0</v>
      </c>
      <c r="AD159">
        <f t="shared" si="200"/>
        <v>0</v>
      </c>
      <c r="AE159">
        <f t="shared" si="200"/>
        <v>0</v>
      </c>
      <c r="AF159">
        <f t="shared" si="200"/>
        <v>0</v>
      </c>
      <c r="AG159">
        <f t="shared" si="200"/>
        <v>0</v>
      </c>
      <c r="AH159">
        <f t="shared" si="200"/>
        <v>0</v>
      </c>
      <c r="AI159">
        <f t="shared" si="200"/>
        <v>0</v>
      </c>
      <c r="AJ159">
        <f t="shared" si="200"/>
        <v>0</v>
      </c>
      <c r="AK159">
        <f t="shared" si="200"/>
        <v>0</v>
      </c>
      <c r="AL159">
        <f t="shared" si="200"/>
        <v>0</v>
      </c>
      <c r="AM159">
        <f t="shared" si="200"/>
        <v>0</v>
      </c>
      <c r="AN159">
        <f t="shared" si="201"/>
        <v>0</v>
      </c>
      <c r="AO159">
        <f t="shared" si="201"/>
        <v>0</v>
      </c>
      <c r="AP159">
        <f t="shared" si="201"/>
        <v>0</v>
      </c>
      <c r="AQ159">
        <f t="shared" si="201"/>
        <v>0</v>
      </c>
      <c r="AR159">
        <f t="shared" si="201"/>
        <v>0</v>
      </c>
      <c r="AS159">
        <f t="shared" si="201"/>
        <v>0</v>
      </c>
      <c r="AT159">
        <f t="shared" si="201"/>
        <v>0</v>
      </c>
      <c r="AU159">
        <f t="shared" si="201"/>
        <v>0</v>
      </c>
      <c r="AV159">
        <f t="shared" si="201"/>
        <v>0</v>
      </c>
      <c r="AW159">
        <f t="shared" si="201"/>
        <v>0</v>
      </c>
      <c r="AX159">
        <f t="shared" si="202"/>
        <v>0</v>
      </c>
      <c r="AY159">
        <f t="shared" si="202"/>
        <v>0</v>
      </c>
      <c r="AZ159">
        <f t="shared" si="202"/>
        <v>0</v>
      </c>
      <c r="BA159">
        <f t="shared" si="202"/>
        <v>0</v>
      </c>
      <c r="BB159">
        <f t="shared" si="202"/>
        <v>0</v>
      </c>
      <c r="BC159">
        <f t="shared" si="202"/>
        <v>0</v>
      </c>
      <c r="BD159">
        <f t="shared" si="202"/>
        <v>0</v>
      </c>
      <c r="BE159">
        <f t="shared" si="202"/>
        <v>0</v>
      </c>
      <c r="BF159">
        <f t="shared" si="202"/>
        <v>0</v>
      </c>
      <c r="BG159">
        <f t="shared" si="202"/>
        <v>0</v>
      </c>
      <c r="BH159">
        <f t="shared" si="203"/>
        <v>0</v>
      </c>
      <c r="BI159">
        <f t="shared" si="203"/>
        <v>0</v>
      </c>
      <c r="BJ159">
        <f t="shared" si="203"/>
        <v>0</v>
      </c>
      <c r="BK159">
        <f t="shared" si="203"/>
        <v>0</v>
      </c>
      <c r="BL159">
        <f t="shared" si="203"/>
        <v>0</v>
      </c>
      <c r="BM159">
        <f t="shared" si="203"/>
        <v>0</v>
      </c>
      <c r="BN159">
        <f t="shared" si="203"/>
        <v>0</v>
      </c>
      <c r="BO159">
        <f t="shared" si="203"/>
        <v>0</v>
      </c>
      <c r="BP159">
        <f t="shared" si="203"/>
        <v>0</v>
      </c>
      <c r="BQ159">
        <f t="shared" si="203"/>
        <v>0</v>
      </c>
      <c r="BR159">
        <f t="shared" si="204"/>
        <v>0</v>
      </c>
      <c r="BS159">
        <f t="shared" si="204"/>
        <v>0</v>
      </c>
      <c r="BT159">
        <f t="shared" si="204"/>
        <v>0</v>
      </c>
      <c r="BU159">
        <f t="shared" si="204"/>
        <v>0</v>
      </c>
      <c r="BV159">
        <f t="shared" si="204"/>
        <v>0</v>
      </c>
      <c r="BW159">
        <f t="shared" si="204"/>
        <v>0</v>
      </c>
      <c r="BX159">
        <f t="shared" si="204"/>
        <v>0</v>
      </c>
      <c r="BY159">
        <f t="shared" si="204"/>
        <v>0</v>
      </c>
      <c r="BZ159">
        <f t="shared" si="204"/>
        <v>0</v>
      </c>
      <c r="CA159">
        <f t="shared" si="204"/>
        <v>0</v>
      </c>
      <c r="CB159">
        <f t="shared" si="205"/>
        <v>0</v>
      </c>
      <c r="CC159">
        <f t="shared" si="205"/>
        <v>0</v>
      </c>
      <c r="CD159">
        <f t="shared" si="205"/>
        <v>0</v>
      </c>
      <c r="CE159">
        <f t="shared" si="205"/>
        <v>0</v>
      </c>
      <c r="CF159">
        <f t="shared" si="205"/>
        <v>0</v>
      </c>
      <c r="CG159">
        <f t="shared" si="205"/>
        <v>0</v>
      </c>
      <c r="CH159">
        <f t="shared" si="205"/>
        <v>0</v>
      </c>
      <c r="CI159">
        <f t="shared" si="205"/>
        <v>0</v>
      </c>
      <c r="CJ159">
        <f t="shared" si="205"/>
        <v>0</v>
      </c>
      <c r="CK159">
        <f t="shared" si="205"/>
        <v>0</v>
      </c>
      <c r="CL159">
        <f t="shared" si="206"/>
        <v>0</v>
      </c>
      <c r="CM159">
        <f t="shared" si="206"/>
        <v>0</v>
      </c>
      <c r="CN159">
        <f t="shared" si="206"/>
        <v>0</v>
      </c>
      <c r="CO159">
        <f t="shared" si="206"/>
        <v>0</v>
      </c>
      <c r="CP159">
        <f t="shared" si="206"/>
        <v>0</v>
      </c>
      <c r="CQ159">
        <f t="shared" si="206"/>
        <v>0</v>
      </c>
      <c r="CR159">
        <f t="shared" si="206"/>
        <v>0</v>
      </c>
      <c r="CS159">
        <f t="shared" si="206"/>
        <v>0</v>
      </c>
      <c r="CT159">
        <f t="shared" si="206"/>
        <v>0</v>
      </c>
      <c r="CU159">
        <f t="shared" si="206"/>
        <v>0</v>
      </c>
      <c r="CV159">
        <f t="shared" si="207"/>
        <v>0</v>
      </c>
      <c r="CW159">
        <f t="shared" si="207"/>
        <v>0</v>
      </c>
      <c r="CX159">
        <f t="shared" si="207"/>
        <v>0</v>
      </c>
      <c r="CY159">
        <f t="shared" si="207"/>
        <v>0</v>
      </c>
      <c r="CZ159">
        <f t="shared" si="207"/>
        <v>0</v>
      </c>
      <c r="DA159">
        <f t="shared" si="207"/>
        <v>0</v>
      </c>
      <c r="DB159">
        <f t="shared" si="207"/>
        <v>0</v>
      </c>
      <c r="DC159">
        <f t="shared" si="207"/>
        <v>0</v>
      </c>
      <c r="DD159">
        <f t="shared" si="207"/>
        <v>0</v>
      </c>
      <c r="DE159">
        <f t="shared" si="207"/>
        <v>0</v>
      </c>
      <c r="DF159">
        <f t="shared" si="208"/>
        <v>0</v>
      </c>
      <c r="DG159">
        <f t="shared" si="208"/>
        <v>0</v>
      </c>
      <c r="DH159">
        <f t="shared" si="208"/>
        <v>0</v>
      </c>
      <c r="DI159">
        <f t="shared" si="208"/>
        <v>0</v>
      </c>
      <c r="DJ159">
        <f t="shared" si="208"/>
        <v>0</v>
      </c>
      <c r="DK159">
        <f t="shared" si="208"/>
        <v>0</v>
      </c>
      <c r="DL159">
        <f t="shared" si="208"/>
        <v>0</v>
      </c>
      <c r="DM159">
        <f t="shared" si="208"/>
        <v>0</v>
      </c>
      <c r="DN159">
        <f t="shared" si="208"/>
        <v>0</v>
      </c>
      <c r="DO159">
        <f t="shared" si="208"/>
        <v>0</v>
      </c>
      <c r="DP159">
        <f t="shared" si="209"/>
        <v>0</v>
      </c>
      <c r="DQ159">
        <f t="shared" si="209"/>
        <v>0</v>
      </c>
      <c r="DR159">
        <f t="shared" si="209"/>
        <v>0</v>
      </c>
      <c r="DS159">
        <f t="shared" si="209"/>
        <v>0</v>
      </c>
      <c r="DT159">
        <f t="shared" si="209"/>
        <v>0</v>
      </c>
      <c r="DU159">
        <f t="shared" si="209"/>
        <v>0</v>
      </c>
      <c r="DV159">
        <f t="shared" si="209"/>
        <v>0</v>
      </c>
      <c r="DW159">
        <f t="shared" si="209"/>
        <v>0</v>
      </c>
      <c r="DX159">
        <f t="shared" si="209"/>
        <v>0</v>
      </c>
      <c r="DY159">
        <f t="shared" si="209"/>
        <v>0</v>
      </c>
      <c r="DZ159">
        <f t="shared" si="210"/>
        <v>0</v>
      </c>
      <c r="EA159">
        <f t="shared" si="210"/>
        <v>0</v>
      </c>
      <c r="EB159">
        <f t="shared" si="210"/>
        <v>0</v>
      </c>
      <c r="EC159">
        <f t="shared" si="210"/>
        <v>0</v>
      </c>
      <c r="ED159">
        <f t="shared" si="210"/>
        <v>0</v>
      </c>
      <c r="EE159">
        <f t="shared" si="210"/>
        <v>0</v>
      </c>
      <c r="EF159">
        <f t="shared" si="210"/>
        <v>0</v>
      </c>
      <c r="EG159">
        <f t="shared" si="210"/>
        <v>0</v>
      </c>
      <c r="EH159">
        <f t="shared" si="210"/>
        <v>0</v>
      </c>
      <c r="EI159">
        <f t="shared" si="210"/>
        <v>0</v>
      </c>
      <c r="EJ159">
        <f>SUM(Tabla1[[#This Row],[1]:[130]])</f>
        <v>0</v>
      </c>
    </row>
    <row r="160" spans="1:140" ht="15.75" thickBot="1" x14ac:dyDescent="0.3">
      <c r="A160" t="str">
        <f>B160&amp;"-"&amp;COUNTIF($B$2:B160,B160)</f>
        <v>I. RBULL SUGAR FRE-1</v>
      </c>
      <c r="B160" s="47" t="s">
        <v>111</v>
      </c>
      <c r="C160">
        <f>VLOOKUP(B160,RECETAS!D159:$E$1700,2,FALSE)</f>
        <v>5</v>
      </c>
      <c r="D160" s="18" t="s">
        <v>358</v>
      </c>
      <c r="G160" t="b">
        <f t="shared" si="171"/>
        <v>1</v>
      </c>
      <c r="I160" s="48" t="s">
        <v>110</v>
      </c>
      <c r="J160">
        <f t="shared" si="198"/>
        <v>5</v>
      </c>
      <c r="K160">
        <f t="shared" si="198"/>
        <v>20</v>
      </c>
      <c r="L160">
        <f t="shared" si="198"/>
        <v>2</v>
      </c>
      <c r="M160">
        <f t="shared" si="198"/>
        <v>0</v>
      </c>
      <c r="N160">
        <f t="shared" si="198"/>
        <v>0</v>
      </c>
      <c r="O160">
        <f t="shared" si="198"/>
        <v>0</v>
      </c>
      <c r="P160">
        <f t="shared" si="198"/>
        <v>0</v>
      </c>
      <c r="Q160">
        <f t="shared" si="198"/>
        <v>0</v>
      </c>
      <c r="R160">
        <f t="shared" si="198"/>
        <v>17</v>
      </c>
      <c r="S160">
        <f t="shared" si="198"/>
        <v>0</v>
      </c>
      <c r="T160">
        <f t="shared" si="199"/>
        <v>0</v>
      </c>
      <c r="U160">
        <f t="shared" si="199"/>
        <v>0</v>
      </c>
      <c r="V160">
        <f t="shared" si="199"/>
        <v>0</v>
      </c>
      <c r="W160">
        <f t="shared" si="199"/>
        <v>0</v>
      </c>
      <c r="X160">
        <f t="shared" si="199"/>
        <v>0</v>
      </c>
      <c r="Y160">
        <f t="shared" si="199"/>
        <v>0</v>
      </c>
      <c r="Z160">
        <f t="shared" si="199"/>
        <v>0</v>
      </c>
      <c r="AA160">
        <f t="shared" si="199"/>
        <v>0</v>
      </c>
      <c r="AB160">
        <f t="shared" si="199"/>
        <v>0</v>
      </c>
      <c r="AC160">
        <f t="shared" si="199"/>
        <v>0</v>
      </c>
      <c r="AD160">
        <f t="shared" si="200"/>
        <v>0</v>
      </c>
      <c r="AE160">
        <f t="shared" si="200"/>
        <v>0</v>
      </c>
      <c r="AF160">
        <f t="shared" si="200"/>
        <v>0</v>
      </c>
      <c r="AG160">
        <f t="shared" si="200"/>
        <v>0</v>
      </c>
      <c r="AH160">
        <f t="shared" si="200"/>
        <v>0</v>
      </c>
      <c r="AI160">
        <f t="shared" si="200"/>
        <v>0</v>
      </c>
      <c r="AJ160">
        <f t="shared" si="200"/>
        <v>0</v>
      </c>
      <c r="AK160">
        <f t="shared" si="200"/>
        <v>0</v>
      </c>
      <c r="AL160">
        <f t="shared" si="200"/>
        <v>0</v>
      </c>
      <c r="AM160">
        <f t="shared" si="200"/>
        <v>0</v>
      </c>
      <c r="AN160">
        <f t="shared" si="201"/>
        <v>0</v>
      </c>
      <c r="AO160">
        <f t="shared" si="201"/>
        <v>0</v>
      </c>
      <c r="AP160">
        <f t="shared" si="201"/>
        <v>0</v>
      </c>
      <c r="AQ160">
        <f t="shared" si="201"/>
        <v>0</v>
      </c>
      <c r="AR160">
        <f t="shared" si="201"/>
        <v>0</v>
      </c>
      <c r="AS160">
        <f t="shared" si="201"/>
        <v>0</v>
      </c>
      <c r="AT160">
        <f t="shared" si="201"/>
        <v>0</v>
      </c>
      <c r="AU160">
        <f t="shared" si="201"/>
        <v>0</v>
      </c>
      <c r="AV160">
        <f t="shared" si="201"/>
        <v>0</v>
      </c>
      <c r="AW160">
        <f t="shared" si="201"/>
        <v>0</v>
      </c>
      <c r="AX160">
        <f t="shared" si="202"/>
        <v>0</v>
      </c>
      <c r="AY160">
        <f t="shared" si="202"/>
        <v>0</v>
      </c>
      <c r="AZ160">
        <f t="shared" si="202"/>
        <v>0</v>
      </c>
      <c r="BA160">
        <f t="shared" si="202"/>
        <v>0</v>
      </c>
      <c r="BB160">
        <f t="shared" si="202"/>
        <v>0</v>
      </c>
      <c r="BC160">
        <f t="shared" si="202"/>
        <v>0</v>
      </c>
      <c r="BD160">
        <f t="shared" si="202"/>
        <v>0</v>
      </c>
      <c r="BE160">
        <f t="shared" si="202"/>
        <v>0</v>
      </c>
      <c r="BF160">
        <f t="shared" si="202"/>
        <v>0</v>
      </c>
      <c r="BG160">
        <f t="shared" si="202"/>
        <v>0</v>
      </c>
      <c r="BH160">
        <f t="shared" si="203"/>
        <v>0</v>
      </c>
      <c r="BI160">
        <f t="shared" si="203"/>
        <v>0</v>
      </c>
      <c r="BJ160">
        <f t="shared" si="203"/>
        <v>0</v>
      </c>
      <c r="BK160">
        <f t="shared" si="203"/>
        <v>0</v>
      </c>
      <c r="BL160">
        <f t="shared" si="203"/>
        <v>0</v>
      </c>
      <c r="BM160">
        <f t="shared" si="203"/>
        <v>0</v>
      </c>
      <c r="BN160">
        <f t="shared" si="203"/>
        <v>0</v>
      </c>
      <c r="BO160">
        <f t="shared" si="203"/>
        <v>0</v>
      </c>
      <c r="BP160">
        <f t="shared" si="203"/>
        <v>0</v>
      </c>
      <c r="BQ160">
        <f t="shared" si="203"/>
        <v>0</v>
      </c>
      <c r="BR160">
        <f t="shared" si="204"/>
        <v>0</v>
      </c>
      <c r="BS160">
        <f t="shared" si="204"/>
        <v>0</v>
      </c>
      <c r="BT160">
        <f t="shared" si="204"/>
        <v>0</v>
      </c>
      <c r="BU160">
        <f t="shared" si="204"/>
        <v>0</v>
      </c>
      <c r="BV160">
        <f t="shared" si="204"/>
        <v>0</v>
      </c>
      <c r="BW160">
        <f t="shared" si="204"/>
        <v>0</v>
      </c>
      <c r="BX160">
        <f t="shared" si="204"/>
        <v>0</v>
      </c>
      <c r="BY160">
        <f t="shared" si="204"/>
        <v>0</v>
      </c>
      <c r="BZ160">
        <f t="shared" si="204"/>
        <v>0</v>
      </c>
      <c r="CA160">
        <f t="shared" si="204"/>
        <v>0</v>
      </c>
      <c r="CB160">
        <f t="shared" si="205"/>
        <v>0</v>
      </c>
      <c r="CC160">
        <f t="shared" si="205"/>
        <v>0</v>
      </c>
      <c r="CD160">
        <f t="shared" si="205"/>
        <v>0</v>
      </c>
      <c r="CE160">
        <f t="shared" si="205"/>
        <v>0</v>
      </c>
      <c r="CF160">
        <f t="shared" si="205"/>
        <v>0</v>
      </c>
      <c r="CG160">
        <f t="shared" si="205"/>
        <v>0</v>
      </c>
      <c r="CH160">
        <f t="shared" si="205"/>
        <v>0</v>
      </c>
      <c r="CI160">
        <f t="shared" si="205"/>
        <v>0</v>
      </c>
      <c r="CJ160">
        <f t="shared" si="205"/>
        <v>0</v>
      </c>
      <c r="CK160">
        <f t="shared" si="205"/>
        <v>0</v>
      </c>
      <c r="CL160">
        <f t="shared" si="206"/>
        <v>0</v>
      </c>
      <c r="CM160">
        <f t="shared" si="206"/>
        <v>0</v>
      </c>
      <c r="CN160">
        <f t="shared" si="206"/>
        <v>0</v>
      </c>
      <c r="CO160">
        <f t="shared" si="206"/>
        <v>0</v>
      </c>
      <c r="CP160">
        <f t="shared" si="206"/>
        <v>0</v>
      </c>
      <c r="CQ160">
        <f t="shared" si="206"/>
        <v>0</v>
      </c>
      <c r="CR160">
        <f t="shared" si="206"/>
        <v>0</v>
      </c>
      <c r="CS160">
        <f t="shared" si="206"/>
        <v>0</v>
      </c>
      <c r="CT160">
        <f t="shared" si="206"/>
        <v>0</v>
      </c>
      <c r="CU160">
        <f t="shared" si="206"/>
        <v>0</v>
      </c>
      <c r="CV160">
        <f t="shared" si="207"/>
        <v>0</v>
      </c>
      <c r="CW160">
        <f t="shared" si="207"/>
        <v>0</v>
      </c>
      <c r="CX160">
        <f t="shared" si="207"/>
        <v>0</v>
      </c>
      <c r="CY160">
        <f t="shared" si="207"/>
        <v>0</v>
      </c>
      <c r="CZ160">
        <f t="shared" si="207"/>
        <v>0</v>
      </c>
      <c r="DA160">
        <f t="shared" si="207"/>
        <v>0</v>
      </c>
      <c r="DB160">
        <f t="shared" si="207"/>
        <v>0</v>
      </c>
      <c r="DC160">
        <f t="shared" si="207"/>
        <v>0</v>
      </c>
      <c r="DD160">
        <f t="shared" si="207"/>
        <v>0</v>
      </c>
      <c r="DE160">
        <f t="shared" si="207"/>
        <v>0</v>
      </c>
      <c r="DF160">
        <f t="shared" si="208"/>
        <v>0</v>
      </c>
      <c r="DG160">
        <f t="shared" si="208"/>
        <v>0</v>
      </c>
      <c r="DH160">
        <f t="shared" si="208"/>
        <v>0</v>
      </c>
      <c r="DI160">
        <f t="shared" si="208"/>
        <v>0</v>
      </c>
      <c r="DJ160">
        <f t="shared" si="208"/>
        <v>0</v>
      </c>
      <c r="DK160">
        <f t="shared" si="208"/>
        <v>0</v>
      </c>
      <c r="DL160">
        <f t="shared" si="208"/>
        <v>0</v>
      </c>
      <c r="DM160">
        <f t="shared" si="208"/>
        <v>0</v>
      </c>
      <c r="DN160">
        <f t="shared" si="208"/>
        <v>0</v>
      </c>
      <c r="DO160">
        <f t="shared" si="208"/>
        <v>0</v>
      </c>
      <c r="DP160">
        <f t="shared" si="209"/>
        <v>0</v>
      </c>
      <c r="DQ160">
        <f t="shared" si="209"/>
        <v>0</v>
      </c>
      <c r="DR160">
        <f t="shared" si="209"/>
        <v>0</v>
      </c>
      <c r="DS160">
        <f t="shared" si="209"/>
        <v>0</v>
      </c>
      <c r="DT160">
        <f t="shared" si="209"/>
        <v>0</v>
      </c>
      <c r="DU160">
        <f t="shared" si="209"/>
        <v>0</v>
      </c>
      <c r="DV160">
        <f t="shared" si="209"/>
        <v>0</v>
      </c>
      <c r="DW160">
        <f t="shared" si="209"/>
        <v>0</v>
      </c>
      <c r="DX160">
        <f t="shared" si="209"/>
        <v>0</v>
      </c>
      <c r="DY160">
        <f t="shared" si="209"/>
        <v>0</v>
      </c>
      <c r="DZ160">
        <f t="shared" si="210"/>
        <v>0</v>
      </c>
      <c r="EA160">
        <f t="shared" si="210"/>
        <v>0</v>
      </c>
      <c r="EB160">
        <f t="shared" si="210"/>
        <v>0</v>
      </c>
      <c r="EC160">
        <f t="shared" si="210"/>
        <v>0</v>
      </c>
      <c r="ED160">
        <f t="shared" si="210"/>
        <v>0</v>
      </c>
      <c r="EE160">
        <f t="shared" si="210"/>
        <v>0</v>
      </c>
      <c r="EF160">
        <f t="shared" si="210"/>
        <v>0</v>
      </c>
      <c r="EG160">
        <f t="shared" si="210"/>
        <v>0</v>
      </c>
      <c r="EH160">
        <f t="shared" si="210"/>
        <v>0</v>
      </c>
      <c r="EI160">
        <f t="shared" si="210"/>
        <v>0</v>
      </c>
      <c r="EJ160">
        <f>SUM(Tabla1[[#This Row],[1]:[130]])</f>
        <v>44</v>
      </c>
    </row>
    <row r="161" spans="1:140" ht="15.75" thickBot="1" x14ac:dyDescent="0.3">
      <c r="A161" t="str">
        <f>B161&amp;"-"&amp;COUNTIF($B$2:B161,B161)</f>
        <v>I. RE BULL YELLOW-1</v>
      </c>
      <c r="B161" s="47" t="s">
        <v>112</v>
      </c>
      <c r="C161">
        <f>VLOOKUP(B161,RECETAS!D160:$E$1700,2,FALSE)</f>
        <v>2</v>
      </c>
      <c r="D161" s="18" t="s">
        <v>739</v>
      </c>
      <c r="G161" t="b">
        <f t="shared" si="171"/>
        <v>1</v>
      </c>
      <c r="I161" s="47" t="s">
        <v>111</v>
      </c>
      <c r="J161">
        <f t="shared" si="198"/>
        <v>5</v>
      </c>
      <c r="K161">
        <f t="shared" si="198"/>
        <v>6</v>
      </c>
      <c r="L161">
        <f t="shared" si="198"/>
        <v>0</v>
      </c>
      <c r="M161">
        <f t="shared" si="198"/>
        <v>0</v>
      </c>
      <c r="N161">
        <f t="shared" si="198"/>
        <v>0</v>
      </c>
      <c r="O161">
        <f t="shared" si="198"/>
        <v>0</v>
      </c>
      <c r="P161">
        <f t="shared" si="198"/>
        <v>0</v>
      </c>
      <c r="Q161">
        <f t="shared" si="198"/>
        <v>0</v>
      </c>
      <c r="R161">
        <f t="shared" si="198"/>
        <v>0</v>
      </c>
      <c r="S161">
        <f t="shared" si="198"/>
        <v>0</v>
      </c>
      <c r="T161">
        <f t="shared" si="199"/>
        <v>0</v>
      </c>
      <c r="U161">
        <f t="shared" si="199"/>
        <v>0</v>
      </c>
      <c r="V161">
        <f t="shared" si="199"/>
        <v>0</v>
      </c>
      <c r="W161">
        <f t="shared" si="199"/>
        <v>0</v>
      </c>
      <c r="X161">
        <f t="shared" si="199"/>
        <v>0</v>
      </c>
      <c r="Y161">
        <f t="shared" si="199"/>
        <v>0</v>
      </c>
      <c r="Z161">
        <f t="shared" si="199"/>
        <v>0</v>
      </c>
      <c r="AA161">
        <f t="shared" si="199"/>
        <v>0</v>
      </c>
      <c r="AB161">
        <f t="shared" si="199"/>
        <v>0</v>
      </c>
      <c r="AC161">
        <f t="shared" si="199"/>
        <v>0</v>
      </c>
      <c r="AD161">
        <f t="shared" si="200"/>
        <v>0</v>
      </c>
      <c r="AE161">
        <f t="shared" si="200"/>
        <v>0</v>
      </c>
      <c r="AF161">
        <f t="shared" si="200"/>
        <v>0</v>
      </c>
      <c r="AG161">
        <f t="shared" si="200"/>
        <v>0</v>
      </c>
      <c r="AH161">
        <f t="shared" si="200"/>
        <v>0</v>
      </c>
      <c r="AI161">
        <f t="shared" si="200"/>
        <v>0</v>
      </c>
      <c r="AJ161">
        <f t="shared" si="200"/>
        <v>0</v>
      </c>
      <c r="AK161">
        <f t="shared" si="200"/>
        <v>0</v>
      </c>
      <c r="AL161">
        <f t="shared" si="200"/>
        <v>0</v>
      </c>
      <c r="AM161">
        <f t="shared" si="200"/>
        <v>0</v>
      </c>
      <c r="AN161">
        <f t="shared" si="201"/>
        <v>0</v>
      </c>
      <c r="AO161">
        <f t="shared" si="201"/>
        <v>0</v>
      </c>
      <c r="AP161">
        <f t="shared" si="201"/>
        <v>0</v>
      </c>
      <c r="AQ161">
        <f t="shared" si="201"/>
        <v>0</v>
      </c>
      <c r="AR161">
        <f t="shared" si="201"/>
        <v>0</v>
      </c>
      <c r="AS161">
        <f t="shared" si="201"/>
        <v>0</v>
      </c>
      <c r="AT161">
        <f t="shared" si="201"/>
        <v>0</v>
      </c>
      <c r="AU161">
        <f t="shared" si="201"/>
        <v>0</v>
      </c>
      <c r="AV161">
        <f t="shared" si="201"/>
        <v>0</v>
      </c>
      <c r="AW161">
        <f t="shared" si="201"/>
        <v>0</v>
      </c>
      <c r="AX161">
        <f t="shared" si="202"/>
        <v>0</v>
      </c>
      <c r="AY161">
        <f t="shared" si="202"/>
        <v>0</v>
      </c>
      <c r="AZ161">
        <f t="shared" si="202"/>
        <v>0</v>
      </c>
      <c r="BA161">
        <f t="shared" si="202"/>
        <v>0</v>
      </c>
      <c r="BB161">
        <f t="shared" si="202"/>
        <v>0</v>
      </c>
      <c r="BC161">
        <f t="shared" si="202"/>
        <v>0</v>
      </c>
      <c r="BD161">
        <f t="shared" si="202"/>
        <v>0</v>
      </c>
      <c r="BE161">
        <f t="shared" si="202"/>
        <v>0</v>
      </c>
      <c r="BF161">
        <f t="shared" si="202"/>
        <v>0</v>
      </c>
      <c r="BG161">
        <f t="shared" si="202"/>
        <v>0</v>
      </c>
      <c r="BH161">
        <f t="shared" si="203"/>
        <v>0</v>
      </c>
      <c r="BI161">
        <f t="shared" si="203"/>
        <v>0</v>
      </c>
      <c r="BJ161">
        <f t="shared" si="203"/>
        <v>0</v>
      </c>
      <c r="BK161">
        <f t="shared" si="203"/>
        <v>0</v>
      </c>
      <c r="BL161">
        <f t="shared" si="203"/>
        <v>0</v>
      </c>
      <c r="BM161">
        <f t="shared" si="203"/>
        <v>0</v>
      </c>
      <c r="BN161">
        <f t="shared" si="203"/>
        <v>0</v>
      </c>
      <c r="BO161">
        <f t="shared" si="203"/>
        <v>0</v>
      </c>
      <c r="BP161">
        <f t="shared" si="203"/>
        <v>0</v>
      </c>
      <c r="BQ161">
        <f t="shared" si="203"/>
        <v>0</v>
      </c>
      <c r="BR161">
        <f t="shared" si="204"/>
        <v>0</v>
      </c>
      <c r="BS161">
        <f t="shared" si="204"/>
        <v>0</v>
      </c>
      <c r="BT161">
        <f t="shared" si="204"/>
        <v>0</v>
      </c>
      <c r="BU161">
        <f t="shared" si="204"/>
        <v>0</v>
      </c>
      <c r="BV161">
        <f t="shared" si="204"/>
        <v>0</v>
      </c>
      <c r="BW161">
        <f t="shared" si="204"/>
        <v>0</v>
      </c>
      <c r="BX161">
        <f t="shared" si="204"/>
        <v>0</v>
      </c>
      <c r="BY161">
        <f t="shared" si="204"/>
        <v>0</v>
      </c>
      <c r="BZ161">
        <f t="shared" si="204"/>
        <v>0</v>
      </c>
      <c r="CA161">
        <f t="shared" si="204"/>
        <v>0</v>
      </c>
      <c r="CB161">
        <f t="shared" si="205"/>
        <v>0</v>
      </c>
      <c r="CC161">
        <f t="shared" si="205"/>
        <v>0</v>
      </c>
      <c r="CD161">
        <f t="shared" si="205"/>
        <v>0</v>
      </c>
      <c r="CE161">
        <f t="shared" si="205"/>
        <v>0</v>
      </c>
      <c r="CF161">
        <f t="shared" si="205"/>
        <v>0</v>
      </c>
      <c r="CG161">
        <f t="shared" si="205"/>
        <v>0</v>
      </c>
      <c r="CH161">
        <f t="shared" si="205"/>
        <v>0</v>
      </c>
      <c r="CI161">
        <f t="shared" si="205"/>
        <v>0</v>
      </c>
      <c r="CJ161">
        <f t="shared" si="205"/>
        <v>0</v>
      </c>
      <c r="CK161">
        <f t="shared" si="205"/>
        <v>0</v>
      </c>
      <c r="CL161">
        <f t="shared" si="206"/>
        <v>0</v>
      </c>
      <c r="CM161">
        <f t="shared" si="206"/>
        <v>0</v>
      </c>
      <c r="CN161">
        <f t="shared" si="206"/>
        <v>0</v>
      </c>
      <c r="CO161">
        <f t="shared" si="206"/>
        <v>0</v>
      </c>
      <c r="CP161">
        <f t="shared" si="206"/>
        <v>0</v>
      </c>
      <c r="CQ161">
        <f t="shared" si="206"/>
        <v>0</v>
      </c>
      <c r="CR161">
        <f t="shared" si="206"/>
        <v>0</v>
      </c>
      <c r="CS161">
        <f t="shared" si="206"/>
        <v>0</v>
      </c>
      <c r="CT161">
        <f t="shared" si="206"/>
        <v>0</v>
      </c>
      <c r="CU161">
        <f t="shared" si="206"/>
        <v>0</v>
      </c>
      <c r="CV161">
        <f t="shared" si="207"/>
        <v>0</v>
      </c>
      <c r="CW161">
        <f t="shared" si="207"/>
        <v>0</v>
      </c>
      <c r="CX161">
        <f t="shared" si="207"/>
        <v>0</v>
      </c>
      <c r="CY161">
        <f t="shared" si="207"/>
        <v>0</v>
      </c>
      <c r="CZ161">
        <f t="shared" si="207"/>
        <v>0</v>
      </c>
      <c r="DA161">
        <f t="shared" si="207"/>
        <v>0</v>
      </c>
      <c r="DB161">
        <f t="shared" si="207"/>
        <v>0</v>
      </c>
      <c r="DC161">
        <f t="shared" si="207"/>
        <v>0</v>
      </c>
      <c r="DD161">
        <f t="shared" si="207"/>
        <v>0</v>
      </c>
      <c r="DE161">
        <f t="shared" si="207"/>
        <v>0</v>
      </c>
      <c r="DF161">
        <f t="shared" si="208"/>
        <v>0</v>
      </c>
      <c r="DG161">
        <f t="shared" si="208"/>
        <v>0</v>
      </c>
      <c r="DH161">
        <f t="shared" si="208"/>
        <v>0</v>
      </c>
      <c r="DI161">
        <f t="shared" si="208"/>
        <v>0</v>
      </c>
      <c r="DJ161">
        <f t="shared" si="208"/>
        <v>0</v>
      </c>
      <c r="DK161">
        <f t="shared" si="208"/>
        <v>0</v>
      </c>
      <c r="DL161">
        <f t="shared" si="208"/>
        <v>0</v>
      </c>
      <c r="DM161">
        <f t="shared" si="208"/>
        <v>0</v>
      </c>
      <c r="DN161">
        <f t="shared" si="208"/>
        <v>0</v>
      </c>
      <c r="DO161">
        <f t="shared" si="208"/>
        <v>0</v>
      </c>
      <c r="DP161">
        <f t="shared" si="209"/>
        <v>0</v>
      </c>
      <c r="DQ161">
        <f t="shared" si="209"/>
        <v>0</v>
      </c>
      <c r="DR161">
        <f t="shared" si="209"/>
        <v>0</v>
      </c>
      <c r="DS161">
        <f t="shared" si="209"/>
        <v>0</v>
      </c>
      <c r="DT161">
        <f t="shared" si="209"/>
        <v>0</v>
      </c>
      <c r="DU161">
        <f t="shared" si="209"/>
        <v>0</v>
      </c>
      <c r="DV161">
        <f t="shared" si="209"/>
        <v>0</v>
      </c>
      <c r="DW161">
        <f t="shared" si="209"/>
        <v>0</v>
      </c>
      <c r="DX161">
        <f t="shared" si="209"/>
        <v>0</v>
      </c>
      <c r="DY161">
        <f t="shared" si="209"/>
        <v>0</v>
      </c>
      <c r="DZ161">
        <f t="shared" si="210"/>
        <v>0</v>
      </c>
      <c r="EA161">
        <f t="shared" si="210"/>
        <v>0</v>
      </c>
      <c r="EB161">
        <f t="shared" si="210"/>
        <v>0</v>
      </c>
      <c r="EC161">
        <f t="shared" si="210"/>
        <v>0</v>
      </c>
      <c r="ED161">
        <f t="shared" si="210"/>
        <v>0</v>
      </c>
      <c r="EE161">
        <f t="shared" si="210"/>
        <v>0</v>
      </c>
      <c r="EF161">
        <f t="shared" si="210"/>
        <v>0</v>
      </c>
      <c r="EG161">
        <f t="shared" si="210"/>
        <v>0</v>
      </c>
      <c r="EH161">
        <f t="shared" si="210"/>
        <v>0</v>
      </c>
      <c r="EI161">
        <f t="shared" si="210"/>
        <v>0</v>
      </c>
      <c r="EJ161">
        <f>SUM(Tabla1[[#This Row],[1]:[130]])</f>
        <v>11</v>
      </c>
    </row>
    <row r="162" spans="1:140" ht="15.75" thickBot="1" x14ac:dyDescent="0.3">
      <c r="A162" t="str">
        <f>B162&amp;"-"&amp;COUNTIF($B$2:B162,B162)</f>
        <v>I. TONICA  FENTIMS-1</v>
      </c>
      <c r="B162" s="47" t="s">
        <v>125</v>
      </c>
      <c r="C162">
        <f>VLOOKUP(B162,RECETAS!D161:$E$1700,2,FALSE)</f>
        <v>0</v>
      </c>
      <c r="D162" s="18" t="s">
        <v>359</v>
      </c>
      <c r="G162" t="b">
        <f t="shared" si="171"/>
        <v>1</v>
      </c>
      <c r="I162" s="47" t="s">
        <v>112</v>
      </c>
      <c r="J162">
        <f t="shared" si="198"/>
        <v>2</v>
      </c>
      <c r="K162">
        <f t="shared" si="198"/>
        <v>0</v>
      </c>
      <c r="L162">
        <f t="shared" si="198"/>
        <v>0</v>
      </c>
      <c r="M162">
        <f t="shared" si="198"/>
        <v>0</v>
      </c>
      <c r="N162">
        <f t="shared" si="198"/>
        <v>0</v>
      </c>
      <c r="O162">
        <f t="shared" si="198"/>
        <v>0</v>
      </c>
      <c r="P162">
        <f t="shared" si="198"/>
        <v>0</v>
      </c>
      <c r="Q162">
        <f t="shared" si="198"/>
        <v>0</v>
      </c>
      <c r="R162">
        <f t="shared" si="198"/>
        <v>0</v>
      </c>
      <c r="S162">
        <f t="shared" si="198"/>
        <v>0</v>
      </c>
      <c r="T162">
        <f t="shared" si="199"/>
        <v>0</v>
      </c>
      <c r="U162">
        <f t="shared" si="199"/>
        <v>0</v>
      </c>
      <c r="V162">
        <f t="shared" si="199"/>
        <v>0</v>
      </c>
      <c r="W162">
        <f t="shared" si="199"/>
        <v>0</v>
      </c>
      <c r="X162">
        <f t="shared" si="199"/>
        <v>0</v>
      </c>
      <c r="Y162">
        <f t="shared" si="199"/>
        <v>0</v>
      </c>
      <c r="Z162">
        <f t="shared" si="199"/>
        <v>0</v>
      </c>
      <c r="AA162">
        <f t="shared" si="199"/>
        <v>0</v>
      </c>
      <c r="AB162">
        <f t="shared" si="199"/>
        <v>0</v>
      </c>
      <c r="AC162">
        <f t="shared" si="199"/>
        <v>0</v>
      </c>
      <c r="AD162">
        <f t="shared" si="200"/>
        <v>0</v>
      </c>
      <c r="AE162">
        <f t="shared" si="200"/>
        <v>0</v>
      </c>
      <c r="AF162">
        <f t="shared" si="200"/>
        <v>0</v>
      </c>
      <c r="AG162">
        <f t="shared" si="200"/>
        <v>0</v>
      </c>
      <c r="AH162">
        <f t="shared" si="200"/>
        <v>0</v>
      </c>
      <c r="AI162">
        <f t="shared" si="200"/>
        <v>0</v>
      </c>
      <c r="AJ162">
        <f t="shared" si="200"/>
        <v>0</v>
      </c>
      <c r="AK162">
        <f t="shared" si="200"/>
        <v>0</v>
      </c>
      <c r="AL162">
        <f t="shared" si="200"/>
        <v>0</v>
      </c>
      <c r="AM162">
        <f t="shared" si="200"/>
        <v>0</v>
      </c>
      <c r="AN162">
        <f t="shared" si="201"/>
        <v>0</v>
      </c>
      <c r="AO162">
        <f t="shared" si="201"/>
        <v>0</v>
      </c>
      <c r="AP162">
        <f t="shared" si="201"/>
        <v>0</v>
      </c>
      <c r="AQ162">
        <f t="shared" si="201"/>
        <v>0</v>
      </c>
      <c r="AR162">
        <f t="shared" si="201"/>
        <v>0</v>
      </c>
      <c r="AS162">
        <f t="shared" si="201"/>
        <v>0</v>
      </c>
      <c r="AT162">
        <f t="shared" si="201"/>
        <v>0</v>
      </c>
      <c r="AU162">
        <f t="shared" si="201"/>
        <v>0</v>
      </c>
      <c r="AV162">
        <f t="shared" si="201"/>
        <v>0</v>
      </c>
      <c r="AW162">
        <f t="shared" si="201"/>
        <v>0</v>
      </c>
      <c r="AX162">
        <f t="shared" si="202"/>
        <v>0</v>
      </c>
      <c r="AY162">
        <f t="shared" si="202"/>
        <v>0</v>
      </c>
      <c r="AZ162">
        <f t="shared" si="202"/>
        <v>0</v>
      </c>
      <c r="BA162">
        <f t="shared" si="202"/>
        <v>0</v>
      </c>
      <c r="BB162">
        <f t="shared" si="202"/>
        <v>0</v>
      </c>
      <c r="BC162">
        <f t="shared" si="202"/>
        <v>0</v>
      </c>
      <c r="BD162">
        <f t="shared" si="202"/>
        <v>0</v>
      </c>
      <c r="BE162">
        <f t="shared" si="202"/>
        <v>0</v>
      </c>
      <c r="BF162">
        <f t="shared" si="202"/>
        <v>0</v>
      </c>
      <c r="BG162">
        <f t="shared" si="202"/>
        <v>0</v>
      </c>
      <c r="BH162">
        <f t="shared" si="203"/>
        <v>0</v>
      </c>
      <c r="BI162">
        <f t="shared" si="203"/>
        <v>0</v>
      </c>
      <c r="BJ162">
        <f t="shared" si="203"/>
        <v>0</v>
      </c>
      <c r="BK162">
        <f t="shared" si="203"/>
        <v>0</v>
      </c>
      <c r="BL162">
        <f t="shared" si="203"/>
        <v>0</v>
      </c>
      <c r="BM162">
        <f t="shared" si="203"/>
        <v>0</v>
      </c>
      <c r="BN162">
        <f t="shared" si="203"/>
        <v>0</v>
      </c>
      <c r="BO162">
        <f t="shared" si="203"/>
        <v>0</v>
      </c>
      <c r="BP162">
        <f t="shared" si="203"/>
        <v>0</v>
      </c>
      <c r="BQ162">
        <f t="shared" si="203"/>
        <v>0</v>
      </c>
      <c r="BR162">
        <f t="shared" si="204"/>
        <v>0</v>
      </c>
      <c r="BS162">
        <f t="shared" si="204"/>
        <v>0</v>
      </c>
      <c r="BT162">
        <f t="shared" si="204"/>
        <v>0</v>
      </c>
      <c r="BU162">
        <f t="shared" si="204"/>
        <v>0</v>
      </c>
      <c r="BV162">
        <f t="shared" si="204"/>
        <v>0</v>
      </c>
      <c r="BW162">
        <f t="shared" si="204"/>
        <v>0</v>
      </c>
      <c r="BX162">
        <f t="shared" si="204"/>
        <v>0</v>
      </c>
      <c r="BY162">
        <f t="shared" si="204"/>
        <v>0</v>
      </c>
      <c r="BZ162">
        <f t="shared" si="204"/>
        <v>0</v>
      </c>
      <c r="CA162">
        <f t="shared" si="204"/>
        <v>0</v>
      </c>
      <c r="CB162">
        <f t="shared" si="205"/>
        <v>0</v>
      </c>
      <c r="CC162">
        <f t="shared" si="205"/>
        <v>0</v>
      </c>
      <c r="CD162">
        <f t="shared" si="205"/>
        <v>0</v>
      </c>
      <c r="CE162">
        <f t="shared" si="205"/>
        <v>0</v>
      </c>
      <c r="CF162">
        <f t="shared" si="205"/>
        <v>0</v>
      </c>
      <c r="CG162">
        <f t="shared" si="205"/>
        <v>0</v>
      </c>
      <c r="CH162">
        <f t="shared" si="205"/>
        <v>0</v>
      </c>
      <c r="CI162">
        <f t="shared" si="205"/>
        <v>0</v>
      </c>
      <c r="CJ162">
        <f t="shared" si="205"/>
        <v>0</v>
      </c>
      <c r="CK162">
        <f t="shared" si="205"/>
        <v>0</v>
      </c>
      <c r="CL162">
        <f t="shared" si="206"/>
        <v>0</v>
      </c>
      <c r="CM162">
        <f t="shared" si="206"/>
        <v>0</v>
      </c>
      <c r="CN162">
        <f t="shared" si="206"/>
        <v>0</v>
      </c>
      <c r="CO162">
        <f t="shared" si="206"/>
        <v>0</v>
      </c>
      <c r="CP162">
        <f t="shared" si="206"/>
        <v>0</v>
      </c>
      <c r="CQ162">
        <f t="shared" si="206"/>
        <v>0</v>
      </c>
      <c r="CR162">
        <f t="shared" si="206"/>
        <v>0</v>
      </c>
      <c r="CS162">
        <f t="shared" si="206"/>
        <v>0</v>
      </c>
      <c r="CT162">
        <f t="shared" si="206"/>
        <v>0</v>
      </c>
      <c r="CU162">
        <f t="shared" si="206"/>
        <v>0</v>
      </c>
      <c r="CV162">
        <f t="shared" si="207"/>
        <v>0</v>
      </c>
      <c r="CW162">
        <f t="shared" si="207"/>
        <v>0</v>
      </c>
      <c r="CX162">
        <f t="shared" si="207"/>
        <v>0</v>
      </c>
      <c r="CY162">
        <f t="shared" si="207"/>
        <v>0</v>
      </c>
      <c r="CZ162">
        <f t="shared" si="207"/>
        <v>0</v>
      </c>
      <c r="DA162">
        <f t="shared" si="207"/>
        <v>0</v>
      </c>
      <c r="DB162">
        <f t="shared" si="207"/>
        <v>0</v>
      </c>
      <c r="DC162">
        <f t="shared" si="207"/>
        <v>0</v>
      </c>
      <c r="DD162">
        <f t="shared" si="207"/>
        <v>0</v>
      </c>
      <c r="DE162">
        <f t="shared" si="207"/>
        <v>0</v>
      </c>
      <c r="DF162">
        <f t="shared" si="208"/>
        <v>0</v>
      </c>
      <c r="DG162">
        <f t="shared" si="208"/>
        <v>0</v>
      </c>
      <c r="DH162">
        <f t="shared" si="208"/>
        <v>0</v>
      </c>
      <c r="DI162">
        <f t="shared" si="208"/>
        <v>0</v>
      </c>
      <c r="DJ162">
        <f t="shared" si="208"/>
        <v>0</v>
      </c>
      <c r="DK162">
        <f t="shared" si="208"/>
        <v>0</v>
      </c>
      <c r="DL162">
        <f t="shared" si="208"/>
        <v>0</v>
      </c>
      <c r="DM162">
        <f t="shared" si="208"/>
        <v>0</v>
      </c>
      <c r="DN162">
        <f t="shared" si="208"/>
        <v>0</v>
      </c>
      <c r="DO162">
        <f t="shared" si="208"/>
        <v>0</v>
      </c>
      <c r="DP162">
        <f t="shared" si="209"/>
        <v>0</v>
      </c>
      <c r="DQ162">
        <f t="shared" si="209"/>
        <v>0</v>
      </c>
      <c r="DR162">
        <f t="shared" si="209"/>
        <v>0</v>
      </c>
      <c r="DS162">
        <f t="shared" si="209"/>
        <v>0</v>
      </c>
      <c r="DT162">
        <f t="shared" si="209"/>
        <v>0</v>
      </c>
      <c r="DU162">
        <f t="shared" si="209"/>
        <v>0</v>
      </c>
      <c r="DV162">
        <f t="shared" si="209"/>
        <v>0</v>
      </c>
      <c r="DW162">
        <f t="shared" si="209"/>
        <v>0</v>
      </c>
      <c r="DX162">
        <f t="shared" si="209"/>
        <v>0</v>
      </c>
      <c r="DY162">
        <f t="shared" si="209"/>
        <v>0</v>
      </c>
      <c r="DZ162">
        <f t="shared" si="210"/>
        <v>0</v>
      </c>
      <c r="EA162">
        <f t="shared" si="210"/>
        <v>0</v>
      </c>
      <c r="EB162">
        <f t="shared" si="210"/>
        <v>0</v>
      </c>
      <c r="EC162">
        <f t="shared" si="210"/>
        <v>0</v>
      </c>
      <c r="ED162">
        <f t="shared" si="210"/>
        <v>0</v>
      </c>
      <c r="EE162">
        <f t="shared" si="210"/>
        <v>0</v>
      </c>
      <c r="EF162">
        <f t="shared" si="210"/>
        <v>0</v>
      </c>
      <c r="EG162">
        <f t="shared" si="210"/>
        <v>0</v>
      </c>
      <c r="EH162">
        <f t="shared" si="210"/>
        <v>0</v>
      </c>
      <c r="EI162">
        <f t="shared" si="210"/>
        <v>0</v>
      </c>
      <c r="EJ162">
        <f>SUM(Tabla1[[#This Row],[1]:[130]])</f>
        <v>2</v>
      </c>
    </row>
    <row r="163" spans="1:140" ht="15.75" thickBot="1" x14ac:dyDescent="0.3">
      <c r="A163" t="str">
        <f>B163&amp;"-"&amp;COUNTIF($B$2:B163,B163)</f>
        <v>I. FETTIMAN LGHT-1</v>
      </c>
      <c r="B163" s="47" t="s">
        <v>73</v>
      </c>
      <c r="C163">
        <f>VLOOKUP(B163,RECETAS!D162:$E$1700,2,FALSE)</f>
        <v>0</v>
      </c>
      <c r="D163" s="18" t="s">
        <v>360</v>
      </c>
      <c r="G163" t="b">
        <f t="shared" si="171"/>
        <v>1</v>
      </c>
      <c r="I163" s="71" t="s">
        <v>523</v>
      </c>
      <c r="J163">
        <f t="shared" ref="J163:S172" si="211">IFERROR(VLOOKUP($I163&amp;"-"&amp;J$2,$A$3:$C$1700,3,FALSE),0)</f>
        <v>0</v>
      </c>
      <c r="K163">
        <f t="shared" si="211"/>
        <v>0</v>
      </c>
      <c r="L163">
        <f t="shared" si="211"/>
        <v>0</v>
      </c>
      <c r="M163">
        <f t="shared" si="211"/>
        <v>0</v>
      </c>
      <c r="N163">
        <f t="shared" si="211"/>
        <v>0</v>
      </c>
      <c r="O163">
        <f t="shared" si="211"/>
        <v>0</v>
      </c>
      <c r="P163">
        <f t="shared" si="211"/>
        <v>0</v>
      </c>
      <c r="Q163">
        <f t="shared" si="211"/>
        <v>0</v>
      </c>
      <c r="R163">
        <f t="shared" si="211"/>
        <v>0</v>
      </c>
      <c r="S163">
        <f t="shared" si="211"/>
        <v>0</v>
      </c>
      <c r="T163">
        <f t="shared" ref="T163:AC172" si="212">IFERROR(VLOOKUP($I163&amp;"-"&amp;T$2,$A$3:$C$1700,3,FALSE),0)</f>
        <v>0</v>
      </c>
      <c r="U163">
        <f t="shared" si="212"/>
        <v>0</v>
      </c>
      <c r="V163">
        <f t="shared" si="212"/>
        <v>0</v>
      </c>
      <c r="W163">
        <f t="shared" si="212"/>
        <v>0</v>
      </c>
      <c r="X163">
        <f t="shared" si="212"/>
        <v>0</v>
      </c>
      <c r="Y163">
        <f t="shared" si="212"/>
        <v>0</v>
      </c>
      <c r="Z163">
        <f t="shared" si="212"/>
        <v>0</v>
      </c>
      <c r="AA163">
        <f t="shared" si="212"/>
        <v>0</v>
      </c>
      <c r="AB163">
        <f t="shared" si="212"/>
        <v>0</v>
      </c>
      <c r="AC163">
        <f t="shared" si="212"/>
        <v>0</v>
      </c>
      <c r="AD163">
        <f t="shared" ref="AD163:AM172" si="213">IFERROR(VLOOKUP($I163&amp;"-"&amp;AD$2,$A$3:$C$1700,3,FALSE),0)</f>
        <v>0</v>
      </c>
      <c r="AE163">
        <f t="shared" si="213"/>
        <v>0</v>
      </c>
      <c r="AF163">
        <f t="shared" si="213"/>
        <v>0</v>
      </c>
      <c r="AG163">
        <f t="shared" si="213"/>
        <v>0</v>
      </c>
      <c r="AH163">
        <f t="shared" si="213"/>
        <v>0</v>
      </c>
      <c r="AI163">
        <f t="shared" si="213"/>
        <v>0</v>
      </c>
      <c r="AJ163">
        <f t="shared" si="213"/>
        <v>0</v>
      </c>
      <c r="AK163">
        <f t="shared" si="213"/>
        <v>0</v>
      </c>
      <c r="AL163">
        <f t="shared" si="213"/>
        <v>0</v>
      </c>
      <c r="AM163">
        <f t="shared" si="213"/>
        <v>0</v>
      </c>
      <c r="AN163">
        <f t="shared" ref="AN163:AW172" si="214">IFERROR(VLOOKUP($I163&amp;"-"&amp;AN$2,$A$3:$C$1700,3,FALSE),0)</f>
        <v>0</v>
      </c>
      <c r="AO163">
        <f t="shared" si="214"/>
        <v>0</v>
      </c>
      <c r="AP163">
        <f t="shared" si="214"/>
        <v>0</v>
      </c>
      <c r="AQ163">
        <f t="shared" si="214"/>
        <v>0</v>
      </c>
      <c r="AR163">
        <f t="shared" si="214"/>
        <v>0</v>
      </c>
      <c r="AS163">
        <f t="shared" si="214"/>
        <v>0</v>
      </c>
      <c r="AT163">
        <f t="shared" si="214"/>
        <v>0</v>
      </c>
      <c r="AU163">
        <f t="shared" si="214"/>
        <v>0</v>
      </c>
      <c r="AV163">
        <f t="shared" si="214"/>
        <v>0</v>
      </c>
      <c r="AW163">
        <f t="shared" si="214"/>
        <v>0</v>
      </c>
      <c r="AX163">
        <f t="shared" ref="AX163:BG172" si="215">IFERROR(VLOOKUP($I163&amp;"-"&amp;AX$2,$A$3:$C$1700,3,FALSE),0)</f>
        <v>0</v>
      </c>
      <c r="AY163">
        <f t="shared" si="215"/>
        <v>0</v>
      </c>
      <c r="AZ163">
        <f t="shared" si="215"/>
        <v>0</v>
      </c>
      <c r="BA163">
        <f t="shared" si="215"/>
        <v>0</v>
      </c>
      <c r="BB163">
        <f t="shared" si="215"/>
        <v>0</v>
      </c>
      <c r="BC163">
        <f t="shared" si="215"/>
        <v>0</v>
      </c>
      <c r="BD163">
        <f t="shared" si="215"/>
        <v>0</v>
      </c>
      <c r="BE163">
        <f t="shared" si="215"/>
        <v>0</v>
      </c>
      <c r="BF163">
        <f t="shared" si="215"/>
        <v>0</v>
      </c>
      <c r="BG163">
        <f t="shared" si="215"/>
        <v>0</v>
      </c>
      <c r="BH163">
        <f t="shared" ref="BH163:BQ172" si="216">IFERROR(VLOOKUP($I163&amp;"-"&amp;BH$2,$A$3:$C$1700,3,FALSE),0)</f>
        <v>0</v>
      </c>
      <c r="BI163">
        <f t="shared" si="216"/>
        <v>0</v>
      </c>
      <c r="BJ163">
        <f t="shared" si="216"/>
        <v>0</v>
      </c>
      <c r="BK163">
        <f t="shared" si="216"/>
        <v>0</v>
      </c>
      <c r="BL163">
        <f t="shared" si="216"/>
        <v>0</v>
      </c>
      <c r="BM163">
        <f t="shared" si="216"/>
        <v>0</v>
      </c>
      <c r="BN163">
        <f t="shared" si="216"/>
        <v>0</v>
      </c>
      <c r="BO163">
        <f t="shared" si="216"/>
        <v>0</v>
      </c>
      <c r="BP163">
        <f t="shared" si="216"/>
        <v>0</v>
      </c>
      <c r="BQ163">
        <f t="shared" si="216"/>
        <v>0</v>
      </c>
      <c r="BR163">
        <f t="shared" ref="BR163:CA172" si="217">IFERROR(VLOOKUP($I163&amp;"-"&amp;BR$2,$A$3:$C$1700,3,FALSE),0)</f>
        <v>0</v>
      </c>
      <c r="BS163">
        <f t="shared" si="217"/>
        <v>0</v>
      </c>
      <c r="BT163">
        <f t="shared" si="217"/>
        <v>0</v>
      </c>
      <c r="BU163">
        <f t="shared" si="217"/>
        <v>0</v>
      </c>
      <c r="BV163">
        <f t="shared" si="217"/>
        <v>0</v>
      </c>
      <c r="BW163">
        <f t="shared" si="217"/>
        <v>0</v>
      </c>
      <c r="BX163">
        <f t="shared" si="217"/>
        <v>0</v>
      </c>
      <c r="BY163">
        <f t="shared" si="217"/>
        <v>0</v>
      </c>
      <c r="BZ163">
        <f t="shared" si="217"/>
        <v>0</v>
      </c>
      <c r="CA163">
        <f t="shared" si="217"/>
        <v>0</v>
      </c>
      <c r="CB163">
        <f t="shared" ref="CB163:CK172" si="218">IFERROR(VLOOKUP($I163&amp;"-"&amp;CB$2,$A$3:$C$1700,3,FALSE),0)</f>
        <v>0</v>
      </c>
      <c r="CC163">
        <f t="shared" si="218"/>
        <v>0</v>
      </c>
      <c r="CD163">
        <f t="shared" si="218"/>
        <v>0</v>
      </c>
      <c r="CE163">
        <f t="shared" si="218"/>
        <v>0</v>
      </c>
      <c r="CF163">
        <f t="shared" si="218"/>
        <v>0</v>
      </c>
      <c r="CG163">
        <f t="shared" si="218"/>
        <v>0</v>
      </c>
      <c r="CH163">
        <f t="shared" si="218"/>
        <v>0</v>
      </c>
      <c r="CI163">
        <f t="shared" si="218"/>
        <v>0</v>
      </c>
      <c r="CJ163">
        <f t="shared" si="218"/>
        <v>0</v>
      </c>
      <c r="CK163">
        <f t="shared" si="218"/>
        <v>0</v>
      </c>
      <c r="CL163">
        <f t="shared" ref="CL163:CU172" si="219">IFERROR(VLOOKUP($I163&amp;"-"&amp;CL$2,$A$3:$C$1700,3,FALSE),0)</f>
        <v>0</v>
      </c>
      <c r="CM163">
        <f t="shared" si="219"/>
        <v>0</v>
      </c>
      <c r="CN163">
        <f t="shared" si="219"/>
        <v>0</v>
      </c>
      <c r="CO163">
        <f t="shared" si="219"/>
        <v>0</v>
      </c>
      <c r="CP163">
        <f t="shared" si="219"/>
        <v>0</v>
      </c>
      <c r="CQ163">
        <f t="shared" si="219"/>
        <v>0</v>
      </c>
      <c r="CR163">
        <f t="shared" si="219"/>
        <v>0</v>
      </c>
      <c r="CS163">
        <f t="shared" si="219"/>
        <v>0</v>
      </c>
      <c r="CT163">
        <f t="shared" si="219"/>
        <v>0</v>
      </c>
      <c r="CU163">
        <f t="shared" si="219"/>
        <v>0</v>
      </c>
      <c r="CV163">
        <f t="shared" ref="CV163:DE172" si="220">IFERROR(VLOOKUP($I163&amp;"-"&amp;CV$2,$A$3:$C$1700,3,FALSE),0)</f>
        <v>0</v>
      </c>
      <c r="CW163">
        <f t="shared" si="220"/>
        <v>0</v>
      </c>
      <c r="CX163">
        <f t="shared" si="220"/>
        <v>0</v>
      </c>
      <c r="CY163">
        <f t="shared" si="220"/>
        <v>0</v>
      </c>
      <c r="CZ163">
        <f t="shared" si="220"/>
        <v>0</v>
      </c>
      <c r="DA163">
        <f t="shared" si="220"/>
        <v>0</v>
      </c>
      <c r="DB163">
        <f t="shared" si="220"/>
        <v>0</v>
      </c>
      <c r="DC163">
        <f t="shared" si="220"/>
        <v>0</v>
      </c>
      <c r="DD163">
        <f t="shared" si="220"/>
        <v>0</v>
      </c>
      <c r="DE163">
        <f t="shared" si="220"/>
        <v>0</v>
      </c>
      <c r="DF163">
        <f t="shared" ref="DF163:DO172" si="221">IFERROR(VLOOKUP($I163&amp;"-"&amp;DF$2,$A$3:$C$1700,3,FALSE),0)</f>
        <v>0</v>
      </c>
      <c r="DG163">
        <f t="shared" si="221"/>
        <v>0</v>
      </c>
      <c r="DH163">
        <f t="shared" si="221"/>
        <v>0</v>
      </c>
      <c r="DI163">
        <f t="shared" si="221"/>
        <v>0</v>
      </c>
      <c r="DJ163">
        <f t="shared" si="221"/>
        <v>0</v>
      </c>
      <c r="DK163">
        <f t="shared" si="221"/>
        <v>0</v>
      </c>
      <c r="DL163">
        <f t="shared" si="221"/>
        <v>0</v>
      </c>
      <c r="DM163">
        <f t="shared" si="221"/>
        <v>0</v>
      </c>
      <c r="DN163">
        <f t="shared" si="221"/>
        <v>0</v>
      </c>
      <c r="DO163">
        <f t="shared" si="221"/>
        <v>0</v>
      </c>
      <c r="DP163">
        <f t="shared" ref="DP163:DY172" si="222">IFERROR(VLOOKUP($I163&amp;"-"&amp;DP$2,$A$3:$C$1700,3,FALSE),0)</f>
        <v>0</v>
      </c>
      <c r="DQ163">
        <f t="shared" si="222"/>
        <v>0</v>
      </c>
      <c r="DR163">
        <f t="shared" si="222"/>
        <v>0</v>
      </c>
      <c r="DS163">
        <f t="shared" si="222"/>
        <v>0</v>
      </c>
      <c r="DT163">
        <f t="shared" si="222"/>
        <v>0</v>
      </c>
      <c r="DU163">
        <f t="shared" si="222"/>
        <v>0</v>
      </c>
      <c r="DV163">
        <f t="shared" si="222"/>
        <v>0</v>
      </c>
      <c r="DW163">
        <f t="shared" si="222"/>
        <v>0</v>
      </c>
      <c r="DX163">
        <f t="shared" si="222"/>
        <v>0</v>
      </c>
      <c r="DY163">
        <f t="shared" si="222"/>
        <v>0</v>
      </c>
      <c r="DZ163">
        <f t="shared" ref="DZ163:EI172" si="223">IFERROR(VLOOKUP($I163&amp;"-"&amp;DZ$2,$A$3:$C$1700,3,FALSE),0)</f>
        <v>0</v>
      </c>
      <c r="EA163">
        <f t="shared" si="223"/>
        <v>0</v>
      </c>
      <c r="EB163">
        <f t="shared" si="223"/>
        <v>0</v>
      </c>
      <c r="EC163">
        <f t="shared" si="223"/>
        <v>0</v>
      </c>
      <c r="ED163">
        <f t="shared" si="223"/>
        <v>0</v>
      </c>
      <c r="EE163">
        <f t="shared" si="223"/>
        <v>0</v>
      </c>
      <c r="EF163">
        <f t="shared" si="223"/>
        <v>0</v>
      </c>
      <c r="EG163">
        <f t="shared" si="223"/>
        <v>0</v>
      </c>
      <c r="EH163">
        <f t="shared" si="223"/>
        <v>0</v>
      </c>
      <c r="EI163">
        <f t="shared" si="223"/>
        <v>0</v>
      </c>
      <c r="EJ163">
        <f>SUM(Tabla1[[#This Row],[1]:[130]])</f>
        <v>0</v>
      </c>
    </row>
    <row r="164" spans="1:140" ht="15.75" thickBot="1" x14ac:dyDescent="0.3">
      <c r="A164" t="str">
        <f>B164&amp;"-"&amp;COUNTIF($B$2:B164,B164)</f>
        <v>I. GINGER BEER-1</v>
      </c>
      <c r="B164" s="48" t="s">
        <v>78</v>
      </c>
      <c r="C164">
        <f>VLOOKUP(B164,RECETAS!D163:$E$1700,2,FALSE)</f>
        <v>1</v>
      </c>
      <c r="D164" s="18" t="s">
        <v>361</v>
      </c>
      <c r="G164" t="b">
        <f t="shared" si="171"/>
        <v>1</v>
      </c>
      <c r="I164" s="175" t="s">
        <v>644</v>
      </c>
      <c r="J164">
        <f t="shared" si="211"/>
        <v>0</v>
      </c>
      <c r="K164">
        <f t="shared" si="211"/>
        <v>0</v>
      </c>
      <c r="L164">
        <f t="shared" si="211"/>
        <v>0</v>
      </c>
      <c r="M164">
        <f t="shared" si="211"/>
        <v>0</v>
      </c>
      <c r="N164">
        <f t="shared" si="211"/>
        <v>0</v>
      </c>
      <c r="O164">
        <f t="shared" si="211"/>
        <v>0</v>
      </c>
      <c r="P164">
        <f t="shared" si="211"/>
        <v>0</v>
      </c>
      <c r="Q164">
        <f t="shared" si="211"/>
        <v>0</v>
      </c>
      <c r="R164">
        <f t="shared" si="211"/>
        <v>0</v>
      </c>
      <c r="S164">
        <f t="shared" si="211"/>
        <v>0</v>
      </c>
      <c r="T164">
        <f t="shared" si="212"/>
        <v>0</v>
      </c>
      <c r="U164">
        <f t="shared" si="212"/>
        <v>0</v>
      </c>
      <c r="V164">
        <f t="shared" si="212"/>
        <v>0</v>
      </c>
      <c r="W164">
        <f t="shared" si="212"/>
        <v>0</v>
      </c>
      <c r="X164">
        <f t="shared" si="212"/>
        <v>0</v>
      </c>
      <c r="Y164">
        <f t="shared" si="212"/>
        <v>0</v>
      </c>
      <c r="Z164">
        <f t="shared" si="212"/>
        <v>0</v>
      </c>
      <c r="AA164">
        <f t="shared" si="212"/>
        <v>0</v>
      </c>
      <c r="AB164">
        <f t="shared" si="212"/>
        <v>0</v>
      </c>
      <c r="AC164">
        <f t="shared" si="212"/>
        <v>0</v>
      </c>
      <c r="AD164">
        <f t="shared" si="213"/>
        <v>0</v>
      </c>
      <c r="AE164">
        <f t="shared" si="213"/>
        <v>0</v>
      </c>
      <c r="AF164">
        <f t="shared" si="213"/>
        <v>0</v>
      </c>
      <c r="AG164">
        <f t="shared" si="213"/>
        <v>0</v>
      </c>
      <c r="AH164">
        <f t="shared" si="213"/>
        <v>0</v>
      </c>
      <c r="AI164">
        <f t="shared" si="213"/>
        <v>0</v>
      </c>
      <c r="AJ164">
        <f t="shared" si="213"/>
        <v>0</v>
      </c>
      <c r="AK164">
        <f t="shared" si="213"/>
        <v>0</v>
      </c>
      <c r="AL164">
        <f t="shared" si="213"/>
        <v>0</v>
      </c>
      <c r="AM164">
        <f t="shared" si="213"/>
        <v>0</v>
      </c>
      <c r="AN164">
        <f t="shared" si="214"/>
        <v>0</v>
      </c>
      <c r="AO164">
        <f t="shared" si="214"/>
        <v>0</v>
      </c>
      <c r="AP164">
        <f t="shared" si="214"/>
        <v>0</v>
      </c>
      <c r="AQ164">
        <f t="shared" si="214"/>
        <v>0</v>
      </c>
      <c r="AR164">
        <f t="shared" si="214"/>
        <v>0</v>
      </c>
      <c r="AS164">
        <f t="shared" si="214"/>
        <v>0</v>
      </c>
      <c r="AT164">
        <f t="shared" si="214"/>
        <v>0</v>
      </c>
      <c r="AU164">
        <f t="shared" si="214"/>
        <v>0</v>
      </c>
      <c r="AV164">
        <f t="shared" si="214"/>
        <v>0</v>
      </c>
      <c r="AW164">
        <f t="shared" si="214"/>
        <v>0</v>
      </c>
      <c r="AX164">
        <f t="shared" si="215"/>
        <v>0</v>
      </c>
      <c r="AY164">
        <f t="shared" si="215"/>
        <v>0</v>
      </c>
      <c r="AZ164">
        <f t="shared" si="215"/>
        <v>0</v>
      </c>
      <c r="BA164">
        <f t="shared" si="215"/>
        <v>0</v>
      </c>
      <c r="BB164">
        <f t="shared" si="215"/>
        <v>0</v>
      </c>
      <c r="BC164">
        <f t="shared" si="215"/>
        <v>0</v>
      </c>
      <c r="BD164">
        <f t="shared" si="215"/>
        <v>0</v>
      </c>
      <c r="BE164">
        <f t="shared" si="215"/>
        <v>0</v>
      </c>
      <c r="BF164">
        <f t="shared" si="215"/>
        <v>0</v>
      </c>
      <c r="BG164">
        <f t="shared" si="215"/>
        <v>0</v>
      </c>
      <c r="BH164">
        <f t="shared" si="216"/>
        <v>0</v>
      </c>
      <c r="BI164">
        <f t="shared" si="216"/>
        <v>0</v>
      </c>
      <c r="BJ164">
        <f t="shared" si="216"/>
        <v>0</v>
      </c>
      <c r="BK164">
        <f t="shared" si="216"/>
        <v>0</v>
      </c>
      <c r="BL164">
        <f t="shared" si="216"/>
        <v>0</v>
      </c>
      <c r="BM164">
        <f t="shared" si="216"/>
        <v>0</v>
      </c>
      <c r="BN164">
        <f t="shared" si="216"/>
        <v>0</v>
      </c>
      <c r="BO164">
        <f t="shared" si="216"/>
        <v>0</v>
      </c>
      <c r="BP164">
        <f t="shared" si="216"/>
        <v>0</v>
      </c>
      <c r="BQ164">
        <f t="shared" si="216"/>
        <v>0</v>
      </c>
      <c r="BR164">
        <f t="shared" si="217"/>
        <v>0</v>
      </c>
      <c r="BS164">
        <f t="shared" si="217"/>
        <v>0</v>
      </c>
      <c r="BT164">
        <f t="shared" si="217"/>
        <v>0</v>
      </c>
      <c r="BU164">
        <f t="shared" si="217"/>
        <v>0</v>
      </c>
      <c r="BV164">
        <f t="shared" si="217"/>
        <v>0</v>
      </c>
      <c r="BW164">
        <f t="shared" si="217"/>
        <v>0</v>
      </c>
      <c r="BX164">
        <f t="shared" si="217"/>
        <v>0</v>
      </c>
      <c r="BY164">
        <f t="shared" si="217"/>
        <v>0</v>
      </c>
      <c r="BZ164">
        <f t="shared" si="217"/>
        <v>0</v>
      </c>
      <c r="CA164">
        <f t="shared" si="217"/>
        <v>0</v>
      </c>
      <c r="CB164">
        <f t="shared" si="218"/>
        <v>0</v>
      </c>
      <c r="CC164">
        <f t="shared" si="218"/>
        <v>0</v>
      </c>
      <c r="CD164">
        <f t="shared" si="218"/>
        <v>0</v>
      </c>
      <c r="CE164">
        <f t="shared" si="218"/>
        <v>0</v>
      </c>
      <c r="CF164">
        <f t="shared" si="218"/>
        <v>0</v>
      </c>
      <c r="CG164">
        <f t="shared" si="218"/>
        <v>0</v>
      </c>
      <c r="CH164">
        <f t="shared" si="218"/>
        <v>0</v>
      </c>
      <c r="CI164">
        <f t="shared" si="218"/>
        <v>0</v>
      </c>
      <c r="CJ164">
        <f t="shared" si="218"/>
        <v>0</v>
      </c>
      <c r="CK164">
        <f t="shared" si="218"/>
        <v>0</v>
      </c>
      <c r="CL164">
        <f t="shared" si="219"/>
        <v>0</v>
      </c>
      <c r="CM164">
        <f t="shared" si="219"/>
        <v>0</v>
      </c>
      <c r="CN164">
        <f t="shared" si="219"/>
        <v>0</v>
      </c>
      <c r="CO164">
        <f t="shared" si="219"/>
        <v>0</v>
      </c>
      <c r="CP164">
        <f t="shared" si="219"/>
        <v>0</v>
      </c>
      <c r="CQ164">
        <f t="shared" si="219"/>
        <v>0</v>
      </c>
      <c r="CR164">
        <f t="shared" si="219"/>
        <v>0</v>
      </c>
      <c r="CS164">
        <f t="shared" si="219"/>
        <v>0</v>
      </c>
      <c r="CT164">
        <f t="shared" si="219"/>
        <v>0</v>
      </c>
      <c r="CU164">
        <f t="shared" si="219"/>
        <v>0</v>
      </c>
      <c r="CV164">
        <f t="shared" si="220"/>
        <v>0</v>
      </c>
      <c r="CW164">
        <f t="shared" si="220"/>
        <v>0</v>
      </c>
      <c r="CX164">
        <f t="shared" si="220"/>
        <v>0</v>
      </c>
      <c r="CY164">
        <f t="shared" si="220"/>
        <v>0</v>
      </c>
      <c r="CZ164">
        <f t="shared" si="220"/>
        <v>0</v>
      </c>
      <c r="DA164">
        <f t="shared" si="220"/>
        <v>0</v>
      </c>
      <c r="DB164">
        <f t="shared" si="220"/>
        <v>0</v>
      </c>
      <c r="DC164">
        <f t="shared" si="220"/>
        <v>0</v>
      </c>
      <c r="DD164">
        <f t="shared" si="220"/>
        <v>0</v>
      </c>
      <c r="DE164">
        <f t="shared" si="220"/>
        <v>0</v>
      </c>
      <c r="DF164">
        <f t="shared" si="221"/>
        <v>0</v>
      </c>
      <c r="DG164">
        <f t="shared" si="221"/>
        <v>0</v>
      </c>
      <c r="DH164">
        <f t="shared" si="221"/>
        <v>0</v>
      </c>
      <c r="DI164">
        <f t="shared" si="221"/>
        <v>0</v>
      </c>
      <c r="DJ164">
        <f t="shared" si="221"/>
        <v>0</v>
      </c>
      <c r="DK164">
        <f t="shared" si="221"/>
        <v>0</v>
      </c>
      <c r="DL164">
        <f t="shared" si="221"/>
        <v>0</v>
      </c>
      <c r="DM164">
        <f t="shared" si="221"/>
        <v>0</v>
      </c>
      <c r="DN164">
        <f t="shared" si="221"/>
        <v>0</v>
      </c>
      <c r="DO164">
        <f t="shared" si="221"/>
        <v>0</v>
      </c>
      <c r="DP164">
        <f t="shared" si="222"/>
        <v>0</v>
      </c>
      <c r="DQ164">
        <f t="shared" si="222"/>
        <v>0</v>
      </c>
      <c r="DR164">
        <f t="shared" si="222"/>
        <v>0</v>
      </c>
      <c r="DS164">
        <f t="shared" si="222"/>
        <v>0</v>
      </c>
      <c r="DT164">
        <f t="shared" si="222"/>
        <v>0</v>
      </c>
      <c r="DU164">
        <f t="shared" si="222"/>
        <v>0</v>
      </c>
      <c r="DV164">
        <f t="shared" si="222"/>
        <v>0</v>
      </c>
      <c r="DW164">
        <f t="shared" si="222"/>
        <v>0</v>
      </c>
      <c r="DX164">
        <f t="shared" si="222"/>
        <v>0</v>
      </c>
      <c r="DY164">
        <f t="shared" si="222"/>
        <v>0</v>
      </c>
      <c r="DZ164">
        <f t="shared" si="223"/>
        <v>0</v>
      </c>
      <c r="EA164">
        <f t="shared" si="223"/>
        <v>0</v>
      </c>
      <c r="EB164">
        <f t="shared" si="223"/>
        <v>0</v>
      </c>
      <c r="EC164">
        <f t="shared" si="223"/>
        <v>0</v>
      </c>
      <c r="ED164">
        <f t="shared" si="223"/>
        <v>0</v>
      </c>
      <c r="EE164">
        <f t="shared" si="223"/>
        <v>0</v>
      </c>
      <c r="EF164">
        <f t="shared" si="223"/>
        <v>0</v>
      </c>
      <c r="EG164">
        <f t="shared" si="223"/>
        <v>0</v>
      </c>
      <c r="EH164">
        <f t="shared" si="223"/>
        <v>0</v>
      </c>
      <c r="EI164">
        <f t="shared" si="223"/>
        <v>0</v>
      </c>
      <c r="EJ164">
        <f>SUM(Tabla1[[#This Row],[1]:[130]])</f>
        <v>0</v>
      </c>
    </row>
    <row r="165" spans="1:140" ht="15.75" thickBot="1" x14ac:dyDescent="0.3">
      <c r="A165" t="str">
        <f>B165&amp;"-"&amp;COUNTIF($B$2:B165,B165)</f>
        <v>I. CHAMP BRUT 750-1</v>
      </c>
      <c r="B165" s="48" t="s">
        <v>59</v>
      </c>
      <c r="C165">
        <f>VLOOKUP(B165,RECETAS!D164:$E$1700,2,FALSE)</f>
        <v>1500</v>
      </c>
      <c r="D165" s="18" t="s">
        <v>362</v>
      </c>
      <c r="G165" t="b">
        <f t="shared" si="171"/>
        <v>1</v>
      </c>
      <c r="I165" s="175" t="s">
        <v>647</v>
      </c>
      <c r="J165">
        <f t="shared" si="211"/>
        <v>0</v>
      </c>
      <c r="K165">
        <f t="shared" si="211"/>
        <v>0</v>
      </c>
      <c r="L165">
        <f t="shared" si="211"/>
        <v>0</v>
      </c>
      <c r="M165">
        <f t="shared" si="211"/>
        <v>0</v>
      </c>
      <c r="N165">
        <f t="shared" si="211"/>
        <v>0</v>
      </c>
      <c r="O165">
        <f t="shared" si="211"/>
        <v>0</v>
      </c>
      <c r="P165">
        <f t="shared" si="211"/>
        <v>0</v>
      </c>
      <c r="Q165">
        <f t="shared" si="211"/>
        <v>0</v>
      </c>
      <c r="R165">
        <f t="shared" si="211"/>
        <v>0</v>
      </c>
      <c r="S165">
        <f t="shared" si="211"/>
        <v>0</v>
      </c>
      <c r="T165">
        <f t="shared" si="212"/>
        <v>0</v>
      </c>
      <c r="U165">
        <f t="shared" si="212"/>
        <v>0</v>
      </c>
      <c r="V165">
        <f t="shared" si="212"/>
        <v>0</v>
      </c>
      <c r="W165">
        <f t="shared" si="212"/>
        <v>0</v>
      </c>
      <c r="X165">
        <f t="shared" si="212"/>
        <v>0</v>
      </c>
      <c r="Y165">
        <f t="shared" si="212"/>
        <v>0</v>
      </c>
      <c r="Z165">
        <f t="shared" si="212"/>
        <v>0</v>
      </c>
      <c r="AA165">
        <f t="shared" si="212"/>
        <v>0</v>
      </c>
      <c r="AB165">
        <f t="shared" si="212"/>
        <v>0</v>
      </c>
      <c r="AC165">
        <f t="shared" si="212"/>
        <v>0</v>
      </c>
      <c r="AD165">
        <f t="shared" si="213"/>
        <v>0</v>
      </c>
      <c r="AE165">
        <f t="shared" si="213"/>
        <v>0</v>
      </c>
      <c r="AF165">
        <f t="shared" si="213"/>
        <v>0</v>
      </c>
      <c r="AG165">
        <f t="shared" si="213"/>
        <v>0</v>
      </c>
      <c r="AH165">
        <f t="shared" si="213"/>
        <v>0</v>
      </c>
      <c r="AI165">
        <f t="shared" si="213"/>
        <v>0</v>
      </c>
      <c r="AJ165">
        <f t="shared" si="213"/>
        <v>0</v>
      </c>
      <c r="AK165">
        <f t="shared" si="213"/>
        <v>0</v>
      </c>
      <c r="AL165">
        <f t="shared" si="213"/>
        <v>0</v>
      </c>
      <c r="AM165">
        <f t="shared" si="213"/>
        <v>0</v>
      </c>
      <c r="AN165">
        <f t="shared" si="214"/>
        <v>0</v>
      </c>
      <c r="AO165">
        <f t="shared" si="214"/>
        <v>0</v>
      </c>
      <c r="AP165">
        <f t="shared" si="214"/>
        <v>0</v>
      </c>
      <c r="AQ165">
        <f t="shared" si="214"/>
        <v>0</v>
      </c>
      <c r="AR165">
        <f t="shared" si="214"/>
        <v>0</v>
      </c>
      <c r="AS165">
        <f t="shared" si="214"/>
        <v>0</v>
      </c>
      <c r="AT165">
        <f t="shared" si="214"/>
        <v>0</v>
      </c>
      <c r="AU165">
        <f t="shared" si="214"/>
        <v>0</v>
      </c>
      <c r="AV165">
        <f t="shared" si="214"/>
        <v>0</v>
      </c>
      <c r="AW165">
        <f t="shared" si="214"/>
        <v>0</v>
      </c>
      <c r="AX165">
        <f t="shared" si="215"/>
        <v>0</v>
      </c>
      <c r="AY165">
        <f t="shared" si="215"/>
        <v>0</v>
      </c>
      <c r="AZ165">
        <f t="shared" si="215"/>
        <v>0</v>
      </c>
      <c r="BA165">
        <f t="shared" si="215"/>
        <v>0</v>
      </c>
      <c r="BB165">
        <f t="shared" si="215"/>
        <v>0</v>
      </c>
      <c r="BC165">
        <f t="shared" si="215"/>
        <v>0</v>
      </c>
      <c r="BD165">
        <f t="shared" si="215"/>
        <v>0</v>
      </c>
      <c r="BE165">
        <f t="shared" si="215"/>
        <v>0</v>
      </c>
      <c r="BF165">
        <f t="shared" si="215"/>
        <v>0</v>
      </c>
      <c r="BG165">
        <f t="shared" si="215"/>
        <v>0</v>
      </c>
      <c r="BH165">
        <f t="shared" si="216"/>
        <v>0</v>
      </c>
      <c r="BI165">
        <f t="shared" si="216"/>
        <v>0</v>
      </c>
      <c r="BJ165">
        <f t="shared" si="216"/>
        <v>0</v>
      </c>
      <c r="BK165">
        <f t="shared" si="216"/>
        <v>0</v>
      </c>
      <c r="BL165">
        <f t="shared" si="216"/>
        <v>0</v>
      </c>
      <c r="BM165">
        <f t="shared" si="216"/>
        <v>0</v>
      </c>
      <c r="BN165">
        <f t="shared" si="216"/>
        <v>0</v>
      </c>
      <c r="BO165">
        <f t="shared" si="216"/>
        <v>0</v>
      </c>
      <c r="BP165">
        <f t="shared" si="216"/>
        <v>0</v>
      </c>
      <c r="BQ165">
        <f t="shared" si="216"/>
        <v>0</v>
      </c>
      <c r="BR165">
        <f t="shared" si="217"/>
        <v>0</v>
      </c>
      <c r="BS165">
        <f t="shared" si="217"/>
        <v>0</v>
      </c>
      <c r="BT165">
        <f t="shared" si="217"/>
        <v>0</v>
      </c>
      <c r="BU165">
        <f t="shared" si="217"/>
        <v>0</v>
      </c>
      <c r="BV165">
        <f t="shared" si="217"/>
        <v>0</v>
      </c>
      <c r="BW165">
        <f t="shared" si="217"/>
        <v>0</v>
      </c>
      <c r="BX165">
        <f t="shared" si="217"/>
        <v>0</v>
      </c>
      <c r="BY165">
        <f t="shared" si="217"/>
        <v>0</v>
      </c>
      <c r="BZ165">
        <f t="shared" si="217"/>
        <v>0</v>
      </c>
      <c r="CA165">
        <f t="shared" si="217"/>
        <v>0</v>
      </c>
      <c r="CB165">
        <f t="shared" si="218"/>
        <v>0</v>
      </c>
      <c r="CC165">
        <f t="shared" si="218"/>
        <v>0</v>
      </c>
      <c r="CD165">
        <f t="shared" si="218"/>
        <v>0</v>
      </c>
      <c r="CE165">
        <f t="shared" si="218"/>
        <v>0</v>
      </c>
      <c r="CF165">
        <f t="shared" si="218"/>
        <v>0</v>
      </c>
      <c r="CG165">
        <f t="shared" si="218"/>
        <v>0</v>
      </c>
      <c r="CH165">
        <f t="shared" si="218"/>
        <v>0</v>
      </c>
      <c r="CI165">
        <f t="shared" si="218"/>
        <v>0</v>
      </c>
      <c r="CJ165">
        <f t="shared" si="218"/>
        <v>0</v>
      </c>
      <c r="CK165">
        <f t="shared" si="218"/>
        <v>0</v>
      </c>
      <c r="CL165">
        <f t="shared" si="219"/>
        <v>0</v>
      </c>
      <c r="CM165">
        <f t="shared" si="219"/>
        <v>0</v>
      </c>
      <c r="CN165">
        <f t="shared" si="219"/>
        <v>0</v>
      </c>
      <c r="CO165">
        <f t="shared" si="219"/>
        <v>0</v>
      </c>
      <c r="CP165">
        <f t="shared" si="219"/>
        <v>0</v>
      </c>
      <c r="CQ165">
        <f t="shared" si="219"/>
        <v>0</v>
      </c>
      <c r="CR165">
        <f t="shared" si="219"/>
        <v>0</v>
      </c>
      <c r="CS165">
        <f t="shared" si="219"/>
        <v>0</v>
      </c>
      <c r="CT165">
        <f t="shared" si="219"/>
        <v>0</v>
      </c>
      <c r="CU165">
        <f t="shared" si="219"/>
        <v>0</v>
      </c>
      <c r="CV165">
        <f t="shared" si="220"/>
        <v>0</v>
      </c>
      <c r="CW165">
        <f t="shared" si="220"/>
        <v>0</v>
      </c>
      <c r="CX165">
        <f t="shared" si="220"/>
        <v>0</v>
      </c>
      <c r="CY165">
        <f t="shared" si="220"/>
        <v>0</v>
      </c>
      <c r="CZ165">
        <f t="shared" si="220"/>
        <v>0</v>
      </c>
      <c r="DA165">
        <f t="shared" si="220"/>
        <v>0</v>
      </c>
      <c r="DB165">
        <f t="shared" si="220"/>
        <v>0</v>
      </c>
      <c r="DC165">
        <f t="shared" si="220"/>
        <v>0</v>
      </c>
      <c r="DD165">
        <f t="shared" si="220"/>
        <v>0</v>
      </c>
      <c r="DE165">
        <f t="shared" si="220"/>
        <v>0</v>
      </c>
      <c r="DF165">
        <f t="shared" si="221"/>
        <v>0</v>
      </c>
      <c r="DG165">
        <f t="shared" si="221"/>
        <v>0</v>
      </c>
      <c r="DH165">
        <f t="shared" si="221"/>
        <v>0</v>
      </c>
      <c r="DI165">
        <f t="shared" si="221"/>
        <v>0</v>
      </c>
      <c r="DJ165">
        <f t="shared" si="221"/>
        <v>0</v>
      </c>
      <c r="DK165">
        <f t="shared" si="221"/>
        <v>0</v>
      </c>
      <c r="DL165">
        <f t="shared" si="221"/>
        <v>0</v>
      </c>
      <c r="DM165">
        <f t="shared" si="221"/>
        <v>0</v>
      </c>
      <c r="DN165">
        <f t="shared" si="221"/>
        <v>0</v>
      </c>
      <c r="DO165">
        <f t="shared" si="221"/>
        <v>0</v>
      </c>
      <c r="DP165">
        <f t="shared" si="222"/>
        <v>0</v>
      </c>
      <c r="DQ165">
        <f t="shared" si="222"/>
        <v>0</v>
      </c>
      <c r="DR165">
        <f t="shared" si="222"/>
        <v>0</v>
      </c>
      <c r="DS165">
        <f t="shared" si="222"/>
        <v>0</v>
      </c>
      <c r="DT165">
        <f t="shared" si="222"/>
        <v>0</v>
      </c>
      <c r="DU165">
        <f t="shared" si="222"/>
        <v>0</v>
      </c>
      <c r="DV165">
        <f t="shared" si="222"/>
        <v>0</v>
      </c>
      <c r="DW165">
        <f t="shared" si="222"/>
        <v>0</v>
      </c>
      <c r="DX165">
        <f t="shared" si="222"/>
        <v>0</v>
      </c>
      <c r="DY165">
        <f t="shared" si="222"/>
        <v>0</v>
      </c>
      <c r="DZ165">
        <f t="shared" si="223"/>
        <v>0</v>
      </c>
      <c r="EA165">
        <f t="shared" si="223"/>
        <v>0</v>
      </c>
      <c r="EB165">
        <f t="shared" si="223"/>
        <v>0</v>
      </c>
      <c r="EC165">
        <f t="shared" si="223"/>
        <v>0</v>
      </c>
      <c r="ED165">
        <f t="shared" si="223"/>
        <v>0</v>
      </c>
      <c r="EE165">
        <f t="shared" si="223"/>
        <v>0</v>
      </c>
      <c r="EF165">
        <f t="shared" si="223"/>
        <v>0</v>
      </c>
      <c r="EG165">
        <f t="shared" si="223"/>
        <v>0</v>
      </c>
      <c r="EH165">
        <f t="shared" si="223"/>
        <v>0</v>
      </c>
      <c r="EI165">
        <f t="shared" si="223"/>
        <v>0</v>
      </c>
      <c r="EJ165">
        <f>SUM(Tabla1[[#This Row],[1]:[130]])</f>
        <v>0</v>
      </c>
    </row>
    <row r="166" spans="1:140" ht="15.75" thickBot="1" x14ac:dyDescent="0.3">
      <c r="A166" t="str">
        <f>B166&amp;"-"&amp;COUNTIF($B$2:B166,B166)</f>
        <v>I. RICC. MOSCATO-1</v>
      </c>
      <c r="B166" s="56" t="s">
        <v>113</v>
      </c>
      <c r="C166">
        <f>VLOOKUP(B166,RECETAS!D165:$E$1700,2,FALSE)</f>
        <v>0</v>
      </c>
      <c r="D166" s="53" t="s">
        <v>363</v>
      </c>
      <c r="G166" t="b">
        <f t="shared" si="171"/>
        <v>1</v>
      </c>
      <c r="I166" s="56" t="s">
        <v>113</v>
      </c>
      <c r="J166">
        <f t="shared" si="211"/>
        <v>0</v>
      </c>
      <c r="K166">
        <f t="shared" si="211"/>
        <v>0</v>
      </c>
      <c r="L166">
        <f t="shared" si="211"/>
        <v>0</v>
      </c>
      <c r="M166">
        <f t="shared" si="211"/>
        <v>0</v>
      </c>
      <c r="N166">
        <f t="shared" si="211"/>
        <v>0</v>
      </c>
      <c r="O166">
        <f t="shared" si="211"/>
        <v>0</v>
      </c>
      <c r="P166">
        <f t="shared" si="211"/>
        <v>0</v>
      </c>
      <c r="Q166">
        <f t="shared" si="211"/>
        <v>0</v>
      </c>
      <c r="R166">
        <f t="shared" si="211"/>
        <v>0</v>
      </c>
      <c r="S166">
        <f t="shared" si="211"/>
        <v>0</v>
      </c>
      <c r="T166">
        <f t="shared" si="212"/>
        <v>0</v>
      </c>
      <c r="U166">
        <f t="shared" si="212"/>
        <v>0</v>
      </c>
      <c r="V166">
        <f t="shared" si="212"/>
        <v>0</v>
      </c>
      <c r="W166">
        <f t="shared" si="212"/>
        <v>0</v>
      </c>
      <c r="X166">
        <f t="shared" si="212"/>
        <v>0</v>
      </c>
      <c r="Y166">
        <f t="shared" si="212"/>
        <v>0</v>
      </c>
      <c r="Z166">
        <f t="shared" si="212"/>
        <v>0</v>
      </c>
      <c r="AA166">
        <f t="shared" si="212"/>
        <v>0</v>
      </c>
      <c r="AB166">
        <f t="shared" si="212"/>
        <v>0</v>
      </c>
      <c r="AC166">
        <f t="shared" si="212"/>
        <v>0</v>
      </c>
      <c r="AD166">
        <f t="shared" si="213"/>
        <v>0</v>
      </c>
      <c r="AE166">
        <f t="shared" si="213"/>
        <v>0</v>
      </c>
      <c r="AF166">
        <f t="shared" si="213"/>
        <v>0</v>
      </c>
      <c r="AG166">
        <f t="shared" si="213"/>
        <v>0</v>
      </c>
      <c r="AH166">
        <f t="shared" si="213"/>
        <v>0</v>
      </c>
      <c r="AI166">
        <f t="shared" si="213"/>
        <v>0</v>
      </c>
      <c r="AJ166">
        <f t="shared" si="213"/>
        <v>0</v>
      </c>
      <c r="AK166">
        <f t="shared" si="213"/>
        <v>0</v>
      </c>
      <c r="AL166">
        <f t="shared" si="213"/>
        <v>0</v>
      </c>
      <c r="AM166">
        <f t="shared" si="213"/>
        <v>0</v>
      </c>
      <c r="AN166">
        <f t="shared" si="214"/>
        <v>0</v>
      </c>
      <c r="AO166">
        <f t="shared" si="214"/>
        <v>0</v>
      </c>
      <c r="AP166">
        <f t="shared" si="214"/>
        <v>0</v>
      </c>
      <c r="AQ166">
        <f t="shared" si="214"/>
        <v>0</v>
      </c>
      <c r="AR166">
        <f t="shared" si="214"/>
        <v>0</v>
      </c>
      <c r="AS166">
        <f t="shared" si="214"/>
        <v>0</v>
      </c>
      <c r="AT166">
        <f t="shared" si="214"/>
        <v>0</v>
      </c>
      <c r="AU166">
        <f t="shared" si="214"/>
        <v>0</v>
      </c>
      <c r="AV166">
        <f t="shared" si="214"/>
        <v>0</v>
      </c>
      <c r="AW166">
        <f t="shared" si="214"/>
        <v>0</v>
      </c>
      <c r="AX166">
        <f t="shared" si="215"/>
        <v>0</v>
      </c>
      <c r="AY166">
        <f t="shared" si="215"/>
        <v>0</v>
      </c>
      <c r="AZ166">
        <f t="shared" si="215"/>
        <v>0</v>
      </c>
      <c r="BA166">
        <f t="shared" si="215"/>
        <v>0</v>
      </c>
      <c r="BB166">
        <f t="shared" si="215"/>
        <v>0</v>
      </c>
      <c r="BC166">
        <f t="shared" si="215"/>
        <v>0</v>
      </c>
      <c r="BD166">
        <f t="shared" si="215"/>
        <v>0</v>
      </c>
      <c r="BE166">
        <f t="shared" si="215"/>
        <v>0</v>
      </c>
      <c r="BF166">
        <f t="shared" si="215"/>
        <v>0</v>
      </c>
      <c r="BG166">
        <f t="shared" si="215"/>
        <v>0</v>
      </c>
      <c r="BH166">
        <f t="shared" si="216"/>
        <v>0</v>
      </c>
      <c r="BI166">
        <f t="shared" si="216"/>
        <v>0</v>
      </c>
      <c r="BJ166">
        <f t="shared" si="216"/>
        <v>0</v>
      </c>
      <c r="BK166">
        <f t="shared" si="216"/>
        <v>0</v>
      </c>
      <c r="BL166">
        <f t="shared" si="216"/>
        <v>0</v>
      </c>
      <c r="BM166">
        <f t="shared" si="216"/>
        <v>0</v>
      </c>
      <c r="BN166">
        <f t="shared" si="216"/>
        <v>0</v>
      </c>
      <c r="BO166">
        <f t="shared" si="216"/>
        <v>0</v>
      </c>
      <c r="BP166">
        <f t="shared" si="216"/>
        <v>0</v>
      </c>
      <c r="BQ166">
        <f t="shared" si="216"/>
        <v>0</v>
      </c>
      <c r="BR166">
        <f t="shared" si="217"/>
        <v>0</v>
      </c>
      <c r="BS166">
        <f t="shared" si="217"/>
        <v>0</v>
      </c>
      <c r="BT166">
        <f t="shared" si="217"/>
        <v>0</v>
      </c>
      <c r="BU166">
        <f t="shared" si="217"/>
        <v>0</v>
      </c>
      <c r="BV166">
        <f t="shared" si="217"/>
        <v>0</v>
      </c>
      <c r="BW166">
        <f t="shared" si="217"/>
        <v>0</v>
      </c>
      <c r="BX166">
        <f t="shared" si="217"/>
        <v>0</v>
      </c>
      <c r="BY166">
        <f t="shared" si="217"/>
        <v>0</v>
      </c>
      <c r="BZ166">
        <f t="shared" si="217"/>
        <v>0</v>
      </c>
      <c r="CA166">
        <f t="shared" si="217"/>
        <v>0</v>
      </c>
      <c r="CB166">
        <f t="shared" si="218"/>
        <v>0</v>
      </c>
      <c r="CC166">
        <f t="shared" si="218"/>
        <v>0</v>
      </c>
      <c r="CD166">
        <f t="shared" si="218"/>
        <v>0</v>
      </c>
      <c r="CE166">
        <f t="shared" si="218"/>
        <v>0</v>
      </c>
      <c r="CF166">
        <f t="shared" si="218"/>
        <v>0</v>
      </c>
      <c r="CG166">
        <f t="shared" si="218"/>
        <v>0</v>
      </c>
      <c r="CH166">
        <f t="shared" si="218"/>
        <v>0</v>
      </c>
      <c r="CI166">
        <f t="shared" si="218"/>
        <v>0</v>
      </c>
      <c r="CJ166">
        <f t="shared" si="218"/>
        <v>0</v>
      </c>
      <c r="CK166">
        <f t="shared" si="218"/>
        <v>0</v>
      </c>
      <c r="CL166">
        <f t="shared" si="219"/>
        <v>0</v>
      </c>
      <c r="CM166">
        <f t="shared" si="219"/>
        <v>0</v>
      </c>
      <c r="CN166">
        <f t="shared" si="219"/>
        <v>0</v>
      </c>
      <c r="CO166">
        <f t="shared" si="219"/>
        <v>0</v>
      </c>
      <c r="CP166">
        <f t="shared" si="219"/>
        <v>0</v>
      </c>
      <c r="CQ166">
        <f t="shared" si="219"/>
        <v>0</v>
      </c>
      <c r="CR166">
        <f t="shared" si="219"/>
        <v>0</v>
      </c>
      <c r="CS166">
        <f t="shared" si="219"/>
        <v>0</v>
      </c>
      <c r="CT166">
        <f t="shared" si="219"/>
        <v>0</v>
      </c>
      <c r="CU166">
        <f t="shared" si="219"/>
        <v>0</v>
      </c>
      <c r="CV166">
        <f t="shared" si="220"/>
        <v>0</v>
      </c>
      <c r="CW166">
        <f t="shared" si="220"/>
        <v>0</v>
      </c>
      <c r="CX166">
        <f t="shared" si="220"/>
        <v>0</v>
      </c>
      <c r="CY166">
        <f t="shared" si="220"/>
        <v>0</v>
      </c>
      <c r="CZ166">
        <f t="shared" si="220"/>
        <v>0</v>
      </c>
      <c r="DA166">
        <f t="shared" si="220"/>
        <v>0</v>
      </c>
      <c r="DB166">
        <f t="shared" si="220"/>
        <v>0</v>
      </c>
      <c r="DC166">
        <f t="shared" si="220"/>
        <v>0</v>
      </c>
      <c r="DD166">
        <f t="shared" si="220"/>
        <v>0</v>
      </c>
      <c r="DE166">
        <f t="shared" si="220"/>
        <v>0</v>
      </c>
      <c r="DF166">
        <f t="shared" si="221"/>
        <v>0</v>
      </c>
      <c r="DG166">
        <f t="shared" si="221"/>
        <v>0</v>
      </c>
      <c r="DH166">
        <f t="shared" si="221"/>
        <v>0</v>
      </c>
      <c r="DI166">
        <f t="shared" si="221"/>
        <v>0</v>
      </c>
      <c r="DJ166">
        <f t="shared" si="221"/>
        <v>0</v>
      </c>
      <c r="DK166">
        <f t="shared" si="221"/>
        <v>0</v>
      </c>
      <c r="DL166">
        <f t="shared" si="221"/>
        <v>0</v>
      </c>
      <c r="DM166">
        <f t="shared" si="221"/>
        <v>0</v>
      </c>
      <c r="DN166">
        <f t="shared" si="221"/>
        <v>0</v>
      </c>
      <c r="DO166">
        <f t="shared" si="221"/>
        <v>0</v>
      </c>
      <c r="DP166">
        <f t="shared" si="222"/>
        <v>0</v>
      </c>
      <c r="DQ166">
        <f t="shared" si="222"/>
        <v>0</v>
      </c>
      <c r="DR166">
        <f t="shared" si="222"/>
        <v>0</v>
      </c>
      <c r="DS166">
        <f t="shared" si="222"/>
        <v>0</v>
      </c>
      <c r="DT166">
        <f t="shared" si="222"/>
        <v>0</v>
      </c>
      <c r="DU166">
        <f t="shared" si="222"/>
        <v>0</v>
      </c>
      <c r="DV166">
        <f t="shared" si="222"/>
        <v>0</v>
      </c>
      <c r="DW166">
        <f t="shared" si="222"/>
        <v>0</v>
      </c>
      <c r="DX166">
        <f t="shared" si="222"/>
        <v>0</v>
      </c>
      <c r="DY166">
        <f t="shared" si="222"/>
        <v>0</v>
      </c>
      <c r="DZ166">
        <f t="shared" si="223"/>
        <v>0</v>
      </c>
      <c r="EA166">
        <f t="shared" si="223"/>
        <v>0</v>
      </c>
      <c r="EB166">
        <f t="shared" si="223"/>
        <v>0</v>
      </c>
      <c r="EC166">
        <f t="shared" si="223"/>
        <v>0</v>
      </c>
      <c r="ED166">
        <f t="shared" si="223"/>
        <v>0</v>
      </c>
      <c r="EE166">
        <f t="shared" si="223"/>
        <v>0</v>
      </c>
      <c r="EF166">
        <f t="shared" si="223"/>
        <v>0</v>
      </c>
      <c r="EG166">
        <f t="shared" si="223"/>
        <v>0</v>
      </c>
      <c r="EH166">
        <f t="shared" si="223"/>
        <v>0</v>
      </c>
      <c r="EI166">
        <f t="shared" si="223"/>
        <v>0</v>
      </c>
      <c r="EJ166">
        <f>SUM(Tabla1[[#This Row],[1]:[130]])</f>
        <v>0</v>
      </c>
    </row>
    <row r="167" spans="1:140" ht="15.75" thickBot="1" x14ac:dyDescent="0.3">
      <c r="A167" t="str">
        <f>B167&amp;"-"&amp;COUNTIF($B$2:B167,B167)</f>
        <v>I. RICC. PROSECCO-1</v>
      </c>
      <c r="B167" s="48" t="s">
        <v>114</v>
      </c>
      <c r="C167">
        <f>VLOOKUP(B167,RECETAS!D166:$E$1700,2,FALSE)</f>
        <v>0</v>
      </c>
      <c r="D167" s="18" t="s">
        <v>364</v>
      </c>
      <c r="G167" t="b">
        <f t="shared" si="171"/>
        <v>1</v>
      </c>
      <c r="I167" s="48" t="s">
        <v>114</v>
      </c>
      <c r="J167">
        <f t="shared" si="211"/>
        <v>0</v>
      </c>
      <c r="K167">
        <f t="shared" si="211"/>
        <v>0</v>
      </c>
      <c r="L167">
        <f t="shared" si="211"/>
        <v>0</v>
      </c>
      <c r="M167">
        <f t="shared" si="211"/>
        <v>0</v>
      </c>
      <c r="N167">
        <f t="shared" si="211"/>
        <v>0</v>
      </c>
      <c r="O167">
        <f t="shared" si="211"/>
        <v>0</v>
      </c>
      <c r="P167">
        <f t="shared" si="211"/>
        <v>0</v>
      </c>
      <c r="Q167">
        <f t="shared" si="211"/>
        <v>0</v>
      </c>
      <c r="R167">
        <f t="shared" si="211"/>
        <v>0</v>
      </c>
      <c r="S167">
        <f t="shared" si="211"/>
        <v>0</v>
      </c>
      <c r="T167">
        <f t="shared" si="212"/>
        <v>0</v>
      </c>
      <c r="U167">
        <f t="shared" si="212"/>
        <v>0</v>
      </c>
      <c r="V167">
        <f t="shared" si="212"/>
        <v>0</v>
      </c>
      <c r="W167">
        <f t="shared" si="212"/>
        <v>0</v>
      </c>
      <c r="X167">
        <f t="shared" si="212"/>
        <v>0</v>
      </c>
      <c r="Y167">
        <f t="shared" si="212"/>
        <v>0</v>
      </c>
      <c r="Z167">
        <f t="shared" si="212"/>
        <v>0</v>
      </c>
      <c r="AA167">
        <f t="shared" si="212"/>
        <v>0</v>
      </c>
      <c r="AB167">
        <f t="shared" si="212"/>
        <v>0</v>
      </c>
      <c r="AC167">
        <f t="shared" si="212"/>
        <v>0</v>
      </c>
      <c r="AD167">
        <f t="shared" si="213"/>
        <v>0</v>
      </c>
      <c r="AE167">
        <f t="shared" si="213"/>
        <v>0</v>
      </c>
      <c r="AF167">
        <f t="shared" si="213"/>
        <v>0</v>
      </c>
      <c r="AG167">
        <f t="shared" si="213"/>
        <v>0</v>
      </c>
      <c r="AH167">
        <f t="shared" si="213"/>
        <v>0</v>
      </c>
      <c r="AI167">
        <f t="shared" si="213"/>
        <v>0</v>
      </c>
      <c r="AJ167">
        <f t="shared" si="213"/>
        <v>0</v>
      </c>
      <c r="AK167">
        <f t="shared" si="213"/>
        <v>0</v>
      </c>
      <c r="AL167">
        <f t="shared" si="213"/>
        <v>0</v>
      </c>
      <c r="AM167">
        <f t="shared" si="213"/>
        <v>0</v>
      </c>
      <c r="AN167">
        <f t="shared" si="214"/>
        <v>0</v>
      </c>
      <c r="AO167">
        <f t="shared" si="214"/>
        <v>0</v>
      </c>
      <c r="AP167">
        <f t="shared" si="214"/>
        <v>0</v>
      </c>
      <c r="AQ167">
        <f t="shared" si="214"/>
        <v>0</v>
      </c>
      <c r="AR167">
        <f t="shared" si="214"/>
        <v>0</v>
      </c>
      <c r="AS167">
        <f t="shared" si="214"/>
        <v>0</v>
      </c>
      <c r="AT167">
        <f t="shared" si="214"/>
        <v>0</v>
      </c>
      <c r="AU167">
        <f t="shared" si="214"/>
        <v>0</v>
      </c>
      <c r="AV167">
        <f t="shared" si="214"/>
        <v>0</v>
      </c>
      <c r="AW167">
        <f t="shared" si="214"/>
        <v>0</v>
      </c>
      <c r="AX167">
        <f t="shared" si="215"/>
        <v>0</v>
      </c>
      <c r="AY167">
        <f t="shared" si="215"/>
        <v>0</v>
      </c>
      <c r="AZ167">
        <f t="shared" si="215"/>
        <v>0</v>
      </c>
      <c r="BA167">
        <f t="shared" si="215"/>
        <v>0</v>
      </c>
      <c r="BB167">
        <f t="shared" si="215"/>
        <v>0</v>
      </c>
      <c r="BC167">
        <f t="shared" si="215"/>
        <v>0</v>
      </c>
      <c r="BD167">
        <f t="shared" si="215"/>
        <v>0</v>
      </c>
      <c r="BE167">
        <f t="shared" si="215"/>
        <v>0</v>
      </c>
      <c r="BF167">
        <f t="shared" si="215"/>
        <v>0</v>
      </c>
      <c r="BG167">
        <f t="shared" si="215"/>
        <v>0</v>
      </c>
      <c r="BH167">
        <f t="shared" si="216"/>
        <v>0</v>
      </c>
      <c r="BI167">
        <f t="shared" si="216"/>
        <v>0</v>
      </c>
      <c r="BJ167">
        <f t="shared" si="216"/>
        <v>0</v>
      </c>
      <c r="BK167">
        <f t="shared" si="216"/>
        <v>0</v>
      </c>
      <c r="BL167">
        <f t="shared" si="216"/>
        <v>0</v>
      </c>
      <c r="BM167">
        <f t="shared" si="216"/>
        <v>0</v>
      </c>
      <c r="BN167">
        <f t="shared" si="216"/>
        <v>0</v>
      </c>
      <c r="BO167">
        <f t="shared" si="216"/>
        <v>0</v>
      </c>
      <c r="BP167">
        <f t="shared" si="216"/>
        <v>0</v>
      </c>
      <c r="BQ167">
        <f t="shared" si="216"/>
        <v>0</v>
      </c>
      <c r="BR167">
        <f t="shared" si="217"/>
        <v>0</v>
      </c>
      <c r="BS167">
        <f t="shared" si="217"/>
        <v>0</v>
      </c>
      <c r="BT167">
        <f t="shared" si="217"/>
        <v>0</v>
      </c>
      <c r="BU167">
        <f t="shared" si="217"/>
        <v>0</v>
      </c>
      <c r="BV167">
        <f t="shared" si="217"/>
        <v>0</v>
      </c>
      <c r="BW167">
        <f t="shared" si="217"/>
        <v>0</v>
      </c>
      <c r="BX167">
        <f t="shared" si="217"/>
        <v>0</v>
      </c>
      <c r="BY167">
        <f t="shared" si="217"/>
        <v>0</v>
      </c>
      <c r="BZ167">
        <f t="shared" si="217"/>
        <v>0</v>
      </c>
      <c r="CA167">
        <f t="shared" si="217"/>
        <v>0</v>
      </c>
      <c r="CB167">
        <f t="shared" si="218"/>
        <v>0</v>
      </c>
      <c r="CC167">
        <f t="shared" si="218"/>
        <v>0</v>
      </c>
      <c r="CD167">
        <f t="shared" si="218"/>
        <v>0</v>
      </c>
      <c r="CE167">
        <f t="shared" si="218"/>
        <v>0</v>
      </c>
      <c r="CF167">
        <f t="shared" si="218"/>
        <v>0</v>
      </c>
      <c r="CG167">
        <f t="shared" si="218"/>
        <v>0</v>
      </c>
      <c r="CH167">
        <f t="shared" si="218"/>
        <v>0</v>
      </c>
      <c r="CI167">
        <f t="shared" si="218"/>
        <v>0</v>
      </c>
      <c r="CJ167">
        <f t="shared" si="218"/>
        <v>0</v>
      </c>
      <c r="CK167">
        <f t="shared" si="218"/>
        <v>0</v>
      </c>
      <c r="CL167">
        <f t="shared" si="219"/>
        <v>0</v>
      </c>
      <c r="CM167">
        <f t="shared" si="219"/>
        <v>0</v>
      </c>
      <c r="CN167">
        <f t="shared" si="219"/>
        <v>0</v>
      </c>
      <c r="CO167">
        <f t="shared" si="219"/>
        <v>0</v>
      </c>
      <c r="CP167">
        <f t="shared" si="219"/>
        <v>0</v>
      </c>
      <c r="CQ167">
        <f t="shared" si="219"/>
        <v>0</v>
      </c>
      <c r="CR167">
        <f t="shared" si="219"/>
        <v>0</v>
      </c>
      <c r="CS167">
        <f t="shared" si="219"/>
        <v>0</v>
      </c>
      <c r="CT167">
        <f t="shared" si="219"/>
        <v>0</v>
      </c>
      <c r="CU167">
        <f t="shared" si="219"/>
        <v>0</v>
      </c>
      <c r="CV167">
        <f t="shared" si="220"/>
        <v>0</v>
      </c>
      <c r="CW167">
        <f t="shared" si="220"/>
        <v>0</v>
      </c>
      <c r="CX167">
        <f t="shared" si="220"/>
        <v>0</v>
      </c>
      <c r="CY167">
        <f t="shared" si="220"/>
        <v>0</v>
      </c>
      <c r="CZ167">
        <f t="shared" si="220"/>
        <v>0</v>
      </c>
      <c r="DA167">
        <f t="shared" si="220"/>
        <v>0</v>
      </c>
      <c r="DB167">
        <f t="shared" si="220"/>
        <v>0</v>
      </c>
      <c r="DC167">
        <f t="shared" si="220"/>
        <v>0</v>
      </c>
      <c r="DD167">
        <f t="shared" si="220"/>
        <v>0</v>
      </c>
      <c r="DE167">
        <f t="shared" si="220"/>
        <v>0</v>
      </c>
      <c r="DF167">
        <f t="shared" si="221"/>
        <v>0</v>
      </c>
      <c r="DG167">
        <f t="shared" si="221"/>
        <v>0</v>
      </c>
      <c r="DH167">
        <f t="shared" si="221"/>
        <v>0</v>
      </c>
      <c r="DI167">
        <f t="shared" si="221"/>
        <v>0</v>
      </c>
      <c r="DJ167">
        <f t="shared" si="221"/>
        <v>0</v>
      </c>
      <c r="DK167">
        <f t="shared" si="221"/>
        <v>0</v>
      </c>
      <c r="DL167">
        <f t="shared" si="221"/>
        <v>0</v>
      </c>
      <c r="DM167">
        <f t="shared" si="221"/>
        <v>0</v>
      </c>
      <c r="DN167">
        <f t="shared" si="221"/>
        <v>0</v>
      </c>
      <c r="DO167">
        <f t="shared" si="221"/>
        <v>0</v>
      </c>
      <c r="DP167">
        <f t="shared" si="222"/>
        <v>0</v>
      </c>
      <c r="DQ167">
        <f t="shared" si="222"/>
        <v>0</v>
      </c>
      <c r="DR167">
        <f t="shared" si="222"/>
        <v>0</v>
      </c>
      <c r="DS167">
        <f t="shared" si="222"/>
        <v>0</v>
      </c>
      <c r="DT167">
        <f t="shared" si="222"/>
        <v>0</v>
      </c>
      <c r="DU167">
        <f t="shared" si="222"/>
        <v>0</v>
      </c>
      <c r="DV167">
        <f t="shared" si="222"/>
        <v>0</v>
      </c>
      <c r="DW167">
        <f t="shared" si="222"/>
        <v>0</v>
      </c>
      <c r="DX167">
        <f t="shared" si="222"/>
        <v>0</v>
      </c>
      <c r="DY167">
        <f t="shared" si="222"/>
        <v>0</v>
      </c>
      <c r="DZ167">
        <f t="shared" si="223"/>
        <v>0</v>
      </c>
      <c r="EA167">
        <f t="shared" si="223"/>
        <v>0</v>
      </c>
      <c r="EB167">
        <f t="shared" si="223"/>
        <v>0</v>
      </c>
      <c r="EC167">
        <f t="shared" si="223"/>
        <v>0</v>
      </c>
      <c r="ED167">
        <f t="shared" si="223"/>
        <v>0</v>
      </c>
      <c r="EE167">
        <f t="shared" si="223"/>
        <v>0</v>
      </c>
      <c r="EF167">
        <f t="shared" si="223"/>
        <v>0</v>
      </c>
      <c r="EG167">
        <f t="shared" si="223"/>
        <v>0</v>
      </c>
      <c r="EH167">
        <f t="shared" si="223"/>
        <v>0</v>
      </c>
      <c r="EI167">
        <f t="shared" si="223"/>
        <v>0</v>
      </c>
      <c r="EJ167">
        <f>SUM(Tabla1[[#This Row],[1]:[130]])</f>
        <v>0</v>
      </c>
    </row>
    <row r="168" spans="1:140" ht="15.75" thickBot="1" x14ac:dyDescent="0.3">
      <c r="A168" t="str">
        <f>B168&amp;"-"&amp;COUNTIF($B$2:B168,B168)</f>
        <v>I. RICCADONNA BRUT-1</v>
      </c>
      <c r="B168" s="48" t="s">
        <v>115</v>
      </c>
      <c r="C168">
        <f>VLOOKUP(B168,RECETAS!D167:$E$1700,2,FALSE)</f>
        <v>0</v>
      </c>
      <c r="D168" s="18" t="s">
        <v>365</v>
      </c>
      <c r="G168" t="b">
        <f t="shared" si="171"/>
        <v>1</v>
      </c>
      <c r="I168" s="48" t="s">
        <v>115</v>
      </c>
      <c r="J168">
        <f t="shared" si="211"/>
        <v>0</v>
      </c>
      <c r="K168">
        <f t="shared" si="211"/>
        <v>0</v>
      </c>
      <c r="L168">
        <f t="shared" si="211"/>
        <v>0</v>
      </c>
      <c r="M168">
        <f t="shared" si="211"/>
        <v>0</v>
      </c>
      <c r="N168">
        <f t="shared" si="211"/>
        <v>0</v>
      </c>
      <c r="O168">
        <f t="shared" si="211"/>
        <v>0</v>
      </c>
      <c r="P168">
        <f t="shared" si="211"/>
        <v>0</v>
      </c>
      <c r="Q168">
        <f t="shared" si="211"/>
        <v>0</v>
      </c>
      <c r="R168">
        <f t="shared" si="211"/>
        <v>0</v>
      </c>
      <c r="S168">
        <f t="shared" si="211"/>
        <v>0</v>
      </c>
      <c r="T168">
        <f t="shared" si="212"/>
        <v>0</v>
      </c>
      <c r="U168">
        <f t="shared" si="212"/>
        <v>0</v>
      </c>
      <c r="V168">
        <f t="shared" si="212"/>
        <v>0</v>
      </c>
      <c r="W168">
        <f t="shared" si="212"/>
        <v>0</v>
      </c>
      <c r="X168">
        <f t="shared" si="212"/>
        <v>0</v>
      </c>
      <c r="Y168">
        <f t="shared" si="212"/>
        <v>0</v>
      </c>
      <c r="Z168">
        <f t="shared" si="212"/>
        <v>0</v>
      </c>
      <c r="AA168">
        <f t="shared" si="212"/>
        <v>0</v>
      </c>
      <c r="AB168">
        <f t="shared" si="212"/>
        <v>0</v>
      </c>
      <c r="AC168">
        <f t="shared" si="212"/>
        <v>0</v>
      </c>
      <c r="AD168">
        <f t="shared" si="213"/>
        <v>0</v>
      </c>
      <c r="AE168">
        <f t="shared" si="213"/>
        <v>0</v>
      </c>
      <c r="AF168">
        <f t="shared" si="213"/>
        <v>0</v>
      </c>
      <c r="AG168">
        <f t="shared" si="213"/>
        <v>0</v>
      </c>
      <c r="AH168">
        <f t="shared" si="213"/>
        <v>0</v>
      </c>
      <c r="AI168">
        <f t="shared" si="213"/>
        <v>0</v>
      </c>
      <c r="AJ168">
        <f t="shared" si="213"/>
        <v>0</v>
      </c>
      <c r="AK168">
        <f t="shared" si="213"/>
        <v>0</v>
      </c>
      <c r="AL168">
        <f t="shared" si="213"/>
        <v>0</v>
      </c>
      <c r="AM168">
        <f t="shared" si="213"/>
        <v>0</v>
      </c>
      <c r="AN168">
        <f t="shared" si="214"/>
        <v>0</v>
      </c>
      <c r="AO168">
        <f t="shared" si="214"/>
        <v>0</v>
      </c>
      <c r="AP168">
        <f t="shared" si="214"/>
        <v>0</v>
      </c>
      <c r="AQ168">
        <f t="shared" si="214"/>
        <v>0</v>
      </c>
      <c r="AR168">
        <f t="shared" si="214"/>
        <v>0</v>
      </c>
      <c r="AS168">
        <f t="shared" si="214"/>
        <v>0</v>
      </c>
      <c r="AT168">
        <f t="shared" si="214"/>
        <v>0</v>
      </c>
      <c r="AU168">
        <f t="shared" si="214"/>
        <v>0</v>
      </c>
      <c r="AV168">
        <f t="shared" si="214"/>
        <v>0</v>
      </c>
      <c r="AW168">
        <f t="shared" si="214"/>
        <v>0</v>
      </c>
      <c r="AX168">
        <f t="shared" si="215"/>
        <v>0</v>
      </c>
      <c r="AY168">
        <f t="shared" si="215"/>
        <v>0</v>
      </c>
      <c r="AZ168">
        <f t="shared" si="215"/>
        <v>0</v>
      </c>
      <c r="BA168">
        <f t="shared" si="215"/>
        <v>0</v>
      </c>
      <c r="BB168">
        <f t="shared" si="215"/>
        <v>0</v>
      </c>
      <c r="BC168">
        <f t="shared" si="215"/>
        <v>0</v>
      </c>
      <c r="BD168">
        <f t="shared" si="215"/>
        <v>0</v>
      </c>
      <c r="BE168">
        <f t="shared" si="215"/>
        <v>0</v>
      </c>
      <c r="BF168">
        <f t="shared" si="215"/>
        <v>0</v>
      </c>
      <c r="BG168">
        <f t="shared" si="215"/>
        <v>0</v>
      </c>
      <c r="BH168">
        <f t="shared" si="216"/>
        <v>0</v>
      </c>
      <c r="BI168">
        <f t="shared" si="216"/>
        <v>0</v>
      </c>
      <c r="BJ168">
        <f t="shared" si="216"/>
        <v>0</v>
      </c>
      <c r="BK168">
        <f t="shared" si="216"/>
        <v>0</v>
      </c>
      <c r="BL168">
        <f t="shared" si="216"/>
        <v>0</v>
      </c>
      <c r="BM168">
        <f t="shared" si="216"/>
        <v>0</v>
      </c>
      <c r="BN168">
        <f t="shared" si="216"/>
        <v>0</v>
      </c>
      <c r="BO168">
        <f t="shared" si="216"/>
        <v>0</v>
      </c>
      <c r="BP168">
        <f t="shared" si="216"/>
        <v>0</v>
      </c>
      <c r="BQ168">
        <f t="shared" si="216"/>
        <v>0</v>
      </c>
      <c r="BR168">
        <f t="shared" si="217"/>
        <v>0</v>
      </c>
      <c r="BS168">
        <f t="shared" si="217"/>
        <v>0</v>
      </c>
      <c r="BT168">
        <f t="shared" si="217"/>
        <v>0</v>
      </c>
      <c r="BU168">
        <f t="shared" si="217"/>
        <v>0</v>
      </c>
      <c r="BV168">
        <f t="shared" si="217"/>
        <v>0</v>
      </c>
      <c r="BW168">
        <f t="shared" si="217"/>
        <v>0</v>
      </c>
      <c r="BX168">
        <f t="shared" si="217"/>
        <v>0</v>
      </c>
      <c r="BY168">
        <f t="shared" si="217"/>
        <v>0</v>
      </c>
      <c r="BZ168">
        <f t="shared" si="217"/>
        <v>0</v>
      </c>
      <c r="CA168">
        <f t="shared" si="217"/>
        <v>0</v>
      </c>
      <c r="CB168">
        <f t="shared" si="218"/>
        <v>0</v>
      </c>
      <c r="CC168">
        <f t="shared" si="218"/>
        <v>0</v>
      </c>
      <c r="CD168">
        <f t="shared" si="218"/>
        <v>0</v>
      </c>
      <c r="CE168">
        <f t="shared" si="218"/>
        <v>0</v>
      </c>
      <c r="CF168">
        <f t="shared" si="218"/>
        <v>0</v>
      </c>
      <c r="CG168">
        <f t="shared" si="218"/>
        <v>0</v>
      </c>
      <c r="CH168">
        <f t="shared" si="218"/>
        <v>0</v>
      </c>
      <c r="CI168">
        <f t="shared" si="218"/>
        <v>0</v>
      </c>
      <c r="CJ168">
        <f t="shared" si="218"/>
        <v>0</v>
      </c>
      <c r="CK168">
        <f t="shared" si="218"/>
        <v>0</v>
      </c>
      <c r="CL168">
        <f t="shared" si="219"/>
        <v>0</v>
      </c>
      <c r="CM168">
        <f t="shared" si="219"/>
        <v>0</v>
      </c>
      <c r="CN168">
        <f t="shared" si="219"/>
        <v>0</v>
      </c>
      <c r="CO168">
        <f t="shared" si="219"/>
        <v>0</v>
      </c>
      <c r="CP168">
        <f t="shared" si="219"/>
        <v>0</v>
      </c>
      <c r="CQ168">
        <f t="shared" si="219"/>
        <v>0</v>
      </c>
      <c r="CR168">
        <f t="shared" si="219"/>
        <v>0</v>
      </c>
      <c r="CS168">
        <f t="shared" si="219"/>
        <v>0</v>
      </c>
      <c r="CT168">
        <f t="shared" si="219"/>
        <v>0</v>
      </c>
      <c r="CU168">
        <f t="shared" si="219"/>
        <v>0</v>
      </c>
      <c r="CV168">
        <f t="shared" si="220"/>
        <v>0</v>
      </c>
      <c r="CW168">
        <f t="shared" si="220"/>
        <v>0</v>
      </c>
      <c r="CX168">
        <f t="shared" si="220"/>
        <v>0</v>
      </c>
      <c r="CY168">
        <f t="shared" si="220"/>
        <v>0</v>
      </c>
      <c r="CZ168">
        <f t="shared" si="220"/>
        <v>0</v>
      </c>
      <c r="DA168">
        <f t="shared" si="220"/>
        <v>0</v>
      </c>
      <c r="DB168">
        <f t="shared" si="220"/>
        <v>0</v>
      </c>
      <c r="DC168">
        <f t="shared" si="220"/>
        <v>0</v>
      </c>
      <c r="DD168">
        <f t="shared" si="220"/>
        <v>0</v>
      </c>
      <c r="DE168">
        <f t="shared" si="220"/>
        <v>0</v>
      </c>
      <c r="DF168">
        <f t="shared" si="221"/>
        <v>0</v>
      </c>
      <c r="DG168">
        <f t="shared" si="221"/>
        <v>0</v>
      </c>
      <c r="DH168">
        <f t="shared" si="221"/>
        <v>0</v>
      </c>
      <c r="DI168">
        <f t="shared" si="221"/>
        <v>0</v>
      </c>
      <c r="DJ168">
        <f t="shared" si="221"/>
        <v>0</v>
      </c>
      <c r="DK168">
        <f t="shared" si="221"/>
        <v>0</v>
      </c>
      <c r="DL168">
        <f t="shared" si="221"/>
        <v>0</v>
      </c>
      <c r="DM168">
        <f t="shared" si="221"/>
        <v>0</v>
      </c>
      <c r="DN168">
        <f t="shared" si="221"/>
        <v>0</v>
      </c>
      <c r="DO168">
        <f t="shared" si="221"/>
        <v>0</v>
      </c>
      <c r="DP168">
        <f t="shared" si="222"/>
        <v>0</v>
      </c>
      <c r="DQ168">
        <f t="shared" si="222"/>
        <v>0</v>
      </c>
      <c r="DR168">
        <f t="shared" si="222"/>
        <v>0</v>
      </c>
      <c r="DS168">
        <f t="shared" si="222"/>
        <v>0</v>
      </c>
      <c r="DT168">
        <f t="shared" si="222"/>
        <v>0</v>
      </c>
      <c r="DU168">
        <f t="shared" si="222"/>
        <v>0</v>
      </c>
      <c r="DV168">
        <f t="shared" si="222"/>
        <v>0</v>
      </c>
      <c r="DW168">
        <f t="shared" si="222"/>
        <v>0</v>
      </c>
      <c r="DX168">
        <f t="shared" si="222"/>
        <v>0</v>
      </c>
      <c r="DY168">
        <f t="shared" si="222"/>
        <v>0</v>
      </c>
      <c r="DZ168">
        <f t="shared" si="223"/>
        <v>0</v>
      </c>
      <c r="EA168">
        <f t="shared" si="223"/>
        <v>0</v>
      </c>
      <c r="EB168">
        <f t="shared" si="223"/>
        <v>0</v>
      </c>
      <c r="EC168">
        <f t="shared" si="223"/>
        <v>0</v>
      </c>
      <c r="ED168">
        <f t="shared" si="223"/>
        <v>0</v>
      </c>
      <c r="EE168">
        <f t="shared" si="223"/>
        <v>0</v>
      </c>
      <c r="EF168">
        <f t="shared" si="223"/>
        <v>0</v>
      </c>
      <c r="EG168">
        <f t="shared" si="223"/>
        <v>0</v>
      </c>
      <c r="EH168">
        <f t="shared" si="223"/>
        <v>0</v>
      </c>
      <c r="EI168">
        <f t="shared" si="223"/>
        <v>0</v>
      </c>
      <c r="EJ168">
        <f>SUM(Tabla1[[#This Row],[1]:[130]])</f>
        <v>0</v>
      </c>
    </row>
    <row r="169" spans="1:140" x14ac:dyDescent="0.25">
      <c r="A169" t="str">
        <f>B169&amp;"-"&amp;COUNTIF($B$2:B169,B169)</f>
        <v>I. MEDALLA REAL CARMENERE-1</v>
      </c>
      <c r="B169" s="113" t="s">
        <v>638</v>
      </c>
      <c r="C169">
        <f>VLOOKUP(B169,RECETAS!D168:$E$1700,2,FALSE)</f>
        <v>0</v>
      </c>
      <c r="D169" s="17" t="s">
        <v>732</v>
      </c>
      <c r="G169" t="b">
        <f t="shared" si="171"/>
        <v>1</v>
      </c>
      <c r="I169" s="99" t="s">
        <v>116</v>
      </c>
      <c r="J169">
        <f t="shared" si="211"/>
        <v>75</v>
      </c>
      <c r="K169">
        <f t="shared" si="211"/>
        <v>1425</v>
      </c>
      <c r="L169">
        <f t="shared" si="211"/>
        <v>900</v>
      </c>
      <c r="M169">
        <f t="shared" si="211"/>
        <v>450</v>
      </c>
      <c r="N169">
        <f t="shared" si="211"/>
        <v>1275</v>
      </c>
      <c r="O169">
        <f t="shared" si="211"/>
        <v>225</v>
      </c>
      <c r="P169">
        <f t="shared" si="211"/>
        <v>150</v>
      </c>
      <c r="Q169">
        <f t="shared" si="211"/>
        <v>300</v>
      </c>
      <c r="R169">
        <f t="shared" si="211"/>
        <v>360</v>
      </c>
      <c r="S169">
        <f t="shared" si="211"/>
        <v>525</v>
      </c>
      <c r="T169">
        <f t="shared" si="212"/>
        <v>2700</v>
      </c>
      <c r="U169">
        <f t="shared" si="212"/>
        <v>3150</v>
      </c>
      <c r="V169">
        <f t="shared" si="212"/>
        <v>1575</v>
      </c>
      <c r="W169">
        <f t="shared" si="212"/>
        <v>0</v>
      </c>
      <c r="X169">
        <f t="shared" si="212"/>
        <v>0</v>
      </c>
      <c r="Y169">
        <f t="shared" si="212"/>
        <v>0</v>
      </c>
      <c r="Z169">
        <f t="shared" si="212"/>
        <v>225</v>
      </c>
      <c r="AA169">
        <f t="shared" si="212"/>
        <v>0</v>
      </c>
      <c r="AB169">
        <f t="shared" si="212"/>
        <v>0</v>
      </c>
      <c r="AC169">
        <f t="shared" si="212"/>
        <v>0</v>
      </c>
      <c r="AD169">
        <f t="shared" si="213"/>
        <v>0</v>
      </c>
      <c r="AE169">
        <f t="shared" si="213"/>
        <v>0</v>
      </c>
      <c r="AF169">
        <f t="shared" si="213"/>
        <v>0</v>
      </c>
      <c r="AG169">
        <f t="shared" si="213"/>
        <v>0</v>
      </c>
      <c r="AH169">
        <f t="shared" si="213"/>
        <v>0</v>
      </c>
      <c r="AI169">
        <f t="shared" si="213"/>
        <v>0</v>
      </c>
      <c r="AJ169">
        <f t="shared" si="213"/>
        <v>450</v>
      </c>
      <c r="AK169">
        <f t="shared" si="213"/>
        <v>225</v>
      </c>
      <c r="AL169">
        <f t="shared" si="213"/>
        <v>0</v>
      </c>
      <c r="AM169">
        <f t="shared" si="213"/>
        <v>225</v>
      </c>
      <c r="AN169">
        <f t="shared" si="214"/>
        <v>450</v>
      </c>
      <c r="AO169">
        <f t="shared" si="214"/>
        <v>0</v>
      </c>
      <c r="AP169">
        <f t="shared" si="214"/>
        <v>2700</v>
      </c>
      <c r="AQ169">
        <f t="shared" si="214"/>
        <v>300</v>
      </c>
      <c r="AR169">
        <f t="shared" si="214"/>
        <v>525</v>
      </c>
      <c r="AS169">
        <f t="shared" si="214"/>
        <v>225</v>
      </c>
      <c r="AT169">
        <f t="shared" si="214"/>
        <v>375</v>
      </c>
      <c r="AU169">
        <f t="shared" si="214"/>
        <v>525</v>
      </c>
      <c r="AV169">
        <f t="shared" si="214"/>
        <v>675</v>
      </c>
      <c r="AW169">
        <f t="shared" si="214"/>
        <v>1725</v>
      </c>
      <c r="AX169">
        <f t="shared" si="215"/>
        <v>1575</v>
      </c>
      <c r="AY169">
        <f t="shared" si="215"/>
        <v>12600</v>
      </c>
      <c r="AZ169">
        <f t="shared" si="215"/>
        <v>225</v>
      </c>
      <c r="BA169">
        <f t="shared" si="215"/>
        <v>375</v>
      </c>
      <c r="BB169">
        <f t="shared" si="215"/>
        <v>300</v>
      </c>
      <c r="BC169">
        <f t="shared" si="215"/>
        <v>0</v>
      </c>
      <c r="BD169">
        <f t="shared" si="215"/>
        <v>0</v>
      </c>
      <c r="BE169">
        <f t="shared" si="215"/>
        <v>0</v>
      </c>
      <c r="BF169">
        <f t="shared" si="215"/>
        <v>0</v>
      </c>
      <c r="BG169">
        <f t="shared" si="215"/>
        <v>0</v>
      </c>
      <c r="BH169">
        <f t="shared" si="216"/>
        <v>0</v>
      </c>
      <c r="BI169">
        <f t="shared" si="216"/>
        <v>0</v>
      </c>
      <c r="BJ169">
        <f t="shared" si="216"/>
        <v>0</v>
      </c>
      <c r="BK169">
        <f t="shared" si="216"/>
        <v>0</v>
      </c>
      <c r="BL169">
        <f t="shared" si="216"/>
        <v>0</v>
      </c>
      <c r="BM169">
        <f t="shared" si="216"/>
        <v>0</v>
      </c>
      <c r="BN169">
        <f t="shared" si="216"/>
        <v>0</v>
      </c>
      <c r="BO169">
        <f t="shared" si="216"/>
        <v>0</v>
      </c>
      <c r="BP169">
        <f t="shared" si="216"/>
        <v>0</v>
      </c>
      <c r="BQ169">
        <f t="shared" si="216"/>
        <v>0</v>
      </c>
      <c r="BR169">
        <f t="shared" si="217"/>
        <v>0</v>
      </c>
      <c r="BS169">
        <f t="shared" si="217"/>
        <v>0</v>
      </c>
      <c r="BT169">
        <f t="shared" si="217"/>
        <v>0</v>
      </c>
      <c r="BU169">
        <f t="shared" si="217"/>
        <v>0</v>
      </c>
      <c r="BV169">
        <f t="shared" si="217"/>
        <v>0</v>
      </c>
      <c r="BW169">
        <f t="shared" si="217"/>
        <v>0</v>
      </c>
      <c r="BX169">
        <f t="shared" si="217"/>
        <v>0</v>
      </c>
      <c r="BY169">
        <f t="shared" si="217"/>
        <v>0</v>
      </c>
      <c r="BZ169">
        <f t="shared" si="217"/>
        <v>0</v>
      </c>
      <c r="CA169">
        <f t="shared" si="217"/>
        <v>0</v>
      </c>
      <c r="CB169">
        <f t="shared" si="218"/>
        <v>0</v>
      </c>
      <c r="CC169">
        <f t="shared" si="218"/>
        <v>0</v>
      </c>
      <c r="CD169">
        <f t="shared" si="218"/>
        <v>0</v>
      </c>
      <c r="CE169">
        <f t="shared" si="218"/>
        <v>0</v>
      </c>
      <c r="CF169">
        <f t="shared" si="218"/>
        <v>0</v>
      </c>
      <c r="CG169">
        <f t="shared" si="218"/>
        <v>0</v>
      </c>
      <c r="CH169">
        <f t="shared" si="218"/>
        <v>0</v>
      </c>
      <c r="CI169">
        <f t="shared" si="218"/>
        <v>0</v>
      </c>
      <c r="CJ169">
        <f t="shared" si="218"/>
        <v>0</v>
      </c>
      <c r="CK169">
        <f t="shared" si="218"/>
        <v>0</v>
      </c>
      <c r="CL169">
        <f t="shared" si="219"/>
        <v>0</v>
      </c>
      <c r="CM169">
        <f t="shared" si="219"/>
        <v>0</v>
      </c>
      <c r="CN169">
        <f t="shared" si="219"/>
        <v>0</v>
      </c>
      <c r="CO169">
        <f t="shared" si="219"/>
        <v>0</v>
      </c>
      <c r="CP169">
        <f t="shared" si="219"/>
        <v>0</v>
      </c>
      <c r="CQ169">
        <f t="shared" si="219"/>
        <v>0</v>
      </c>
      <c r="CR169">
        <f t="shared" si="219"/>
        <v>0</v>
      </c>
      <c r="CS169">
        <f t="shared" si="219"/>
        <v>0</v>
      </c>
      <c r="CT169">
        <f t="shared" si="219"/>
        <v>0</v>
      </c>
      <c r="CU169">
        <f t="shared" si="219"/>
        <v>0</v>
      </c>
      <c r="CV169">
        <f t="shared" si="220"/>
        <v>0</v>
      </c>
      <c r="CW169">
        <f t="shared" si="220"/>
        <v>0</v>
      </c>
      <c r="CX169">
        <f t="shared" si="220"/>
        <v>0</v>
      </c>
      <c r="CY169">
        <f t="shared" si="220"/>
        <v>0</v>
      </c>
      <c r="CZ169">
        <f t="shared" si="220"/>
        <v>0</v>
      </c>
      <c r="DA169">
        <f t="shared" si="220"/>
        <v>0</v>
      </c>
      <c r="DB169">
        <f t="shared" si="220"/>
        <v>0</v>
      </c>
      <c r="DC169">
        <f t="shared" si="220"/>
        <v>0</v>
      </c>
      <c r="DD169">
        <f t="shared" si="220"/>
        <v>0</v>
      </c>
      <c r="DE169">
        <f t="shared" si="220"/>
        <v>0</v>
      </c>
      <c r="DF169">
        <f t="shared" si="221"/>
        <v>0</v>
      </c>
      <c r="DG169">
        <f t="shared" si="221"/>
        <v>0</v>
      </c>
      <c r="DH169">
        <f t="shared" si="221"/>
        <v>0</v>
      </c>
      <c r="DI169">
        <f t="shared" si="221"/>
        <v>0</v>
      </c>
      <c r="DJ169">
        <f t="shared" si="221"/>
        <v>0</v>
      </c>
      <c r="DK169">
        <f t="shared" si="221"/>
        <v>0</v>
      </c>
      <c r="DL169">
        <f t="shared" si="221"/>
        <v>0</v>
      </c>
      <c r="DM169">
        <f t="shared" si="221"/>
        <v>0</v>
      </c>
      <c r="DN169">
        <f t="shared" si="221"/>
        <v>0</v>
      </c>
      <c r="DO169">
        <f t="shared" si="221"/>
        <v>0</v>
      </c>
      <c r="DP169">
        <f t="shared" si="222"/>
        <v>0</v>
      </c>
      <c r="DQ169">
        <f t="shared" si="222"/>
        <v>0</v>
      </c>
      <c r="DR169">
        <f t="shared" si="222"/>
        <v>0</v>
      </c>
      <c r="DS169">
        <f t="shared" si="222"/>
        <v>0</v>
      </c>
      <c r="DT169">
        <f t="shared" si="222"/>
        <v>0</v>
      </c>
      <c r="DU169">
        <f t="shared" si="222"/>
        <v>0</v>
      </c>
      <c r="DV169">
        <f t="shared" si="222"/>
        <v>0</v>
      </c>
      <c r="DW169">
        <f t="shared" si="222"/>
        <v>0</v>
      </c>
      <c r="DX169">
        <f t="shared" si="222"/>
        <v>0</v>
      </c>
      <c r="DY169">
        <f t="shared" si="222"/>
        <v>0</v>
      </c>
      <c r="DZ169">
        <f t="shared" si="223"/>
        <v>0</v>
      </c>
      <c r="EA169">
        <f t="shared" si="223"/>
        <v>0</v>
      </c>
      <c r="EB169">
        <f t="shared" si="223"/>
        <v>0</v>
      </c>
      <c r="EC169">
        <f t="shared" si="223"/>
        <v>0</v>
      </c>
      <c r="ED169">
        <f t="shared" si="223"/>
        <v>0</v>
      </c>
      <c r="EE169">
        <f t="shared" si="223"/>
        <v>0</v>
      </c>
      <c r="EF169">
        <f t="shared" si="223"/>
        <v>0</v>
      </c>
      <c r="EG169">
        <f t="shared" si="223"/>
        <v>0</v>
      </c>
      <c r="EH169">
        <f t="shared" si="223"/>
        <v>0</v>
      </c>
      <c r="EI169">
        <f t="shared" si="223"/>
        <v>0</v>
      </c>
      <c r="EJ169">
        <f>SUM(Tabla1[[#This Row],[1]:[130]])</f>
        <v>36810</v>
      </c>
    </row>
    <row r="170" spans="1:140" ht="15.75" thickBot="1" x14ac:dyDescent="0.3">
      <c r="A170" t="str">
        <f>B170&amp;"-"&amp;COUNTIF($B$2:B170,B170)</f>
        <v>I. MEDALLA REAL CHARDONNAY-1</v>
      </c>
      <c r="B170" s="113" t="s">
        <v>640</v>
      </c>
      <c r="C170">
        <f>VLOOKUP(B170,RECETAS!D169:$E$1700,2,FALSE)</f>
        <v>0</v>
      </c>
      <c r="D170" s="49" t="s">
        <v>639</v>
      </c>
      <c r="G170" t="b">
        <f t="shared" si="171"/>
        <v>1</v>
      </c>
      <c r="I170" s="101" t="s">
        <v>117</v>
      </c>
      <c r="J170">
        <f t="shared" si="211"/>
        <v>75</v>
      </c>
      <c r="K170">
        <f t="shared" si="211"/>
        <v>0</v>
      </c>
      <c r="L170">
        <f t="shared" si="211"/>
        <v>0</v>
      </c>
      <c r="M170">
        <f t="shared" si="211"/>
        <v>0</v>
      </c>
      <c r="N170">
        <f t="shared" si="211"/>
        <v>0</v>
      </c>
      <c r="O170">
        <f t="shared" si="211"/>
        <v>0</v>
      </c>
      <c r="P170">
        <f t="shared" si="211"/>
        <v>0</v>
      </c>
      <c r="Q170">
        <f t="shared" si="211"/>
        <v>0</v>
      </c>
      <c r="R170">
        <f t="shared" si="211"/>
        <v>0</v>
      </c>
      <c r="S170">
        <f t="shared" si="211"/>
        <v>0</v>
      </c>
      <c r="T170">
        <f t="shared" si="212"/>
        <v>0</v>
      </c>
      <c r="U170">
        <f t="shared" si="212"/>
        <v>0</v>
      </c>
      <c r="V170">
        <f t="shared" si="212"/>
        <v>0</v>
      </c>
      <c r="W170">
        <f t="shared" si="212"/>
        <v>0</v>
      </c>
      <c r="X170">
        <f t="shared" si="212"/>
        <v>0</v>
      </c>
      <c r="Y170">
        <f t="shared" si="212"/>
        <v>0</v>
      </c>
      <c r="Z170">
        <f t="shared" si="212"/>
        <v>0</v>
      </c>
      <c r="AA170">
        <f t="shared" si="212"/>
        <v>0</v>
      </c>
      <c r="AB170">
        <f t="shared" si="212"/>
        <v>0</v>
      </c>
      <c r="AC170">
        <f t="shared" si="212"/>
        <v>0</v>
      </c>
      <c r="AD170">
        <f t="shared" si="213"/>
        <v>0</v>
      </c>
      <c r="AE170">
        <f t="shared" si="213"/>
        <v>0</v>
      </c>
      <c r="AF170">
        <f t="shared" si="213"/>
        <v>0</v>
      </c>
      <c r="AG170">
        <f t="shared" si="213"/>
        <v>0</v>
      </c>
      <c r="AH170">
        <f t="shared" si="213"/>
        <v>0</v>
      </c>
      <c r="AI170">
        <f t="shared" si="213"/>
        <v>0</v>
      </c>
      <c r="AJ170">
        <f t="shared" si="213"/>
        <v>0</v>
      </c>
      <c r="AK170">
        <f t="shared" si="213"/>
        <v>0</v>
      </c>
      <c r="AL170">
        <f t="shared" si="213"/>
        <v>0</v>
      </c>
      <c r="AM170">
        <f t="shared" si="213"/>
        <v>0</v>
      </c>
      <c r="AN170">
        <f t="shared" si="214"/>
        <v>0</v>
      </c>
      <c r="AO170">
        <f t="shared" si="214"/>
        <v>0</v>
      </c>
      <c r="AP170">
        <f t="shared" si="214"/>
        <v>0</v>
      </c>
      <c r="AQ170">
        <f t="shared" si="214"/>
        <v>0</v>
      </c>
      <c r="AR170">
        <f t="shared" si="214"/>
        <v>0</v>
      </c>
      <c r="AS170">
        <f t="shared" si="214"/>
        <v>0</v>
      </c>
      <c r="AT170">
        <f t="shared" si="214"/>
        <v>0</v>
      </c>
      <c r="AU170">
        <f t="shared" si="214"/>
        <v>0</v>
      </c>
      <c r="AV170">
        <f t="shared" si="214"/>
        <v>0</v>
      </c>
      <c r="AW170">
        <f t="shared" si="214"/>
        <v>0</v>
      </c>
      <c r="AX170">
        <f t="shared" si="215"/>
        <v>0</v>
      </c>
      <c r="AY170">
        <f t="shared" si="215"/>
        <v>0</v>
      </c>
      <c r="AZ170">
        <f t="shared" si="215"/>
        <v>0</v>
      </c>
      <c r="BA170">
        <f t="shared" si="215"/>
        <v>0</v>
      </c>
      <c r="BB170">
        <f t="shared" si="215"/>
        <v>0</v>
      </c>
      <c r="BC170">
        <f t="shared" si="215"/>
        <v>0</v>
      </c>
      <c r="BD170">
        <f t="shared" si="215"/>
        <v>0</v>
      </c>
      <c r="BE170">
        <f t="shared" si="215"/>
        <v>0</v>
      </c>
      <c r="BF170">
        <f t="shared" si="215"/>
        <v>0</v>
      </c>
      <c r="BG170">
        <f t="shared" si="215"/>
        <v>0</v>
      </c>
      <c r="BH170">
        <f t="shared" si="216"/>
        <v>0</v>
      </c>
      <c r="BI170">
        <f t="shared" si="216"/>
        <v>0</v>
      </c>
      <c r="BJ170">
        <f t="shared" si="216"/>
        <v>0</v>
      </c>
      <c r="BK170">
        <f t="shared" si="216"/>
        <v>0</v>
      </c>
      <c r="BL170">
        <f t="shared" si="216"/>
        <v>0</v>
      </c>
      <c r="BM170">
        <f t="shared" si="216"/>
        <v>0</v>
      </c>
      <c r="BN170">
        <f t="shared" si="216"/>
        <v>0</v>
      </c>
      <c r="BO170">
        <f t="shared" si="216"/>
        <v>0</v>
      </c>
      <c r="BP170">
        <f t="shared" si="216"/>
        <v>0</v>
      </c>
      <c r="BQ170">
        <f t="shared" si="216"/>
        <v>0</v>
      </c>
      <c r="BR170">
        <f t="shared" si="217"/>
        <v>0</v>
      </c>
      <c r="BS170">
        <f t="shared" si="217"/>
        <v>0</v>
      </c>
      <c r="BT170">
        <f t="shared" si="217"/>
        <v>0</v>
      </c>
      <c r="BU170">
        <f t="shared" si="217"/>
        <v>0</v>
      </c>
      <c r="BV170">
        <f t="shared" si="217"/>
        <v>0</v>
      </c>
      <c r="BW170">
        <f t="shared" si="217"/>
        <v>0</v>
      </c>
      <c r="BX170">
        <f t="shared" si="217"/>
        <v>0</v>
      </c>
      <c r="BY170">
        <f t="shared" si="217"/>
        <v>0</v>
      </c>
      <c r="BZ170">
        <f t="shared" si="217"/>
        <v>0</v>
      </c>
      <c r="CA170">
        <f t="shared" si="217"/>
        <v>0</v>
      </c>
      <c r="CB170">
        <f t="shared" si="218"/>
        <v>0</v>
      </c>
      <c r="CC170">
        <f t="shared" si="218"/>
        <v>0</v>
      </c>
      <c r="CD170">
        <f t="shared" si="218"/>
        <v>0</v>
      </c>
      <c r="CE170">
        <f t="shared" si="218"/>
        <v>0</v>
      </c>
      <c r="CF170">
        <f t="shared" si="218"/>
        <v>0</v>
      </c>
      <c r="CG170">
        <f t="shared" si="218"/>
        <v>0</v>
      </c>
      <c r="CH170">
        <f t="shared" si="218"/>
        <v>0</v>
      </c>
      <c r="CI170">
        <f t="shared" si="218"/>
        <v>0</v>
      </c>
      <c r="CJ170">
        <f t="shared" si="218"/>
        <v>0</v>
      </c>
      <c r="CK170">
        <f t="shared" si="218"/>
        <v>0</v>
      </c>
      <c r="CL170">
        <f t="shared" si="219"/>
        <v>0</v>
      </c>
      <c r="CM170">
        <f t="shared" si="219"/>
        <v>0</v>
      </c>
      <c r="CN170">
        <f t="shared" si="219"/>
        <v>0</v>
      </c>
      <c r="CO170">
        <f t="shared" si="219"/>
        <v>0</v>
      </c>
      <c r="CP170">
        <f t="shared" si="219"/>
        <v>0</v>
      </c>
      <c r="CQ170">
        <f t="shared" si="219"/>
        <v>0</v>
      </c>
      <c r="CR170">
        <f t="shared" si="219"/>
        <v>0</v>
      </c>
      <c r="CS170">
        <f t="shared" si="219"/>
        <v>0</v>
      </c>
      <c r="CT170">
        <f t="shared" si="219"/>
        <v>0</v>
      </c>
      <c r="CU170">
        <f t="shared" si="219"/>
        <v>0</v>
      </c>
      <c r="CV170">
        <f t="shared" si="220"/>
        <v>0</v>
      </c>
      <c r="CW170">
        <f t="shared" si="220"/>
        <v>0</v>
      </c>
      <c r="CX170">
        <f t="shared" si="220"/>
        <v>0</v>
      </c>
      <c r="CY170">
        <f t="shared" si="220"/>
        <v>0</v>
      </c>
      <c r="CZ170">
        <f t="shared" si="220"/>
        <v>0</v>
      </c>
      <c r="DA170">
        <f t="shared" si="220"/>
        <v>0</v>
      </c>
      <c r="DB170">
        <f t="shared" si="220"/>
        <v>0</v>
      </c>
      <c r="DC170">
        <f t="shared" si="220"/>
        <v>0</v>
      </c>
      <c r="DD170">
        <f t="shared" si="220"/>
        <v>0</v>
      </c>
      <c r="DE170">
        <f t="shared" si="220"/>
        <v>0</v>
      </c>
      <c r="DF170">
        <f t="shared" si="221"/>
        <v>0</v>
      </c>
      <c r="DG170">
        <f t="shared" si="221"/>
        <v>0</v>
      </c>
      <c r="DH170">
        <f t="shared" si="221"/>
        <v>0</v>
      </c>
      <c r="DI170">
        <f t="shared" si="221"/>
        <v>0</v>
      </c>
      <c r="DJ170">
        <f t="shared" si="221"/>
        <v>0</v>
      </c>
      <c r="DK170">
        <f t="shared" si="221"/>
        <v>0</v>
      </c>
      <c r="DL170">
        <f t="shared" si="221"/>
        <v>0</v>
      </c>
      <c r="DM170">
        <f t="shared" si="221"/>
        <v>0</v>
      </c>
      <c r="DN170">
        <f t="shared" si="221"/>
        <v>0</v>
      </c>
      <c r="DO170">
        <f t="shared" si="221"/>
        <v>0</v>
      </c>
      <c r="DP170">
        <f t="shared" si="222"/>
        <v>0</v>
      </c>
      <c r="DQ170">
        <f t="shared" si="222"/>
        <v>0</v>
      </c>
      <c r="DR170">
        <f t="shared" si="222"/>
        <v>0</v>
      </c>
      <c r="DS170">
        <f t="shared" si="222"/>
        <v>0</v>
      </c>
      <c r="DT170">
        <f t="shared" si="222"/>
        <v>0</v>
      </c>
      <c r="DU170">
        <f t="shared" si="222"/>
        <v>0</v>
      </c>
      <c r="DV170">
        <f t="shared" si="222"/>
        <v>0</v>
      </c>
      <c r="DW170">
        <f t="shared" si="222"/>
        <v>0</v>
      </c>
      <c r="DX170">
        <f t="shared" si="222"/>
        <v>0</v>
      </c>
      <c r="DY170">
        <f t="shared" si="222"/>
        <v>0</v>
      </c>
      <c r="DZ170">
        <f t="shared" si="223"/>
        <v>0</v>
      </c>
      <c r="EA170">
        <f t="shared" si="223"/>
        <v>0</v>
      </c>
      <c r="EB170">
        <f t="shared" si="223"/>
        <v>0</v>
      </c>
      <c r="EC170">
        <f t="shared" si="223"/>
        <v>0</v>
      </c>
      <c r="ED170">
        <f t="shared" si="223"/>
        <v>0</v>
      </c>
      <c r="EE170">
        <f t="shared" si="223"/>
        <v>0</v>
      </c>
      <c r="EF170">
        <f t="shared" si="223"/>
        <v>0</v>
      </c>
      <c r="EG170">
        <f t="shared" si="223"/>
        <v>0</v>
      </c>
      <c r="EH170">
        <f t="shared" si="223"/>
        <v>0</v>
      </c>
      <c r="EI170">
        <f t="shared" si="223"/>
        <v>0</v>
      </c>
      <c r="EJ170">
        <f>SUM(Tabla1[[#This Row],[1]:[130]])</f>
        <v>75</v>
      </c>
    </row>
    <row r="171" spans="1:140" ht="15.75" thickBot="1" x14ac:dyDescent="0.3">
      <c r="A171" t="str">
        <f>B171&amp;"-"&amp;COUNTIF($B$2:B171,B171)</f>
        <v>I. MEDALLA CABER-1</v>
      </c>
      <c r="B171" s="113" t="s">
        <v>642</v>
      </c>
      <c r="C171">
        <f>VLOOKUP(B171,RECETAS!D170:$E$1700,2,FALSE)</f>
        <v>0</v>
      </c>
      <c r="D171" s="18" t="s">
        <v>641</v>
      </c>
      <c r="G171" t="b">
        <f t="shared" si="171"/>
        <v>1</v>
      </c>
      <c r="I171" s="101" t="s">
        <v>42</v>
      </c>
      <c r="J171">
        <f t="shared" si="211"/>
        <v>0.30000000000000004</v>
      </c>
      <c r="K171">
        <f t="shared" si="211"/>
        <v>0</v>
      </c>
      <c r="L171">
        <f t="shared" si="211"/>
        <v>0</v>
      </c>
      <c r="M171">
        <f t="shared" si="211"/>
        <v>0</v>
      </c>
      <c r="N171">
        <f t="shared" si="211"/>
        <v>0</v>
      </c>
      <c r="O171">
        <f t="shared" si="211"/>
        <v>0</v>
      </c>
      <c r="P171">
        <f t="shared" si="211"/>
        <v>0</v>
      </c>
      <c r="Q171">
        <f t="shared" si="211"/>
        <v>0</v>
      </c>
      <c r="R171">
        <f t="shared" si="211"/>
        <v>0</v>
      </c>
      <c r="S171">
        <f t="shared" si="211"/>
        <v>0</v>
      </c>
      <c r="T171">
        <f t="shared" si="212"/>
        <v>0</v>
      </c>
      <c r="U171">
        <f t="shared" si="212"/>
        <v>0</v>
      </c>
      <c r="V171">
        <f t="shared" si="212"/>
        <v>0</v>
      </c>
      <c r="W171">
        <f t="shared" si="212"/>
        <v>0</v>
      </c>
      <c r="X171">
        <f t="shared" si="212"/>
        <v>0</v>
      </c>
      <c r="Y171">
        <f t="shared" si="212"/>
        <v>0</v>
      </c>
      <c r="Z171">
        <f t="shared" si="212"/>
        <v>0</v>
      </c>
      <c r="AA171">
        <f t="shared" si="212"/>
        <v>0</v>
      </c>
      <c r="AB171">
        <f t="shared" si="212"/>
        <v>0</v>
      </c>
      <c r="AC171">
        <f t="shared" si="212"/>
        <v>0</v>
      </c>
      <c r="AD171">
        <f t="shared" si="213"/>
        <v>0</v>
      </c>
      <c r="AE171">
        <f t="shared" si="213"/>
        <v>0</v>
      </c>
      <c r="AF171">
        <f t="shared" si="213"/>
        <v>0</v>
      </c>
      <c r="AG171">
        <f t="shared" si="213"/>
        <v>0</v>
      </c>
      <c r="AH171">
        <f t="shared" si="213"/>
        <v>0</v>
      </c>
      <c r="AI171">
        <f t="shared" si="213"/>
        <v>0</v>
      </c>
      <c r="AJ171">
        <f t="shared" si="213"/>
        <v>0</v>
      </c>
      <c r="AK171">
        <f t="shared" si="213"/>
        <v>0</v>
      </c>
      <c r="AL171">
        <f t="shared" si="213"/>
        <v>0</v>
      </c>
      <c r="AM171">
        <f t="shared" si="213"/>
        <v>0</v>
      </c>
      <c r="AN171">
        <f t="shared" si="214"/>
        <v>0</v>
      </c>
      <c r="AO171">
        <f t="shared" si="214"/>
        <v>0</v>
      </c>
      <c r="AP171">
        <f t="shared" si="214"/>
        <v>0</v>
      </c>
      <c r="AQ171">
        <f t="shared" si="214"/>
        <v>0</v>
      </c>
      <c r="AR171">
        <f t="shared" si="214"/>
        <v>0</v>
      </c>
      <c r="AS171">
        <f t="shared" si="214"/>
        <v>0</v>
      </c>
      <c r="AT171">
        <f t="shared" si="214"/>
        <v>0</v>
      </c>
      <c r="AU171">
        <f t="shared" si="214"/>
        <v>0</v>
      </c>
      <c r="AV171">
        <f t="shared" si="214"/>
        <v>0</v>
      </c>
      <c r="AW171">
        <f t="shared" si="214"/>
        <v>0</v>
      </c>
      <c r="AX171">
        <f t="shared" si="215"/>
        <v>0</v>
      </c>
      <c r="AY171">
        <f t="shared" si="215"/>
        <v>0</v>
      </c>
      <c r="AZ171">
        <f t="shared" si="215"/>
        <v>0</v>
      </c>
      <c r="BA171">
        <f t="shared" si="215"/>
        <v>0</v>
      </c>
      <c r="BB171">
        <f t="shared" si="215"/>
        <v>0</v>
      </c>
      <c r="BC171">
        <f t="shared" si="215"/>
        <v>0</v>
      </c>
      <c r="BD171">
        <f t="shared" si="215"/>
        <v>0</v>
      </c>
      <c r="BE171">
        <f t="shared" si="215"/>
        <v>0</v>
      </c>
      <c r="BF171">
        <f t="shared" si="215"/>
        <v>0</v>
      </c>
      <c r="BG171">
        <f t="shared" si="215"/>
        <v>0</v>
      </c>
      <c r="BH171">
        <f t="shared" si="216"/>
        <v>0</v>
      </c>
      <c r="BI171">
        <f t="shared" si="216"/>
        <v>0</v>
      </c>
      <c r="BJ171">
        <f t="shared" si="216"/>
        <v>0</v>
      </c>
      <c r="BK171">
        <f t="shared" si="216"/>
        <v>0</v>
      </c>
      <c r="BL171">
        <f t="shared" si="216"/>
        <v>0</v>
      </c>
      <c r="BM171">
        <f t="shared" si="216"/>
        <v>0</v>
      </c>
      <c r="BN171">
        <f t="shared" si="216"/>
        <v>0</v>
      </c>
      <c r="BO171">
        <f t="shared" si="216"/>
        <v>0</v>
      </c>
      <c r="BP171">
        <f t="shared" si="216"/>
        <v>0</v>
      </c>
      <c r="BQ171">
        <f t="shared" si="216"/>
        <v>0</v>
      </c>
      <c r="BR171">
        <f t="shared" si="217"/>
        <v>0</v>
      </c>
      <c r="BS171">
        <f t="shared" si="217"/>
        <v>0</v>
      </c>
      <c r="BT171">
        <f t="shared" si="217"/>
        <v>0</v>
      </c>
      <c r="BU171">
        <f t="shared" si="217"/>
        <v>0</v>
      </c>
      <c r="BV171">
        <f t="shared" si="217"/>
        <v>0</v>
      </c>
      <c r="BW171">
        <f t="shared" si="217"/>
        <v>0</v>
      </c>
      <c r="BX171">
        <f t="shared" si="217"/>
        <v>0</v>
      </c>
      <c r="BY171">
        <f t="shared" si="217"/>
        <v>0</v>
      </c>
      <c r="BZ171">
        <f t="shared" si="217"/>
        <v>0</v>
      </c>
      <c r="CA171">
        <f t="shared" si="217"/>
        <v>0</v>
      </c>
      <c r="CB171">
        <f t="shared" si="218"/>
        <v>0</v>
      </c>
      <c r="CC171">
        <f t="shared" si="218"/>
        <v>0</v>
      </c>
      <c r="CD171">
        <f t="shared" si="218"/>
        <v>0</v>
      </c>
      <c r="CE171">
        <f t="shared" si="218"/>
        <v>0</v>
      </c>
      <c r="CF171">
        <f t="shared" si="218"/>
        <v>0</v>
      </c>
      <c r="CG171">
        <f t="shared" si="218"/>
        <v>0</v>
      </c>
      <c r="CH171">
        <f t="shared" si="218"/>
        <v>0</v>
      </c>
      <c r="CI171">
        <f t="shared" si="218"/>
        <v>0</v>
      </c>
      <c r="CJ171">
        <f t="shared" si="218"/>
        <v>0</v>
      </c>
      <c r="CK171">
        <f t="shared" si="218"/>
        <v>0</v>
      </c>
      <c r="CL171">
        <f t="shared" si="219"/>
        <v>0</v>
      </c>
      <c r="CM171">
        <f t="shared" si="219"/>
        <v>0</v>
      </c>
      <c r="CN171">
        <f t="shared" si="219"/>
        <v>0</v>
      </c>
      <c r="CO171">
        <f t="shared" si="219"/>
        <v>0</v>
      </c>
      <c r="CP171">
        <f t="shared" si="219"/>
        <v>0</v>
      </c>
      <c r="CQ171">
        <f t="shared" si="219"/>
        <v>0</v>
      </c>
      <c r="CR171">
        <f t="shared" si="219"/>
        <v>0</v>
      </c>
      <c r="CS171">
        <f t="shared" si="219"/>
        <v>0</v>
      </c>
      <c r="CT171">
        <f t="shared" si="219"/>
        <v>0</v>
      </c>
      <c r="CU171">
        <f t="shared" si="219"/>
        <v>0</v>
      </c>
      <c r="CV171">
        <f t="shared" si="220"/>
        <v>0</v>
      </c>
      <c r="CW171">
        <f t="shared" si="220"/>
        <v>0</v>
      </c>
      <c r="CX171">
        <f t="shared" si="220"/>
        <v>0</v>
      </c>
      <c r="CY171">
        <f t="shared" si="220"/>
        <v>0</v>
      </c>
      <c r="CZ171">
        <f t="shared" si="220"/>
        <v>0</v>
      </c>
      <c r="DA171">
        <f t="shared" si="220"/>
        <v>0</v>
      </c>
      <c r="DB171">
        <f t="shared" si="220"/>
        <v>0</v>
      </c>
      <c r="DC171">
        <f t="shared" si="220"/>
        <v>0</v>
      </c>
      <c r="DD171">
        <f t="shared" si="220"/>
        <v>0</v>
      </c>
      <c r="DE171">
        <f t="shared" si="220"/>
        <v>0</v>
      </c>
      <c r="DF171">
        <f t="shared" si="221"/>
        <v>0</v>
      </c>
      <c r="DG171">
        <f t="shared" si="221"/>
        <v>0</v>
      </c>
      <c r="DH171">
        <f t="shared" si="221"/>
        <v>0</v>
      </c>
      <c r="DI171">
        <f t="shared" si="221"/>
        <v>0</v>
      </c>
      <c r="DJ171">
        <f t="shared" si="221"/>
        <v>0</v>
      </c>
      <c r="DK171">
        <f t="shared" si="221"/>
        <v>0</v>
      </c>
      <c r="DL171">
        <f t="shared" si="221"/>
        <v>0</v>
      </c>
      <c r="DM171">
        <f t="shared" si="221"/>
        <v>0</v>
      </c>
      <c r="DN171">
        <f t="shared" si="221"/>
        <v>0</v>
      </c>
      <c r="DO171">
        <f t="shared" si="221"/>
        <v>0</v>
      </c>
      <c r="DP171">
        <f t="shared" si="222"/>
        <v>0</v>
      </c>
      <c r="DQ171">
        <f t="shared" si="222"/>
        <v>0</v>
      </c>
      <c r="DR171">
        <f t="shared" si="222"/>
        <v>0</v>
      </c>
      <c r="DS171">
        <f t="shared" si="222"/>
        <v>0</v>
      </c>
      <c r="DT171">
        <f t="shared" si="222"/>
        <v>0</v>
      </c>
      <c r="DU171">
        <f t="shared" si="222"/>
        <v>0</v>
      </c>
      <c r="DV171">
        <f t="shared" si="222"/>
        <v>0</v>
      </c>
      <c r="DW171">
        <f t="shared" si="222"/>
        <v>0</v>
      </c>
      <c r="DX171">
        <f t="shared" si="222"/>
        <v>0</v>
      </c>
      <c r="DY171">
        <f t="shared" si="222"/>
        <v>0</v>
      </c>
      <c r="DZ171">
        <f t="shared" si="223"/>
        <v>0</v>
      </c>
      <c r="EA171">
        <f t="shared" si="223"/>
        <v>0</v>
      </c>
      <c r="EB171">
        <f t="shared" si="223"/>
        <v>0</v>
      </c>
      <c r="EC171">
        <f t="shared" si="223"/>
        <v>0</v>
      </c>
      <c r="ED171">
        <f t="shared" si="223"/>
        <v>0</v>
      </c>
      <c r="EE171">
        <f t="shared" si="223"/>
        <v>0</v>
      </c>
      <c r="EF171">
        <f t="shared" si="223"/>
        <v>0</v>
      </c>
      <c r="EG171">
        <f t="shared" si="223"/>
        <v>0</v>
      </c>
      <c r="EH171">
        <f t="shared" si="223"/>
        <v>0</v>
      </c>
      <c r="EI171">
        <f t="shared" si="223"/>
        <v>0</v>
      </c>
      <c r="EJ171">
        <f>SUM(Tabla1[[#This Row],[1]:[130]])</f>
        <v>0.30000000000000004</v>
      </c>
    </row>
    <row r="172" spans="1:140" ht="15.75" thickBot="1" x14ac:dyDescent="0.3">
      <c r="A172" t="str">
        <f>B172&amp;"-"&amp;COUNTIF($B$2:B172,B172)</f>
        <v>I. RESERVA CAB SAV-1</v>
      </c>
      <c r="B172" s="113" t="s">
        <v>644</v>
      </c>
      <c r="C172">
        <f>VLOOKUP(B172,RECETAS!D171:$E$1700,2,FALSE)</f>
        <v>0</v>
      </c>
      <c r="D172" s="18" t="s">
        <v>643</v>
      </c>
      <c r="G172" t="b">
        <f t="shared" si="171"/>
        <v>1</v>
      </c>
      <c r="I172" s="99" t="s">
        <v>36</v>
      </c>
      <c r="J172">
        <f t="shared" si="211"/>
        <v>4</v>
      </c>
      <c r="K172">
        <f t="shared" si="211"/>
        <v>0</v>
      </c>
      <c r="L172">
        <f t="shared" si="211"/>
        <v>0</v>
      </c>
      <c r="M172">
        <f t="shared" si="211"/>
        <v>5</v>
      </c>
      <c r="N172">
        <f t="shared" si="211"/>
        <v>11</v>
      </c>
      <c r="O172">
        <f t="shared" si="211"/>
        <v>0</v>
      </c>
      <c r="P172">
        <f t="shared" si="211"/>
        <v>17</v>
      </c>
      <c r="Q172">
        <f t="shared" si="211"/>
        <v>1</v>
      </c>
      <c r="R172">
        <f t="shared" si="211"/>
        <v>0</v>
      </c>
      <c r="S172">
        <f t="shared" si="211"/>
        <v>0</v>
      </c>
      <c r="T172">
        <f t="shared" si="212"/>
        <v>0</v>
      </c>
      <c r="U172">
        <f t="shared" si="212"/>
        <v>0</v>
      </c>
      <c r="V172">
        <f t="shared" si="212"/>
        <v>0</v>
      </c>
      <c r="W172">
        <f t="shared" si="212"/>
        <v>0</v>
      </c>
      <c r="X172">
        <f t="shared" si="212"/>
        <v>0</v>
      </c>
      <c r="Y172">
        <f t="shared" si="212"/>
        <v>0</v>
      </c>
      <c r="Z172">
        <f t="shared" si="212"/>
        <v>0</v>
      </c>
      <c r="AA172">
        <f t="shared" si="212"/>
        <v>0</v>
      </c>
      <c r="AB172">
        <f t="shared" si="212"/>
        <v>0</v>
      </c>
      <c r="AC172">
        <f t="shared" si="212"/>
        <v>0</v>
      </c>
      <c r="AD172">
        <f t="shared" si="213"/>
        <v>0</v>
      </c>
      <c r="AE172">
        <f t="shared" si="213"/>
        <v>0</v>
      </c>
      <c r="AF172">
        <f t="shared" si="213"/>
        <v>0</v>
      </c>
      <c r="AG172">
        <f t="shared" si="213"/>
        <v>0</v>
      </c>
      <c r="AH172">
        <f t="shared" si="213"/>
        <v>0</v>
      </c>
      <c r="AI172">
        <f t="shared" si="213"/>
        <v>0</v>
      </c>
      <c r="AJ172">
        <f t="shared" si="213"/>
        <v>0</v>
      </c>
      <c r="AK172">
        <f t="shared" si="213"/>
        <v>0</v>
      </c>
      <c r="AL172">
        <f t="shared" si="213"/>
        <v>0</v>
      </c>
      <c r="AM172">
        <f t="shared" si="213"/>
        <v>0</v>
      </c>
      <c r="AN172">
        <f t="shared" si="214"/>
        <v>0</v>
      </c>
      <c r="AO172">
        <f t="shared" si="214"/>
        <v>0</v>
      </c>
      <c r="AP172">
        <f t="shared" si="214"/>
        <v>0</v>
      </c>
      <c r="AQ172">
        <f t="shared" si="214"/>
        <v>0</v>
      </c>
      <c r="AR172">
        <f t="shared" si="214"/>
        <v>0</v>
      </c>
      <c r="AS172">
        <f t="shared" si="214"/>
        <v>0</v>
      </c>
      <c r="AT172">
        <f t="shared" si="214"/>
        <v>0</v>
      </c>
      <c r="AU172">
        <f t="shared" si="214"/>
        <v>0</v>
      </c>
      <c r="AV172">
        <f t="shared" si="214"/>
        <v>0</v>
      </c>
      <c r="AW172">
        <f t="shared" si="214"/>
        <v>0</v>
      </c>
      <c r="AX172">
        <f t="shared" si="215"/>
        <v>0</v>
      </c>
      <c r="AY172">
        <f t="shared" si="215"/>
        <v>0</v>
      </c>
      <c r="AZ172">
        <f t="shared" si="215"/>
        <v>0</v>
      </c>
      <c r="BA172">
        <f t="shared" si="215"/>
        <v>0</v>
      </c>
      <c r="BB172">
        <f t="shared" si="215"/>
        <v>0</v>
      </c>
      <c r="BC172">
        <f t="shared" si="215"/>
        <v>0</v>
      </c>
      <c r="BD172">
        <f t="shared" si="215"/>
        <v>0</v>
      </c>
      <c r="BE172">
        <f t="shared" si="215"/>
        <v>0</v>
      </c>
      <c r="BF172">
        <f t="shared" si="215"/>
        <v>0</v>
      </c>
      <c r="BG172">
        <f t="shared" si="215"/>
        <v>0</v>
      </c>
      <c r="BH172">
        <f t="shared" si="216"/>
        <v>0</v>
      </c>
      <c r="BI172">
        <f t="shared" si="216"/>
        <v>0</v>
      </c>
      <c r="BJ172">
        <f t="shared" si="216"/>
        <v>0</v>
      </c>
      <c r="BK172">
        <f t="shared" si="216"/>
        <v>0</v>
      </c>
      <c r="BL172">
        <f t="shared" si="216"/>
        <v>0</v>
      </c>
      <c r="BM172">
        <f t="shared" si="216"/>
        <v>0</v>
      </c>
      <c r="BN172">
        <f t="shared" si="216"/>
        <v>0</v>
      </c>
      <c r="BO172">
        <f t="shared" si="216"/>
        <v>0</v>
      </c>
      <c r="BP172">
        <f t="shared" si="216"/>
        <v>0</v>
      </c>
      <c r="BQ172">
        <f t="shared" si="216"/>
        <v>0</v>
      </c>
      <c r="BR172">
        <f t="shared" si="217"/>
        <v>0</v>
      </c>
      <c r="BS172">
        <f t="shared" si="217"/>
        <v>0</v>
      </c>
      <c r="BT172">
        <f t="shared" si="217"/>
        <v>0</v>
      </c>
      <c r="BU172">
        <f t="shared" si="217"/>
        <v>0</v>
      </c>
      <c r="BV172">
        <f t="shared" si="217"/>
        <v>0</v>
      </c>
      <c r="BW172">
        <f t="shared" si="217"/>
        <v>0</v>
      </c>
      <c r="BX172">
        <f t="shared" si="217"/>
        <v>0</v>
      </c>
      <c r="BY172">
        <f t="shared" si="217"/>
        <v>0</v>
      </c>
      <c r="BZ172">
        <f t="shared" si="217"/>
        <v>0</v>
      </c>
      <c r="CA172">
        <f t="shared" si="217"/>
        <v>0</v>
      </c>
      <c r="CB172">
        <f t="shared" si="218"/>
        <v>0</v>
      </c>
      <c r="CC172">
        <f t="shared" si="218"/>
        <v>0</v>
      </c>
      <c r="CD172">
        <f t="shared" si="218"/>
        <v>0</v>
      </c>
      <c r="CE172">
        <f t="shared" si="218"/>
        <v>0</v>
      </c>
      <c r="CF172">
        <f t="shared" si="218"/>
        <v>0</v>
      </c>
      <c r="CG172">
        <f t="shared" si="218"/>
        <v>0</v>
      </c>
      <c r="CH172">
        <f t="shared" si="218"/>
        <v>0</v>
      </c>
      <c r="CI172">
        <f t="shared" si="218"/>
        <v>0</v>
      </c>
      <c r="CJ172">
        <f t="shared" si="218"/>
        <v>0</v>
      </c>
      <c r="CK172">
        <f t="shared" si="218"/>
        <v>0</v>
      </c>
      <c r="CL172">
        <f t="shared" si="219"/>
        <v>0</v>
      </c>
      <c r="CM172">
        <f t="shared" si="219"/>
        <v>0</v>
      </c>
      <c r="CN172">
        <f t="shared" si="219"/>
        <v>0</v>
      </c>
      <c r="CO172">
        <f t="shared" si="219"/>
        <v>0</v>
      </c>
      <c r="CP172">
        <f t="shared" si="219"/>
        <v>0</v>
      </c>
      <c r="CQ172">
        <f t="shared" si="219"/>
        <v>0</v>
      </c>
      <c r="CR172">
        <f t="shared" si="219"/>
        <v>0</v>
      </c>
      <c r="CS172">
        <f t="shared" si="219"/>
        <v>0</v>
      </c>
      <c r="CT172">
        <f t="shared" si="219"/>
        <v>0</v>
      </c>
      <c r="CU172">
        <f t="shared" si="219"/>
        <v>0</v>
      </c>
      <c r="CV172">
        <f t="shared" si="220"/>
        <v>0</v>
      </c>
      <c r="CW172">
        <f t="shared" si="220"/>
        <v>0</v>
      </c>
      <c r="CX172">
        <f t="shared" si="220"/>
        <v>0</v>
      </c>
      <c r="CY172">
        <f t="shared" si="220"/>
        <v>0</v>
      </c>
      <c r="CZ172">
        <f t="shared" si="220"/>
        <v>0</v>
      </c>
      <c r="DA172">
        <f t="shared" si="220"/>
        <v>0</v>
      </c>
      <c r="DB172">
        <f t="shared" si="220"/>
        <v>0</v>
      </c>
      <c r="DC172">
        <f t="shared" si="220"/>
        <v>0</v>
      </c>
      <c r="DD172">
        <f t="shared" si="220"/>
        <v>0</v>
      </c>
      <c r="DE172">
        <f t="shared" si="220"/>
        <v>0</v>
      </c>
      <c r="DF172">
        <f t="shared" si="221"/>
        <v>0</v>
      </c>
      <c r="DG172">
        <f t="shared" si="221"/>
        <v>0</v>
      </c>
      <c r="DH172">
        <f t="shared" si="221"/>
        <v>0</v>
      </c>
      <c r="DI172">
        <f t="shared" si="221"/>
        <v>0</v>
      </c>
      <c r="DJ172">
        <f t="shared" si="221"/>
        <v>0</v>
      </c>
      <c r="DK172">
        <f t="shared" si="221"/>
        <v>0</v>
      </c>
      <c r="DL172">
        <f t="shared" si="221"/>
        <v>0</v>
      </c>
      <c r="DM172">
        <f t="shared" si="221"/>
        <v>0</v>
      </c>
      <c r="DN172">
        <f t="shared" si="221"/>
        <v>0</v>
      </c>
      <c r="DO172">
        <f t="shared" si="221"/>
        <v>0</v>
      </c>
      <c r="DP172">
        <f t="shared" si="222"/>
        <v>0</v>
      </c>
      <c r="DQ172">
        <f t="shared" si="222"/>
        <v>0</v>
      </c>
      <c r="DR172">
        <f t="shared" si="222"/>
        <v>0</v>
      </c>
      <c r="DS172">
        <f t="shared" si="222"/>
        <v>0</v>
      </c>
      <c r="DT172">
        <f t="shared" si="222"/>
        <v>0</v>
      </c>
      <c r="DU172">
        <f t="shared" si="222"/>
        <v>0</v>
      </c>
      <c r="DV172">
        <f t="shared" si="222"/>
        <v>0</v>
      </c>
      <c r="DW172">
        <f t="shared" si="222"/>
        <v>0</v>
      </c>
      <c r="DX172">
        <f t="shared" si="222"/>
        <v>0</v>
      </c>
      <c r="DY172">
        <f t="shared" si="222"/>
        <v>0</v>
      </c>
      <c r="DZ172">
        <f t="shared" si="223"/>
        <v>0</v>
      </c>
      <c r="EA172">
        <f t="shared" si="223"/>
        <v>0</v>
      </c>
      <c r="EB172">
        <f t="shared" si="223"/>
        <v>0</v>
      </c>
      <c r="EC172">
        <f t="shared" si="223"/>
        <v>0</v>
      </c>
      <c r="ED172">
        <f t="shared" si="223"/>
        <v>0</v>
      </c>
      <c r="EE172">
        <f t="shared" si="223"/>
        <v>0</v>
      </c>
      <c r="EF172">
        <f t="shared" si="223"/>
        <v>0</v>
      </c>
      <c r="EG172">
        <f t="shared" si="223"/>
        <v>0</v>
      </c>
      <c r="EH172">
        <f t="shared" si="223"/>
        <v>0</v>
      </c>
      <c r="EI172">
        <f t="shared" si="223"/>
        <v>0</v>
      </c>
      <c r="EJ172">
        <f>SUM(Tabla1[[#This Row],[1]:[130]])</f>
        <v>38</v>
      </c>
    </row>
    <row r="173" spans="1:140" ht="15.75" thickBot="1" x14ac:dyDescent="0.3">
      <c r="A173" t="str">
        <f>B173&amp;"-"&amp;COUNTIF($B$2:B173,B173)</f>
        <v>I. MEDALLA CARME-1</v>
      </c>
      <c r="B173" s="113" t="s">
        <v>646</v>
      </c>
      <c r="C173">
        <f>VLOOKUP(B173,RECETAS!D172:$E$1700,2,FALSE)</f>
        <v>0</v>
      </c>
      <c r="D173" s="18" t="s">
        <v>645</v>
      </c>
      <c r="G173" t="b">
        <f t="shared" si="171"/>
        <v>1</v>
      </c>
      <c r="I173" s="99" t="s">
        <v>521</v>
      </c>
      <c r="J173">
        <f t="shared" ref="J173:S182" si="224">IFERROR(VLOOKUP($I173&amp;"-"&amp;J$2,$A$3:$C$1700,3,FALSE),0)</f>
        <v>1650</v>
      </c>
      <c r="K173">
        <f t="shared" si="224"/>
        <v>150</v>
      </c>
      <c r="L173">
        <f t="shared" si="224"/>
        <v>0</v>
      </c>
      <c r="M173">
        <f t="shared" si="224"/>
        <v>0</v>
      </c>
      <c r="N173">
        <f t="shared" si="224"/>
        <v>0</v>
      </c>
      <c r="O173">
        <f t="shared" si="224"/>
        <v>0</v>
      </c>
      <c r="P173">
        <f t="shared" si="224"/>
        <v>0</v>
      </c>
      <c r="Q173">
        <f t="shared" si="224"/>
        <v>0</v>
      </c>
      <c r="R173">
        <f t="shared" si="224"/>
        <v>0</v>
      </c>
      <c r="S173">
        <f t="shared" si="224"/>
        <v>0</v>
      </c>
      <c r="T173">
        <f t="shared" ref="T173:AC182" si="225">IFERROR(VLOOKUP($I173&amp;"-"&amp;T$2,$A$3:$C$1700,3,FALSE),0)</f>
        <v>0</v>
      </c>
      <c r="U173">
        <f t="shared" si="225"/>
        <v>0</v>
      </c>
      <c r="V173">
        <f t="shared" si="225"/>
        <v>0</v>
      </c>
      <c r="W173">
        <f t="shared" si="225"/>
        <v>0</v>
      </c>
      <c r="X173">
        <f t="shared" si="225"/>
        <v>0</v>
      </c>
      <c r="Y173">
        <f t="shared" si="225"/>
        <v>0</v>
      </c>
      <c r="Z173">
        <f t="shared" si="225"/>
        <v>0</v>
      </c>
      <c r="AA173">
        <f t="shared" si="225"/>
        <v>0</v>
      </c>
      <c r="AB173">
        <f t="shared" si="225"/>
        <v>0</v>
      </c>
      <c r="AC173">
        <f t="shared" si="225"/>
        <v>0</v>
      </c>
      <c r="AD173">
        <f t="shared" ref="AD173:AM182" si="226">IFERROR(VLOOKUP($I173&amp;"-"&amp;AD$2,$A$3:$C$1700,3,FALSE),0)</f>
        <v>0</v>
      </c>
      <c r="AE173">
        <f t="shared" si="226"/>
        <v>0</v>
      </c>
      <c r="AF173">
        <f t="shared" si="226"/>
        <v>0</v>
      </c>
      <c r="AG173">
        <f t="shared" si="226"/>
        <v>0</v>
      </c>
      <c r="AH173">
        <f t="shared" si="226"/>
        <v>0</v>
      </c>
      <c r="AI173">
        <f t="shared" si="226"/>
        <v>0</v>
      </c>
      <c r="AJ173">
        <f t="shared" si="226"/>
        <v>0</v>
      </c>
      <c r="AK173">
        <f t="shared" si="226"/>
        <v>0</v>
      </c>
      <c r="AL173">
        <f t="shared" si="226"/>
        <v>0</v>
      </c>
      <c r="AM173">
        <f t="shared" si="226"/>
        <v>0</v>
      </c>
      <c r="AN173">
        <f t="shared" ref="AN173:AW182" si="227">IFERROR(VLOOKUP($I173&amp;"-"&amp;AN$2,$A$3:$C$1700,3,FALSE),0)</f>
        <v>0</v>
      </c>
      <c r="AO173">
        <f t="shared" si="227"/>
        <v>0</v>
      </c>
      <c r="AP173">
        <f t="shared" si="227"/>
        <v>0</v>
      </c>
      <c r="AQ173">
        <f t="shared" si="227"/>
        <v>0</v>
      </c>
      <c r="AR173">
        <f t="shared" si="227"/>
        <v>0</v>
      </c>
      <c r="AS173">
        <f t="shared" si="227"/>
        <v>0</v>
      </c>
      <c r="AT173">
        <f t="shared" si="227"/>
        <v>0</v>
      </c>
      <c r="AU173">
        <f t="shared" si="227"/>
        <v>0</v>
      </c>
      <c r="AV173">
        <f t="shared" si="227"/>
        <v>0</v>
      </c>
      <c r="AW173">
        <f t="shared" si="227"/>
        <v>0</v>
      </c>
      <c r="AX173">
        <f t="shared" ref="AX173:BG182" si="228">IFERROR(VLOOKUP($I173&amp;"-"&amp;AX$2,$A$3:$C$1700,3,FALSE),0)</f>
        <v>0</v>
      </c>
      <c r="AY173">
        <f t="shared" si="228"/>
        <v>0</v>
      </c>
      <c r="AZ173">
        <f t="shared" si="228"/>
        <v>0</v>
      </c>
      <c r="BA173">
        <f t="shared" si="228"/>
        <v>0</v>
      </c>
      <c r="BB173">
        <f t="shared" si="228"/>
        <v>0</v>
      </c>
      <c r="BC173">
        <f t="shared" si="228"/>
        <v>0</v>
      </c>
      <c r="BD173">
        <f t="shared" si="228"/>
        <v>0</v>
      </c>
      <c r="BE173">
        <f t="shared" si="228"/>
        <v>0</v>
      </c>
      <c r="BF173">
        <f t="shared" si="228"/>
        <v>0</v>
      </c>
      <c r="BG173">
        <f t="shared" si="228"/>
        <v>0</v>
      </c>
      <c r="BH173">
        <f t="shared" ref="BH173:BQ182" si="229">IFERROR(VLOOKUP($I173&amp;"-"&amp;BH$2,$A$3:$C$1700,3,FALSE),0)</f>
        <v>0</v>
      </c>
      <c r="BI173">
        <f t="shared" si="229"/>
        <v>0</v>
      </c>
      <c r="BJ173">
        <f t="shared" si="229"/>
        <v>0</v>
      </c>
      <c r="BK173">
        <f t="shared" si="229"/>
        <v>0</v>
      </c>
      <c r="BL173">
        <f t="shared" si="229"/>
        <v>0</v>
      </c>
      <c r="BM173">
        <f t="shared" si="229"/>
        <v>0</v>
      </c>
      <c r="BN173">
        <f t="shared" si="229"/>
        <v>0</v>
      </c>
      <c r="BO173">
        <f t="shared" si="229"/>
        <v>0</v>
      </c>
      <c r="BP173">
        <f t="shared" si="229"/>
        <v>0</v>
      </c>
      <c r="BQ173">
        <f t="shared" si="229"/>
        <v>0</v>
      </c>
      <c r="BR173">
        <f t="shared" ref="BR173:CA182" si="230">IFERROR(VLOOKUP($I173&amp;"-"&amp;BR$2,$A$3:$C$1700,3,FALSE),0)</f>
        <v>0</v>
      </c>
      <c r="BS173">
        <f t="shared" si="230"/>
        <v>0</v>
      </c>
      <c r="BT173">
        <f t="shared" si="230"/>
        <v>0</v>
      </c>
      <c r="BU173">
        <f t="shared" si="230"/>
        <v>0</v>
      </c>
      <c r="BV173">
        <f t="shared" si="230"/>
        <v>0</v>
      </c>
      <c r="BW173">
        <f t="shared" si="230"/>
        <v>0</v>
      </c>
      <c r="BX173">
        <f t="shared" si="230"/>
        <v>0</v>
      </c>
      <c r="BY173">
        <f t="shared" si="230"/>
        <v>0</v>
      </c>
      <c r="BZ173">
        <f t="shared" si="230"/>
        <v>0</v>
      </c>
      <c r="CA173">
        <f t="shared" si="230"/>
        <v>0</v>
      </c>
      <c r="CB173">
        <f t="shared" ref="CB173:CK182" si="231">IFERROR(VLOOKUP($I173&amp;"-"&amp;CB$2,$A$3:$C$1700,3,FALSE),0)</f>
        <v>0</v>
      </c>
      <c r="CC173">
        <f t="shared" si="231"/>
        <v>0</v>
      </c>
      <c r="CD173">
        <f t="shared" si="231"/>
        <v>0</v>
      </c>
      <c r="CE173">
        <f t="shared" si="231"/>
        <v>0</v>
      </c>
      <c r="CF173">
        <f t="shared" si="231"/>
        <v>0</v>
      </c>
      <c r="CG173">
        <f t="shared" si="231"/>
        <v>0</v>
      </c>
      <c r="CH173">
        <f t="shared" si="231"/>
        <v>0</v>
      </c>
      <c r="CI173">
        <f t="shared" si="231"/>
        <v>0</v>
      </c>
      <c r="CJ173">
        <f t="shared" si="231"/>
        <v>0</v>
      </c>
      <c r="CK173">
        <f t="shared" si="231"/>
        <v>0</v>
      </c>
      <c r="CL173">
        <f t="shared" ref="CL173:CU182" si="232">IFERROR(VLOOKUP($I173&amp;"-"&amp;CL$2,$A$3:$C$1700,3,FALSE),0)</f>
        <v>0</v>
      </c>
      <c r="CM173">
        <f t="shared" si="232"/>
        <v>0</v>
      </c>
      <c r="CN173">
        <f t="shared" si="232"/>
        <v>0</v>
      </c>
      <c r="CO173">
        <f t="shared" si="232"/>
        <v>0</v>
      </c>
      <c r="CP173">
        <f t="shared" si="232"/>
        <v>0</v>
      </c>
      <c r="CQ173">
        <f t="shared" si="232"/>
        <v>0</v>
      </c>
      <c r="CR173">
        <f t="shared" si="232"/>
        <v>0</v>
      </c>
      <c r="CS173">
        <f t="shared" si="232"/>
        <v>0</v>
      </c>
      <c r="CT173">
        <f t="shared" si="232"/>
        <v>0</v>
      </c>
      <c r="CU173">
        <f t="shared" si="232"/>
        <v>0</v>
      </c>
      <c r="CV173">
        <f t="shared" ref="CV173:DE182" si="233">IFERROR(VLOOKUP($I173&amp;"-"&amp;CV$2,$A$3:$C$1700,3,FALSE),0)</f>
        <v>0</v>
      </c>
      <c r="CW173">
        <f t="shared" si="233"/>
        <v>0</v>
      </c>
      <c r="CX173">
        <f t="shared" si="233"/>
        <v>0</v>
      </c>
      <c r="CY173">
        <f t="shared" si="233"/>
        <v>0</v>
      </c>
      <c r="CZ173">
        <f t="shared" si="233"/>
        <v>0</v>
      </c>
      <c r="DA173">
        <f t="shared" si="233"/>
        <v>0</v>
      </c>
      <c r="DB173">
        <f t="shared" si="233"/>
        <v>0</v>
      </c>
      <c r="DC173">
        <f t="shared" si="233"/>
        <v>0</v>
      </c>
      <c r="DD173">
        <f t="shared" si="233"/>
        <v>0</v>
      </c>
      <c r="DE173">
        <f t="shared" si="233"/>
        <v>0</v>
      </c>
      <c r="DF173">
        <f t="shared" ref="DF173:DO182" si="234">IFERROR(VLOOKUP($I173&amp;"-"&amp;DF$2,$A$3:$C$1700,3,FALSE),0)</f>
        <v>0</v>
      </c>
      <c r="DG173">
        <f t="shared" si="234"/>
        <v>0</v>
      </c>
      <c r="DH173">
        <f t="shared" si="234"/>
        <v>0</v>
      </c>
      <c r="DI173">
        <f t="shared" si="234"/>
        <v>0</v>
      </c>
      <c r="DJ173">
        <f t="shared" si="234"/>
        <v>0</v>
      </c>
      <c r="DK173">
        <f t="shared" si="234"/>
        <v>0</v>
      </c>
      <c r="DL173">
        <f t="shared" si="234"/>
        <v>0</v>
      </c>
      <c r="DM173">
        <f t="shared" si="234"/>
        <v>0</v>
      </c>
      <c r="DN173">
        <f t="shared" si="234"/>
        <v>0</v>
      </c>
      <c r="DO173">
        <f t="shared" si="234"/>
        <v>0</v>
      </c>
      <c r="DP173">
        <f t="shared" ref="DP173:DY182" si="235">IFERROR(VLOOKUP($I173&amp;"-"&amp;DP$2,$A$3:$C$1700,3,FALSE),0)</f>
        <v>0</v>
      </c>
      <c r="DQ173">
        <f t="shared" si="235"/>
        <v>0</v>
      </c>
      <c r="DR173">
        <f t="shared" si="235"/>
        <v>0</v>
      </c>
      <c r="DS173">
        <f t="shared" si="235"/>
        <v>0</v>
      </c>
      <c r="DT173">
        <f t="shared" si="235"/>
        <v>0</v>
      </c>
      <c r="DU173">
        <f t="shared" si="235"/>
        <v>0</v>
      </c>
      <c r="DV173">
        <f t="shared" si="235"/>
        <v>0</v>
      </c>
      <c r="DW173">
        <f t="shared" si="235"/>
        <v>0</v>
      </c>
      <c r="DX173">
        <f t="shared" si="235"/>
        <v>0</v>
      </c>
      <c r="DY173">
        <f t="shared" si="235"/>
        <v>0</v>
      </c>
      <c r="DZ173">
        <f t="shared" ref="DZ173:EI182" si="236">IFERROR(VLOOKUP($I173&amp;"-"&amp;DZ$2,$A$3:$C$1700,3,FALSE),0)</f>
        <v>0</v>
      </c>
      <c r="EA173">
        <f t="shared" si="236"/>
        <v>0</v>
      </c>
      <c r="EB173">
        <f t="shared" si="236"/>
        <v>0</v>
      </c>
      <c r="EC173">
        <f t="shared" si="236"/>
        <v>0</v>
      </c>
      <c r="ED173">
        <f t="shared" si="236"/>
        <v>0</v>
      </c>
      <c r="EE173">
        <f t="shared" si="236"/>
        <v>0</v>
      </c>
      <c r="EF173">
        <f t="shared" si="236"/>
        <v>0</v>
      </c>
      <c r="EG173">
        <f t="shared" si="236"/>
        <v>0</v>
      </c>
      <c r="EH173">
        <f t="shared" si="236"/>
        <v>0</v>
      </c>
      <c r="EI173">
        <f t="shared" si="236"/>
        <v>0</v>
      </c>
      <c r="EJ173">
        <f>SUM(Tabla1[[#This Row],[1]:[130]])</f>
        <v>1800</v>
      </c>
    </row>
    <row r="174" spans="1:140" ht="15.75" thickBot="1" x14ac:dyDescent="0.3">
      <c r="A174" t="str">
        <f>B174&amp;"-"&amp;COUNTIF($B$2:B174,B174)</f>
        <v>I. RESERVA CARME-1</v>
      </c>
      <c r="B174" s="113" t="s">
        <v>647</v>
      </c>
      <c r="C174">
        <f>VLOOKUP(B174,RECETAS!D173:$E$1700,2,FALSE)</f>
        <v>0</v>
      </c>
      <c r="D174" s="17" t="s">
        <v>734</v>
      </c>
      <c r="G174" t="b">
        <f t="shared" si="171"/>
        <v>1</v>
      </c>
      <c r="I174" s="101" t="s">
        <v>118</v>
      </c>
      <c r="J174">
        <f t="shared" si="224"/>
        <v>0.30000000000000004</v>
      </c>
      <c r="K174">
        <f t="shared" si="224"/>
        <v>0</v>
      </c>
      <c r="L174">
        <f t="shared" si="224"/>
        <v>0</v>
      </c>
      <c r="M174">
        <f t="shared" si="224"/>
        <v>0</v>
      </c>
      <c r="N174">
        <f t="shared" si="224"/>
        <v>0</v>
      </c>
      <c r="O174">
        <f t="shared" si="224"/>
        <v>0</v>
      </c>
      <c r="P174">
        <f t="shared" si="224"/>
        <v>0</v>
      </c>
      <c r="Q174">
        <f t="shared" si="224"/>
        <v>0</v>
      </c>
      <c r="R174">
        <f t="shared" si="224"/>
        <v>0</v>
      </c>
      <c r="S174">
        <f t="shared" si="224"/>
        <v>0</v>
      </c>
      <c r="T174">
        <f t="shared" si="225"/>
        <v>0</v>
      </c>
      <c r="U174">
        <f t="shared" si="225"/>
        <v>0</v>
      </c>
      <c r="V174">
        <f t="shared" si="225"/>
        <v>0</v>
      </c>
      <c r="W174">
        <f t="shared" si="225"/>
        <v>0</v>
      </c>
      <c r="X174">
        <f t="shared" si="225"/>
        <v>0</v>
      </c>
      <c r="Y174">
        <f t="shared" si="225"/>
        <v>0</v>
      </c>
      <c r="Z174">
        <f t="shared" si="225"/>
        <v>0</v>
      </c>
      <c r="AA174">
        <f t="shared" si="225"/>
        <v>0</v>
      </c>
      <c r="AB174">
        <f t="shared" si="225"/>
        <v>0</v>
      </c>
      <c r="AC174">
        <f t="shared" si="225"/>
        <v>0</v>
      </c>
      <c r="AD174">
        <f t="shared" si="226"/>
        <v>0</v>
      </c>
      <c r="AE174">
        <f t="shared" si="226"/>
        <v>0</v>
      </c>
      <c r="AF174">
        <f t="shared" si="226"/>
        <v>0</v>
      </c>
      <c r="AG174">
        <f t="shared" si="226"/>
        <v>0</v>
      </c>
      <c r="AH174">
        <f t="shared" si="226"/>
        <v>0</v>
      </c>
      <c r="AI174">
        <f t="shared" si="226"/>
        <v>0</v>
      </c>
      <c r="AJ174">
        <f t="shared" si="226"/>
        <v>0</v>
      </c>
      <c r="AK174">
        <f t="shared" si="226"/>
        <v>0</v>
      </c>
      <c r="AL174">
        <f t="shared" si="226"/>
        <v>0</v>
      </c>
      <c r="AM174">
        <f t="shared" si="226"/>
        <v>0</v>
      </c>
      <c r="AN174">
        <f t="shared" si="227"/>
        <v>0</v>
      </c>
      <c r="AO174">
        <f t="shared" si="227"/>
        <v>0</v>
      </c>
      <c r="AP174">
        <f t="shared" si="227"/>
        <v>0</v>
      </c>
      <c r="AQ174">
        <f t="shared" si="227"/>
        <v>0</v>
      </c>
      <c r="AR174">
        <f t="shared" si="227"/>
        <v>0</v>
      </c>
      <c r="AS174">
        <f t="shared" si="227"/>
        <v>0</v>
      </c>
      <c r="AT174">
        <f t="shared" si="227"/>
        <v>0</v>
      </c>
      <c r="AU174">
        <f t="shared" si="227"/>
        <v>0</v>
      </c>
      <c r="AV174">
        <f t="shared" si="227"/>
        <v>0</v>
      </c>
      <c r="AW174">
        <f t="shared" si="227"/>
        <v>0</v>
      </c>
      <c r="AX174">
        <f t="shared" si="228"/>
        <v>0</v>
      </c>
      <c r="AY174">
        <f t="shared" si="228"/>
        <v>0</v>
      </c>
      <c r="AZ174">
        <f t="shared" si="228"/>
        <v>0</v>
      </c>
      <c r="BA174">
        <f t="shared" si="228"/>
        <v>0</v>
      </c>
      <c r="BB174">
        <f t="shared" si="228"/>
        <v>0</v>
      </c>
      <c r="BC174">
        <f t="shared" si="228"/>
        <v>0</v>
      </c>
      <c r="BD174">
        <f t="shared" si="228"/>
        <v>0</v>
      </c>
      <c r="BE174">
        <f t="shared" si="228"/>
        <v>0</v>
      </c>
      <c r="BF174">
        <f t="shared" si="228"/>
        <v>0</v>
      </c>
      <c r="BG174">
        <f t="shared" si="228"/>
        <v>0</v>
      </c>
      <c r="BH174">
        <f t="shared" si="229"/>
        <v>0</v>
      </c>
      <c r="BI174">
        <f t="shared" si="229"/>
        <v>0</v>
      </c>
      <c r="BJ174">
        <f t="shared" si="229"/>
        <v>0</v>
      </c>
      <c r="BK174">
        <f t="shared" si="229"/>
        <v>0</v>
      </c>
      <c r="BL174">
        <f t="shared" si="229"/>
        <v>0</v>
      </c>
      <c r="BM174">
        <f t="shared" si="229"/>
        <v>0</v>
      </c>
      <c r="BN174">
        <f t="shared" si="229"/>
        <v>0</v>
      </c>
      <c r="BO174">
        <f t="shared" si="229"/>
        <v>0</v>
      </c>
      <c r="BP174">
        <f t="shared" si="229"/>
        <v>0</v>
      </c>
      <c r="BQ174">
        <f t="shared" si="229"/>
        <v>0</v>
      </c>
      <c r="BR174">
        <f t="shared" si="230"/>
        <v>0</v>
      </c>
      <c r="BS174">
        <f t="shared" si="230"/>
        <v>0</v>
      </c>
      <c r="BT174">
        <f t="shared" si="230"/>
        <v>0</v>
      </c>
      <c r="BU174">
        <f t="shared" si="230"/>
        <v>0</v>
      </c>
      <c r="BV174">
        <f t="shared" si="230"/>
        <v>0</v>
      </c>
      <c r="BW174">
        <f t="shared" si="230"/>
        <v>0</v>
      </c>
      <c r="BX174">
        <f t="shared" si="230"/>
        <v>0</v>
      </c>
      <c r="BY174">
        <f t="shared" si="230"/>
        <v>0</v>
      </c>
      <c r="BZ174">
        <f t="shared" si="230"/>
        <v>0</v>
      </c>
      <c r="CA174">
        <f t="shared" si="230"/>
        <v>0</v>
      </c>
      <c r="CB174">
        <f t="shared" si="231"/>
        <v>0</v>
      </c>
      <c r="CC174">
        <f t="shared" si="231"/>
        <v>0</v>
      </c>
      <c r="CD174">
        <f t="shared" si="231"/>
        <v>0</v>
      </c>
      <c r="CE174">
        <f t="shared" si="231"/>
        <v>0</v>
      </c>
      <c r="CF174">
        <f t="shared" si="231"/>
        <v>0</v>
      </c>
      <c r="CG174">
        <f t="shared" si="231"/>
        <v>0</v>
      </c>
      <c r="CH174">
        <f t="shared" si="231"/>
        <v>0</v>
      </c>
      <c r="CI174">
        <f t="shared" si="231"/>
        <v>0</v>
      </c>
      <c r="CJ174">
        <f t="shared" si="231"/>
        <v>0</v>
      </c>
      <c r="CK174">
        <f t="shared" si="231"/>
        <v>0</v>
      </c>
      <c r="CL174">
        <f t="shared" si="232"/>
        <v>0</v>
      </c>
      <c r="CM174">
        <f t="shared" si="232"/>
        <v>0</v>
      </c>
      <c r="CN174">
        <f t="shared" si="232"/>
        <v>0</v>
      </c>
      <c r="CO174">
        <f t="shared" si="232"/>
        <v>0</v>
      </c>
      <c r="CP174">
        <f t="shared" si="232"/>
        <v>0</v>
      </c>
      <c r="CQ174">
        <f t="shared" si="232"/>
        <v>0</v>
      </c>
      <c r="CR174">
        <f t="shared" si="232"/>
        <v>0</v>
      </c>
      <c r="CS174">
        <f t="shared" si="232"/>
        <v>0</v>
      </c>
      <c r="CT174">
        <f t="shared" si="232"/>
        <v>0</v>
      </c>
      <c r="CU174">
        <f t="shared" si="232"/>
        <v>0</v>
      </c>
      <c r="CV174">
        <f t="shared" si="233"/>
        <v>0</v>
      </c>
      <c r="CW174">
        <f t="shared" si="233"/>
        <v>0</v>
      </c>
      <c r="CX174">
        <f t="shared" si="233"/>
        <v>0</v>
      </c>
      <c r="CY174">
        <f t="shared" si="233"/>
        <v>0</v>
      </c>
      <c r="CZ174">
        <f t="shared" si="233"/>
        <v>0</v>
      </c>
      <c r="DA174">
        <f t="shared" si="233"/>
        <v>0</v>
      </c>
      <c r="DB174">
        <f t="shared" si="233"/>
        <v>0</v>
      </c>
      <c r="DC174">
        <f t="shared" si="233"/>
        <v>0</v>
      </c>
      <c r="DD174">
        <f t="shared" si="233"/>
        <v>0</v>
      </c>
      <c r="DE174">
        <f t="shared" si="233"/>
        <v>0</v>
      </c>
      <c r="DF174">
        <f t="shared" si="234"/>
        <v>0</v>
      </c>
      <c r="DG174">
        <f t="shared" si="234"/>
        <v>0</v>
      </c>
      <c r="DH174">
        <f t="shared" si="234"/>
        <v>0</v>
      </c>
      <c r="DI174">
        <f t="shared" si="234"/>
        <v>0</v>
      </c>
      <c r="DJ174">
        <f t="shared" si="234"/>
        <v>0</v>
      </c>
      <c r="DK174">
        <f t="shared" si="234"/>
        <v>0</v>
      </c>
      <c r="DL174">
        <f t="shared" si="234"/>
        <v>0</v>
      </c>
      <c r="DM174">
        <f t="shared" si="234"/>
        <v>0</v>
      </c>
      <c r="DN174">
        <f t="shared" si="234"/>
        <v>0</v>
      </c>
      <c r="DO174">
        <f t="shared" si="234"/>
        <v>0</v>
      </c>
      <c r="DP174">
        <f t="shared" si="235"/>
        <v>0</v>
      </c>
      <c r="DQ174">
        <f t="shared" si="235"/>
        <v>0</v>
      </c>
      <c r="DR174">
        <f t="shared" si="235"/>
        <v>0</v>
      </c>
      <c r="DS174">
        <f t="shared" si="235"/>
        <v>0</v>
      </c>
      <c r="DT174">
        <f t="shared" si="235"/>
        <v>0</v>
      </c>
      <c r="DU174">
        <f t="shared" si="235"/>
        <v>0</v>
      </c>
      <c r="DV174">
        <f t="shared" si="235"/>
        <v>0</v>
      </c>
      <c r="DW174">
        <f t="shared" si="235"/>
        <v>0</v>
      </c>
      <c r="DX174">
        <f t="shared" si="235"/>
        <v>0</v>
      </c>
      <c r="DY174">
        <f t="shared" si="235"/>
        <v>0</v>
      </c>
      <c r="DZ174">
        <f t="shared" si="236"/>
        <v>0</v>
      </c>
      <c r="EA174">
        <f t="shared" si="236"/>
        <v>0</v>
      </c>
      <c r="EB174">
        <f t="shared" si="236"/>
        <v>0</v>
      </c>
      <c r="EC174">
        <f t="shared" si="236"/>
        <v>0</v>
      </c>
      <c r="ED174">
        <f t="shared" si="236"/>
        <v>0</v>
      </c>
      <c r="EE174">
        <f t="shared" si="236"/>
        <v>0</v>
      </c>
      <c r="EF174">
        <f t="shared" si="236"/>
        <v>0</v>
      </c>
      <c r="EG174">
        <f t="shared" si="236"/>
        <v>0</v>
      </c>
      <c r="EH174">
        <f t="shared" si="236"/>
        <v>0</v>
      </c>
      <c r="EI174">
        <f t="shared" si="236"/>
        <v>0</v>
      </c>
      <c r="EJ174">
        <f>SUM(Tabla1[[#This Row],[1]:[130]])</f>
        <v>0.30000000000000004</v>
      </c>
    </row>
    <row r="175" spans="1:140" ht="15.75" thickBot="1" x14ac:dyDescent="0.3">
      <c r="A175" t="str">
        <f>B175&amp;"-"&amp;COUNTIF($B$2:B175,B175)</f>
        <v>I. MEDALLA BLANC CHAR-1</v>
      </c>
      <c r="B175" s="113" t="s">
        <v>649</v>
      </c>
      <c r="C175">
        <f>VLOOKUP(B175,RECETAS!D174:$E$1700,2,FALSE)</f>
        <v>0</v>
      </c>
      <c r="D175" s="18" t="s">
        <v>648</v>
      </c>
      <c r="G175" t="b">
        <f t="shared" si="171"/>
        <v>1</v>
      </c>
      <c r="I175" s="102" t="s">
        <v>274</v>
      </c>
      <c r="J175">
        <f t="shared" si="224"/>
        <v>0</v>
      </c>
      <c r="K175">
        <f t="shared" si="224"/>
        <v>0</v>
      </c>
      <c r="L175">
        <f t="shared" si="224"/>
        <v>0</v>
      </c>
      <c r="M175">
        <f t="shared" si="224"/>
        <v>0</v>
      </c>
      <c r="N175">
        <f t="shared" si="224"/>
        <v>0</v>
      </c>
      <c r="O175">
        <f t="shared" si="224"/>
        <v>0</v>
      </c>
      <c r="P175">
        <f t="shared" si="224"/>
        <v>0</v>
      </c>
      <c r="Q175">
        <f t="shared" si="224"/>
        <v>0</v>
      </c>
      <c r="R175">
        <f t="shared" si="224"/>
        <v>0</v>
      </c>
      <c r="S175">
        <f t="shared" si="224"/>
        <v>0</v>
      </c>
      <c r="T175">
        <f t="shared" si="225"/>
        <v>0</v>
      </c>
      <c r="U175">
        <f t="shared" si="225"/>
        <v>0</v>
      </c>
      <c r="V175">
        <f t="shared" si="225"/>
        <v>0</v>
      </c>
      <c r="W175">
        <f t="shared" si="225"/>
        <v>0</v>
      </c>
      <c r="X175">
        <f t="shared" si="225"/>
        <v>0</v>
      </c>
      <c r="Y175">
        <f t="shared" si="225"/>
        <v>0</v>
      </c>
      <c r="Z175">
        <f t="shared" si="225"/>
        <v>0</v>
      </c>
      <c r="AA175">
        <f t="shared" si="225"/>
        <v>0</v>
      </c>
      <c r="AB175">
        <f t="shared" si="225"/>
        <v>0</v>
      </c>
      <c r="AC175">
        <f t="shared" si="225"/>
        <v>0</v>
      </c>
      <c r="AD175">
        <f t="shared" si="226"/>
        <v>0</v>
      </c>
      <c r="AE175">
        <f t="shared" si="226"/>
        <v>0</v>
      </c>
      <c r="AF175">
        <f t="shared" si="226"/>
        <v>0</v>
      </c>
      <c r="AG175">
        <f t="shared" si="226"/>
        <v>0</v>
      </c>
      <c r="AH175">
        <f t="shared" si="226"/>
        <v>0</v>
      </c>
      <c r="AI175">
        <f t="shared" si="226"/>
        <v>0</v>
      </c>
      <c r="AJ175">
        <f t="shared" si="226"/>
        <v>0</v>
      </c>
      <c r="AK175">
        <f t="shared" si="226"/>
        <v>0</v>
      </c>
      <c r="AL175">
        <f t="shared" si="226"/>
        <v>0</v>
      </c>
      <c r="AM175">
        <f t="shared" si="226"/>
        <v>0</v>
      </c>
      <c r="AN175">
        <f t="shared" si="227"/>
        <v>0</v>
      </c>
      <c r="AO175">
        <f t="shared" si="227"/>
        <v>0</v>
      </c>
      <c r="AP175">
        <f t="shared" si="227"/>
        <v>0</v>
      </c>
      <c r="AQ175">
        <f t="shared" si="227"/>
        <v>0</v>
      </c>
      <c r="AR175">
        <f t="shared" si="227"/>
        <v>0</v>
      </c>
      <c r="AS175">
        <f t="shared" si="227"/>
        <v>0</v>
      </c>
      <c r="AT175">
        <f t="shared" si="227"/>
        <v>0</v>
      </c>
      <c r="AU175">
        <f t="shared" si="227"/>
        <v>0</v>
      </c>
      <c r="AV175">
        <f t="shared" si="227"/>
        <v>0</v>
      </c>
      <c r="AW175">
        <f t="shared" si="227"/>
        <v>0</v>
      </c>
      <c r="AX175">
        <f t="shared" si="228"/>
        <v>0</v>
      </c>
      <c r="AY175">
        <f t="shared" si="228"/>
        <v>0</v>
      </c>
      <c r="AZ175">
        <f t="shared" si="228"/>
        <v>0</v>
      </c>
      <c r="BA175">
        <f t="shared" si="228"/>
        <v>0</v>
      </c>
      <c r="BB175">
        <f t="shared" si="228"/>
        <v>0</v>
      </c>
      <c r="BC175">
        <f t="shared" si="228"/>
        <v>0</v>
      </c>
      <c r="BD175">
        <f t="shared" si="228"/>
        <v>0</v>
      </c>
      <c r="BE175">
        <f t="shared" si="228"/>
        <v>0</v>
      </c>
      <c r="BF175">
        <f t="shared" si="228"/>
        <v>0</v>
      </c>
      <c r="BG175">
        <f t="shared" si="228"/>
        <v>0</v>
      </c>
      <c r="BH175">
        <f t="shared" si="229"/>
        <v>0</v>
      </c>
      <c r="BI175">
        <f t="shared" si="229"/>
        <v>0</v>
      </c>
      <c r="BJ175">
        <f t="shared" si="229"/>
        <v>0</v>
      </c>
      <c r="BK175">
        <f t="shared" si="229"/>
        <v>0</v>
      </c>
      <c r="BL175">
        <f t="shared" si="229"/>
        <v>0</v>
      </c>
      <c r="BM175">
        <f t="shared" si="229"/>
        <v>0</v>
      </c>
      <c r="BN175">
        <f t="shared" si="229"/>
        <v>0</v>
      </c>
      <c r="BO175">
        <f t="shared" si="229"/>
        <v>0</v>
      </c>
      <c r="BP175">
        <f t="shared" si="229"/>
        <v>0</v>
      </c>
      <c r="BQ175">
        <f t="shared" si="229"/>
        <v>0</v>
      </c>
      <c r="BR175">
        <f t="shared" si="230"/>
        <v>0</v>
      </c>
      <c r="BS175">
        <f t="shared" si="230"/>
        <v>0</v>
      </c>
      <c r="BT175">
        <f t="shared" si="230"/>
        <v>0</v>
      </c>
      <c r="BU175">
        <f t="shared" si="230"/>
        <v>0</v>
      </c>
      <c r="BV175">
        <f t="shared" si="230"/>
        <v>0</v>
      </c>
      <c r="BW175">
        <f t="shared" si="230"/>
        <v>0</v>
      </c>
      <c r="BX175">
        <f t="shared" si="230"/>
        <v>0</v>
      </c>
      <c r="BY175">
        <f t="shared" si="230"/>
        <v>0</v>
      </c>
      <c r="BZ175">
        <f t="shared" si="230"/>
        <v>0</v>
      </c>
      <c r="CA175">
        <f t="shared" si="230"/>
        <v>0</v>
      </c>
      <c r="CB175">
        <f t="shared" si="231"/>
        <v>0</v>
      </c>
      <c r="CC175">
        <f t="shared" si="231"/>
        <v>0</v>
      </c>
      <c r="CD175">
        <f t="shared" si="231"/>
        <v>0</v>
      </c>
      <c r="CE175">
        <f t="shared" si="231"/>
        <v>0</v>
      </c>
      <c r="CF175">
        <f t="shared" si="231"/>
        <v>0</v>
      </c>
      <c r="CG175">
        <f t="shared" si="231"/>
        <v>0</v>
      </c>
      <c r="CH175">
        <f t="shared" si="231"/>
        <v>0</v>
      </c>
      <c r="CI175">
        <f t="shared" si="231"/>
        <v>0</v>
      </c>
      <c r="CJ175">
        <f t="shared" si="231"/>
        <v>0</v>
      </c>
      <c r="CK175">
        <f t="shared" si="231"/>
        <v>0</v>
      </c>
      <c r="CL175">
        <f t="shared" si="232"/>
        <v>0</v>
      </c>
      <c r="CM175">
        <f t="shared" si="232"/>
        <v>0</v>
      </c>
      <c r="CN175">
        <f t="shared" si="232"/>
        <v>0</v>
      </c>
      <c r="CO175">
        <f t="shared" si="232"/>
        <v>0</v>
      </c>
      <c r="CP175">
        <f t="shared" si="232"/>
        <v>0</v>
      </c>
      <c r="CQ175">
        <f t="shared" si="232"/>
        <v>0</v>
      </c>
      <c r="CR175">
        <f t="shared" si="232"/>
        <v>0</v>
      </c>
      <c r="CS175">
        <f t="shared" si="232"/>
        <v>0</v>
      </c>
      <c r="CT175">
        <f t="shared" si="232"/>
        <v>0</v>
      </c>
      <c r="CU175">
        <f t="shared" si="232"/>
        <v>0</v>
      </c>
      <c r="CV175">
        <f t="shared" si="233"/>
        <v>0</v>
      </c>
      <c r="CW175">
        <f t="shared" si="233"/>
        <v>0</v>
      </c>
      <c r="CX175">
        <f t="shared" si="233"/>
        <v>0</v>
      </c>
      <c r="CY175">
        <f t="shared" si="233"/>
        <v>0</v>
      </c>
      <c r="CZ175">
        <f t="shared" si="233"/>
        <v>0</v>
      </c>
      <c r="DA175">
        <f t="shared" si="233"/>
        <v>0</v>
      </c>
      <c r="DB175">
        <f t="shared" si="233"/>
        <v>0</v>
      </c>
      <c r="DC175">
        <f t="shared" si="233"/>
        <v>0</v>
      </c>
      <c r="DD175">
        <f t="shared" si="233"/>
        <v>0</v>
      </c>
      <c r="DE175">
        <f t="shared" si="233"/>
        <v>0</v>
      </c>
      <c r="DF175">
        <f t="shared" si="234"/>
        <v>0</v>
      </c>
      <c r="DG175">
        <f t="shared" si="234"/>
        <v>0</v>
      </c>
      <c r="DH175">
        <f t="shared" si="234"/>
        <v>0</v>
      </c>
      <c r="DI175">
        <f t="shared" si="234"/>
        <v>0</v>
      </c>
      <c r="DJ175">
        <f t="shared" si="234"/>
        <v>0</v>
      </c>
      <c r="DK175">
        <f t="shared" si="234"/>
        <v>0</v>
      </c>
      <c r="DL175">
        <f t="shared" si="234"/>
        <v>0</v>
      </c>
      <c r="DM175">
        <f t="shared" si="234"/>
        <v>0</v>
      </c>
      <c r="DN175">
        <f t="shared" si="234"/>
        <v>0</v>
      </c>
      <c r="DO175">
        <f t="shared" si="234"/>
        <v>0</v>
      </c>
      <c r="DP175">
        <f t="shared" si="235"/>
        <v>0</v>
      </c>
      <c r="DQ175">
        <f t="shared" si="235"/>
        <v>0</v>
      </c>
      <c r="DR175">
        <f t="shared" si="235"/>
        <v>0</v>
      </c>
      <c r="DS175">
        <f t="shared" si="235"/>
        <v>0</v>
      </c>
      <c r="DT175">
        <f t="shared" si="235"/>
        <v>0</v>
      </c>
      <c r="DU175">
        <f t="shared" si="235"/>
        <v>0</v>
      </c>
      <c r="DV175">
        <f t="shared" si="235"/>
        <v>0</v>
      </c>
      <c r="DW175">
        <f t="shared" si="235"/>
        <v>0</v>
      </c>
      <c r="DX175">
        <f t="shared" si="235"/>
        <v>0</v>
      </c>
      <c r="DY175">
        <f t="shared" si="235"/>
        <v>0</v>
      </c>
      <c r="DZ175">
        <f t="shared" si="236"/>
        <v>0</v>
      </c>
      <c r="EA175">
        <f t="shared" si="236"/>
        <v>0</v>
      </c>
      <c r="EB175">
        <f t="shared" si="236"/>
        <v>0</v>
      </c>
      <c r="EC175">
        <f t="shared" si="236"/>
        <v>0</v>
      </c>
      <c r="ED175">
        <f t="shared" si="236"/>
        <v>0</v>
      </c>
      <c r="EE175">
        <f t="shared" si="236"/>
        <v>0</v>
      </c>
      <c r="EF175">
        <f t="shared" si="236"/>
        <v>0</v>
      </c>
      <c r="EG175">
        <f t="shared" si="236"/>
        <v>0</v>
      </c>
      <c r="EH175">
        <f t="shared" si="236"/>
        <v>0</v>
      </c>
      <c r="EI175">
        <f t="shared" si="236"/>
        <v>0</v>
      </c>
      <c r="EJ175">
        <f>SUM(Tabla1[[#This Row],[1]:[130]])</f>
        <v>0</v>
      </c>
    </row>
    <row r="176" spans="1:140" ht="15.75" thickBot="1" x14ac:dyDescent="0.3">
      <c r="A176" t="str">
        <f>B176&amp;"-"&amp;COUNTIF($B$2:B176,B176)</f>
        <v>I. MEDALLA MERLOT-1</v>
      </c>
      <c r="B176" s="113" t="s">
        <v>651</v>
      </c>
      <c r="C176">
        <f>VLOOKUP(B176,RECETAS!D175:$E$1700,2,FALSE)</f>
        <v>0</v>
      </c>
      <c r="D176" s="18" t="s">
        <v>650</v>
      </c>
      <c r="G176" t="b">
        <f t="shared" si="171"/>
        <v>1</v>
      </c>
      <c r="I176" s="109" t="s">
        <v>586</v>
      </c>
      <c r="J176">
        <f t="shared" si="224"/>
        <v>0</v>
      </c>
      <c r="K176">
        <f t="shared" si="224"/>
        <v>30</v>
      </c>
      <c r="L176">
        <f t="shared" si="224"/>
        <v>3</v>
      </c>
      <c r="M176">
        <f t="shared" si="224"/>
        <v>0</v>
      </c>
      <c r="N176">
        <f t="shared" si="224"/>
        <v>0</v>
      </c>
      <c r="O176">
        <f t="shared" si="224"/>
        <v>0</v>
      </c>
      <c r="P176">
        <f t="shared" si="224"/>
        <v>0</v>
      </c>
      <c r="Q176">
        <f t="shared" si="224"/>
        <v>0</v>
      </c>
      <c r="R176">
        <f t="shared" si="224"/>
        <v>0</v>
      </c>
      <c r="S176">
        <f t="shared" si="224"/>
        <v>0</v>
      </c>
      <c r="T176">
        <f t="shared" si="225"/>
        <v>0</v>
      </c>
      <c r="U176">
        <f t="shared" si="225"/>
        <v>0</v>
      </c>
      <c r="V176">
        <f t="shared" si="225"/>
        <v>0</v>
      </c>
      <c r="W176">
        <f t="shared" si="225"/>
        <v>0</v>
      </c>
      <c r="X176">
        <f t="shared" si="225"/>
        <v>0</v>
      </c>
      <c r="Y176">
        <f t="shared" si="225"/>
        <v>0</v>
      </c>
      <c r="Z176">
        <f t="shared" si="225"/>
        <v>0</v>
      </c>
      <c r="AA176">
        <f t="shared" si="225"/>
        <v>0</v>
      </c>
      <c r="AB176">
        <f t="shared" si="225"/>
        <v>0</v>
      </c>
      <c r="AC176">
        <f t="shared" si="225"/>
        <v>0</v>
      </c>
      <c r="AD176">
        <f t="shared" si="226"/>
        <v>0</v>
      </c>
      <c r="AE176">
        <f t="shared" si="226"/>
        <v>0</v>
      </c>
      <c r="AF176">
        <f t="shared" si="226"/>
        <v>0</v>
      </c>
      <c r="AG176">
        <f t="shared" si="226"/>
        <v>0</v>
      </c>
      <c r="AH176">
        <f t="shared" si="226"/>
        <v>0</v>
      </c>
      <c r="AI176">
        <f t="shared" si="226"/>
        <v>0</v>
      </c>
      <c r="AJ176">
        <f t="shared" si="226"/>
        <v>0</v>
      </c>
      <c r="AK176">
        <f t="shared" si="226"/>
        <v>0</v>
      </c>
      <c r="AL176">
        <f t="shared" si="226"/>
        <v>0</v>
      </c>
      <c r="AM176">
        <f t="shared" si="226"/>
        <v>0</v>
      </c>
      <c r="AN176">
        <f t="shared" si="227"/>
        <v>0</v>
      </c>
      <c r="AO176">
        <f t="shared" si="227"/>
        <v>0</v>
      </c>
      <c r="AP176">
        <f t="shared" si="227"/>
        <v>0</v>
      </c>
      <c r="AQ176">
        <f t="shared" si="227"/>
        <v>0</v>
      </c>
      <c r="AR176">
        <f t="shared" si="227"/>
        <v>0</v>
      </c>
      <c r="AS176">
        <f t="shared" si="227"/>
        <v>0</v>
      </c>
      <c r="AT176">
        <f t="shared" si="227"/>
        <v>0</v>
      </c>
      <c r="AU176">
        <f t="shared" si="227"/>
        <v>0</v>
      </c>
      <c r="AV176">
        <f t="shared" si="227"/>
        <v>0</v>
      </c>
      <c r="AW176">
        <f t="shared" si="227"/>
        <v>0</v>
      </c>
      <c r="AX176">
        <f t="shared" si="228"/>
        <v>0</v>
      </c>
      <c r="AY176">
        <f t="shared" si="228"/>
        <v>0</v>
      </c>
      <c r="AZ176">
        <f t="shared" si="228"/>
        <v>0</v>
      </c>
      <c r="BA176">
        <f t="shared" si="228"/>
        <v>0</v>
      </c>
      <c r="BB176">
        <f t="shared" si="228"/>
        <v>0</v>
      </c>
      <c r="BC176">
        <f t="shared" si="228"/>
        <v>0</v>
      </c>
      <c r="BD176">
        <f t="shared" si="228"/>
        <v>0</v>
      </c>
      <c r="BE176">
        <f t="shared" si="228"/>
        <v>0</v>
      </c>
      <c r="BF176">
        <f t="shared" si="228"/>
        <v>0</v>
      </c>
      <c r="BG176">
        <f t="shared" si="228"/>
        <v>0</v>
      </c>
      <c r="BH176">
        <f t="shared" si="229"/>
        <v>0</v>
      </c>
      <c r="BI176">
        <f t="shared" si="229"/>
        <v>0</v>
      </c>
      <c r="BJ176">
        <f t="shared" si="229"/>
        <v>0</v>
      </c>
      <c r="BK176">
        <f t="shared" si="229"/>
        <v>0</v>
      </c>
      <c r="BL176">
        <f t="shared" si="229"/>
        <v>0</v>
      </c>
      <c r="BM176">
        <f t="shared" si="229"/>
        <v>0</v>
      </c>
      <c r="BN176">
        <f t="shared" si="229"/>
        <v>0</v>
      </c>
      <c r="BO176">
        <f t="shared" si="229"/>
        <v>0</v>
      </c>
      <c r="BP176">
        <f t="shared" si="229"/>
        <v>0</v>
      </c>
      <c r="BQ176">
        <f t="shared" si="229"/>
        <v>0</v>
      </c>
      <c r="BR176">
        <f t="shared" si="230"/>
        <v>0</v>
      </c>
      <c r="BS176">
        <f t="shared" si="230"/>
        <v>0</v>
      </c>
      <c r="BT176">
        <f t="shared" si="230"/>
        <v>0</v>
      </c>
      <c r="BU176">
        <f t="shared" si="230"/>
        <v>0</v>
      </c>
      <c r="BV176">
        <f t="shared" si="230"/>
        <v>0</v>
      </c>
      <c r="BW176">
        <f t="shared" si="230"/>
        <v>0</v>
      </c>
      <c r="BX176">
        <f t="shared" si="230"/>
        <v>0</v>
      </c>
      <c r="BY176">
        <f t="shared" si="230"/>
        <v>0</v>
      </c>
      <c r="BZ176">
        <f t="shared" si="230"/>
        <v>0</v>
      </c>
      <c r="CA176">
        <f t="shared" si="230"/>
        <v>0</v>
      </c>
      <c r="CB176">
        <f t="shared" si="231"/>
        <v>0</v>
      </c>
      <c r="CC176">
        <f t="shared" si="231"/>
        <v>0</v>
      </c>
      <c r="CD176">
        <f t="shared" si="231"/>
        <v>0</v>
      </c>
      <c r="CE176">
        <f t="shared" si="231"/>
        <v>0</v>
      </c>
      <c r="CF176">
        <f t="shared" si="231"/>
        <v>0</v>
      </c>
      <c r="CG176">
        <f t="shared" si="231"/>
        <v>0</v>
      </c>
      <c r="CH176">
        <f t="shared" si="231"/>
        <v>0</v>
      </c>
      <c r="CI176">
        <f t="shared" si="231"/>
        <v>0</v>
      </c>
      <c r="CJ176">
        <f t="shared" si="231"/>
        <v>0</v>
      </c>
      <c r="CK176">
        <f t="shared" si="231"/>
        <v>0</v>
      </c>
      <c r="CL176">
        <f t="shared" si="232"/>
        <v>0</v>
      </c>
      <c r="CM176">
        <f t="shared" si="232"/>
        <v>0</v>
      </c>
      <c r="CN176">
        <f t="shared" si="232"/>
        <v>0</v>
      </c>
      <c r="CO176">
        <f t="shared" si="232"/>
        <v>0</v>
      </c>
      <c r="CP176">
        <f t="shared" si="232"/>
        <v>0</v>
      </c>
      <c r="CQ176">
        <f t="shared" si="232"/>
        <v>0</v>
      </c>
      <c r="CR176">
        <f t="shared" si="232"/>
        <v>0</v>
      </c>
      <c r="CS176">
        <f t="shared" si="232"/>
        <v>0</v>
      </c>
      <c r="CT176">
        <f t="shared" si="232"/>
        <v>0</v>
      </c>
      <c r="CU176">
        <f t="shared" si="232"/>
        <v>0</v>
      </c>
      <c r="CV176">
        <f t="shared" si="233"/>
        <v>0</v>
      </c>
      <c r="CW176">
        <f t="shared" si="233"/>
        <v>0</v>
      </c>
      <c r="CX176">
        <f t="shared" si="233"/>
        <v>0</v>
      </c>
      <c r="CY176">
        <f t="shared" si="233"/>
        <v>0</v>
      </c>
      <c r="CZ176">
        <f t="shared" si="233"/>
        <v>0</v>
      </c>
      <c r="DA176">
        <f t="shared" si="233"/>
        <v>0</v>
      </c>
      <c r="DB176">
        <f t="shared" si="233"/>
        <v>0</v>
      </c>
      <c r="DC176">
        <f t="shared" si="233"/>
        <v>0</v>
      </c>
      <c r="DD176">
        <f t="shared" si="233"/>
        <v>0</v>
      </c>
      <c r="DE176">
        <f t="shared" si="233"/>
        <v>0</v>
      </c>
      <c r="DF176">
        <f t="shared" si="234"/>
        <v>0</v>
      </c>
      <c r="DG176">
        <f t="shared" si="234"/>
        <v>0</v>
      </c>
      <c r="DH176">
        <f t="shared" si="234"/>
        <v>0</v>
      </c>
      <c r="DI176">
        <f t="shared" si="234"/>
        <v>0</v>
      </c>
      <c r="DJ176">
        <f t="shared" si="234"/>
        <v>0</v>
      </c>
      <c r="DK176">
        <f t="shared" si="234"/>
        <v>0</v>
      </c>
      <c r="DL176">
        <f t="shared" si="234"/>
        <v>0</v>
      </c>
      <c r="DM176">
        <f t="shared" si="234"/>
        <v>0</v>
      </c>
      <c r="DN176">
        <f t="shared" si="234"/>
        <v>0</v>
      </c>
      <c r="DO176">
        <f t="shared" si="234"/>
        <v>0</v>
      </c>
      <c r="DP176">
        <f t="shared" si="235"/>
        <v>0</v>
      </c>
      <c r="DQ176">
        <f t="shared" si="235"/>
        <v>0</v>
      </c>
      <c r="DR176">
        <f t="shared" si="235"/>
        <v>0</v>
      </c>
      <c r="DS176">
        <f t="shared" si="235"/>
        <v>0</v>
      </c>
      <c r="DT176">
        <f t="shared" si="235"/>
        <v>0</v>
      </c>
      <c r="DU176">
        <f t="shared" si="235"/>
        <v>0</v>
      </c>
      <c r="DV176">
        <f t="shared" si="235"/>
        <v>0</v>
      </c>
      <c r="DW176">
        <f t="shared" si="235"/>
        <v>0</v>
      </c>
      <c r="DX176">
        <f t="shared" si="235"/>
        <v>0</v>
      </c>
      <c r="DY176">
        <f t="shared" si="235"/>
        <v>0</v>
      </c>
      <c r="DZ176">
        <f t="shared" si="236"/>
        <v>0</v>
      </c>
      <c r="EA176">
        <f t="shared" si="236"/>
        <v>0</v>
      </c>
      <c r="EB176">
        <f t="shared" si="236"/>
        <v>0</v>
      </c>
      <c r="EC176">
        <f t="shared" si="236"/>
        <v>0</v>
      </c>
      <c r="ED176">
        <f t="shared" si="236"/>
        <v>0</v>
      </c>
      <c r="EE176">
        <f t="shared" si="236"/>
        <v>0</v>
      </c>
      <c r="EF176">
        <f t="shared" si="236"/>
        <v>0</v>
      </c>
      <c r="EG176">
        <f t="shared" si="236"/>
        <v>0</v>
      </c>
      <c r="EH176">
        <f t="shared" si="236"/>
        <v>0</v>
      </c>
      <c r="EI176">
        <f t="shared" si="236"/>
        <v>0</v>
      </c>
      <c r="EJ176">
        <f>SUM(Tabla1[[#This Row],[1]:[130]])</f>
        <v>33</v>
      </c>
    </row>
    <row r="177" spans="1:140" x14ac:dyDescent="0.25">
      <c r="A177" t="str">
        <f>B177&amp;"-"&amp;COUNTIF($B$2:B177,B177)</f>
        <v>I. BRUJAS 35-1</v>
      </c>
      <c r="B177" s="26" t="s">
        <v>270</v>
      </c>
      <c r="C177">
        <f>VLOOKUP(B177,RECETAS!D176:$E$1700,2,FALSE)</f>
        <v>225</v>
      </c>
      <c r="D177" s="25" t="s">
        <v>237</v>
      </c>
      <c r="G177" t="b">
        <f t="shared" si="171"/>
        <v>1</v>
      </c>
      <c r="I177" s="46" t="s">
        <v>119</v>
      </c>
      <c r="J177">
        <f t="shared" si="224"/>
        <v>8</v>
      </c>
      <c r="K177">
        <f t="shared" si="224"/>
        <v>1</v>
      </c>
      <c r="L177">
        <f t="shared" si="224"/>
        <v>0</v>
      </c>
      <c r="M177">
        <f t="shared" si="224"/>
        <v>0</v>
      </c>
      <c r="N177">
        <f t="shared" si="224"/>
        <v>0</v>
      </c>
      <c r="O177">
        <f t="shared" si="224"/>
        <v>0</v>
      </c>
      <c r="P177">
        <f t="shared" si="224"/>
        <v>0</v>
      </c>
      <c r="Q177">
        <f t="shared" si="224"/>
        <v>0</v>
      </c>
      <c r="R177">
        <f t="shared" si="224"/>
        <v>0</v>
      </c>
      <c r="S177">
        <f t="shared" si="224"/>
        <v>0</v>
      </c>
      <c r="T177">
        <f t="shared" si="225"/>
        <v>0</v>
      </c>
      <c r="U177">
        <f t="shared" si="225"/>
        <v>0</v>
      </c>
      <c r="V177">
        <f t="shared" si="225"/>
        <v>0</v>
      </c>
      <c r="W177">
        <f t="shared" si="225"/>
        <v>0</v>
      </c>
      <c r="X177">
        <f t="shared" si="225"/>
        <v>0</v>
      </c>
      <c r="Y177">
        <f t="shared" si="225"/>
        <v>0</v>
      </c>
      <c r="Z177">
        <f t="shared" si="225"/>
        <v>0</v>
      </c>
      <c r="AA177">
        <f t="shared" si="225"/>
        <v>0</v>
      </c>
      <c r="AB177">
        <f t="shared" si="225"/>
        <v>0</v>
      </c>
      <c r="AC177">
        <f t="shared" si="225"/>
        <v>0</v>
      </c>
      <c r="AD177">
        <f t="shared" si="226"/>
        <v>0</v>
      </c>
      <c r="AE177">
        <f t="shared" si="226"/>
        <v>0</v>
      </c>
      <c r="AF177">
        <f t="shared" si="226"/>
        <v>0</v>
      </c>
      <c r="AG177">
        <f t="shared" si="226"/>
        <v>0</v>
      </c>
      <c r="AH177">
        <f t="shared" si="226"/>
        <v>0</v>
      </c>
      <c r="AI177">
        <f t="shared" si="226"/>
        <v>0</v>
      </c>
      <c r="AJ177">
        <f t="shared" si="226"/>
        <v>0</v>
      </c>
      <c r="AK177">
        <f t="shared" si="226"/>
        <v>0</v>
      </c>
      <c r="AL177">
        <f t="shared" si="226"/>
        <v>0</v>
      </c>
      <c r="AM177">
        <f t="shared" si="226"/>
        <v>0</v>
      </c>
      <c r="AN177">
        <f t="shared" si="227"/>
        <v>0</v>
      </c>
      <c r="AO177">
        <f t="shared" si="227"/>
        <v>0</v>
      </c>
      <c r="AP177">
        <f t="shared" si="227"/>
        <v>0</v>
      </c>
      <c r="AQ177">
        <f t="shared" si="227"/>
        <v>0</v>
      </c>
      <c r="AR177">
        <f t="shared" si="227"/>
        <v>0</v>
      </c>
      <c r="AS177">
        <f t="shared" si="227"/>
        <v>0</v>
      </c>
      <c r="AT177">
        <f t="shared" si="227"/>
        <v>0</v>
      </c>
      <c r="AU177">
        <f t="shared" si="227"/>
        <v>0</v>
      </c>
      <c r="AV177">
        <f t="shared" si="227"/>
        <v>0</v>
      </c>
      <c r="AW177">
        <f t="shared" si="227"/>
        <v>0</v>
      </c>
      <c r="AX177">
        <f t="shared" si="228"/>
        <v>0</v>
      </c>
      <c r="AY177">
        <f t="shared" si="228"/>
        <v>0</v>
      </c>
      <c r="AZ177">
        <f t="shared" si="228"/>
        <v>0</v>
      </c>
      <c r="BA177">
        <f t="shared" si="228"/>
        <v>0</v>
      </c>
      <c r="BB177">
        <f t="shared" si="228"/>
        <v>0</v>
      </c>
      <c r="BC177">
        <f t="shared" si="228"/>
        <v>0</v>
      </c>
      <c r="BD177">
        <f t="shared" si="228"/>
        <v>0</v>
      </c>
      <c r="BE177">
        <f t="shared" si="228"/>
        <v>0</v>
      </c>
      <c r="BF177">
        <f t="shared" si="228"/>
        <v>0</v>
      </c>
      <c r="BG177">
        <f t="shared" si="228"/>
        <v>0</v>
      </c>
      <c r="BH177">
        <f t="shared" si="229"/>
        <v>0</v>
      </c>
      <c r="BI177">
        <f t="shared" si="229"/>
        <v>0</v>
      </c>
      <c r="BJ177">
        <f t="shared" si="229"/>
        <v>0</v>
      </c>
      <c r="BK177">
        <f t="shared" si="229"/>
        <v>0</v>
      </c>
      <c r="BL177">
        <f t="shared" si="229"/>
        <v>0</v>
      </c>
      <c r="BM177">
        <f t="shared" si="229"/>
        <v>0</v>
      </c>
      <c r="BN177">
        <f t="shared" si="229"/>
        <v>0</v>
      </c>
      <c r="BO177">
        <f t="shared" si="229"/>
        <v>0</v>
      </c>
      <c r="BP177">
        <f t="shared" si="229"/>
        <v>0</v>
      </c>
      <c r="BQ177">
        <f t="shared" si="229"/>
        <v>0</v>
      </c>
      <c r="BR177">
        <f t="shared" si="230"/>
        <v>0</v>
      </c>
      <c r="BS177">
        <f t="shared" si="230"/>
        <v>0</v>
      </c>
      <c r="BT177">
        <f t="shared" si="230"/>
        <v>0</v>
      </c>
      <c r="BU177">
        <f t="shared" si="230"/>
        <v>0</v>
      </c>
      <c r="BV177">
        <f t="shared" si="230"/>
        <v>0</v>
      </c>
      <c r="BW177">
        <f t="shared" si="230"/>
        <v>0</v>
      </c>
      <c r="BX177">
        <f t="shared" si="230"/>
        <v>0</v>
      </c>
      <c r="BY177">
        <f t="shared" si="230"/>
        <v>0</v>
      </c>
      <c r="BZ177">
        <f t="shared" si="230"/>
        <v>0</v>
      </c>
      <c r="CA177">
        <f t="shared" si="230"/>
        <v>0</v>
      </c>
      <c r="CB177">
        <f t="shared" si="231"/>
        <v>0</v>
      </c>
      <c r="CC177">
        <f t="shared" si="231"/>
        <v>0</v>
      </c>
      <c r="CD177">
        <f t="shared" si="231"/>
        <v>0</v>
      </c>
      <c r="CE177">
        <f t="shared" si="231"/>
        <v>0</v>
      </c>
      <c r="CF177">
        <f t="shared" si="231"/>
        <v>0</v>
      </c>
      <c r="CG177">
        <f t="shared" si="231"/>
        <v>0</v>
      </c>
      <c r="CH177">
        <f t="shared" si="231"/>
        <v>0</v>
      </c>
      <c r="CI177">
        <f t="shared" si="231"/>
        <v>0</v>
      </c>
      <c r="CJ177">
        <f t="shared" si="231"/>
        <v>0</v>
      </c>
      <c r="CK177">
        <f t="shared" si="231"/>
        <v>0</v>
      </c>
      <c r="CL177">
        <f t="shared" si="232"/>
        <v>0</v>
      </c>
      <c r="CM177">
        <f t="shared" si="232"/>
        <v>0</v>
      </c>
      <c r="CN177">
        <f t="shared" si="232"/>
        <v>0</v>
      </c>
      <c r="CO177">
        <f t="shared" si="232"/>
        <v>0</v>
      </c>
      <c r="CP177">
        <f t="shared" si="232"/>
        <v>0</v>
      </c>
      <c r="CQ177">
        <f t="shared" si="232"/>
        <v>0</v>
      </c>
      <c r="CR177">
        <f t="shared" si="232"/>
        <v>0</v>
      </c>
      <c r="CS177">
        <f t="shared" si="232"/>
        <v>0</v>
      </c>
      <c r="CT177">
        <f t="shared" si="232"/>
        <v>0</v>
      </c>
      <c r="CU177">
        <f t="shared" si="232"/>
        <v>0</v>
      </c>
      <c r="CV177">
        <f t="shared" si="233"/>
        <v>0</v>
      </c>
      <c r="CW177">
        <f t="shared" si="233"/>
        <v>0</v>
      </c>
      <c r="CX177">
        <f t="shared" si="233"/>
        <v>0</v>
      </c>
      <c r="CY177">
        <f t="shared" si="233"/>
        <v>0</v>
      </c>
      <c r="CZ177">
        <f t="shared" si="233"/>
        <v>0</v>
      </c>
      <c r="DA177">
        <f t="shared" si="233"/>
        <v>0</v>
      </c>
      <c r="DB177">
        <f t="shared" si="233"/>
        <v>0</v>
      </c>
      <c r="DC177">
        <f t="shared" si="233"/>
        <v>0</v>
      </c>
      <c r="DD177">
        <f t="shared" si="233"/>
        <v>0</v>
      </c>
      <c r="DE177">
        <f t="shared" si="233"/>
        <v>0</v>
      </c>
      <c r="DF177">
        <f t="shared" si="234"/>
        <v>0</v>
      </c>
      <c r="DG177">
        <f t="shared" si="234"/>
        <v>0</v>
      </c>
      <c r="DH177">
        <f t="shared" si="234"/>
        <v>0</v>
      </c>
      <c r="DI177">
        <f t="shared" si="234"/>
        <v>0</v>
      </c>
      <c r="DJ177">
        <f t="shared" si="234"/>
        <v>0</v>
      </c>
      <c r="DK177">
        <f t="shared" si="234"/>
        <v>0</v>
      </c>
      <c r="DL177">
        <f t="shared" si="234"/>
        <v>0</v>
      </c>
      <c r="DM177">
        <f t="shared" si="234"/>
        <v>0</v>
      </c>
      <c r="DN177">
        <f t="shared" si="234"/>
        <v>0</v>
      </c>
      <c r="DO177">
        <f t="shared" si="234"/>
        <v>0</v>
      </c>
      <c r="DP177">
        <f t="shared" si="235"/>
        <v>0</v>
      </c>
      <c r="DQ177">
        <f t="shared" si="235"/>
        <v>0</v>
      </c>
      <c r="DR177">
        <f t="shared" si="235"/>
        <v>0</v>
      </c>
      <c r="DS177">
        <f t="shared" si="235"/>
        <v>0</v>
      </c>
      <c r="DT177">
        <f t="shared" si="235"/>
        <v>0</v>
      </c>
      <c r="DU177">
        <f t="shared" si="235"/>
        <v>0</v>
      </c>
      <c r="DV177">
        <f t="shared" si="235"/>
        <v>0</v>
      </c>
      <c r="DW177">
        <f t="shared" si="235"/>
        <v>0</v>
      </c>
      <c r="DX177">
        <f t="shared" si="235"/>
        <v>0</v>
      </c>
      <c r="DY177">
        <f t="shared" si="235"/>
        <v>0</v>
      </c>
      <c r="DZ177">
        <f t="shared" si="236"/>
        <v>0</v>
      </c>
      <c r="EA177">
        <f t="shared" si="236"/>
        <v>0</v>
      </c>
      <c r="EB177">
        <f t="shared" si="236"/>
        <v>0</v>
      </c>
      <c r="EC177">
        <f t="shared" si="236"/>
        <v>0</v>
      </c>
      <c r="ED177">
        <f t="shared" si="236"/>
        <v>0</v>
      </c>
      <c r="EE177">
        <f t="shared" si="236"/>
        <v>0</v>
      </c>
      <c r="EF177">
        <f t="shared" si="236"/>
        <v>0</v>
      </c>
      <c r="EG177">
        <f t="shared" si="236"/>
        <v>0</v>
      </c>
      <c r="EH177">
        <f t="shared" si="236"/>
        <v>0</v>
      </c>
      <c r="EI177">
        <f t="shared" si="236"/>
        <v>0</v>
      </c>
      <c r="EJ177">
        <f>SUM(Tabla1[[#This Row],[1]:[130]])</f>
        <v>9</v>
      </c>
    </row>
    <row r="178" spans="1:140" x14ac:dyDescent="0.25">
      <c r="A178" t="str">
        <f>B178&amp;"-"&amp;COUNTIF($B$2:B178,B178)</f>
        <v>I. PULPA LIMON-3</v>
      </c>
      <c r="B178" s="35" t="s">
        <v>106</v>
      </c>
      <c r="C178">
        <f>VLOOKUP(B178,RECETAS!D177:$E$1700,2,FALSE)</f>
        <v>60</v>
      </c>
      <c r="D178" s="34"/>
      <c r="G178" t="b">
        <f t="shared" si="171"/>
        <v>1</v>
      </c>
      <c r="I178" s="36" t="s">
        <v>120</v>
      </c>
      <c r="J178">
        <f t="shared" si="224"/>
        <v>20</v>
      </c>
      <c r="K178">
        <f t="shared" si="224"/>
        <v>4</v>
      </c>
      <c r="L178">
        <f t="shared" si="224"/>
        <v>0</v>
      </c>
      <c r="M178">
        <f t="shared" si="224"/>
        <v>0</v>
      </c>
      <c r="N178">
        <f t="shared" si="224"/>
        <v>0</v>
      </c>
      <c r="O178">
        <f t="shared" si="224"/>
        <v>0</v>
      </c>
      <c r="P178">
        <f t="shared" si="224"/>
        <v>0</v>
      </c>
      <c r="Q178">
        <f t="shared" si="224"/>
        <v>0</v>
      </c>
      <c r="R178">
        <f t="shared" si="224"/>
        <v>0</v>
      </c>
      <c r="S178">
        <f t="shared" si="224"/>
        <v>0</v>
      </c>
      <c r="T178">
        <f t="shared" si="225"/>
        <v>0</v>
      </c>
      <c r="U178">
        <f t="shared" si="225"/>
        <v>0</v>
      </c>
      <c r="V178">
        <f t="shared" si="225"/>
        <v>0</v>
      </c>
      <c r="W178">
        <f t="shared" si="225"/>
        <v>0</v>
      </c>
      <c r="X178">
        <f t="shared" si="225"/>
        <v>0</v>
      </c>
      <c r="Y178">
        <f t="shared" si="225"/>
        <v>0</v>
      </c>
      <c r="Z178">
        <f t="shared" si="225"/>
        <v>0</v>
      </c>
      <c r="AA178">
        <f t="shared" si="225"/>
        <v>0</v>
      </c>
      <c r="AB178">
        <f t="shared" si="225"/>
        <v>0</v>
      </c>
      <c r="AC178">
        <f t="shared" si="225"/>
        <v>0</v>
      </c>
      <c r="AD178">
        <f t="shared" si="226"/>
        <v>0</v>
      </c>
      <c r="AE178">
        <f t="shared" si="226"/>
        <v>0</v>
      </c>
      <c r="AF178">
        <f t="shared" si="226"/>
        <v>0</v>
      </c>
      <c r="AG178">
        <f t="shared" si="226"/>
        <v>0</v>
      </c>
      <c r="AH178">
        <f t="shared" si="226"/>
        <v>0</v>
      </c>
      <c r="AI178">
        <f t="shared" si="226"/>
        <v>0</v>
      </c>
      <c r="AJ178">
        <f t="shared" si="226"/>
        <v>0</v>
      </c>
      <c r="AK178">
        <f t="shared" si="226"/>
        <v>0</v>
      </c>
      <c r="AL178">
        <f t="shared" si="226"/>
        <v>0</v>
      </c>
      <c r="AM178">
        <f t="shared" si="226"/>
        <v>0</v>
      </c>
      <c r="AN178">
        <f t="shared" si="227"/>
        <v>0</v>
      </c>
      <c r="AO178">
        <f t="shared" si="227"/>
        <v>0</v>
      </c>
      <c r="AP178">
        <f t="shared" si="227"/>
        <v>0</v>
      </c>
      <c r="AQ178">
        <f t="shared" si="227"/>
        <v>0</v>
      </c>
      <c r="AR178">
        <f t="shared" si="227"/>
        <v>0</v>
      </c>
      <c r="AS178">
        <f t="shared" si="227"/>
        <v>0</v>
      </c>
      <c r="AT178">
        <f t="shared" si="227"/>
        <v>0</v>
      </c>
      <c r="AU178">
        <f t="shared" si="227"/>
        <v>0</v>
      </c>
      <c r="AV178">
        <f t="shared" si="227"/>
        <v>0</v>
      </c>
      <c r="AW178">
        <f t="shared" si="227"/>
        <v>0</v>
      </c>
      <c r="AX178">
        <f t="shared" si="228"/>
        <v>0</v>
      </c>
      <c r="AY178">
        <f t="shared" si="228"/>
        <v>0</v>
      </c>
      <c r="AZ178">
        <f t="shared" si="228"/>
        <v>0</v>
      </c>
      <c r="BA178">
        <f t="shared" si="228"/>
        <v>0</v>
      </c>
      <c r="BB178">
        <f t="shared" si="228"/>
        <v>0</v>
      </c>
      <c r="BC178">
        <f t="shared" si="228"/>
        <v>0</v>
      </c>
      <c r="BD178">
        <f t="shared" si="228"/>
        <v>0</v>
      </c>
      <c r="BE178">
        <f t="shared" si="228"/>
        <v>0</v>
      </c>
      <c r="BF178">
        <f t="shared" si="228"/>
        <v>0</v>
      </c>
      <c r="BG178">
        <f t="shared" si="228"/>
        <v>0</v>
      </c>
      <c r="BH178">
        <f t="shared" si="229"/>
        <v>0</v>
      </c>
      <c r="BI178">
        <f t="shared" si="229"/>
        <v>0</v>
      </c>
      <c r="BJ178">
        <f t="shared" si="229"/>
        <v>0</v>
      </c>
      <c r="BK178">
        <f t="shared" si="229"/>
        <v>0</v>
      </c>
      <c r="BL178">
        <f t="shared" si="229"/>
        <v>0</v>
      </c>
      <c r="BM178">
        <f t="shared" si="229"/>
        <v>0</v>
      </c>
      <c r="BN178">
        <f t="shared" si="229"/>
        <v>0</v>
      </c>
      <c r="BO178">
        <f t="shared" si="229"/>
        <v>0</v>
      </c>
      <c r="BP178">
        <f t="shared" si="229"/>
        <v>0</v>
      </c>
      <c r="BQ178">
        <f t="shared" si="229"/>
        <v>0</v>
      </c>
      <c r="BR178">
        <f t="shared" si="230"/>
        <v>0</v>
      </c>
      <c r="BS178">
        <f t="shared" si="230"/>
        <v>0</v>
      </c>
      <c r="BT178">
        <f t="shared" si="230"/>
        <v>0</v>
      </c>
      <c r="BU178">
        <f t="shared" si="230"/>
        <v>0</v>
      </c>
      <c r="BV178">
        <f t="shared" si="230"/>
        <v>0</v>
      </c>
      <c r="BW178">
        <f t="shared" si="230"/>
        <v>0</v>
      </c>
      <c r="BX178">
        <f t="shared" si="230"/>
        <v>0</v>
      </c>
      <c r="BY178">
        <f t="shared" si="230"/>
        <v>0</v>
      </c>
      <c r="BZ178">
        <f t="shared" si="230"/>
        <v>0</v>
      </c>
      <c r="CA178">
        <f t="shared" si="230"/>
        <v>0</v>
      </c>
      <c r="CB178">
        <f t="shared" si="231"/>
        <v>0</v>
      </c>
      <c r="CC178">
        <f t="shared" si="231"/>
        <v>0</v>
      </c>
      <c r="CD178">
        <f t="shared" si="231"/>
        <v>0</v>
      </c>
      <c r="CE178">
        <f t="shared" si="231"/>
        <v>0</v>
      </c>
      <c r="CF178">
        <f t="shared" si="231"/>
        <v>0</v>
      </c>
      <c r="CG178">
        <f t="shared" si="231"/>
        <v>0</v>
      </c>
      <c r="CH178">
        <f t="shared" si="231"/>
        <v>0</v>
      </c>
      <c r="CI178">
        <f t="shared" si="231"/>
        <v>0</v>
      </c>
      <c r="CJ178">
        <f t="shared" si="231"/>
        <v>0</v>
      </c>
      <c r="CK178">
        <f t="shared" si="231"/>
        <v>0</v>
      </c>
      <c r="CL178">
        <f t="shared" si="232"/>
        <v>0</v>
      </c>
      <c r="CM178">
        <f t="shared" si="232"/>
        <v>0</v>
      </c>
      <c r="CN178">
        <f t="shared" si="232"/>
        <v>0</v>
      </c>
      <c r="CO178">
        <f t="shared" si="232"/>
        <v>0</v>
      </c>
      <c r="CP178">
        <f t="shared" si="232"/>
        <v>0</v>
      </c>
      <c r="CQ178">
        <f t="shared" si="232"/>
        <v>0</v>
      </c>
      <c r="CR178">
        <f t="shared" si="232"/>
        <v>0</v>
      </c>
      <c r="CS178">
        <f t="shared" si="232"/>
        <v>0</v>
      </c>
      <c r="CT178">
        <f t="shared" si="232"/>
        <v>0</v>
      </c>
      <c r="CU178">
        <f t="shared" si="232"/>
        <v>0</v>
      </c>
      <c r="CV178">
        <f t="shared" si="233"/>
        <v>0</v>
      </c>
      <c r="CW178">
        <f t="shared" si="233"/>
        <v>0</v>
      </c>
      <c r="CX178">
        <f t="shared" si="233"/>
        <v>0</v>
      </c>
      <c r="CY178">
        <f t="shared" si="233"/>
        <v>0</v>
      </c>
      <c r="CZ178">
        <f t="shared" si="233"/>
        <v>0</v>
      </c>
      <c r="DA178">
        <f t="shared" si="233"/>
        <v>0</v>
      </c>
      <c r="DB178">
        <f t="shared" si="233"/>
        <v>0</v>
      </c>
      <c r="DC178">
        <f t="shared" si="233"/>
        <v>0</v>
      </c>
      <c r="DD178">
        <f t="shared" si="233"/>
        <v>0</v>
      </c>
      <c r="DE178">
        <f t="shared" si="233"/>
        <v>0</v>
      </c>
      <c r="DF178">
        <f t="shared" si="234"/>
        <v>0</v>
      </c>
      <c r="DG178">
        <f t="shared" si="234"/>
        <v>0</v>
      </c>
      <c r="DH178">
        <f t="shared" si="234"/>
        <v>0</v>
      </c>
      <c r="DI178">
        <f t="shared" si="234"/>
        <v>0</v>
      </c>
      <c r="DJ178">
        <f t="shared" si="234"/>
        <v>0</v>
      </c>
      <c r="DK178">
        <f t="shared" si="234"/>
        <v>0</v>
      </c>
      <c r="DL178">
        <f t="shared" si="234"/>
        <v>0</v>
      </c>
      <c r="DM178">
        <f t="shared" si="234"/>
        <v>0</v>
      </c>
      <c r="DN178">
        <f t="shared" si="234"/>
        <v>0</v>
      </c>
      <c r="DO178">
        <f t="shared" si="234"/>
        <v>0</v>
      </c>
      <c r="DP178">
        <f t="shared" si="235"/>
        <v>0</v>
      </c>
      <c r="DQ178">
        <f t="shared" si="235"/>
        <v>0</v>
      </c>
      <c r="DR178">
        <f t="shared" si="235"/>
        <v>0</v>
      </c>
      <c r="DS178">
        <f t="shared" si="235"/>
        <v>0</v>
      </c>
      <c r="DT178">
        <f t="shared" si="235"/>
        <v>0</v>
      </c>
      <c r="DU178">
        <f t="shared" si="235"/>
        <v>0</v>
      </c>
      <c r="DV178">
        <f t="shared" si="235"/>
        <v>0</v>
      </c>
      <c r="DW178">
        <f t="shared" si="235"/>
        <v>0</v>
      </c>
      <c r="DX178">
        <f t="shared" si="235"/>
        <v>0</v>
      </c>
      <c r="DY178">
        <f t="shared" si="235"/>
        <v>0</v>
      </c>
      <c r="DZ178">
        <f t="shared" si="236"/>
        <v>0</v>
      </c>
      <c r="EA178">
        <f t="shared" si="236"/>
        <v>0</v>
      </c>
      <c r="EB178">
        <f t="shared" si="236"/>
        <v>0</v>
      </c>
      <c r="EC178">
        <f t="shared" si="236"/>
        <v>0</v>
      </c>
      <c r="ED178">
        <f t="shared" si="236"/>
        <v>0</v>
      </c>
      <c r="EE178">
        <f t="shared" si="236"/>
        <v>0</v>
      </c>
      <c r="EF178">
        <f t="shared" si="236"/>
        <v>0</v>
      </c>
      <c r="EG178">
        <f t="shared" si="236"/>
        <v>0</v>
      </c>
      <c r="EH178">
        <f t="shared" si="236"/>
        <v>0</v>
      </c>
      <c r="EI178">
        <f t="shared" si="236"/>
        <v>0</v>
      </c>
      <c r="EJ178">
        <f>SUM(Tabla1[[#This Row],[1]:[130]])</f>
        <v>24</v>
      </c>
    </row>
    <row r="179" spans="1:140" x14ac:dyDescent="0.25">
      <c r="A179" t="str">
        <f>B179&amp;"-"&amp;COUNTIF($B$2:B179,B179)</f>
        <v>I. AZUCAR FLOR-8</v>
      </c>
      <c r="B179" s="35" t="s">
        <v>51</v>
      </c>
      <c r="C179">
        <f>VLOOKUP(B179,RECETAS!D178:$E$1700,2,FALSE)</f>
        <v>60</v>
      </c>
      <c r="D179" s="34"/>
      <c r="G179" t="b">
        <f t="shared" si="171"/>
        <v>1</v>
      </c>
      <c r="I179" s="138" t="s">
        <v>121</v>
      </c>
      <c r="J179">
        <f t="shared" si="224"/>
        <v>4</v>
      </c>
      <c r="K179">
        <f t="shared" si="224"/>
        <v>0</v>
      </c>
      <c r="L179">
        <f t="shared" si="224"/>
        <v>0</v>
      </c>
      <c r="M179">
        <f t="shared" si="224"/>
        <v>0</v>
      </c>
      <c r="N179">
        <f t="shared" si="224"/>
        <v>0</v>
      </c>
      <c r="O179">
        <f t="shared" si="224"/>
        <v>0</v>
      </c>
      <c r="P179">
        <f t="shared" si="224"/>
        <v>0</v>
      </c>
      <c r="Q179">
        <f t="shared" si="224"/>
        <v>0</v>
      </c>
      <c r="R179">
        <f t="shared" si="224"/>
        <v>0</v>
      </c>
      <c r="S179">
        <f t="shared" si="224"/>
        <v>0</v>
      </c>
      <c r="T179">
        <f t="shared" si="225"/>
        <v>0</v>
      </c>
      <c r="U179">
        <f t="shared" si="225"/>
        <v>0</v>
      </c>
      <c r="V179">
        <f t="shared" si="225"/>
        <v>0</v>
      </c>
      <c r="W179">
        <f t="shared" si="225"/>
        <v>0</v>
      </c>
      <c r="X179">
        <f t="shared" si="225"/>
        <v>0</v>
      </c>
      <c r="Y179">
        <f t="shared" si="225"/>
        <v>0</v>
      </c>
      <c r="Z179">
        <f t="shared" si="225"/>
        <v>0</v>
      </c>
      <c r="AA179">
        <f t="shared" si="225"/>
        <v>0</v>
      </c>
      <c r="AB179">
        <f t="shared" si="225"/>
        <v>0</v>
      </c>
      <c r="AC179">
        <f t="shared" si="225"/>
        <v>0</v>
      </c>
      <c r="AD179">
        <f t="shared" si="226"/>
        <v>0</v>
      </c>
      <c r="AE179">
        <f t="shared" si="226"/>
        <v>0</v>
      </c>
      <c r="AF179">
        <f t="shared" si="226"/>
        <v>0</v>
      </c>
      <c r="AG179">
        <f t="shared" si="226"/>
        <v>0</v>
      </c>
      <c r="AH179">
        <f t="shared" si="226"/>
        <v>0</v>
      </c>
      <c r="AI179">
        <f t="shared" si="226"/>
        <v>0</v>
      </c>
      <c r="AJ179">
        <f t="shared" si="226"/>
        <v>0</v>
      </c>
      <c r="AK179">
        <f t="shared" si="226"/>
        <v>0</v>
      </c>
      <c r="AL179">
        <f t="shared" si="226"/>
        <v>0</v>
      </c>
      <c r="AM179">
        <f t="shared" si="226"/>
        <v>0</v>
      </c>
      <c r="AN179">
        <f t="shared" si="227"/>
        <v>0</v>
      </c>
      <c r="AO179">
        <f t="shared" si="227"/>
        <v>0</v>
      </c>
      <c r="AP179">
        <f t="shared" si="227"/>
        <v>0</v>
      </c>
      <c r="AQ179">
        <f t="shared" si="227"/>
        <v>0</v>
      </c>
      <c r="AR179">
        <f t="shared" si="227"/>
        <v>0</v>
      </c>
      <c r="AS179">
        <f t="shared" si="227"/>
        <v>0</v>
      </c>
      <c r="AT179">
        <f t="shared" si="227"/>
        <v>0</v>
      </c>
      <c r="AU179">
        <f t="shared" si="227"/>
        <v>0</v>
      </c>
      <c r="AV179">
        <f t="shared" si="227"/>
        <v>0</v>
      </c>
      <c r="AW179">
        <f t="shared" si="227"/>
        <v>0</v>
      </c>
      <c r="AX179">
        <f t="shared" si="228"/>
        <v>0</v>
      </c>
      <c r="AY179">
        <f t="shared" si="228"/>
        <v>0</v>
      </c>
      <c r="AZ179">
        <f t="shared" si="228"/>
        <v>0</v>
      </c>
      <c r="BA179">
        <f t="shared" si="228"/>
        <v>0</v>
      </c>
      <c r="BB179">
        <f t="shared" si="228"/>
        <v>0</v>
      </c>
      <c r="BC179">
        <f t="shared" si="228"/>
        <v>0</v>
      </c>
      <c r="BD179">
        <f t="shared" si="228"/>
        <v>0</v>
      </c>
      <c r="BE179">
        <f t="shared" si="228"/>
        <v>0</v>
      </c>
      <c r="BF179">
        <f t="shared" si="228"/>
        <v>0</v>
      </c>
      <c r="BG179">
        <f t="shared" si="228"/>
        <v>0</v>
      </c>
      <c r="BH179">
        <f t="shared" si="229"/>
        <v>0</v>
      </c>
      <c r="BI179">
        <f t="shared" si="229"/>
        <v>0</v>
      </c>
      <c r="BJ179">
        <f t="shared" si="229"/>
        <v>0</v>
      </c>
      <c r="BK179">
        <f t="shared" si="229"/>
        <v>0</v>
      </c>
      <c r="BL179">
        <f t="shared" si="229"/>
        <v>0</v>
      </c>
      <c r="BM179">
        <f t="shared" si="229"/>
        <v>0</v>
      </c>
      <c r="BN179">
        <f t="shared" si="229"/>
        <v>0</v>
      </c>
      <c r="BO179">
        <f t="shared" si="229"/>
        <v>0</v>
      </c>
      <c r="BP179">
        <f t="shared" si="229"/>
        <v>0</v>
      </c>
      <c r="BQ179">
        <f t="shared" si="229"/>
        <v>0</v>
      </c>
      <c r="BR179">
        <f t="shared" si="230"/>
        <v>0</v>
      </c>
      <c r="BS179">
        <f t="shared" si="230"/>
        <v>0</v>
      </c>
      <c r="BT179">
        <f t="shared" si="230"/>
        <v>0</v>
      </c>
      <c r="BU179">
        <f t="shared" si="230"/>
        <v>0</v>
      </c>
      <c r="BV179">
        <f t="shared" si="230"/>
        <v>0</v>
      </c>
      <c r="BW179">
        <f t="shared" si="230"/>
        <v>0</v>
      </c>
      <c r="BX179">
        <f t="shared" si="230"/>
        <v>0</v>
      </c>
      <c r="BY179">
        <f t="shared" si="230"/>
        <v>0</v>
      </c>
      <c r="BZ179">
        <f t="shared" si="230"/>
        <v>0</v>
      </c>
      <c r="CA179">
        <f t="shared" si="230"/>
        <v>0</v>
      </c>
      <c r="CB179">
        <f t="shared" si="231"/>
        <v>0</v>
      </c>
      <c r="CC179">
        <f t="shared" si="231"/>
        <v>0</v>
      </c>
      <c r="CD179">
        <f t="shared" si="231"/>
        <v>0</v>
      </c>
      <c r="CE179">
        <f t="shared" si="231"/>
        <v>0</v>
      </c>
      <c r="CF179">
        <f t="shared" si="231"/>
        <v>0</v>
      </c>
      <c r="CG179">
        <f t="shared" si="231"/>
        <v>0</v>
      </c>
      <c r="CH179">
        <f t="shared" si="231"/>
        <v>0</v>
      </c>
      <c r="CI179">
        <f t="shared" si="231"/>
        <v>0</v>
      </c>
      <c r="CJ179">
        <f t="shared" si="231"/>
        <v>0</v>
      </c>
      <c r="CK179">
        <f t="shared" si="231"/>
        <v>0</v>
      </c>
      <c r="CL179">
        <f t="shared" si="232"/>
        <v>0</v>
      </c>
      <c r="CM179">
        <f t="shared" si="232"/>
        <v>0</v>
      </c>
      <c r="CN179">
        <f t="shared" si="232"/>
        <v>0</v>
      </c>
      <c r="CO179">
        <f t="shared" si="232"/>
        <v>0</v>
      </c>
      <c r="CP179">
        <f t="shared" si="232"/>
        <v>0</v>
      </c>
      <c r="CQ179">
        <f t="shared" si="232"/>
        <v>0</v>
      </c>
      <c r="CR179">
        <f t="shared" si="232"/>
        <v>0</v>
      </c>
      <c r="CS179">
        <f t="shared" si="232"/>
        <v>0</v>
      </c>
      <c r="CT179">
        <f t="shared" si="232"/>
        <v>0</v>
      </c>
      <c r="CU179">
        <f t="shared" si="232"/>
        <v>0</v>
      </c>
      <c r="CV179">
        <f t="shared" si="233"/>
        <v>0</v>
      </c>
      <c r="CW179">
        <f t="shared" si="233"/>
        <v>0</v>
      </c>
      <c r="CX179">
        <f t="shared" si="233"/>
        <v>0</v>
      </c>
      <c r="CY179">
        <f t="shared" si="233"/>
        <v>0</v>
      </c>
      <c r="CZ179">
        <f t="shared" si="233"/>
        <v>0</v>
      </c>
      <c r="DA179">
        <f t="shared" si="233"/>
        <v>0</v>
      </c>
      <c r="DB179">
        <f t="shared" si="233"/>
        <v>0</v>
      </c>
      <c r="DC179">
        <f t="shared" si="233"/>
        <v>0</v>
      </c>
      <c r="DD179">
        <f t="shared" si="233"/>
        <v>0</v>
      </c>
      <c r="DE179">
        <f t="shared" si="233"/>
        <v>0</v>
      </c>
      <c r="DF179">
        <f t="shared" si="234"/>
        <v>0</v>
      </c>
      <c r="DG179">
        <f t="shared" si="234"/>
        <v>0</v>
      </c>
      <c r="DH179">
        <f t="shared" si="234"/>
        <v>0</v>
      </c>
      <c r="DI179">
        <f t="shared" si="234"/>
        <v>0</v>
      </c>
      <c r="DJ179">
        <f t="shared" si="234"/>
        <v>0</v>
      </c>
      <c r="DK179">
        <f t="shared" si="234"/>
        <v>0</v>
      </c>
      <c r="DL179">
        <f t="shared" si="234"/>
        <v>0</v>
      </c>
      <c r="DM179">
        <f t="shared" si="234"/>
        <v>0</v>
      </c>
      <c r="DN179">
        <f t="shared" si="234"/>
        <v>0</v>
      </c>
      <c r="DO179">
        <f t="shared" si="234"/>
        <v>0</v>
      </c>
      <c r="DP179">
        <f t="shared" si="235"/>
        <v>0</v>
      </c>
      <c r="DQ179">
        <f t="shared" si="235"/>
        <v>0</v>
      </c>
      <c r="DR179">
        <f t="shared" si="235"/>
        <v>0</v>
      </c>
      <c r="DS179">
        <f t="shared" si="235"/>
        <v>0</v>
      </c>
      <c r="DT179">
        <f t="shared" si="235"/>
        <v>0</v>
      </c>
      <c r="DU179">
        <f t="shared" si="235"/>
        <v>0</v>
      </c>
      <c r="DV179">
        <f t="shared" si="235"/>
        <v>0</v>
      </c>
      <c r="DW179">
        <f t="shared" si="235"/>
        <v>0</v>
      </c>
      <c r="DX179">
        <f t="shared" si="235"/>
        <v>0</v>
      </c>
      <c r="DY179">
        <f t="shared" si="235"/>
        <v>0</v>
      </c>
      <c r="DZ179">
        <f t="shared" si="236"/>
        <v>0</v>
      </c>
      <c r="EA179">
        <f t="shared" si="236"/>
        <v>0</v>
      </c>
      <c r="EB179">
        <f t="shared" si="236"/>
        <v>0</v>
      </c>
      <c r="EC179">
        <f t="shared" si="236"/>
        <v>0</v>
      </c>
      <c r="ED179">
        <f t="shared" si="236"/>
        <v>0</v>
      </c>
      <c r="EE179">
        <f t="shared" si="236"/>
        <v>0</v>
      </c>
      <c r="EF179">
        <f t="shared" si="236"/>
        <v>0</v>
      </c>
      <c r="EG179">
        <f t="shared" si="236"/>
        <v>0</v>
      </c>
      <c r="EH179">
        <f t="shared" si="236"/>
        <v>0</v>
      </c>
      <c r="EI179">
        <f t="shared" si="236"/>
        <v>0</v>
      </c>
      <c r="EJ179">
        <f>SUM(Tabla1[[#This Row],[1]:[130]])</f>
        <v>4</v>
      </c>
    </row>
    <row r="180" spans="1:140" ht="15.75" thickBot="1" x14ac:dyDescent="0.3">
      <c r="A180" t="str">
        <f>B180&amp;"-"&amp;COUNTIF($B$2:B180,B180)</f>
        <v>I. TRIPLE SEC-1</v>
      </c>
      <c r="B180" s="33" t="s">
        <v>128</v>
      </c>
      <c r="C180">
        <f>VLOOKUP(B180,RECETAS!D179:$E$1700,2,FALSE)</f>
        <v>30</v>
      </c>
      <c r="D180" s="32"/>
      <c r="G180" t="b">
        <f t="shared" si="171"/>
        <v>1</v>
      </c>
      <c r="I180" s="40" t="s">
        <v>577</v>
      </c>
      <c r="J180">
        <f t="shared" si="224"/>
        <v>0</v>
      </c>
      <c r="K180">
        <f t="shared" si="224"/>
        <v>0</v>
      </c>
      <c r="L180">
        <f t="shared" si="224"/>
        <v>0</v>
      </c>
      <c r="M180">
        <f t="shared" si="224"/>
        <v>0</v>
      </c>
      <c r="N180">
        <f t="shared" si="224"/>
        <v>0</v>
      </c>
      <c r="O180">
        <f t="shared" si="224"/>
        <v>0</v>
      </c>
      <c r="P180">
        <f t="shared" si="224"/>
        <v>0</v>
      </c>
      <c r="Q180">
        <f t="shared" si="224"/>
        <v>0</v>
      </c>
      <c r="R180">
        <f t="shared" si="224"/>
        <v>0</v>
      </c>
      <c r="S180">
        <f t="shared" si="224"/>
        <v>0</v>
      </c>
      <c r="T180">
        <f t="shared" si="225"/>
        <v>0</v>
      </c>
      <c r="U180">
        <f t="shared" si="225"/>
        <v>0</v>
      </c>
      <c r="V180">
        <f t="shared" si="225"/>
        <v>0</v>
      </c>
      <c r="W180">
        <f t="shared" si="225"/>
        <v>0</v>
      </c>
      <c r="X180">
        <f t="shared" si="225"/>
        <v>0</v>
      </c>
      <c r="Y180">
        <f t="shared" si="225"/>
        <v>0</v>
      </c>
      <c r="Z180">
        <f t="shared" si="225"/>
        <v>0</v>
      </c>
      <c r="AA180">
        <f t="shared" si="225"/>
        <v>0</v>
      </c>
      <c r="AB180">
        <f t="shared" si="225"/>
        <v>0</v>
      </c>
      <c r="AC180">
        <f t="shared" si="225"/>
        <v>0</v>
      </c>
      <c r="AD180">
        <f t="shared" si="226"/>
        <v>0</v>
      </c>
      <c r="AE180">
        <f t="shared" si="226"/>
        <v>0</v>
      </c>
      <c r="AF180">
        <f t="shared" si="226"/>
        <v>0</v>
      </c>
      <c r="AG180">
        <f t="shared" si="226"/>
        <v>0</v>
      </c>
      <c r="AH180">
        <f t="shared" si="226"/>
        <v>0</v>
      </c>
      <c r="AI180">
        <f t="shared" si="226"/>
        <v>0</v>
      </c>
      <c r="AJ180">
        <f t="shared" si="226"/>
        <v>0</v>
      </c>
      <c r="AK180">
        <f t="shared" si="226"/>
        <v>0</v>
      </c>
      <c r="AL180">
        <f t="shared" si="226"/>
        <v>0</v>
      </c>
      <c r="AM180">
        <f t="shared" si="226"/>
        <v>0</v>
      </c>
      <c r="AN180">
        <f t="shared" si="227"/>
        <v>0</v>
      </c>
      <c r="AO180">
        <f t="shared" si="227"/>
        <v>0</v>
      </c>
      <c r="AP180">
        <f t="shared" si="227"/>
        <v>0</v>
      </c>
      <c r="AQ180">
        <f t="shared" si="227"/>
        <v>0</v>
      </c>
      <c r="AR180">
        <f t="shared" si="227"/>
        <v>0</v>
      </c>
      <c r="AS180">
        <f t="shared" si="227"/>
        <v>0</v>
      </c>
      <c r="AT180">
        <f t="shared" si="227"/>
        <v>0</v>
      </c>
      <c r="AU180">
        <f t="shared" si="227"/>
        <v>0</v>
      </c>
      <c r="AV180">
        <f t="shared" si="227"/>
        <v>0</v>
      </c>
      <c r="AW180">
        <f t="shared" si="227"/>
        <v>0</v>
      </c>
      <c r="AX180">
        <f t="shared" si="228"/>
        <v>0</v>
      </c>
      <c r="AY180">
        <f t="shared" si="228"/>
        <v>0</v>
      </c>
      <c r="AZ180">
        <f t="shared" si="228"/>
        <v>0</v>
      </c>
      <c r="BA180">
        <f t="shared" si="228"/>
        <v>0</v>
      </c>
      <c r="BB180">
        <f t="shared" si="228"/>
        <v>0</v>
      </c>
      <c r="BC180">
        <f t="shared" si="228"/>
        <v>0</v>
      </c>
      <c r="BD180">
        <f t="shared" si="228"/>
        <v>0</v>
      </c>
      <c r="BE180">
        <f t="shared" si="228"/>
        <v>0</v>
      </c>
      <c r="BF180">
        <f t="shared" si="228"/>
        <v>0</v>
      </c>
      <c r="BG180">
        <f t="shared" si="228"/>
        <v>0</v>
      </c>
      <c r="BH180">
        <f t="shared" si="229"/>
        <v>0</v>
      </c>
      <c r="BI180">
        <f t="shared" si="229"/>
        <v>0</v>
      </c>
      <c r="BJ180">
        <f t="shared" si="229"/>
        <v>0</v>
      </c>
      <c r="BK180">
        <f t="shared" si="229"/>
        <v>0</v>
      </c>
      <c r="BL180">
        <f t="shared" si="229"/>
        <v>0</v>
      </c>
      <c r="BM180">
        <f t="shared" si="229"/>
        <v>0</v>
      </c>
      <c r="BN180">
        <f t="shared" si="229"/>
        <v>0</v>
      </c>
      <c r="BO180">
        <f t="shared" si="229"/>
        <v>0</v>
      </c>
      <c r="BP180">
        <f t="shared" si="229"/>
        <v>0</v>
      </c>
      <c r="BQ180">
        <f t="shared" si="229"/>
        <v>0</v>
      </c>
      <c r="BR180">
        <f t="shared" si="230"/>
        <v>0</v>
      </c>
      <c r="BS180">
        <f t="shared" si="230"/>
        <v>0</v>
      </c>
      <c r="BT180">
        <f t="shared" si="230"/>
        <v>0</v>
      </c>
      <c r="BU180">
        <f t="shared" si="230"/>
        <v>0</v>
      </c>
      <c r="BV180">
        <f t="shared" si="230"/>
        <v>0</v>
      </c>
      <c r="BW180">
        <f t="shared" si="230"/>
        <v>0</v>
      </c>
      <c r="BX180">
        <f t="shared" si="230"/>
        <v>0</v>
      </c>
      <c r="BY180">
        <f t="shared" si="230"/>
        <v>0</v>
      </c>
      <c r="BZ180">
        <f t="shared" si="230"/>
        <v>0</v>
      </c>
      <c r="CA180">
        <f t="shared" si="230"/>
        <v>0</v>
      </c>
      <c r="CB180">
        <f t="shared" si="231"/>
        <v>0</v>
      </c>
      <c r="CC180">
        <f t="shared" si="231"/>
        <v>0</v>
      </c>
      <c r="CD180">
        <f t="shared" si="231"/>
        <v>0</v>
      </c>
      <c r="CE180">
        <f t="shared" si="231"/>
        <v>0</v>
      </c>
      <c r="CF180">
        <f t="shared" si="231"/>
        <v>0</v>
      </c>
      <c r="CG180">
        <f t="shared" si="231"/>
        <v>0</v>
      </c>
      <c r="CH180">
        <f t="shared" si="231"/>
        <v>0</v>
      </c>
      <c r="CI180">
        <f t="shared" si="231"/>
        <v>0</v>
      </c>
      <c r="CJ180">
        <f t="shared" si="231"/>
        <v>0</v>
      </c>
      <c r="CK180">
        <f t="shared" si="231"/>
        <v>0</v>
      </c>
      <c r="CL180">
        <f t="shared" si="232"/>
        <v>0</v>
      </c>
      <c r="CM180">
        <f t="shared" si="232"/>
        <v>0</v>
      </c>
      <c r="CN180">
        <f t="shared" si="232"/>
        <v>0</v>
      </c>
      <c r="CO180">
        <f t="shared" si="232"/>
        <v>0</v>
      </c>
      <c r="CP180">
        <f t="shared" si="232"/>
        <v>0</v>
      </c>
      <c r="CQ180">
        <f t="shared" si="232"/>
        <v>0</v>
      </c>
      <c r="CR180">
        <f t="shared" si="232"/>
        <v>0</v>
      </c>
      <c r="CS180">
        <f t="shared" si="232"/>
        <v>0</v>
      </c>
      <c r="CT180">
        <f t="shared" si="232"/>
        <v>0</v>
      </c>
      <c r="CU180">
        <f t="shared" si="232"/>
        <v>0</v>
      </c>
      <c r="CV180">
        <f t="shared" si="233"/>
        <v>0</v>
      </c>
      <c r="CW180">
        <f t="shared" si="233"/>
        <v>0</v>
      </c>
      <c r="CX180">
        <f t="shared" si="233"/>
        <v>0</v>
      </c>
      <c r="CY180">
        <f t="shared" si="233"/>
        <v>0</v>
      </c>
      <c r="CZ180">
        <f t="shared" si="233"/>
        <v>0</v>
      </c>
      <c r="DA180">
        <f t="shared" si="233"/>
        <v>0</v>
      </c>
      <c r="DB180">
        <f t="shared" si="233"/>
        <v>0</v>
      </c>
      <c r="DC180">
        <f t="shared" si="233"/>
        <v>0</v>
      </c>
      <c r="DD180">
        <f t="shared" si="233"/>
        <v>0</v>
      </c>
      <c r="DE180">
        <f t="shared" si="233"/>
        <v>0</v>
      </c>
      <c r="DF180">
        <f t="shared" si="234"/>
        <v>0</v>
      </c>
      <c r="DG180">
        <f t="shared" si="234"/>
        <v>0</v>
      </c>
      <c r="DH180">
        <f t="shared" si="234"/>
        <v>0</v>
      </c>
      <c r="DI180">
        <f t="shared" si="234"/>
        <v>0</v>
      </c>
      <c r="DJ180">
        <f t="shared" si="234"/>
        <v>0</v>
      </c>
      <c r="DK180">
        <f t="shared" si="234"/>
        <v>0</v>
      </c>
      <c r="DL180">
        <f t="shared" si="234"/>
        <v>0</v>
      </c>
      <c r="DM180">
        <f t="shared" si="234"/>
        <v>0</v>
      </c>
      <c r="DN180">
        <f t="shared" si="234"/>
        <v>0</v>
      </c>
      <c r="DO180">
        <f t="shared" si="234"/>
        <v>0</v>
      </c>
      <c r="DP180">
        <f t="shared" si="235"/>
        <v>0</v>
      </c>
      <c r="DQ180">
        <f t="shared" si="235"/>
        <v>0</v>
      </c>
      <c r="DR180">
        <f t="shared" si="235"/>
        <v>0</v>
      </c>
      <c r="DS180">
        <f t="shared" si="235"/>
        <v>0</v>
      </c>
      <c r="DT180">
        <f t="shared" si="235"/>
        <v>0</v>
      </c>
      <c r="DU180">
        <f t="shared" si="235"/>
        <v>0</v>
      </c>
      <c r="DV180">
        <f t="shared" si="235"/>
        <v>0</v>
      </c>
      <c r="DW180">
        <f t="shared" si="235"/>
        <v>0</v>
      </c>
      <c r="DX180">
        <f t="shared" si="235"/>
        <v>0</v>
      </c>
      <c r="DY180">
        <f t="shared" si="235"/>
        <v>0</v>
      </c>
      <c r="DZ180">
        <f t="shared" si="236"/>
        <v>0</v>
      </c>
      <c r="EA180">
        <f t="shared" si="236"/>
        <v>0</v>
      </c>
      <c r="EB180">
        <f t="shared" si="236"/>
        <v>0</v>
      </c>
      <c r="EC180">
        <f t="shared" si="236"/>
        <v>0</v>
      </c>
      <c r="ED180">
        <f t="shared" si="236"/>
        <v>0</v>
      </c>
      <c r="EE180">
        <f t="shared" si="236"/>
        <v>0</v>
      </c>
      <c r="EF180">
        <f t="shared" si="236"/>
        <v>0</v>
      </c>
      <c r="EG180">
        <f t="shared" si="236"/>
        <v>0</v>
      </c>
      <c r="EH180">
        <f t="shared" si="236"/>
        <v>0</v>
      </c>
      <c r="EI180">
        <f t="shared" si="236"/>
        <v>0</v>
      </c>
      <c r="EJ180">
        <f>SUM(Tabla1[[#This Row],[1]:[130]])</f>
        <v>0</v>
      </c>
    </row>
    <row r="181" spans="1:140" x14ac:dyDescent="0.25">
      <c r="A181" t="str">
        <f>B181&amp;"-"&amp;COUNTIF($B$2:B181,B181)</f>
        <v>I. ALTO 35-1</v>
      </c>
      <c r="B181" s="26" t="s">
        <v>47</v>
      </c>
      <c r="C181">
        <f>VLOOKUP(B181,RECETAS!D180:$E$1700,2,FALSE)</f>
        <v>900</v>
      </c>
      <c r="D181" s="112" t="s">
        <v>629</v>
      </c>
      <c r="G181" t="b">
        <f t="shared" si="171"/>
        <v>1</v>
      </c>
      <c r="I181" s="26" t="s">
        <v>122</v>
      </c>
      <c r="J181">
        <f t="shared" si="224"/>
        <v>225</v>
      </c>
      <c r="K181">
        <f t="shared" si="224"/>
        <v>1950</v>
      </c>
      <c r="L181">
        <f t="shared" si="224"/>
        <v>0</v>
      </c>
      <c r="M181">
        <f t="shared" si="224"/>
        <v>0</v>
      </c>
      <c r="N181">
        <f t="shared" si="224"/>
        <v>0</v>
      </c>
      <c r="O181">
        <f t="shared" si="224"/>
        <v>0</v>
      </c>
      <c r="P181">
        <f t="shared" si="224"/>
        <v>0</v>
      </c>
      <c r="Q181">
        <f t="shared" si="224"/>
        <v>0</v>
      </c>
      <c r="R181">
        <f t="shared" si="224"/>
        <v>0</v>
      </c>
      <c r="S181">
        <f t="shared" si="224"/>
        <v>0</v>
      </c>
      <c r="T181">
        <f t="shared" si="225"/>
        <v>0</v>
      </c>
      <c r="U181">
        <f t="shared" si="225"/>
        <v>0</v>
      </c>
      <c r="V181">
        <f t="shared" si="225"/>
        <v>0</v>
      </c>
      <c r="W181">
        <f t="shared" si="225"/>
        <v>0</v>
      </c>
      <c r="X181">
        <f t="shared" si="225"/>
        <v>0</v>
      </c>
      <c r="Y181">
        <f t="shared" si="225"/>
        <v>0</v>
      </c>
      <c r="Z181">
        <f t="shared" si="225"/>
        <v>0</v>
      </c>
      <c r="AA181">
        <f t="shared" si="225"/>
        <v>0</v>
      </c>
      <c r="AB181">
        <f t="shared" si="225"/>
        <v>0</v>
      </c>
      <c r="AC181">
        <f t="shared" si="225"/>
        <v>0</v>
      </c>
      <c r="AD181">
        <f t="shared" si="226"/>
        <v>0</v>
      </c>
      <c r="AE181">
        <f t="shared" si="226"/>
        <v>0</v>
      </c>
      <c r="AF181">
        <f t="shared" si="226"/>
        <v>0</v>
      </c>
      <c r="AG181">
        <f t="shared" si="226"/>
        <v>0</v>
      </c>
      <c r="AH181">
        <f t="shared" si="226"/>
        <v>0</v>
      </c>
      <c r="AI181">
        <f t="shared" si="226"/>
        <v>0</v>
      </c>
      <c r="AJ181">
        <f t="shared" si="226"/>
        <v>0</v>
      </c>
      <c r="AK181">
        <f t="shared" si="226"/>
        <v>0</v>
      </c>
      <c r="AL181">
        <f t="shared" si="226"/>
        <v>0</v>
      </c>
      <c r="AM181">
        <f t="shared" si="226"/>
        <v>0</v>
      </c>
      <c r="AN181">
        <f t="shared" si="227"/>
        <v>0</v>
      </c>
      <c r="AO181">
        <f t="shared" si="227"/>
        <v>0</v>
      </c>
      <c r="AP181">
        <f t="shared" si="227"/>
        <v>0</v>
      </c>
      <c r="AQ181">
        <f t="shared" si="227"/>
        <v>0</v>
      </c>
      <c r="AR181">
        <f t="shared" si="227"/>
        <v>0</v>
      </c>
      <c r="AS181">
        <f t="shared" si="227"/>
        <v>0</v>
      </c>
      <c r="AT181">
        <f t="shared" si="227"/>
        <v>0</v>
      </c>
      <c r="AU181">
        <f t="shared" si="227"/>
        <v>0</v>
      </c>
      <c r="AV181">
        <f t="shared" si="227"/>
        <v>0</v>
      </c>
      <c r="AW181">
        <f t="shared" si="227"/>
        <v>0</v>
      </c>
      <c r="AX181">
        <f t="shared" si="228"/>
        <v>0</v>
      </c>
      <c r="AY181">
        <f t="shared" si="228"/>
        <v>0</v>
      </c>
      <c r="AZ181">
        <f t="shared" si="228"/>
        <v>0</v>
      </c>
      <c r="BA181">
        <f t="shared" si="228"/>
        <v>0</v>
      </c>
      <c r="BB181">
        <f t="shared" si="228"/>
        <v>0</v>
      </c>
      <c r="BC181">
        <f t="shared" si="228"/>
        <v>0</v>
      </c>
      <c r="BD181">
        <f t="shared" si="228"/>
        <v>0</v>
      </c>
      <c r="BE181">
        <f t="shared" si="228"/>
        <v>0</v>
      </c>
      <c r="BF181">
        <f t="shared" si="228"/>
        <v>0</v>
      </c>
      <c r="BG181">
        <f t="shared" si="228"/>
        <v>0</v>
      </c>
      <c r="BH181">
        <f t="shared" si="229"/>
        <v>0</v>
      </c>
      <c r="BI181">
        <f t="shared" si="229"/>
        <v>0</v>
      </c>
      <c r="BJ181">
        <f t="shared" si="229"/>
        <v>0</v>
      </c>
      <c r="BK181">
        <f t="shared" si="229"/>
        <v>0</v>
      </c>
      <c r="BL181">
        <f t="shared" si="229"/>
        <v>0</v>
      </c>
      <c r="BM181">
        <f t="shared" si="229"/>
        <v>0</v>
      </c>
      <c r="BN181">
        <f t="shared" si="229"/>
        <v>0</v>
      </c>
      <c r="BO181">
        <f t="shared" si="229"/>
        <v>0</v>
      </c>
      <c r="BP181">
        <f t="shared" si="229"/>
        <v>0</v>
      </c>
      <c r="BQ181">
        <f t="shared" si="229"/>
        <v>0</v>
      </c>
      <c r="BR181">
        <f t="shared" si="230"/>
        <v>0</v>
      </c>
      <c r="BS181">
        <f t="shared" si="230"/>
        <v>0</v>
      </c>
      <c r="BT181">
        <f t="shared" si="230"/>
        <v>0</v>
      </c>
      <c r="BU181">
        <f t="shared" si="230"/>
        <v>0</v>
      </c>
      <c r="BV181">
        <f t="shared" si="230"/>
        <v>0</v>
      </c>
      <c r="BW181">
        <f t="shared" si="230"/>
        <v>0</v>
      </c>
      <c r="BX181">
        <f t="shared" si="230"/>
        <v>0</v>
      </c>
      <c r="BY181">
        <f t="shared" si="230"/>
        <v>0</v>
      </c>
      <c r="BZ181">
        <f t="shared" si="230"/>
        <v>0</v>
      </c>
      <c r="CA181">
        <f t="shared" si="230"/>
        <v>0</v>
      </c>
      <c r="CB181">
        <f t="shared" si="231"/>
        <v>0</v>
      </c>
      <c r="CC181">
        <f t="shared" si="231"/>
        <v>0</v>
      </c>
      <c r="CD181">
        <f t="shared" si="231"/>
        <v>0</v>
      </c>
      <c r="CE181">
        <f t="shared" si="231"/>
        <v>0</v>
      </c>
      <c r="CF181">
        <f t="shared" si="231"/>
        <v>0</v>
      </c>
      <c r="CG181">
        <f t="shared" si="231"/>
        <v>0</v>
      </c>
      <c r="CH181">
        <f t="shared" si="231"/>
        <v>0</v>
      </c>
      <c r="CI181">
        <f t="shared" si="231"/>
        <v>0</v>
      </c>
      <c r="CJ181">
        <f t="shared" si="231"/>
        <v>0</v>
      </c>
      <c r="CK181">
        <f t="shared" si="231"/>
        <v>0</v>
      </c>
      <c r="CL181">
        <f t="shared" si="232"/>
        <v>0</v>
      </c>
      <c r="CM181">
        <f t="shared" si="232"/>
        <v>0</v>
      </c>
      <c r="CN181">
        <f t="shared" si="232"/>
        <v>0</v>
      </c>
      <c r="CO181">
        <f t="shared" si="232"/>
        <v>0</v>
      </c>
      <c r="CP181">
        <f t="shared" si="232"/>
        <v>0</v>
      </c>
      <c r="CQ181">
        <f t="shared" si="232"/>
        <v>0</v>
      </c>
      <c r="CR181">
        <f t="shared" si="232"/>
        <v>0</v>
      </c>
      <c r="CS181">
        <f t="shared" si="232"/>
        <v>0</v>
      </c>
      <c r="CT181">
        <f t="shared" si="232"/>
        <v>0</v>
      </c>
      <c r="CU181">
        <f t="shared" si="232"/>
        <v>0</v>
      </c>
      <c r="CV181">
        <f t="shared" si="233"/>
        <v>0</v>
      </c>
      <c r="CW181">
        <f t="shared" si="233"/>
        <v>0</v>
      </c>
      <c r="CX181">
        <f t="shared" si="233"/>
        <v>0</v>
      </c>
      <c r="CY181">
        <f t="shared" si="233"/>
        <v>0</v>
      </c>
      <c r="CZ181">
        <f t="shared" si="233"/>
        <v>0</v>
      </c>
      <c r="DA181">
        <f t="shared" si="233"/>
        <v>0</v>
      </c>
      <c r="DB181">
        <f t="shared" si="233"/>
        <v>0</v>
      </c>
      <c r="DC181">
        <f t="shared" si="233"/>
        <v>0</v>
      </c>
      <c r="DD181">
        <f t="shared" si="233"/>
        <v>0</v>
      </c>
      <c r="DE181">
        <f t="shared" si="233"/>
        <v>0</v>
      </c>
      <c r="DF181">
        <f t="shared" si="234"/>
        <v>0</v>
      </c>
      <c r="DG181">
        <f t="shared" si="234"/>
        <v>0</v>
      </c>
      <c r="DH181">
        <f t="shared" si="234"/>
        <v>0</v>
      </c>
      <c r="DI181">
        <f t="shared" si="234"/>
        <v>0</v>
      </c>
      <c r="DJ181">
        <f t="shared" si="234"/>
        <v>0</v>
      </c>
      <c r="DK181">
        <f t="shared" si="234"/>
        <v>0</v>
      </c>
      <c r="DL181">
        <f t="shared" si="234"/>
        <v>0</v>
      </c>
      <c r="DM181">
        <f t="shared" si="234"/>
        <v>0</v>
      </c>
      <c r="DN181">
        <f t="shared" si="234"/>
        <v>0</v>
      </c>
      <c r="DO181">
        <f t="shared" si="234"/>
        <v>0</v>
      </c>
      <c r="DP181">
        <f t="shared" si="235"/>
        <v>0</v>
      </c>
      <c r="DQ181">
        <f t="shared" si="235"/>
        <v>0</v>
      </c>
      <c r="DR181">
        <f t="shared" si="235"/>
        <v>0</v>
      </c>
      <c r="DS181">
        <f t="shared" si="235"/>
        <v>0</v>
      </c>
      <c r="DT181">
        <f t="shared" si="235"/>
        <v>0</v>
      </c>
      <c r="DU181">
        <f t="shared" si="235"/>
        <v>0</v>
      </c>
      <c r="DV181">
        <f t="shared" si="235"/>
        <v>0</v>
      </c>
      <c r="DW181">
        <f t="shared" si="235"/>
        <v>0</v>
      </c>
      <c r="DX181">
        <f t="shared" si="235"/>
        <v>0</v>
      </c>
      <c r="DY181">
        <f t="shared" si="235"/>
        <v>0</v>
      </c>
      <c r="DZ181">
        <f t="shared" si="236"/>
        <v>0</v>
      </c>
      <c r="EA181">
        <f t="shared" si="236"/>
        <v>0</v>
      </c>
      <c r="EB181">
        <f t="shared" si="236"/>
        <v>0</v>
      </c>
      <c r="EC181">
        <f t="shared" si="236"/>
        <v>0</v>
      </c>
      <c r="ED181">
        <f t="shared" si="236"/>
        <v>0</v>
      </c>
      <c r="EE181">
        <f t="shared" si="236"/>
        <v>0</v>
      </c>
      <c r="EF181">
        <f t="shared" si="236"/>
        <v>0</v>
      </c>
      <c r="EG181">
        <f t="shared" si="236"/>
        <v>0</v>
      </c>
      <c r="EH181">
        <f t="shared" si="236"/>
        <v>0</v>
      </c>
      <c r="EI181">
        <f t="shared" si="236"/>
        <v>0</v>
      </c>
      <c r="EJ181">
        <f>SUM(Tabla1[[#This Row],[1]:[130]])</f>
        <v>2175</v>
      </c>
    </row>
    <row r="182" spans="1:140" x14ac:dyDescent="0.25">
      <c r="A182" t="str">
        <f>B182&amp;"-"&amp;COUNTIF($B$2:B182,B182)</f>
        <v>I. PULPA LIMON-4</v>
      </c>
      <c r="B182" s="35" t="s">
        <v>106</v>
      </c>
      <c r="C182">
        <f>VLOOKUP(B182,RECETAS!D181:$E$1700,2,FALSE)</f>
        <v>240</v>
      </c>
      <c r="D182" s="34"/>
      <c r="G182" t="b">
        <f t="shared" si="171"/>
        <v>1</v>
      </c>
      <c r="I182" s="38" t="s">
        <v>275</v>
      </c>
      <c r="J182">
        <f t="shared" si="224"/>
        <v>750</v>
      </c>
      <c r="K182">
        <f t="shared" si="224"/>
        <v>0</v>
      </c>
      <c r="L182">
        <f t="shared" si="224"/>
        <v>0</v>
      </c>
      <c r="M182">
        <f t="shared" si="224"/>
        <v>0</v>
      </c>
      <c r="N182">
        <f t="shared" si="224"/>
        <v>0</v>
      </c>
      <c r="O182">
        <f t="shared" si="224"/>
        <v>0</v>
      </c>
      <c r="P182">
        <f t="shared" si="224"/>
        <v>0</v>
      </c>
      <c r="Q182">
        <f t="shared" si="224"/>
        <v>0</v>
      </c>
      <c r="R182">
        <f t="shared" si="224"/>
        <v>0</v>
      </c>
      <c r="S182">
        <f t="shared" si="224"/>
        <v>0</v>
      </c>
      <c r="T182">
        <f t="shared" si="225"/>
        <v>0</v>
      </c>
      <c r="U182">
        <f t="shared" si="225"/>
        <v>0</v>
      </c>
      <c r="V182">
        <f t="shared" si="225"/>
        <v>0</v>
      </c>
      <c r="W182">
        <f t="shared" si="225"/>
        <v>0</v>
      </c>
      <c r="X182">
        <f t="shared" si="225"/>
        <v>0</v>
      </c>
      <c r="Y182">
        <f t="shared" si="225"/>
        <v>0</v>
      </c>
      <c r="Z182">
        <f t="shared" si="225"/>
        <v>0</v>
      </c>
      <c r="AA182">
        <f t="shared" si="225"/>
        <v>0</v>
      </c>
      <c r="AB182">
        <f t="shared" si="225"/>
        <v>0</v>
      </c>
      <c r="AC182">
        <f t="shared" si="225"/>
        <v>0</v>
      </c>
      <c r="AD182">
        <f t="shared" si="226"/>
        <v>0</v>
      </c>
      <c r="AE182">
        <f t="shared" si="226"/>
        <v>0</v>
      </c>
      <c r="AF182">
        <f t="shared" si="226"/>
        <v>0</v>
      </c>
      <c r="AG182">
        <f t="shared" si="226"/>
        <v>0</v>
      </c>
      <c r="AH182">
        <f t="shared" si="226"/>
        <v>0</v>
      </c>
      <c r="AI182">
        <f t="shared" si="226"/>
        <v>0</v>
      </c>
      <c r="AJ182">
        <f t="shared" si="226"/>
        <v>0</v>
      </c>
      <c r="AK182">
        <f t="shared" si="226"/>
        <v>0</v>
      </c>
      <c r="AL182">
        <f t="shared" si="226"/>
        <v>0</v>
      </c>
      <c r="AM182">
        <f t="shared" si="226"/>
        <v>0</v>
      </c>
      <c r="AN182">
        <f t="shared" si="227"/>
        <v>0</v>
      </c>
      <c r="AO182">
        <f t="shared" si="227"/>
        <v>0</v>
      </c>
      <c r="AP182">
        <f t="shared" si="227"/>
        <v>0</v>
      </c>
      <c r="AQ182">
        <f t="shared" si="227"/>
        <v>0</v>
      </c>
      <c r="AR182">
        <f t="shared" si="227"/>
        <v>0</v>
      </c>
      <c r="AS182">
        <f t="shared" si="227"/>
        <v>0</v>
      </c>
      <c r="AT182">
        <f t="shared" si="227"/>
        <v>0</v>
      </c>
      <c r="AU182">
        <f t="shared" si="227"/>
        <v>0</v>
      </c>
      <c r="AV182">
        <f t="shared" si="227"/>
        <v>0</v>
      </c>
      <c r="AW182">
        <f t="shared" si="227"/>
        <v>0</v>
      </c>
      <c r="AX182">
        <f t="shared" si="228"/>
        <v>0</v>
      </c>
      <c r="AY182">
        <f t="shared" si="228"/>
        <v>0</v>
      </c>
      <c r="AZ182">
        <f t="shared" si="228"/>
        <v>0</v>
      </c>
      <c r="BA182">
        <f t="shared" si="228"/>
        <v>0</v>
      </c>
      <c r="BB182">
        <f t="shared" si="228"/>
        <v>0</v>
      </c>
      <c r="BC182">
        <f t="shared" si="228"/>
        <v>0</v>
      </c>
      <c r="BD182">
        <f t="shared" si="228"/>
        <v>0</v>
      </c>
      <c r="BE182">
        <f t="shared" si="228"/>
        <v>0</v>
      </c>
      <c r="BF182">
        <f t="shared" si="228"/>
        <v>0</v>
      </c>
      <c r="BG182">
        <f t="shared" si="228"/>
        <v>0</v>
      </c>
      <c r="BH182">
        <f t="shared" si="229"/>
        <v>0</v>
      </c>
      <c r="BI182">
        <f t="shared" si="229"/>
        <v>0</v>
      </c>
      <c r="BJ182">
        <f t="shared" si="229"/>
        <v>0</v>
      </c>
      <c r="BK182">
        <f t="shared" si="229"/>
        <v>0</v>
      </c>
      <c r="BL182">
        <f t="shared" si="229"/>
        <v>0</v>
      </c>
      <c r="BM182">
        <f t="shared" si="229"/>
        <v>0</v>
      </c>
      <c r="BN182">
        <f t="shared" si="229"/>
        <v>0</v>
      </c>
      <c r="BO182">
        <f t="shared" si="229"/>
        <v>0</v>
      </c>
      <c r="BP182">
        <f t="shared" si="229"/>
        <v>0</v>
      </c>
      <c r="BQ182">
        <f t="shared" si="229"/>
        <v>0</v>
      </c>
      <c r="BR182">
        <f t="shared" si="230"/>
        <v>0</v>
      </c>
      <c r="BS182">
        <f t="shared" si="230"/>
        <v>0</v>
      </c>
      <c r="BT182">
        <f t="shared" si="230"/>
        <v>0</v>
      </c>
      <c r="BU182">
        <f t="shared" si="230"/>
        <v>0</v>
      </c>
      <c r="BV182">
        <f t="shared" si="230"/>
        <v>0</v>
      </c>
      <c r="BW182">
        <f t="shared" si="230"/>
        <v>0</v>
      </c>
      <c r="BX182">
        <f t="shared" si="230"/>
        <v>0</v>
      </c>
      <c r="BY182">
        <f t="shared" si="230"/>
        <v>0</v>
      </c>
      <c r="BZ182">
        <f t="shared" si="230"/>
        <v>0</v>
      </c>
      <c r="CA182">
        <f t="shared" si="230"/>
        <v>0</v>
      </c>
      <c r="CB182">
        <f t="shared" si="231"/>
        <v>0</v>
      </c>
      <c r="CC182">
        <f t="shared" si="231"/>
        <v>0</v>
      </c>
      <c r="CD182">
        <f t="shared" si="231"/>
        <v>0</v>
      </c>
      <c r="CE182">
        <f t="shared" si="231"/>
        <v>0</v>
      </c>
      <c r="CF182">
        <f t="shared" si="231"/>
        <v>0</v>
      </c>
      <c r="CG182">
        <f t="shared" si="231"/>
        <v>0</v>
      </c>
      <c r="CH182">
        <f t="shared" si="231"/>
        <v>0</v>
      </c>
      <c r="CI182">
        <f t="shared" si="231"/>
        <v>0</v>
      </c>
      <c r="CJ182">
        <f t="shared" si="231"/>
        <v>0</v>
      </c>
      <c r="CK182">
        <f t="shared" si="231"/>
        <v>0</v>
      </c>
      <c r="CL182">
        <f t="shared" si="232"/>
        <v>0</v>
      </c>
      <c r="CM182">
        <f t="shared" si="232"/>
        <v>0</v>
      </c>
      <c r="CN182">
        <f t="shared" si="232"/>
        <v>0</v>
      </c>
      <c r="CO182">
        <f t="shared" si="232"/>
        <v>0</v>
      </c>
      <c r="CP182">
        <f t="shared" si="232"/>
        <v>0</v>
      </c>
      <c r="CQ182">
        <f t="shared" si="232"/>
        <v>0</v>
      </c>
      <c r="CR182">
        <f t="shared" si="232"/>
        <v>0</v>
      </c>
      <c r="CS182">
        <f t="shared" si="232"/>
        <v>0</v>
      </c>
      <c r="CT182">
        <f t="shared" si="232"/>
        <v>0</v>
      </c>
      <c r="CU182">
        <f t="shared" si="232"/>
        <v>0</v>
      </c>
      <c r="CV182">
        <f t="shared" si="233"/>
        <v>0</v>
      </c>
      <c r="CW182">
        <f t="shared" si="233"/>
        <v>0</v>
      </c>
      <c r="CX182">
        <f t="shared" si="233"/>
        <v>0</v>
      </c>
      <c r="CY182">
        <f t="shared" si="233"/>
        <v>0</v>
      </c>
      <c r="CZ182">
        <f t="shared" si="233"/>
        <v>0</v>
      </c>
      <c r="DA182">
        <f t="shared" si="233"/>
        <v>0</v>
      </c>
      <c r="DB182">
        <f t="shared" si="233"/>
        <v>0</v>
      </c>
      <c r="DC182">
        <f t="shared" si="233"/>
        <v>0</v>
      </c>
      <c r="DD182">
        <f t="shared" si="233"/>
        <v>0</v>
      </c>
      <c r="DE182">
        <f t="shared" si="233"/>
        <v>0</v>
      </c>
      <c r="DF182">
        <f t="shared" si="234"/>
        <v>0</v>
      </c>
      <c r="DG182">
        <f t="shared" si="234"/>
        <v>0</v>
      </c>
      <c r="DH182">
        <f t="shared" si="234"/>
        <v>0</v>
      </c>
      <c r="DI182">
        <f t="shared" si="234"/>
        <v>0</v>
      </c>
      <c r="DJ182">
        <f t="shared" si="234"/>
        <v>0</v>
      </c>
      <c r="DK182">
        <f t="shared" si="234"/>
        <v>0</v>
      </c>
      <c r="DL182">
        <f t="shared" si="234"/>
        <v>0</v>
      </c>
      <c r="DM182">
        <f t="shared" si="234"/>
        <v>0</v>
      </c>
      <c r="DN182">
        <f t="shared" si="234"/>
        <v>0</v>
      </c>
      <c r="DO182">
        <f t="shared" si="234"/>
        <v>0</v>
      </c>
      <c r="DP182">
        <f t="shared" si="235"/>
        <v>0</v>
      </c>
      <c r="DQ182">
        <f t="shared" si="235"/>
        <v>0</v>
      </c>
      <c r="DR182">
        <f t="shared" si="235"/>
        <v>0</v>
      </c>
      <c r="DS182">
        <f t="shared" si="235"/>
        <v>0</v>
      </c>
      <c r="DT182">
        <f t="shared" si="235"/>
        <v>0</v>
      </c>
      <c r="DU182">
        <f t="shared" si="235"/>
        <v>0</v>
      </c>
      <c r="DV182">
        <f t="shared" si="235"/>
        <v>0</v>
      </c>
      <c r="DW182">
        <f t="shared" si="235"/>
        <v>0</v>
      </c>
      <c r="DX182">
        <f t="shared" si="235"/>
        <v>0</v>
      </c>
      <c r="DY182">
        <f t="shared" si="235"/>
        <v>0</v>
      </c>
      <c r="DZ182">
        <f t="shared" si="236"/>
        <v>0</v>
      </c>
      <c r="EA182">
        <f t="shared" si="236"/>
        <v>0</v>
      </c>
      <c r="EB182">
        <f t="shared" si="236"/>
        <v>0</v>
      </c>
      <c r="EC182">
        <f t="shared" si="236"/>
        <v>0</v>
      </c>
      <c r="ED182">
        <f t="shared" si="236"/>
        <v>0</v>
      </c>
      <c r="EE182">
        <f t="shared" si="236"/>
        <v>0</v>
      </c>
      <c r="EF182">
        <f t="shared" si="236"/>
        <v>0</v>
      </c>
      <c r="EG182">
        <f t="shared" si="236"/>
        <v>0</v>
      </c>
      <c r="EH182">
        <f t="shared" si="236"/>
        <v>0</v>
      </c>
      <c r="EI182">
        <f t="shared" si="236"/>
        <v>0</v>
      </c>
      <c r="EJ182">
        <f>SUM(Tabla1[[#This Row],[1]:[130]])</f>
        <v>750</v>
      </c>
    </row>
    <row r="183" spans="1:140" x14ac:dyDescent="0.25">
      <c r="A183" t="str">
        <f>B183&amp;"-"&amp;COUNTIF($B$2:B183,B183)</f>
        <v>I. AZUCAR FLOR-9</v>
      </c>
      <c r="B183" s="35" t="s">
        <v>51</v>
      </c>
      <c r="C183">
        <f>VLOOKUP(B183,RECETAS!D182:$E$1700,2,FALSE)</f>
        <v>240</v>
      </c>
      <c r="D183" s="34"/>
      <c r="G183" t="b">
        <f t="shared" si="171"/>
        <v>1</v>
      </c>
      <c r="I183" s="38" t="s">
        <v>820</v>
      </c>
      <c r="J183">
        <f t="shared" ref="J183:S192" si="237">IFERROR(VLOOKUP($I183&amp;"-"&amp;J$2,$A$3:$C$1700,3,FALSE),0)</f>
        <v>0</v>
      </c>
      <c r="K183">
        <f t="shared" si="237"/>
        <v>0</v>
      </c>
      <c r="L183">
        <f t="shared" si="237"/>
        <v>0</v>
      </c>
      <c r="M183">
        <f t="shared" si="237"/>
        <v>0</v>
      </c>
      <c r="N183">
        <f t="shared" si="237"/>
        <v>0</v>
      </c>
      <c r="O183">
        <f t="shared" si="237"/>
        <v>0</v>
      </c>
      <c r="P183">
        <f t="shared" si="237"/>
        <v>0</v>
      </c>
      <c r="Q183">
        <f t="shared" si="237"/>
        <v>0</v>
      </c>
      <c r="R183">
        <f t="shared" si="237"/>
        <v>0</v>
      </c>
      <c r="S183">
        <f t="shared" si="237"/>
        <v>0</v>
      </c>
      <c r="T183">
        <f t="shared" ref="T183:AC192" si="238">IFERROR(VLOOKUP($I183&amp;"-"&amp;T$2,$A$3:$C$1700,3,FALSE),0)</f>
        <v>0</v>
      </c>
      <c r="U183">
        <f t="shared" si="238"/>
        <v>0</v>
      </c>
      <c r="V183">
        <f t="shared" si="238"/>
        <v>0</v>
      </c>
      <c r="W183">
        <f t="shared" si="238"/>
        <v>0</v>
      </c>
      <c r="X183">
        <f t="shared" si="238"/>
        <v>0</v>
      </c>
      <c r="Y183">
        <f t="shared" si="238"/>
        <v>0</v>
      </c>
      <c r="Z183">
        <f t="shared" si="238"/>
        <v>0</v>
      </c>
      <c r="AA183">
        <f t="shared" si="238"/>
        <v>0</v>
      </c>
      <c r="AB183">
        <f t="shared" si="238"/>
        <v>0</v>
      </c>
      <c r="AC183">
        <f t="shared" si="238"/>
        <v>0</v>
      </c>
      <c r="AD183">
        <f t="shared" ref="AD183:AM192" si="239">IFERROR(VLOOKUP($I183&amp;"-"&amp;AD$2,$A$3:$C$1700,3,FALSE),0)</f>
        <v>0</v>
      </c>
      <c r="AE183">
        <f t="shared" si="239"/>
        <v>0</v>
      </c>
      <c r="AF183">
        <f t="shared" si="239"/>
        <v>0</v>
      </c>
      <c r="AG183">
        <f t="shared" si="239"/>
        <v>0</v>
      </c>
      <c r="AH183">
        <f t="shared" si="239"/>
        <v>0</v>
      </c>
      <c r="AI183">
        <f t="shared" si="239"/>
        <v>0</v>
      </c>
      <c r="AJ183">
        <f t="shared" si="239"/>
        <v>0</v>
      </c>
      <c r="AK183">
        <f t="shared" si="239"/>
        <v>0</v>
      </c>
      <c r="AL183">
        <f t="shared" si="239"/>
        <v>0</v>
      </c>
      <c r="AM183">
        <f t="shared" si="239"/>
        <v>0</v>
      </c>
      <c r="AN183">
        <f t="shared" ref="AN183:AW192" si="240">IFERROR(VLOOKUP($I183&amp;"-"&amp;AN$2,$A$3:$C$1700,3,FALSE),0)</f>
        <v>0</v>
      </c>
      <c r="AO183">
        <f t="shared" si="240"/>
        <v>0</v>
      </c>
      <c r="AP183">
        <f t="shared" si="240"/>
        <v>0</v>
      </c>
      <c r="AQ183">
        <f t="shared" si="240"/>
        <v>0</v>
      </c>
      <c r="AR183">
        <f t="shared" si="240"/>
        <v>0</v>
      </c>
      <c r="AS183">
        <f t="shared" si="240"/>
        <v>0</v>
      </c>
      <c r="AT183">
        <f t="shared" si="240"/>
        <v>0</v>
      </c>
      <c r="AU183">
        <f t="shared" si="240"/>
        <v>0</v>
      </c>
      <c r="AV183">
        <f t="shared" si="240"/>
        <v>0</v>
      </c>
      <c r="AW183">
        <f t="shared" si="240"/>
        <v>0</v>
      </c>
      <c r="AX183">
        <f t="shared" ref="AX183:BG192" si="241">IFERROR(VLOOKUP($I183&amp;"-"&amp;AX$2,$A$3:$C$1700,3,FALSE),0)</f>
        <v>0</v>
      </c>
      <c r="AY183">
        <f t="shared" si="241"/>
        <v>0</v>
      </c>
      <c r="AZ183">
        <f t="shared" si="241"/>
        <v>0</v>
      </c>
      <c r="BA183">
        <f t="shared" si="241"/>
        <v>0</v>
      </c>
      <c r="BB183">
        <f t="shared" si="241"/>
        <v>0</v>
      </c>
      <c r="BC183">
        <f t="shared" si="241"/>
        <v>0</v>
      </c>
      <c r="BD183">
        <f t="shared" si="241"/>
        <v>0</v>
      </c>
      <c r="BE183">
        <f t="shared" si="241"/>
        <v>0</v>
      </c>
      <c r="BF183">
        <f t="shared" si="241"/>
        <v>0</v>
      </c>
      <c r="BG183">
        <f t="shared" si="241"/>
        <v>0</v>
      </c>
      <c r="BH183">
        <f t="shared" ref="BH183:BQ192" si="242">IFERROR(VLOOKUP($I183&amp;"-"&amp;BH$2,$A$3:$C$1700,3,FALSE),0)</f>
        <v>0</v>
      </c>
      <c r="BI183">
        <f t="shared" si="242"/>
        <v>0</v>
      </c>
      <c r="BJ183">
        <f t="shared" si="242"/>
        <v>0</v>
      </c>
      <c r="BK183">
        <f t="shared" si="242"/>
        <v>0</v>
      </c>
      <c r="BL183">
        <f t="shared" si="242"/>
        <v>0</v>
      </c>
      <c r="BM183">
        <f t="shared" si="242"/>
        <v>0</v>
      </c>
      <c r="BN183">
        <f t="shared" si="242"/>
        <v>0</v>
      </c>
      <c r="BO183">
        <f t="shared" si="242"/>
        <v>0</v>
      </c>
      <c r="BP183">
        <f t="shared" si="242"/>
        <v>0</v>
      </c>
      <c r="BQ183">
        <f t="shared" si="242"/>
        <v>0</v>
      </c>
      <c r="BR183">
        <f t="shared" ref="BR183:CA192" si="243">IFERROR(VLOOKUP($I183&amp;"-"&amp;BR$2,$A$3:$C$1700,3,FALSE),0)</f>
        <v>0</v>
      </c>
      <c r="BS183">
        <f t="shared" si="243"/>
        <v>0</v>
      </c>
      <c r="BT183">
        <f t="shared" si="243"/>
        <v>0</v>
      </c>
      <c r="BU183">
        <f t="shared" si="243"/>
        <v>0</v>
      </c>
      <c r="BV183">
        <f t="shared" si="243"/>
        <v>0</v>
      </c>
      <c r="BW183">
        <f t="shared" si="243"/>
        <v>0</v>
      </c>
      <c r="BX183">
        <f t="shared" si="243"/>
        <v>0</v>
      </c>
      <c r="BY183">
        <f t="shared" si="243"/>
        <v>0</v>
      </c>
      <c r="BZ183">
        <f t="shared" si="243"/>
        <v>0</v>
      </c>
      <c r="CA183">
        <f t="shared" si="243"/>
        <v>0</v>
      </c>
      <c r="CB183">
        <f t="shared" ref="CB183:CK192" si="244">IFERROR(VLOOKUP($I183&amp;"-"&amp;CB$2,$A$3:$C$1700,3,FALSE),0)</f>
        <v>0</v>
      </c>
      <c r="CC183">
        <f t="shared" si="244"/>
        <v>0</v>
      </c>
      <c r="CD183">
        <f t="shared" si="244"/>
        <v>0</v>
      </c>
      <c r="CE183">
        <f t="shared" si="244"/>
        <v>0</v>
      </c>
      <c r="CF183">
        <f t="shared" si="244"/>
        <v>0</v>
      </c>
      <c r="CG183">
        <f t="shared" si="244"/>
        <v>0</v>
      </c>
      <c r="CH183">
        <f t="shared" si="244"/>
        <v>0</v>
      </c>
      <c r="CI183">
        <f t="shared" si="244"/>
        <v>0</v>
      </c>
      <c r="CJ183">
        <f t="shared" si="244"/>
        <v>0</v>
      </c>
      <c r="CK183">
        <f t="shared" si="244"/>
        <v>0</v>
      </c>
      <c r="CL183">
        <f t="shared" ref="CL183:CU192" si="245">IFERROR(VLOOKUP($I183&amp;"-"&amp;CL$2,$A$3:$C$1700,3,FALSE),0)</f>
        <v>0</v>
      </c>
      <c r="CM183">
        <f t="shared" si="245"/>
        <v>0</v>
      </c>
      <c r="CN183">
        <f t="shared" si="245"/>
        <v>0</v>
      </c>
      <c r="CO183">
        <f t="shared" si="245"/>
        <v>0</v>
      </c>
      <c r="CP183">
        <f t="shared" si="245"/>
        <v>0</v>
      </c>
      <c r="CQ183">
        <f t="shared" si="245"/>
        <v>0</v>
      </c>
      <c r="CR183">
        <f t="shared" si="245"/>
        <v>0</v>
      </c>
      <c r="CS183">
        <f t="shared" si="245"/>
        <v>0</v>
      </c>
      <c r="CT183">
        <f t="shared" si="245"/>
        <v>0</v>
      </c>
      <c r="CU183">
        <f t="shared" si="245"/>
        <v>0</v>
      </c>
      <c r="CV183">
        <f t="shared" ref="CV183:DE192" si="246">IFERROR(VLOOKUP($I183&amp;"-"&amp;CV$2,$A$3:$C$1700,3,FALSE),0)</f>
        <v>0</v>
      </c>
      <c r="CW183">
        <f t="shared" si="246"/>
        <v>0</v>
      </c>
      <c r="CX183">
        <f t="shared" si="246"/>
        <v>0</v>
      </c>
      <c r="CY183">
        <f t="shared" si="246"/>
        <v>0</v>
      </c>
      <c r="CZ183">
        <f t="shared" si="246"/>
        <v>0</v>
      </c>
      <c r="DA183">
        <f t="shared" si="246"/>
        <v>0</v>
      </c>
      <c r="DB183">
        <f t="shared" si="246"/>
        <v>0</v>
      </c>
      <c r="DC183">
        <f t="shared" si="246"/>
        <v>0</v>
      </c>
      <c r="DD183">
        <f t="shared" si="246"/>
        <v>0</v>
      </c>
      <c r="DE183">
        <f t="shared" si="246"/>
        <v>0</v>
      </c>
      <c r="DF183">
        <f t="shared" ref="DF183:DO192" si="247">IFERROR(VLOOKUP($I183&amp;"-"&amp;DF$2,$A$3:$C$1700,3,FALSE),0)</f>
        <v>0</v>
      </c>
      <c r="DG183">
        <f t="shared" si="247"/>
        <v>0</v>
      </c>
      <c r="DH183">
        <f t="shared" si="247"/>
        <v>0</v>
      </c>
      <c r="DI183">
        <f t="shared" si="247"/>
        <v>0</v>
      </c>
      <c r="DJ183">
        <f t="shared" si="247"/>
        <v>0</v>
      </c>
      <c r="DK183">
        <f t="shared" si="247"/>
        <v>0</v>
      </c>
      <c r="DL183">
        <f t="shared" si="247"/>
        <v>0</v>
      </c>
      <c r="DM183">
        <f t="shared" si="247"/>
        <v>0</v>
      </c>
      <c r="DN183">
        <f t="shared" si="247"/>
        <v>0</v>
      </c>
      <c r="DO183">
        <f t="shared" si="247"/>
        <v>0</v>
      </c>
      <c r="DP183">
        <f t="shared" ref="DP183:DY192" si="248">IFERROR(VLOOKUP($I183&amp;"-"&amp;DP$2,$A$3:$C$1700,3,FALSE),0)</f>
        <v>0</v>
      </c>
      <c r="DQ183">
        <f t="shared" si="248"/>
        <v>0</v>
      </c>
      <c r="DR183">
        <f t="shared" si="248"/>
        <v>0</v>
      </c>
      <c r="DS183">
        <f t="shared" si="248"/>
        <v>0</v>
      </c>
      <c r="DT183">
        <f t="shared" si="248"/>
        <v>0</v>
      </c>
      <c r="DU183">
        <f t="shared" si="248"/>
        <v>0</v>
      </c>
      <c r="DV183">
        <f t="shared" si="248"/>
        <v>0</v>
      </c>
      <c r="DW183">
        <f t="shared" si="248"/>
        <v>0</v>
      </c>
      <c r="DX183">
        <f t="shared" si="248"/>
        <v>0</v>
      </c>
      <c r="DY183">
        <f t="shared" si="248"/>
        <v>0</v>
      </c>
      <c r="DZ183">
        <f t="shared" ref="DZ183:EI192" si="249">IFERROR(VLOOKUP($I183&amp;"-"&amp;DZ$2,$A$3:$C$1700,3,FALSE),0)</f>
        <v>0</v>
      </c>
      <c r="EA183">
        <f t="shared" si="249"/>
        <v>0</v>
      </c>
      <c r="EB183">
        <f t="shared" si="249"/>
        <v>0</v>
      </c>
      <c r="EC183">
        <f t="shared" si="249"/>
        <v>0</v>
      </c>
      <c r="ED183">
        <f t="shared" si="249"/>
        <v>0</v>
      </c>
      <c r="EE183">
        <f t="shared" si="249"/>
        <v>0</v>
      </c>
      <c r="EF183">
        <f t="shared" si="249"/>
        <v>0</v>
      </c>
      <c r="EG183">
        <f t="shared" si="249"/>
        <v>0</v>
      </c>
      <c r="EH183">
        <f t="shared" si="249"/>
        <v>0</v>
      </c>
      <c r="EI183">
        <f t="shared" si="249"/>
        <v>0</v>
      </c>
      <c r="EJ183">
        <f>SUM(Tabla1[[#This Row],[1]:[130]])</f>
        <v>0</v>
      </c>
    </row>
    <row r="184" spans="1:140" ht="15.75" thickBot="1" x14ac:dyDescent="0.3">
      <c r="A184" t="str">
        <f>B184&amp;"-"&amp;COUNTIF($B$2:B184,B184)</f>
        <v>I. TRIPLE SEC-2</v>
      </c>
      <c r="B184" s="33" t="s">
        <v>128</v>
      </c>
      <c r="C184">
        <f>VLOOKUP(B184,RECETAS!D183:$E$1700,2,FALSE)</f>
        <v>120</v>
      </c>
      <c r="D184" s="32"/>
      <c r="G184" t="b">
        <f t="shared" si="171"/>
        <v>1</v>
      </c>
      <c r="I184" s="39" t="s">
        <v>276</v>
      </c>
      <c r="J184">
        <f t="shared" si="237"/>
        <v>75</v>
      </c>
      <c r="K184">
        <f t="shared" si="237"/>
        <v>0</v>
      </c>
      <c r="L184">
        <f t="shared" si="237"/>
        <v>0</v>
      </c>
      <c r="M184">
        <f t="shared" si="237"/>
        <v>0</v>
      </c>
      <c r="N184">
        <f t="shared" si="237"/>
        <v>0</v>
      </c>
      <c r="O184">
        <f t="shared" si="237"/>
        <v>0</v>
      </c>
      <c r="P184">
        <f t="shared" si="237"/>
        <v>0</v>
      </c>
      <c r="Q184">
        <f t="shared" si="237"/>
        <v>0</v>
      </c>
      <c r="R184">
        <f t="shared" si="237"/>
        <v>0</v>
      </c>
      <c r="S184">
        <f t="shared" si="237"/>
        <v>0</v>
      </c>
      <c r="T184">
        <f t="shared" si="238"/>
        <v>0</v>
      </c>
      <c r="U184">
        <f t="shared" si="238"/>
        <v>0</v>
      </c>
      <c r="V184">
        <f t="shared" si="238"/>
        <v>0</v>
      </c>
      <c r="W184">
        <f t="shared" si="238"/>
        <v>0</v>
      </c>
      <c r="X184">
        <f t="shared" si="238"/>
        <v>0</v>
      </c>
      <c r="Y184">
        <f t="shared" si="238"/>
        <v>0</v>
      </c>
      <c r="Z184">
        <f t="shared" si="238"/>
        <v>0</v>
      </c>
      <c r="AA184">
        <f t="shared" si="238"/>
        <v>0</v>
      </c>
      <c r="AB184">
        <f t="shared" si="238"/>
        <v>0</v>
      </c>
      <c r="AC184">
        <f t="shared" si="238"/>
        <v>0</v>
      </c>
      <c r="AD184">
        <f t="shared" si="239"/>
        <v>0</v>
      </c>
      <c r="AE184">
        <f t="shared" si="239"/>
        <v>0</v>
      </c>
      <c r="AF184">
        <f t="shared" si="239"/>
        <v>0</v>
      </c>
      <c r="AG184">
        <f t="shared" si="239"/>
        <v>0</v>
      </c>
      <c r="AH184">
        <f t="shared" si="239"/>
        <v>0</v>
      </c>
      <c r="AI184">
        <f t="shared" si="239"/>
        <v>0</v>
      </c>
      <c r="AJ184">
        <f t="shared" si="239"/>
        <v>0</v>
      </c>
      <c r="AK184">
        <f t="shared" si="239"/>
        <v>0</v>
      </c>
      <c r="AL184">
        <f t="shared" si="239"/>
        <v>0</v>
      </c>
      <c r="AM184">
        <f t="shared" si="239"/>
        <v>0</v>
      </c>
      <c r="AN184">
        <f t="shared" si="240"/>
        <v>0</v>
      </c>
      <c r="AO184">
        <f t="shared" si="240"/>
        <v>0</v>
      </c>
      <c r="AP184">
        <f t="shared" si="240"/>
        <v>0</v>
      </c>
      <c r="AQ184">
        <f t="shared" si="240"/>
        <v>0</v>
      </c>
      <c r="AR184">
        <f t="shared" si="240"/>
        <v>0</v>
      </c>
      <c r="AS184">
        <f t="shared" si="240"/>
        <v>0</v>
      </c>
      <c r="AT184">
        <f t="shared" si="240"/>
        <v>0</v>
      </c>
      <c r="AU184">
        <f t="shared" si="240"/>
        <v>0</v>
      </c>
      <c r="AV184">
        <f t="shared" si="240"/>
        <v>0</v>
      </c>
      <c r="AW184">
        <f t="shared" si="240"/>
        <v>0</v>
      </c>
      <c r="AX184">
        <f t="shared" si="241"/>
        <v>0</v>
      </c>
      <c r="AY184">
        <f t="shared" si="241"/>
        <v>0</v>
      </c>
      <c r="AZ184">
        <f t="shared" si="241"/>
        <v>0</v>
      </c>
      <c r="BA184">
        <f t="shared" si="241"/>
        <v>0</v>
      </c>
      <c r="BB184">
        <f t="shared" si="241"/>
        <v>0</v>
      </c>
      <c r="BC184">
        <f t="shared" si="241"/>
        <v>0</v>
      </c>
      <c r="BD184">
        <f t="shared" si="241"/>
        <v>0</v>
      </c>
      <c r="BE184">
        <f t="shared" si="241"/>
        <v>0</v>
      </c>
      <c r="BF184">
        <f t="shared" si="241"/>
        <v>0</v>
      </c>
      <c r="BG184">
        <f t="shared" si="241"/>
        <v>0</v>
      </c>
      <c r="BH184">
        <f t="shared" si="242"/>
        <v>0</v>
      </c>
      <c r="BI184">
        <f t="shared" si="242"/>
        <v>0</v>
      </c>
      <c r="BJ184">
        <f t="shared" si="242"/>
        <v>0</v>
      </c>
      <c r="BK184">
        <f t="shared" si="242"/>
        <v>0</v>
      </c>
      <c r="BL184">
        <f t="shared" si="242"/>
        <v>0</v>
      </c>
      <c r="BM184">
        <f t="shared" si="242"/>
        <v>0</v>
      </c>
      <c r="BN184">
        <f t="shared" si="242"/>
        <v>0</v>
      </c>
      <c r="BO184">
        <f t="shared" si="242"/>
        <v>0</v>
      </c>
      <c r="BP184">
        <f t="shared" si="242"/>
        <v>0</v>
      </c>
      <c r="BQ184">
        <f t="shared" si="242"/>
        <v>0</v>
      </c>
      <c r="BR184">
        <f t="shared" si="243"/>
        <v>0</v>
      </c>
      <c r="BS184">
        <f t="shared" si="243"/>
        <v>0</v>
      </c>
      <c r="BT184">
        <f t="shared" si="243"/>
        <v>0</v>
      </c>
      <c r="BU184">
        <f t="shared" si="243"/>
        <v>0</v>
      </c>
      <c r="BV184">
        <f t="shared" si="243"/>
        <v>0</v>
      </c>
      <c r="BW184">
        <f t="shared" si="243"/>
        <v>0</v>
      </c>
      <c r="BX184">
        <f t="shared" si="243"/>
        <v>0</v>
      </c>
      <c r="BY184">
        <f t="shared" si="243"/>
        <v>0</v>
      </c>
      <c r="BZ184">
        <f t="shared" si="243"/>
        <v>0</v>
      </c>
      <c r="CA184">
        <f t="shared" si="243"/>
        <v>0</v>
      </c>
      <c r="CB184">
        <f t="shared" si="244"/>
        <v>0</v>
      </c>
      <c r="CC184">
        <f t="shared" si="244"/>
        <v>0</v>
      </c>
      <c r="CD184">
        <f t="shared" si="244"/>
        <v>0</v>
      </c>
      <c r="CE184">
        <f t="shared" si="244"/>
        <v>0</v>
      </c>
      <c r="CF184">
        <f t="shared" si="244"/>
        <v>0</v>
      </c>
      <c r="CG184">
        <f t="shared" si="244"/>
        <v>0</v>
      </c>
      <c r="CH184">
        <f t="shared" si="244"/>
        <v>0</v>
      </c>
      <c r="CI184">
        <f t="shared" si="244"/>
        <v>0</v>
      </c>
      <c r="CJ184">
        <f t="shared" si="244"/>
        <v>0</v>
      </c>
      <c r="CK184">
        <f t="shared" si="244"/>
        <v>0</v>
      </c>
      <c r="CL184">
        <f t="shared" si="245"/>
        <v>0</v>
      </c>
      <c r="CM184">
        <f t="shared" si="245"/>
        <v>0</v>
      </c>
      <c r="CN184">
        <f t="shared" si="245"/>
        <v>0</v>
      </c>
      <c r="CO184">
        <f t="shared" si="245"/>
        <v>0</v>
      </c>
      <c r="CP184">
        <f t="shared" si="245"/>
        <v>0</v>
      </c>
      <c r="CQ184">
        <f t="shared" si="245"/>
        <v>0</v>
      </c>
      <c r="CR184">
        <f t="shared" si="245"/>
        <v>0</v>
      </c>
      <c r="CS184">
        <f t="shared" si="245"/>
        <v>0</v>
      </c>
      <c r="CT184">
        <f t="shared" si="245"/>
        <v>0</v>
      </c>
      <c r="CU184">
        <f t="shared" si="245"/>
        <v>0</v>
      </c>
      <c r="CV184">
        <f t="shared" si="246"/>
        <v>0</v>
      </c>
      <c r="CW184">
        <f t="shared" si="246"/>
        <v>0</v>
      </c>
      <c r="CX184">
        <f t="shared" si="246"/>
        <v>0</v>
      </c>
      <c r="CY184">
        <f t="shared" si="246"/>
        <v>0</v>
      </c>
      <c r="CZ184">
        <f t="shared" si="246"/>
        <v>0</v>
      </c>
      <c r="DA184">
        <f t="shared" si="246"/>
        <v>0</v>
      </c>
      <c r="DB184">
        <f t="shared" si="246"/>
        <v>0</v>
      </c>
      <c r="DC184">
        <f t="shared" si="246"/>
        <v>0</v>
      </c>
      <c r="DD184">
        <f t="shared" si="246"/>
        <v>0</v>
      </c>
      <c r="DE184">
        <f t="shared" si="246"/>
        <v>0</v>
      </c>
      <c r="DF184">
        <f t="shared" si="247"/>
        <v>0</v>
      </c>
      <c r="DG184">
        <f t="shared" si="247"/>
        <v>0</v>
      </c>
      <c r="DH184">
        <f t="shared" si="247"/>
        <v>0</v>
      </c>
      <c r="DI184">
        <f t="shared" si="247"/>
        <v>0</v>
      </c>
      <c r="DJ184">
        <f t="shared" si="247"/>
        <v>0</v>
      </c>
      <c r="DK184">
        <f t="shared" si="247"/>
        <v>0</v>
      </c>
      <c r="DL184">
        <f t="shared" si="247"/>
        <v>0</v>
      </c>
      <c r="DM184">
        <f t="shared" si="247"/>
        <v>0</v>
      </c>
      <c r="DN184">
        <f t="shared" si="247"/>
        <v>0</v>
      </c>
      <c r="DO184">
        <f t="shared" si="247"/>
        <v>0</v>
      </c>
      <c r="DP184">
        <f t="shared" si="248"/>
        <v>0</v>
      </c>
      <c r="DQ184">
        <f t="shared" si="248"/>
        <v>0</v>
      </c>
      <c r="DR184">
        <f t="shared" si="248"/>
        <v>0</v>
      </c>
      <c r="DS184">
        <f t="shared" si="248"/>
        <v>0</v>
      </c>
      <c r="DT184">
        <f t="shared" si="248"/>
        <v>0</v>
      </c>
      <c r="DU184">
        <f t="shared" si="248"/>
        <v>0</v>
      </c>
      <c r="DV184">
        <f t="shared" si="248"/>
        <v>0</v>
      </c>
      <c r="DW184">
        <f t="shared" si="248"/>
        <v>0</v>
      </c>
      <c r="DX184">
        <f t="shared" si="248"/>
        <v>0</v>
      </c>
      <c r="DY184">
        <f t="shared" si="248"/>
        <v>0</v>
      </c>
      <c r="DZ184">
        <f t="shared" si="249"/>
        <v>0</v>
      </c>
      <c r="EA184">
        <f t="shared" si="249"/>
        <v>0</v>
      </c>
      <c r="EB184">
        <f t="shared" si="249"/>
        <v>0</v>
      </c>
      <c r="EC184">
        <f t="shared" si="249"/>
        <v>0</v>
      </c>
      <c r="ED184">
        <f t="shared" si="249"/>
        <v>0</v>
      </c>
      <c r="EE184">
        <f t="shared" si="249"/>
        <v>0</v>
      </c>
      <c r="EF184">
        <f t="shared" si="249"/>
        <v>0</v>
      </c>
      <c r="EG184">
        <f t="shared" si="249"/>
        <v>0</v>
      </c>
      <c r="EH184">
        <f t="shared" si="249"/>
        <v>0</v>
      </c>
      <c r="EI184">
        <f t="shared" si="249"/>
        <v>0</v>
      </c>
      <c r="EJ184">
        <f>SUM(Tabla1[[#This Row],[1]:[130]])</f>
        <v>75</v>
      </c>
    </row>
    <row r="185" spans="1:140" x14ac:dyDescent="0.25">
      <c r="A185" t="str">
        <f>B185&amp;"-"&amp;COUNTIF($B$2:B185,B185)</f>
        <v>I. MISTRAL DE 35-1</v>
      </c>
      <c r="B185" s="26" t="s">
        <v>98</v>
      </c>
      <c r="C185">
        <f>VLOOKUP(B185,RECETAS!D184:$E$1700,2,FALSE)</f>
        <v>225</v>
      </c>
      <c r="D185" s="112" t="s">
        <v>630</v>
      </c>
      <c r="G185" t="b">
        <f t="shared" si="171"/>
        <v>1</v>
      </c>
      <c r="I185" s="37" t="s">
        <v>277</v>
      </c>
      <c r="J185">
        <f t="shared" si="237"/>
        <v>0</v>
      </c>
      <c r="K185">
        <f t="shared" si="237"/>
        <v>0</v>
      </c>
      <c r="L185">
        <f t="shared" si="237"/>
        <v>0</v>
      </c>
      <c r="M185">
        <f t="shared" si="237"/>
        <v>0</v>
      </c>
      <c r="N185">
        <f t="shared" si="237"/>
        <v>0</v>
      </c>
      <c r="O185">
        <f t="shared" si="237"/>
        <v>0</v>
      </c>
      <c r="P185">
        <f t="shared" si="237"/>
        <v>0</v>
      </c>
      <c r="Q185">
        <f t="shared" si="237"/>
        <v>0</v>
      </c>
      <c r="R185">
        <f t="shared" si="237"/>
        <v>0</v>
      </c>
      <c r="S185">
        <f t="shared" si="237"/>
        <v>0</v>
      </c>
      <c r="T185">
        <f t="shared" si="238"/>
        <v>0</v>
      </c>
      <c r="U185">
        <f t="shared" si="238"/>
        <v>0</v>
      </c>
      <c r="V185">
        <f t="shared" si="238"/>
        <v>0</v>
      </c>
      <c r="W185">
        <f t="shared" si="238"/>
        <v>0</v>
      </c>
      <c r="X185">
        <f t="shared" si="238"/>
        <v>0</v>
      </c>
      <c r="Y185">
        <f t="shared" si="238"/>
        <v>0</v>
      </c>
      <c r="Z185">
        <f t="shared" si="238"/>
        <v>0</v>
      </c>
      <c r="AA185">
        <f t="shared" si="238"/>
        <v>0</v>
      </c>
      <c r="AB185">
        <f t="shared" si="238"/>
        <v>0</v>
      </c>
      <c r="AC185">
        <f t="shared" si="238"/>
        <v>0</v>
      </c>
      <c r="AD185">
        <f t="shared" si="239"/>
        <v>0</v>
      </c>
      <c r="AE185">
        <f t="shared" si="239"/>
        <v>0</v>
      </c>
      <c r="AF185">
        <f t="shared" si="239"/>
        <v>0</v>
      </c>
      <c r="AG185">
        <f t="shared" si="239"/>
        <v>0</v>
      </c>
      <c r="AH185">
        <f t="shared" si="239"/>
        <v>0</v>
      </c>
      <c r="AI185">
        <f t="shared" si="239"/>
        <v>0</v>
      </c>
      <c r="AJ185">
        <f t="shared" si="239"/>
        <v>0</v>
      </c>
      <c r="AK185">
        <f t="shared" si="239"/>
        <v>0</v>
      </c>
      <c r="AL185">
        <f t="shared" si="239"/>
        <v>0</v>
      </c>
      <c r="AM185">
        <f t="shared" si="239"/>
        <v>0</v>
      </c>
      <c r="AN185">
        <f t="shared" si="240"/>
        <v>0</v>
      </c>
      <c r="AO185">
        <f t="shared" si="240"/>
        <v>0</v>
      </c>
      <c r="AP185">
        <f t="shared" si="240"/>
        <v>0</v>
      </c>
      <c r="AQ185">
        <f t="shared" si="240"/>
        <v>0</v>
      </c>
      <c r="AR185">
        <f t="shared" si="240"/>
        <v>0</v>
      </c>
      <c r="AS185">
        <f t="shared" si="240"/>
        <v>0</v>
      </c>
      <c r="AT185">
        <f t="shared" si="240"/>
        <v>0</v>
      </c>
      <c r="AU185">
        <f t="shared" si="240"/>
        <v>0</v>
      </c>
      <c r="AV185">
        <f t="shared" si="240"/>
        <v>0</v>
      </c>
      <c r="AW185">
        <f t="shared" si="240"/>
        <v>0</v>
      </c>
      <c r="AX185">
        <f t="shared" si="241"/>
        <v>0</v>
      </c>
      <c r="AY185">
        <f t="shared" si="241"/>
        <v>0</v>
      </c>
      <c r="AZ185">
        <f t="shared" si="241"/>
        <v>0</v>
      </c>
      <c r="BA185">
        <f t="shared" si="241"/>
        <v>0</v>
      </c>
      <c r="BB185">
        <f t="shared" si="241"/>
        <v>0</v>
      </c>
      <c r="BC185">
        <f t="shared" si="241"/>
        <v>0</v>
      </c>
      <c r="BD185">
        <f t="shared" si="241"/>
        <v>0</v>
      </c>
      <c r="BE185">
        <f t="shared" si="241"/>
        <v>0</v>
      </c>
      <c r="BF185">
        <f t="shared" si="241"/>
        <v>0</v>
      </c>
      <c r="BG185">
        <f t="shared" si="241"/>
        <v>0</v>
      </c>
      <c r="BH185">
        <f t="shared" si="242"/>
        <v>0</v>
      </c>
      <c r="BI185">
        <f t="shared" si="242"/>
        <v>0</v>
      </c>
      <c r="BJ185">
        <f t="shared" si="242"/>
        <v>0</v>
      </c>
      <c r="BK185">
        <f t="shared" si="242"/>
        <v>0</v>
      </c>
      <c r="BL185">
        <f t="shared" si="242"/>
        <v>0</v>
      </c>
      <c r="BM185">
        <f t="shared" si="242"/>
        <v>0</v>
      </c>
      <c r="BN185">
        <f t="shared" si="242"/>
        <v>0</v>
      </c>
      <c r="BO185">
        <f t="shared" si="242"/>
        <v>0</v>
      </c>
      <c r="BP185">
        <f t="shared" si="242"/>
        <v>0</v>
      </c>
      <c r="BQ185">
        <f t="shared" si="242"/>
        <v>0</v>
      </c>
      <c r="BR185">
        <f t="shared" si="243"/>
        <v>0</v>
      </c>
      <c r="BS185">
        <f t="shared" si="243"/>
        <v>0</v>
      </c>
      <c r="BT185">
        <f t="shared" si="243"/>
        <v>0</v>
      </c>
      <c r="BU185">
        <f t="shared" si="243"/>
        <v>0</v>
      </c>
      <c r="BV185">
        <f t="shared" si="243"/>
        <v>0</v>
      </c>
      <c r="BW185">
        <f t="shared" si="243"/>
        <v>0</v>
      </c>
      <c r="BX185">
        <f t="shared" si="243"/>
        <v>0</v>
      </c>
      <c r="BY185">
        <f t="shared" si="243"/>
        <v>0</v>
      </c>
      <c r="BZ185">
        <f t="shared" si="243"/>
        <v>0</v>
      </c>
      <c r="CA185">
        <f t="shared" si="243"/>
        <v>0</v>
      </c>
      <c r="CB185">
        <f t="shared" si="244"/>
        <v>0</v>
      </c>
      <c r="CC185">
        <f t="shared" si="244"/>
        <v>0</v>
      </c>
      <c r="CD185">
        <f t="shared" si="244"/>
        <v>0</v>
      </c>
      <c r="CE185">
        <f t="shared" si="244"/>
        <v>0</v>
      </c>
      <c r="CF185">
        <f t="shared" si="244"/>
        <v>0</v>
      </c>
      <c r="CG185">
        <f t="shared" si="244"/>
        <v>0</v>
      </c>
      <c r="CH185">
        <f t="shared" si="244"/>
        <v>0</v>
      </c>
      <c r="CI185">
        <f t="shared" si="244"/>
        <v>0</v>
      </c>
      <c r="CJ185">
        <f t="shared" si="244"/>
        <v>0</v>
      </c>
      <c r="CK185">
        <f t="shared" si="244"/>
        <v>0</v>
      </c>
      <c r="CL185">
        <f t="shared" si="245"/>
        <v>0</v>
      </c>
      <c r="CM185">
        <f t="shared" si="245"/>
        <v>0</v>
      </c>
      <c r="CN185">
        <f t="shared" si="245"/>
        <v>0</v>
      </c>
      <c r="CO185">
        <f t="shared" si="245"/>
        <v>0</v>
      </c>
      <c r="CP185">
        <f t="shared" si="245"/>
        <v>0</v>
      </c>
      <c r="CQ185">
        <f t="shared" si="245"/>
        <v>0</v>
      </c>
      <c r="CR185">
        <f t="shared" si="245"/>
        <v>0</v>
      </c>
      <c r="CS185">
        <f t="shared" si="245"/>
        <v>0</v>
      </c>
      <c r="CT185">
        <f t="shared" si="245"/>
        <v>0</v>
      </c>
      <c r="CU185">
        <f t="shared" si="245"/>
        <v>0</v>
      </c>
      <c r="CV185">
        <f t="shared" si="246"/>
        <v>0</v>
      </c>
      <c r="CW185">
        <f t="shared" si="246"/>
        <v>0</v>
      </c>
      <c r="CX185">
        <f t="shared" si="246"/>
        <v>0</v>
      </c>
      <c r="CY185">
        <f t="shared" si="246"/>
        <v>0</v>
      </c>
      <c r="CZ185">
        <f t="shared" si="246"/>
        <v>0</v>
      </c>
      <c r="DA185">
        <f t="shared" si="246"/>
        <v>0</v>
      </c>
      <c r="DB185">
        <f t="shared" si="246"/>
        <v>0</v>
      </c>
      <c r="DC185">
        <f t="shared" si="246"/>
        <v>0</v>
      </c>
      <c r="DD185">
        <f t="shared" si="246"/>
        <v>0</v>
      </c>
      <c r="DE185">
        <f t="shared" si="246"/>
        <v>0</v>
      </c>
      <c r="DF185">
        <f t="shared" si="247"/>
        <v>0</v>
      </c>
      <c r="DG185">
        <f t="shared" si="247"/>
        <v>0</v>
      </c>
      <c r="DH185">
        <f t="shared" si="247"/>
        <v>0</v>
      </c>
      <c r="DI185">
        <f t="shared" si="247"/>
        <v>0</v>
      </c>
      <c r="DJ185">
        <f t="shared" si="247"/>
        <v>0</v>
      </c>
      <c r="DK185">
        <f t="shared" si="247"/>
        <v>0</v>
      </c>
      <c r="DL185">
        <f t="shared" si="247"/>
        <v>0</v>
      </c>
      <c r="DM185">
        <f t="shared" si="247"/>
        <v>0</v>
      </c>
      <c r="DN185">
        <f t="shared" si="247"/>
        <v>0</v>
      </c>
      <c r="DO185">
        <f t="shared" si="247"/>
        <v>0</v>
      </c>
      <c r="DP185">
        <f t="shared" si="248"/>
        <v>0</v>
      </c>
      <c r="DQ185">
        <f t="shared" si="248"/>
        <v>0</v>
      </c>
      <c r="DR185">
        <f t="shared" si="248"/>
        <v>0</v>
      </c>
      <c r="DS185">
        <f t="shared" si="248"/>
        <v>0</v>
      </c>
      <c r="DT185">
        <f t="shared" si="248"/>
        <v>0</v>
      </c>
      <c r="DU185">
        <f t="shared" si="248"/>
        <v>0</v>
      </c>
      <c r="DV185">
        <f t="shared" si="248"/>
        <v>0</v>
      </c>
      <c r="DW185">
        <f t="shared" si="248"/>
        <v>0</v>
      </c>
      <c r="DX185">
        <f t="shared" si="248"/>
        <v>0</v>
      </c>
      <c r="DY185">
        <f t="shared" si="248"/>
        <v>0</v>
      </c>
      <c r="DZ185">
        <f t="shared" si="249"/>
        <v>0</v>
      </c>
      <c r="EA185">
        <f t="shared" si="249"/>
        <v>0</v>
      </c>
      <c r="EB185">
        <f t="shared" si="249"/>
        <v>0</v>
      </c>
      <c r="EC185">
        <f t="shared" si="249"/>
        <v>0</v>
      </c>
      <c r="ED185">
        <f t="shared" si="249"/>
        <v>0</v>
      </c>
      <c r="EE185">
        <f t="shared" si="249"/>
        <v>0</v>
      </c>
      <c r="EF185">
        <f t="shared" si="249"/>
        <v>0</v>
      </c>
      <c r="EG185">
        <f t="shared" si="249"/>
        <v>0</v>
      </c>
      <c r="EH185">
        <f t="shared" si="249"/>
        <v>0</v>
      </c>
      <c r="EI185">
        <f t="shared" si="249"/>
        <v>0</v>
      </c>
      <c r="EJ185">
        <f>SUM(Tabla1[[#This Row],[1]:[130]])</f>
        <v>0</v>
      </c>
    </row>
    <row r="186" spans="1:140" x14ac:dyDescent="0.25">
      <c r="A186" t="str">
        <f>B186&amp;"-"&amp;COUNTIF($B$2:B186,B186)</f>
        <v>I. PULPA LIMON-5</v>
      </c>
      <c r="B186" s="35" t="s">
        <v>106</v>
      </c>
      <c r="C186">
        <f>VLOOKUP(B186,RECETAS!D185:$E$1700,2,FALSE)</f>
        <v>60</v>
      </c>
      <c r="D186" s="34"/>
      <c r="G186" t="b">
        <f t="shared" si="171"/>
        <v>1</v>
      </c>
      <c r="I186" s="35" t="s">
        <v>123</v>
      </c>
      <c r="J186">
        <f t="shared" si="237"/>
        <v>675</v>
      </c>
      <c r="K186">
        <f t="shared" si="237"/>
        <v>225</v>
      </c>
      <c r="L186">
        <f t="shared" si="237"/>
        <v>0</v>
      </c>
      <c r="M186">
        <f t="shared" si="237"/>
        <v>300</v>
      </c>
      <c r="N186">
        <f t="shared" si="237"/>
        <v>360</v>
      </c>
      <c r="O186">
        <f t="shared" si="237"/>
        <v>0</v>
      </c>
      <c r="P186">
        <f t="shared" si="237"/>
        <v>75</v>
      </c>
      <c r="Q186">
        <f t="shared" si="237"/>
        <v>0</v>
      </c>
      <c r="R186">
        <f t="shared" si="237"/>
        <v>0</v>
      </c>
      <c r="S186">
        <f t="shared" si="237"/>
        <v>0</v>
      </c>
      <c r="T186">
        <f t="shared" si="238"/>
        <v>0</v>
      </c>
      <c r="U186">
        <f t="shared" si="238"/>
        <v>0</v>
      </c>
      <c r="V186">
        <f t="shared" si="238"/>
        <v>0</v>
      </c>
      <c r="W186">
        <f t="shared" si="238"/>
        <v>0</v>
      </c>
      <c r="X186">
        <f t="shared" si="238"/>
        <v>0</v>
      </c>
      <c r="Y186">
        <f t="shared" si="238"/>
        <v>300</v>
      </c>
      <c r="Z186">
        <f t="shared" si="238"/>
        <v>150</v>
      </c>
      <c r="AA186">
        <f t="shared" si="238"/>
        <v>75</v>
      </c>
      <c r="AB186">
        <f t="shared" si="238"/>
        <v>0</v>
      </c>
      <c r="AC186">
        <f t="shared" si="238"/>
        <v>0</v>
      </c>
      <c r="AD186">
        <f t="shared" si="239"/>
        <v>0</v>
      </c>
      <c r="AE186">
        <f t="shared" si="239"/>
        <v>0</v>
      </c>
      <c r="AF186">
        <f t="shared" si="239"/>
        <v>0</v>
      </c>
      <c r="AG186">
        <f t="shared" si="239"/>
        <v>0</v>
      </c>
      <c r="AH186">
        <f t="shared" si="239"/>
        <v>0</v>
      </c>
      <c r="AI186">
        <f t="shared" si="239"/>
        <v>0</v>
      </c>
      <c r="AJ186">
        <f t="shared" si="239"/>
        <v>0</v>
      </c>
      <c r="AK186">
        <f t="shared" si="239"/>
        <v>0</v>
      </c>
      <c r="AL186">
        <f t="shared" si="239"/>
        <v>0</v>
      </c>
      <c r="AM186">
        <f t="shared" si="239"/>
        <v>0</v>
      </c>
      <c r="AN186">
        <f t="shared" si="240"/>
        <v>0</v>
      </c>
      <c r="AO186">
        <f t="shared" si="240"/>
        <v>0</v>
      </c>
      <c r="AP186">
        <f t="shared" si="240"/>
        <v>0</v>
      </c>
      <c r="AQ186">
        <f t="shared" si="240"/>
        <v>0</v>
      </c>
      <c r="AR186">
        <f t="shared" si="240"/>
        <v>0</v>
      </c>
      <c r="AS186">
        <f t="shared" si="240"/>
        <v>0</v>
      </c>
      <c r="AT186">
        <f t="shared" si="240"/>
        <v>0</v>
      </c>
      <c r="AU186">
        <f t="shared" si="240"/>
        <v>0</v>
      </c>
      <c r="AV186">
        <f t="shared" si="240"/>
        <v>0</v>
      </c>
      <c r="AW186">
        <f t="shared" si="240"/>
        <v>0</v>
      </c>
      <c r="AX186">
        <f t="shared" si="241"/>
        <v>0</v>
      </c>
      <c r="AY186">
        <f t="shared" si="241"/>
        <v>0</v>
      </c>
      <c r="AZ186">
        <f t="shared" si="241"/>
        <v>0</v>
      </c>
      <c r="BA186">
        <f t="shared" si="241"/>
        <v>0</v>
      </c>
      <c r="BB186">
        <f t="shared" si="241"/>
        <v>0</v>
      </c>
      <c r="BC186">
        <f t="shared" si="241"/>
        <v>0</v>
      </c>
      <c r="BD186">
        <f t="shared" si="241"/>
        <v>0</v>
      </c>
      <c r="BE186">
        <f t="shared" si="241"/>
        <v>0</v>
      </c>
      <c r="BF186">
        <f t="shared" si="241"/>
        <v>0</v>
      </c>
      <c r="BG186">
        <f t="shared" si="241"/>
        <v>0</v>
      </c>
      <c r="BH186">
        <f t="shared" si="242"/>
        <v>0</v>
      </c>
      <c r="BI186">
        <f t="shared" si="242"/>
        <v>0</v>
      </c>
      <c r="BJ186">
        <f t="shared" si="242"/>
        <v>0</v>
      </c>
      <c r="BK186">
        <f t="shared" si="242"/>
        <v>0</v>
      </c>
      <c r="BL186">
        <f t="shared" si="242"/>
        <v>0</v>
      </c>
      <c r="BM186">
        <f t="shared" si="242"/>
        <v>0</v>
      </c>
      <c r="BN186">
        <f t="shared" si="242"/>
        <v>0</v>
      </c>
      <c r="BO186">
        <f t="shared" si="242"/>
        <v>0</v>
      </c>
      <c r="BP186">
        <f t="shared" si="242"/>
        <v>0</v>
      </c>
      <c r="BQ186">
        <f t="shared" si="242"/>
        <v>0</v>
      </c>
      <c r="BR186">
        <f t="shared" si="243"/>
        <v>0</v>
      </c>
      <c r="BS186">
        <f t="shared" si="243"/>
        <v>0</v>
      </c>
      <c r="BT186">
        <f t="shared" si="243"/>
        <v>0</v>
      </c>
      <c r="BU186">
        <f t="shared" si="243"/>
        <v>0</v>
      </c>
      <c r="BV186">
        <f t="shared" si="243"/>
        <v>0</v>
      </c>
      <c r="BW186">
        <f t="shared" si="243"/>
        <v>0</v>
      </c>
      <c r="BX186">
        <f t="shared" si="243"/>
        <v>0</v>
      </c>
      <c r="BY186">
        <f t="shared" si="243"/>
        <v>0</v>
      </c>
      <c r="BZ186">
        <f t="shared" si="243"/>
        <v>0</v>
      </c>
      <c r="CA186">
        <f t="shared" si="243"/>
        <v>0</v>
      </c>
      <c r="CB186">
        <f t="shared" si="244"/>
        <v>0</v>
      </c>
      <c r="CC186">
        <f t="shared" si="244"/>
        <v>0</v>
      </c>
      <c r="CD186">
        <f t="shared" si="244"/>
        <v>0</v>
      </c>
      <c r="CE186">
        <f t="shared" si="244"/>
        <v>0</v>
      </c>
      <c r="CF186">
        <f t="shared" si="244"/>
        <v>0</v>
      </c>
      <c r="CG186">
        <f t="shared" si="244"/>
        <v>0</v>
      </c>
      <c r="CH186">
        <f t="shared" si="244"/>
        <v>0</v>
      </c>
      <c r="CI186">
        <f t="shared" si="244"/>
        <v>0</v>
      </c>
      <c r="CJ186">
        <f t="shared" si="244"/>
        <v>0</v>
      </c>
      <c r="CK186">
        <f t="shared" si="244"/>
        <v>0</v>
      </c>
      <c r="CL186">
        <f t="shared" si="245"/>
        <v>0</v>
      </c>
      <c r="CM186">
        <f t="shared" si="245"/>
        <v>0</v>
      </c>
      <c r="CN186">
        <f t="shared" si="245"/>
        <v>0</v>
      </c>
      <c r="CO186">
        <f t="shared" si="245"/>
        <v>0</v>
      </c>
      <c r="CP186">
        <f t="shared" si="245"/>
        <v>0</v>
      </c>
      <c r="CQ186">
        <f t="shared" si="245"/>
        <v>0</v>
      </c>
      <c r="CR186">
        <f t="shared" si="245"/>
        <v>0</v>
      </c>
      <c r="CS186">
        <f t="shared" si="245"/>
        <v>0</v>
      </c>
      <c r="CT186">
        <f t="shared" si="245"/>
        <v>0</v>
      </c>
      <c r="CU186">
        <f t="shared" si="245"/>
        <v>0</v>
      </c>
      <c r="CV186">
        <f t="shared" si="246"/>
        <v>0</v>
      </c>
      <c r="CW186">
        <f t="shared" si="246"/>
        <v>0</v>
      </c>
      <c r="CX186">
        <f t="shared" si="246"/>
        <v>0</v>
      </c>
      <c r="CY186">
        <f t="shared" si="246"/>
        <v>0</v>
      </c>
      <c r="CZ186">
        <f t="shared" si="246"/>
        <v>0</v>
      </c>
      <c r="DA186">
        <f t="shared" si="246"/>
        <v>0</v>
      </c>
      <c r="DB186">
        <f t="shared" si="246"/>
        <v>0</v>
      </c>
      <c r="DC186">
        <f t="shared" si="246"/>
        <v>0</v>
      </c>
      <c r="DD186">
        <f t="shared" si="246"/>
        <v>0</v>
      </c>
      <c r="DE186">
        <f t="shared" si="246"/>
        <v>0</v>
      </c>
      <c r="DF186">
        <f t="shared" si="247"/>
        <v>0</v>
      </c>
      <c r="DG186">
        <f t="shared" si="247"/>
        <v>0</v>
      </c>
      <c r="DH186">
        <f t="shared" si="247"/>
        <v>0</v>
      </c>
      <c r="DI186">
        <f t="shared" si="247"/>
        <v>0</v>
      </c>
      <c r="DJ186">
        <f t="shared" si="247"/>
        <v>0</v>
      </c>
      <c r="DK186">
        <f t="shared" si="247"/>
        <v>0</v>
      </c>
      <c r="DL186">
        <f t="shared" si="247"/>
        <v>0</v>
      </c>
      <c r="DM186">
        <f t="shared" si="247"/>
        <v>0</v>
      </c>
      <c r="DN186">
        <f t="shared" si="247"/>
        <v>0</v>
      </c>
      <c r="DO186">
        <f t="shared" si="247"/>
        <v>0</v>
      </c>
      <c r="DP186">
        <f t="shared" si="248"/>
        <v>0</v>
      </c>
      <c r="DQ186">
        <f t="shared" si="248"/>
        <v>0</v>
      </c>
      <c r="DR186">
        <f t="shared" si="248"/>
        <v>0</v>
      </c>
      <c r="DS186">
        <f t="shared" si="248"/>
        <v>0</v>
      </c>
      <c r="DT186">
        <f t="shared" si="248"/>
        <v>0</v>
      </c>
      <c r="DU186">
        <f t="shared" si="248"/>
        <v>0</v>
      </c>
      <c r="DV186">
        <f t="shared" si="248"/>
        <v>0</v>
      </c>
      <c r="DW186">
        <f t="shared" si="248"/>
        <v>0</v>
      </c>
      <c r="DX186">
        <f t="shared" si="248"/>
        <v>0</v>
      </c>
      <c r="DY186">
        <f t="shared" si="248"/>
        <v>0</v>
      </c>
      <c r="DZ186">
        <f t="shared" si="249"/>
        <v>0</v>
      </c>
      <c r="EA186">
        <f t="shared" si="249"/>
        <v>0</v>
      </c>
      <c r="EB186">
        <f t="shared" si="249"/>
        <v>0</v>
      </c>
      <c r="EC186">
        <f t="shared" si="249"/>
        <v>0</v>
      </c>
      <c r="ED186">
        <f t="shared" si="249"/>
        <v>0</v>
      </c>
      <c r="EE186">
        <f t="shared" si="249"/>
        <v>0</v>
      </c>
      <c r="EF186">
        <f t="shared" si="249"/>
        <v>0</v>
      </c>
      <c r="EG186">
        <f t="shared" si="249"/>
        <v>0</v>
      </c>
      <c r="EH186">
        <f t="shared" si="249"/>
        <v>0</v>
      </c>
      <c r="EI186">
        <f t="shared" si="249"/>
        <v>0</v>
      </c>
      <c r="EJ186">
        <f>SUM(Tabla1[[#This Row],[1]:[130]])</f>
        <v>2160</v>
      </c>
    </row>
    <row r="187" spans="1:140" x14ac:dyDescent="0.25">
      <c r="A187" t="str">
        <f>B187&amp;"-"&amp;COUNTIF($B$2:B187,B187)</f>
        <v>I. AZUCAR FLOR-10</v>
      </c>
      <c r="B187" s="35" t="s">
        <v>51</v>
      </c>
      <c r="C187">
        <f>VLOOKUP(B187,RECETAS!D186:$E$1700,2,FALSE)</f>
        <v>60</v>
      </c>
      <c r="D187" s="34"/>
      <c r="G187" t="b">
        <f t="shared" si="171"/>
        <v>1</v>
      </c>
      <c r="I187" s="35" t="s">
        <v>124</v>
      </c>
      <c r="J187">
        <f t="shared" si="237"/>
        <v>675</v>
      </c>
      <c r="K187">
        <f t="shared" si="237"/>
        <v>1650</v>
      </c>
      <c r="L187">
        <f t="shared" si="237"/>
        <v>0</v>
      </c>
      <c r="M187">
        <f t="shared" si="237"/>
        <v>0</v>
      </c>
      <c r="N187">
        <f t="shared" si="237"/>
        <v>0</v>
      </c>
      <c r="O187">
        <f t="shared" si="237"/>
        <v>0</v>
      </c>
      <c r="P187">
        <f t="shared" si="237"/>
        <v>0</v>
      </c>
      <c r="Q187">
        <f t="shared" si="237"/>
        <v>0</v>
      </c>
      <c r="R187">
        <f t="shared" si="237"/>
        <v>0</v>
      </c>
      <c r="S187">
        <f t="shared" si="237"/>
        <v>0</v>
      </c>
      <c r="T187">
        <f t="shared" si="238"/>
        <v>0</v>
      </c>
      <c r="U187">
        <f t="shared" si="238"/>
        <v>0</v>
      </c>
      <c r="V187">
        <f t="shared" si="238"/>
        <v>0</v>
      </c>
      <c r="W187">
        <f t="shared" si="238"/>
        <v>0</v>
      </c>
      <c r="X187">
        <f t="shared" si="238"/>
        <v>0</v>
      </c>
      <c r="Y187">
        <f t="shared" si="238"/>
        <v>0</v>
      </c>
      <c r="Z187">
        <f t="shared" si="238"/>
        <v>0</v>
      </c>
      <c r="AA187">
        <f t="shared" si="238"/>
        <v>0</v>
      </c>
      <c r="AB187">
        <f t="shared" si="238"/>
        <v>0</v>
      </c>
      <c r="AC187">
        <f t="shared" si="238"/>
        <v>0</v>
      </c>
      <c r="AD187">
        <f t="shared" si="239"/>
        <v>0</v>
      </c>
      <c r="AE187">
        <f t="shared" si="239"/>
        <v>0</v>
      </c>
      <c r="AF187">
        <f t="shared" si="239"/>
        <v>0</v>
      </c>
      <c r="AG187">
        <f t="shared" si="239"/>
        <v>0</v>
      </c>
      <c r="AH187">
        <f t="shared" si="239"/>
        <v>0</v>
      </c>
      <c r="AI187">
        <f t="shared" si="239"/>
        <v>0</v>
      </c>
      <c r="AJ187">
        <f t="shared" si="239"/>
        <v>0</v>
      </c>
      <c r="AK187">
        <f t="shared" si="239"/>
        <v>0</v>
      </c>
      <c r="AL187">
        <f t="shared" si="239"/>
        <v>0</v>
      </c>
      <c r="AM187">
        <f t="shared" si="239"/>
        <v>0</v>
      </c>
      <c r="AN187">
        <f t="shared" si="240"/>
        <v>0</v>
      </c>
      <c r="AO187">
        <f t="shared" si="240"/>
        <v>0</v>
      </c>
      <c r="AP187">
        <f t="shared" si="240"/>
        <v>0</v>
      </c>
      <c r="AQ187">
        <f t="shared" si="240"/>
        <v>0</v>
      </c>
      <c r="AR187">
        <f t="shared" si="240"/>
        <v>0</v>
      </c>
      <c r="AS187">
        <f t="shared" si="240"/>
        <v>0</v>
      </c>
      <c r="AT187">
        <f t="shared" si="240"/>
        <v>0</v>
      </c>
      <c r="AU187">
        <f t="shared" si="240"/>
        <v>0</v>
      </c>
      <c r="AV187">
        <f t="shared" si="240"/>
        <v>0</v>
      </c>
      <c r="AW187">
        <f t="shared" si="240"/>
        <v>0</v>
      </c>
      <c r="AX187">
        <f t="shared" si="241"/>
        <v>0</v>
      </c>
      <c r="AY187">
        <f t="shared" si="241"/>
        <v>0</v>
      </c>
      <c r="AZ187">
        <f t="shared" si="241"/>
        <v>0</v>
      </c>
      <c r="BA187">
        <f t="shared" si="241"/>
        <v>0</v>
      </c>
      <c r="BB187">
        <f t="shared" si="241"/>
        <v>0</v>
      </c>
      <c r="BC187">
        <f t="shared" si="241"/>
        <v>0</v>
      </c>
      <c r="BD187">
        <f t="shared" si="241"/>
        <v>0</v>
      </c>
      <c r="BE187">
        <f t="shared" si="241"/>
        <v>0</v>
      </c>
      <c r="BF187">
        <f t="shared" si="241"/>
        <v>0</v>
      </c>
      <c r="BG187">
        <f t="shared" si="241"/>
        <v>0</v>
      </c>
      <c r="BH187">
        <f t="shared" si="242"/>
        <v>0</v>
      </c>
      <c r="BI187">
        <f t="shared" si="242"/>
        <v>0</v>
      </c>
      <c r="BJ187">
        <f t="shared" si="242"/>
        <v>0</v>
      </c>
      <c r="BK187">
        <f t="shared" si="242"/>
        <v>0</v>
      </c>
      <c r="BL187">
        <f t="shared" si="242"/>
        <v>0</v>
      </c>
      <c r="BM187">
        <f t="shared" si="242"/>
        <v>0</v>
      </c>
      <c r="BN187">
        <f t="shared" si="242"/>
        <v>0</v>
      </c>
      <c r="BO187">
        <f t="shared" si="242"/>
        <v>0</v>
      </c>
      <c r="BP187">
        <f t="shared" si="242"/>
        <v>0</v>
      </c>
      <c r="BQ187">
        <f t="shared" si="242"/>
        <v>0</v>
      </c>
      <c r="BR187">
        <f t="shared" si="243"/>
        <v>0</v>
      </c>
      <c r="BS187">
        <f t="shared" si="243"/>
        <v>0</v>
      </c>
      <c r="BT187">
        <f t="shared" si="243"/>
        <v>0</v>
      </c>
      <c r="BU187">
        <f t="shared" si="243"/>
        <v>0</v>
      </c>
      <c r="BV187">
        <f t="shared" si="243"/>
        <v>0</v>
      </c>
      <c r="BW187">
        <f t="shared" si="243"/>
        <v>0</v>
      </c>
      <c r="BX187">
        <f t="shared" si="243"/>
        <v>0</v>
      </c>
      <c r="BY187">
        <f t="shared" si="243"/>
        <v>0</v>
      </c>
      <c r="BZ187">
        <f t="shared" si="243"/>
        <v>0</v>
      </c>
      <c r="CA187">
        <f t="shared" si="243"/>
        <v>0</v>
      </c>
      <c r="CB187">
        <f t="shared" si="244"/>
        <v>0</v>
      </c>
      <c r="CC187">
        <f t="shared" si="244"/>
        <v>0</v>
      </c>
      <c r="CD187">
        <f t="shared" si="244"/>
        <v>0</v>
      </c>
      <c r="CE187">
        <f t="shared" si="244"/>
        <v>0</v>
      </c>
      <c r="CF187">
        <f t="shared" si="244"/>
        <v>0</v>
      </c>
      <c r="CG187">
        <f t="shared" si="244"/>
        <v>0</v>
      </c>
      <c r="CH187">
        <f t="shared" si="244"/>
        <v>0</v>
      </c>
      <c r="CI187">
        <f t="shared" si="244"/>
        <v>0</v>
      </c>
      <c r="CJ187">
        <f t="shared" si="244"/>
        <v>0</v>
      </c>
      <c r="CK187">
        <f t="shared" si="244"/>
        <v>0</v>
      </c>
      <c r="CL187">
        <f t="shared" si="245"/>
        <v>0</v>
      </c>
      <c r="CM187">
        <f t="shared" si="245"/>
        <v>0</v>
      </c>
      <c r="CN187">
        <f t="shared" si="245"/>
        <v>0</v>
      </c>
      <c r="CO187">
        <f t="shared" si="245"/>
        <v>0</v>
      </c>
      <c r="CP187">
        <f t="shared" si="245"/>
        <v>0</v>
      </c>
      <c r="CQ187">
        <f t="shared" si="245"/>
        <v>0</v>
      </c>
      <c r="CR187">
        <f t="shared" si="245"/>
        <v>0</v>
      </c>
      <c r="CS187">
        <f t="shared" si="245"/>
        <v>0</v>
      </c>
      <c r="CT187">
        <f t="shared" si="245"/>
        <v>0</v>
      </c>
      <c r="CU187">
        <f t="shared" si="245"/>
        <v>0</v>
      </c>
      <c r="CV187">
        <f t="shared" si="246"/>
        <v>0</v>
      </c>
      <c r="CW187">
        <f t="shared" si="246"/>
        <v>0</v>
      </c>
      <c r="CX187">
        <f t="shared" si="246"/>
        <v>0</v>
      </c>
      <c r="CY187">
        <f t="shared" si="246"/>
        <v>0</v>
      </c>
      <c r="CZ187">
        <f t="shared" si="246"/>
        <v>0</v>
      </c>
      <c r="DA187">
        <f t="shared" si="246"/>
        <v>0</v>
      </c>
      <c r="DB187">
        <f t="shared" si="246"/>
        <v>0</v>
      </c>
      <c r="DC187">
        <f t="shared" si="246"/>
        <v>0</v>
      </c>
      <c r="DD187">
        <f t="shared" si="246"/>
        <v>0</v>
      </c>
      <c r="DE187">
        <f t="shared" si="246"/>
        <v>0</v>
      </c>
      <c r="DF187">
        <f t="shared" si="247"/>
        <v>0</v>
      </c>
      <c r="DG187">
        <f t="shared" si="247"/>
        <v>0</v>
      </c>
      <c r="DH187">
        <f t="shared" si="247"/>
        <v>0</v>
      </c>
      <c r="DI187">
        <f t="shared" si="247"/>
        <v>0</v>
      </c>
      <c r="DJ187">
        <f t="shared" si="247"/>
        <v>0</v>
      </c>
      <c r="DK187">
        <f t="shared" si="247"/>
        <v>0</v>
      </c>
      <c r="DL187">
        <f t="shared" si="247"/>
        <v>0</v>
      </c>
      <c r="DM187">
        <f t="shared" si="247"/>
        <v>0</v>
      </c>
      <c r="DN187">
        <f t="shared" si="247"/>
        <v>0</v>
      </c>
      <c r="DO187">
        <f t="shared" si="247"/>
        <v>0</v>
      </c>
      <c r="DP187">
        <f t="shared" si="248"/>
        <v>0</v>
      </c>
      <c r="DQ187">
        <f t="shared" si="248"/>
        <v>0</v>
      </c>
      <c r="DR187">
        <f t="shared" si="248"/>
        <v>0</v>
      </c>
      <c r="DS187">
        <f t="shared" si="248"/>
        <v>0</v>
      </c>
      <c r="DT187">
        <f t="shared" si="248"/>
        <v>0</v>
      </c>
      <c r="DU187">
        <f t="shared" si="248"/>
        <v>0</v>
      </c>
      <c r="DV187">
        <f t="shared" si="248"/>
        <v>0</v>
      </c>
      <c r="DW187">
        <f t="shared" si="248"/>
        <v>0</v>
      </c>
      <c r="DX187">
        <f t="shared" si="248"/>
        <v>0</v>
      </c>
      <c r="DY187">
        <f t="shared" si="248"/>
        <v>0</v>
      </c>
      <c r="DZ187">
        <f t="shared" si="249"/>
        <v>0</v>
      </c>
      <c r="EA187">
        <f t="shared" si="249"/>
        <v>0</v>
      </c>
      <c r="EB187">
        <f t="shared" si="249"/>
        <v>0</v>
      </c>
      <c r="EC187">
        <f t="shared" si="249"/>
        <v>0</v>
      </c>
      <c r="ED187">
        <f t="shared" si="249"/>
        <v>0</v>
      </c>
      <c r="EE187">
        <f t="shared" si="249"/>
        <v>0</v>
      </c>
      <c r="EF187">
        <f t="shared" si="249"/>
        <v>0</v>
      </c>
      <c r="EG187">
        <f t="shared" si="249"/>
        <v>0</v>
      </c>
      <c r="EH187">
        <f t="shared" si="249"/>
        <v>0</v>
      </c>
      <c r="EI187">
        <f t="shared" si="249"/>
        <v>0</v>
      </c>
      <c r="EJ187">
        <f>SUM(Tabla1[[#This Row],[1]:[130]])</f>
        <v>2325</v>
      </c>
    </row>
    <row r="188" spans="1:140" ht="15.75" thickBot="1" x14ac:dyDescent="0.3">
      <c r="A188" t="str">
        <f>B188&amp;"-"&amp;COUNTIF($B$2:B188,B188)</f>
        <v>I. TRIPLE SEC-3</v>
      </c>
      <c r="B188" s="33" t="s">
        <v>128</v>
      </c>
      <c r="C188">
        <f>VLOOKUP(B188,RECETAS!D187:$E$1700,2,FALSE)</f>
        <v>30</v>
      </c>
      <c r="D188" s="32"/>
      <c r="G188" t="b">
        <f t="shared" si="171"/>
        <v>1</v>
      </c>
      <c r="I188" s="39" t="s">
        <v>278</v>
      </c>
      <c r="J188">
        <f t="shared" si="237"/>
        <v>75</v>
      </c>
      <c r="K188">
        <f t="shared" si="237"/>
        <v>0</v>
      </c>
      <c r="L188">
        <f t="shared" si="237"/>
        <v>0</v>
      </c>
      <c r="M188">
        <f t="shared" si="237"/>
        <v>0</v>
      </c>
      <c r="N188">
        <f t="shared" si="237"/>
        <v>0</v>
      </c>
      <c r="O188">
        <f t="shared" si="237"/>
        <v>0</v>
      </c>
      <c r="P188">
        <f t="shared" si="237"/>
        <v>0</v>
      </c>
      <c r="Q188">
        <f t="shared" si="237"/>
        <v>0</v>
      </c>
      <c r="R188">
        <f t="shared" si="237"/>
        <v>0</v>
      </c>
      <c r="S188">
        <f t="shared" si="237"/>
        <v>0</v>
      </c>
      <c r="T188">
        <f t="shared" si="238"/>
        <v>0</v>
      </c>
      <c r="U188">
        <f t="shared" si="238"/>
        <v>0</v>
      </c>
      <c r="V188">
        <f t="shared" si="238"/>
        <v>0</v>
      </c>
      <c r="W188">
        <f t="shared" si="238"/>
        <v>0</v>
      </c>
      <c r="X188">
        <f t="shared" si="238"/>
        <v>0</v>
      </c>
      <c r="Y188">
        <f t="shared" si="238"/>
        <v>0</v>
      </c>
      <c r="Z188">
        <f t="shared" si="238"/>
        <v>0</v>
      </c>
      <c r="AA188">
        <f t="shared" si="238"/>
        <v>0</v>
      </c>
      <c r="AB188">
        <f t="shared" si="238"/>
        <v>0</v>
      </c>
      <c r="AC188">
        <f t="shared" si="238"/>
        <v>0</v>
      </c>
      <c r="AD188">
        <f t="shared" si="239"/>
        <v>0</v>
      </c>
      <c r="AE188">
        <f t="shared" si="239"/>
        <v>0</v>
      </c>
      <c r="AF188">
        <f t="shared" si="239"/>
        <v>0</v>
      </c>
      <c r="AG188">
        <f t="shared" si="239"/>
        <v>0</v>
      </c>
      <c r="AH188">
        <f t="shared" si="239"/>
        <v>0</v>
      </c>
      <c r="AI188">
        <f t="shared" si="239"/>
        <v>0</v>
      </c>
      <c r="AJ188">
        <f t="shared" si="239"/>
        <v>0</v>
      </c>
      <c r="AK188">
        <f t="shared" si="239"/>
        <v>0</v>
      </c>
      <c r="AL188">
        <f t="shared" si="239"/>
        <v>0</v>
      </c>
      <c r="AM188">
        <f t="shared" si="239"/>
        <v>0</v>
      </c>
      <c r="AN188">
        <f t="shared" si="240"/>
        <v>0</v>
      </c>
      <c r="AO188">
        <f t="shared" si="240"/>
        <v>0</v>
      </c>
      <c r="AP188">
        <f t="shared" si="240"/>
        <v>0</v>
      </c>
      <c r="AQ188">
        <f t="shared" si="240"/>
        <v>0</v>
      </c>
      <c r="AR188">
        <f t="shared" si="240"/>
        <v>0</v>
      </c>
      <c r="AS188">
        <f t="shared" si="240"/>
        <v>0</v>
      </c>
      <c r="AT188">
        <f t="shared" si="240"/>
        <v>0</v>
      </c>
      <c r="AU188">
        <f t="shared" si="240"/>
        <v>0</v>
      </c>
      <c r="AV188">
        <f t="shared" si="240"/>
        <v>0</v>
      </c>
      <c r="AW188">
        <f t="shared" si="240"/>
        <v>0</v>
      </c>
      <c r="AX188">
        <f t="shared" si="241"/>
        <v>0</v>
      </c>
      <c r="AY188">
        <f t="shared" si="241"/>
        <v>0</v>
      </c>
      <c r="AZ188">
        <f t="shared" si="241"/>
        <v>0</v>
      </c>
      <c r="BA188">
        <f t="shared" si="241"/>
        <v>0</v>
      </c>
      <c r="BB188">
        <f t="shared" si="241"/>
        <v>0</v>
      </c>
      <c r="BC188">
        <f t="shared" si="241"/>
        <v>0</v>
      </c>
      <c r="BD188">
        <f t="shared" si="241"/>
        <v>0</v>
      </c>
      <c r="BE188">
        <f t="shared" si="241"/>
        <v>0</v>
      </c>
      <c r="BF188">
        <f t="shared" si="241"/>
        <v>0</v>
      </c>
      <c r="BG188">
        <f t="shared" si="241"/>
        <v>0</v>
      </c>
      <c r="BH188">
        <f t="shared" si="242"/>
        <v>0</v>
      </c>
      <c r="BI188">
        <f t="shared" si="242"/>
        <v>0</v>
      </c>
      <c r="BJ188">
        <f t="shared" si="242"/>
        <v>0</v>
      </c>
      <c r="BK188">
        <f t="shared" si="242"/>
        <v>0</v>
      </c>
      <c r="BL188">
        <f t="shared" si="242"/>
        <v>0</v>
      </c>
      <c r="BM188">
        <f t="shared" si="242"/>
        <v>0</v>
      </c>
      <c r="BN188">
        <f t="shared" si="242"/>
        <v>0</v>
      </c>
      <c r="BO188">
        <f t="shared" si="242"/>
        <v>0</v>
      </c>
      <c r="BP188">
        <f t="shared" si="242"/>
        <v>0</v>
      </c>
      <c r="BQ188">
        <f t="shared" si="242"/>
        <v>0</v>
      </c>
      <c r="BR188">
        <f t="shared" si="243"/>
        <v>0</v>
      </c>
      <c r="BS188">
        <f t="shared" si="243"/>
        <v>0</v>
      </c>
      <c r="BT188">
        <f t="shared" si="243"/>
        <v>0</v>
      </c>
      <c r="BU188">
        <f t="shared" si="243"/>
        <v>0</v>
      </c>
      <c r="BV188">
        <f t="shared" si="243"/>
        <v>0</v>
      </c>
      <c r="BW188">
        <f t="shared" si="243"/>
        <v>0</v>
      </c>
      <c r="BX188">
        <f t="shared" si="243"/>
        <v>0</v>
      </c>
      <c r="BY188">
        <f t="shared" si="243"/>
        <v>0</v>
      </c>
      <c r="BZ188">
        <f t="shared" si="243"/>
        <v>0</v>
      </c>
      <c r="CA188">
        <f t="shared" si="243"/>
        <v>0</v>
      </c>
      <c r="CB188">
        <f t="shared" si="244"/>
        <v>0</v>
      </c>
      <c r="CC188">
        <f t="shared" si="244"/>
        <v>0</v>
      </c>
      <c r="CD188">
        <f t="shared" si="244"/>
        <v>0</v>
      </c>
      <c r="CE188">
        <f t="shared" si="244"/>
        <v>0</v>
      </c>
      <c r="CF188">
        <f t="shared" si="244"/>
        <v>0</v>
      </c>
      <c r="CG188">
        <f t="shared" si="244"/>
        <v>0</v>
      </c>
      <c r="CH188">
        <f t="shared" si="244"/>
        <v>0</v>
      </c>
      <c r="CI188">
        <f t="shared" si="244"/>
        <v>0</v>
      </c>
      <c r="CJ188">
        <f t="shared" si="244"/>
        <v>0</v>
      </c>
      <c r="CK188">
        <f t="shared" si="244"/>
        <v>0</v>
      </c>
      <c r="CL188">
        <f t="shared" si="245"/>
        <v>0</v>
      </c>
      <c r="CM188">
        <f t="shared" si="245"/>
        <v>0</v>
      </c>
      <c r="CN188">
        <f t="shared" si="245"/>
        <v>0</v>
      </c>
      <c r="CO188">
        <f t="shared" si="245"/>
        <v>0</v>
      </c>
      <c r="CP188">
        <f t="shared" si="245"/>
        <v>0</v>
      </c>
      <c r="CQ188">
        <f t="shared" si="245"/>
        <v>0</v>
      </c>
      <c r="CR188">
        <f t="shared" si="245"/>
        <v>0</v>
      </c>
      <c r="CS188">
        <f t="shared" si="245"/>
        <v>0</v>
      </c>
      <c r="CT188">
        <f t="shared" si="245"/>
        <v>0</v>
      </c>
      <c r="CU188">
        <f t="shared" si="245"/>
        <v>0</v>
      </c>
      <c r="CV188">
        <f t="shared" si="246"/>
        <v>0</v>
      </c>
      <c r="CW188">
        <f t="shared" si="246"/>
        <v>0</v>
      </c>
      <c r="CX188">
        <f t="shared" si="246"/>
        <v>0</v>
      </c>
      <c r="CY188">
        <f t="shared" si="246"/>
        <v>0</v>
      </c>
      <c r="CZ188">
        <f t="shared" si="246"/>
        <v>0</v>
      </c>
      <c r="DA188">
        <f t="shared" si="246"/>
        <v>0</v>
      </c>
      <c r="DB188">
        <f t="shared" si="246"/>
        <v>0</v>
      </c>
      <c r="DC188">
        <f t="shared" si="246"/>
        <v>0</v>
      </c>
      <c r="DD188">
        <f t="shared" si="246"/>
        <v>0</v>
      </c>
      <c r="DE188">
        <f t="shared" si="246"/>
        <v>0</v>
      </c>
      <c r="DF188">
        <f t="shared" si="247"/>
        <v>0</v>
      </c>
      <c r="DG188">
        <f t="shared" si="247"/>
        <v>0</v>
      </c>
      <c r="DH188">
        <f t="shared" si="247"/>
        <v>0</v>
      </c>
      <c r="DI188">
        <f t="shared" si="247"/>
        <v>0</v>
      </c>
      <c r="DJ188">
        <f t="shared" si="247"/>
        <v>0</v>
      </c>
      <c r="DK188">
        <f t="shared" si="247"/>
        <v>0</v>
      </c>
      <c r="DL188">
        <f t="shared" si="247"/>
        <v>0</v>
      </c>
      <c r="DM188">
        <f t="shared" si="247"/>
        <v>0</v>
      </c>
      <c r="DN188">
        <f t="shared" si="247"/>
        <v>0</v>
      </c>
      <c r="DO188">
        <f t="shared" si="247"/>
        <v>0</v>
      </c>
      <c r="DP188">
        <f t="shared" si="248"/>
        <v>0</v>
      </c>
      <c r="DQ188">
        <f t="shared" si="248"/>
        <v>0</v>
      </c>
      <c r="DR188">
        <f t="shared" si="248"/>
        <v>0</v>
      </c>
      <c r="DS188">
        <f t="shared" si="248"/>
        <v>0</v>
      </c>
      <c r="DT188">
        <f t="shared" si="248"/>
        <v>0</v>
      </c>
      <c r="DU188">
        <f t="shared" si="248"/>
        <v>0</v>
      </c>
      <c r="DV188">
        <f t="shared" si="248"/>
        <v>0</v>
      </c>
      <c r="DW188">
        <f t="shared" si="248"/>
        <v>0</v>
      </c>
      <c r="DX188">
        <f t="shared" si="248"/>
        <v>0</v>
      </c>
      <c r="DY188">
        <f t="shared" si="248"/>
        <v>0</v>
      </c>
      <c r="DZ188">
        <f t="shared" si="249"/>
        <v>0</v>
      </c>
      <c r="EA188">
        <f t="shared" si="249"/>
        <v>0</v>
      </c>
      <c r="EB188">
        <f t="shared" si="249"/>
        <v>0</v>
      </c>
      <c r="EC188">
        <f t="shared" si="249"/>
        <v>0</v>
      </c>
      <c r="ED188">
        <f t="shared" si="249"/>
        <v>0</v>
      </c>
      <c r="EE188">
        <f t="shared" si="249"/>
        <v>0</v>
      </c>
      <c r="EF188">
        <f t="shared" si="249"/>
        <v>0</v>
      </c>
      <c r="EG188">
        <f t="shared" si="249"/>
        <v>0</v>
      </c>
      <c r="EH188">
        <f t="shared" si="249"/>
        <v>0</v>
      </c>
      <c r="EI188">
        <f t="shared" si="249"/>
        <v>0</v>
      </c>
      <c r="EJ188">
        <f>SUM(Tabla1[[#This Row],[1]:[130]])</f>
        <v>75</v>
      </c>
    </row>
    <row r="189" spans="1:140" x14ac:dyDescent="0.25">
      <c r="A189" t="str">
        <f>B189&amp;"-"&amp;COUNTIF($B$2:B189,B189)</f>
        <v>I. BRUJAS 35-2</v>
      </c>
      <c r="B189" s="26" t="s">
        <v>270</v>
      </c>
      <c r="C189">
        <f>VLOOKUP(B189,RECETAS!D188:$E$1700,2,FALSE)</f>
        <v>0</v>
      </c>
      <c r="D189" s="25" t="s">
        <v>225</v>
      </c>
      <c r="G189" t="b">
        <f t="shared" si="171"/>
        <v>1</v>
      </c>
      <c r="I189" s="26" t="s">
        <v>570</v>
      </c>
      <c r="J189">
        <f t="shared" si="237"/>
        <v>760</v>
      </c>
      <c r="K189">
        <f t="shared" si="237"/>
        <v>40</v>
      </c>
      <c r="L189">
        <f t="shared" si="237"/>
        <v>0</v>
      </c>
      <c r="M189">
        <f t="shared" si="237"/>
        <v>0</v>
      </c>
      <c r="N189">
        <f t="shared" si="237"/>
        <v>0</v>
      </c>
      <c r="O189">
        <f t="shared" si="237"/>
        <v>0</v>
      </c>
      <c r="P189">
        <f t="shared" si="237"/>
        <v>0</v>
      </c>
      <c r="Q189">
        <f t="shared" si="237"/>
        <v>0</v>
      </c>
      <c r="R189">
        <f t="shared" si="237"/>
        <v>0</v>
      </c>
      <c r="S189">
        <f t="shared" si="237"/>
        <v>0</v>
      </c>
      <c r="T189">
        <f t="shared" si="238"/>
        <v>0</v>
      </c>
      <c r="U189">
        <f t="shared" si="238"/>
        <v>0</v>
      </c>
      <c r="V189">
        <f t="shared" si="238"/>
        <v>0</v>
      </c>
      <c r="W189">
        <f t="shared" si="238"/>
        <v>0</v>
      </c>
      <c r="X189">
        <f t="shared" si="238"/>
        <v>0</v>
      </c>
      <c r="Y189">
        <f t="shared" si="238"/>
        <v>0</v>
      </c>
      <c r="Z189">
        <f t="shared" si="238"/>
        <v>0</v>
      </c>
      <c r="AA189">
        <f t="shared" si="238"/>
        <v>0</v>
      </c>
      <c r="AB189">
        <f t="shared" si="238"/>
        <v>0</v>
      </c>
      <c r="AC189">
        <f t="shared" si="238"/>
        <v>0</v>
      </c>
      <c r="AD189">
        <f t="shared" si="239"/>
        <v>0</v>
      </c>
      <c r="AE189">
        <f t="shared" si="239"/>
        <v>0</v>
      </c>
      <c r="AF189">
        <f t="shared" si="239"/>
        <v>0</v>
      </c>
      <c r="AG189">
        <f t="shared" si="239"/>
        <v>0</v>
      </c>
      <c r="AH189">
        <f t="shared" si="239"/>
        <v>0</v>
      </c>
      <c r="AI189">
        <f t="shared" si="239"/>
        <v>0</v>
      </c>
      <c r="AJ189">
        <f t="shared" si="239"/>
        <v>0</v>
      </c>
      <c r="AK189">
        <f t="shared" si="239"/>
        <v>0</v>
      </c>
      <c r="AL189">
        <f t="shared" si="239"/>
        <v>0</v>
      </c>
      <c r="AM189">
        <f t="shared" si="239"/>
        <v>0</v>
      </c>
      <c r="AN189">
        <f t="shared" si="240"/>
        <v>0</v>
      </c>
      <c r="AO189">
        <f t="shared" si="240"/>
        <v>0</v>
      </c>
      <c r="AP189">
        <f t="shared" si="240"/>
        <v>0</v>
      </c>
      <c r="AQ189">
        <f t="shared" si="240"/>
        <v>0</v>
      </c>
      <c r="AR189">
        <f t="shared" si="240"/>
        <v>0</v>
      </c>
      <c r="AS189">
        <f t="shared" si="240"/>
        <v>0</v>
      </c>
      <c r="AT189">
        <f t="shared" si="240"/>
        <v>0</v>
      </c>
      <c r="AU189">
        <f t="shared" si="240"/>
        <v>0</v>
      </c>
      <c r="AV189">
        <f t="shared" si="240"/>
        <v>0</v>
      </c>
      <c r="AW189">
        <f t="shared" si="240"/>
        <v>0</v>
      </c>
      <c r="AX189">
        <f t="shared" si="241"/>
        <v>0</v>
      </c>
      <c r="AY189">
        <f t="shared" si="241"/>
        <v>0</v>
      </c>
      <c r="AZ189">
        <f t="shared" si="241"/>
        <v>0</v>
      </c>
      <c r="BA189">
        <f t="shared" si="241"/>
        <v>0</v>
      </c>
      <c r="BB189">
        <f t="shared" si="241"/>
        <v>0</v>
      </c>
      <c r="BC189">
        <f t="shared" si="241"/>
        <v>0</v>
      </c>
      <c r="BD189">
        <f t="shared" si="241"/>
        <v>0</v>
      </c>
      <c r="BE189">
        <f t="shared" si="241"/>
        <v>0</v>
      </c>
      <c r="BF189">
        <f t="shared" si="241"/>
        <v>0</v>
      </c>
      <c r="BG189">
        <f t="shared" si="241"/>
        <v>0</v>
      </c>
      <c r="BH189">
        <f t="shared" si="242"/>
        <v>0</v>
      </c>
      <c r="BI189">
        <f t="shared" si="242"/>
        <v>0</v>
      </c>
      <c r="BJ189">
        <f t="shared" si="242"/>
        <v>0</v>
      </c>
      <c r="BK189">
        <f t="shared" si="242"/>
        <v>0</v>
      </c>
      <c r="BL189">
        <f t="shared" si="242"/>
        <v>0</v>
      </c>
      <c r="BM189">
        <f t="shared" si="242"/>
        <v>0</v>
      </c>
      <c r="BN189">
        <f t="shared" si="242"/>
        <v>0</v>
      </c>
      <c r="BO189">
        <f t="shared" si="242"/>
        <v>0</v>
      </c>
      <c r="BP189">
        <f t="shared" si="242"/>
        <v>0</v>
      </c>
      <c r="BQ189">
        <f t="shared" si="242"/>
        <v>0</v>
      </c>
      <c r="BR189">
        <f t="shared" si="243"/>
        <v>0</v>
      </c>
      <c r="BS189">
        <f t="shared" si="243"/>
        <v>0</v>
      </c>
      <c r="BT189">
        <f t="shared" si="243"/>
        <v>0</v>
      </c>
      <c r="BU189">
        <f t="shared" si="243"/>
        <v>0</v>
      </c>
      <c r="BV189">
        <f t="shared" si="243"/>
        <v>0</v>
      </c>
      <c r="BW189">
        <f t="shared" si="243"/>
        <v>0</v>
      </c>
      <c r="BX189">
        <f t="shared" si="243"/>
        <v>0</v>
      </c>
      <c r="BY189">
        <f t="shared" si="243"/>
        <v>0</v>
      </c>
      <c r="BZ189">
        <f t="shared" si="243"/>
        <v>0</v>
      </c>
      <c r="CA189">
        <f t="shared" si="243"/>
        <v>0</v>
      </c>
      <c r="CB189">
        <f t="shared" si="244"/>
        <v>0</v>
      </c>
      <c r="CC189">
        <f t="shared" si="244"/>
        <v>0</v>
      </c>
      <c r="CD189">
        <f t="shared" si="244"/>
        <v>0</v>
      </c>
      <c r="CE189">
        <f t="shared" si="244"/>
        <v>0</v>
      </c>
      <c r="CF189">
        <f t="shared" si="244"/>
        <v>0</v>
      </c>
      <c r="CG189">
        <f t="shared" si="244"/>
        <v>0</v>
      </c>
      <c r="CH189">
        <f t="shared" si="244"/>
        <v>0</v>
      </c>
      <c r="CI189">
        <f t="shared" si="244"/>
        <v>0</v>
      </c>
      <c r="CJ189">
        <f t="shared" si="244"/>
        <v>0</v>
      </c>
      <c r="CK189">
        <f t="shared" si="244"/>
        <v>0</v>
      </c>
      <c r="CL189">
        <f t="shared" si="245"/>
        <v>0</v>
      </c>
      <c r="CM189">
        <f t="shared" si="245"/>
        <v>0</v>
      </c>
      <c r="CN189">
        <f t="shared" si="245"/>
        <v>0</v>
      </c>
      <c r="CO189">
        <f t="shared" si="245"/>
        <v>0</v>
      </c>
      <c r="CP189">
        <f t="shared" si="245"/>
        <v>0</v>
      </c>
      <c r="CQ189">
        <f t="shared" si="245"/>
        <v>0</v>
      </c>
      <c r="CR189">
        <f t="shared" si="245"/>
        <v>0</v>
      </c>
      <c r="CS189">
        <f t="shared" si="245"/>
        <v>0</v>
      </c>
      <c r="CT189">
        <f t="shared" si="245"/>
        <v>0</v>
      </c>
      <c r="CU189">
        <f t="shared" si="245"/>
        <v>0</v>
      </c>
      <c r="CV189">
        <f t="shared" si="246"/>
        <v>0</v>
      </c>
      <c r="CW189">
        <f t="shared" si="246"/>
        <v>0</v>
      </c>
      <c r="CX189">
        <f t="shared" si="246"/>
        <v>0</v>
      </c>
      <c r="CY189">
        <f t="shared" si="246"/>
        <v>0</v>
      </c>
      <c r="CZ189">
        <f t="shared" si="246"/>
        <v>0</v>
      </c>
      <c r="DA189">
        <f t="shared" si="246"/>
        <v>0</v>
      </c>
      <c r="DB189">
        <f t="shared" si="246"/>
        <v>0</v>
      </c>
      <c r="DC189">
        <f t="shared" si="246"/>
        <v>0</v>
      </c>
      <c r="DD189">
        <f t="shared" si="246"/>
        <v>0</v>
      </c>
      <c r="DE189">
        <f t="shared" si="246"/>
        <v>0</v>
      </c>
      <c r="DF189">
        <f t="shared" si="247"/>
        <v>0</v>
      </c>
      <c r="DG189">
        <f t="shared" si="247"/>
        <v>0</v>
      </c>
      <c r="DH189">
        <f t="shared" si="247"/>
        <v>0</v>
      </c>
      <c r="DI189">
        <f t="shared" si="247"/>
        <v>0</v>
      </c>
      <c r="DJ189">
        <f t="shared" si="247"/>
        <v>0</v>
      </c>
      <c r="DK189">
        <f t="shared" si="247"/>
        <v>0</v>
      </c>
      <c r="DL189">
        <f t="shared" si="247"/>
        <v>0</v>
      </c>
      <c r="DM189">
        <f t="shared" si="247"/>
        <v>0</v>
      </c>
      <c r="DN189">
        <f t="shared" si="247"/>
        <v>0</v>
      </c>
      <c r="DO189">
        <f t="shared" si="247"/>
        <v>0</v>
      </c>
      <c r="DP189">
        <f t="shared" si="248"/>
        <v>0</v>
      </c>
      <c r="DQ189">
        <f t="shared" si="248"/>
        <v>0</v>
      </c>
      <c r="DR189">
        <f t="shared" si="248"/>
        <v>0</v>
      </c>
      <c r="DS189">
        <f t="shared" si="248"/>
        <v>0</v>
      </c>
      <c r="DT189">
        <f t="shared" si="248"/>
        <v>0</v>
      </c>
      <c r="DU189">
        <f t="shared" si="248"/>
        <v>0</v>
      </c>
      <c r="DV189">
        <f t="shared" si="248"/>
        <v>0</v>
      </c>
      <c r="DW189">
        <f t="shared" si="248"/>
        <v>0</v>
      </c>
      <c r="DX189">
        <f t="shared" si="248"/>
        <v>0</v>
      </c>
      <c r="DY189">
        <f t="shared" si="248"/>
        <v>0</v>
      </c>
      <c r="DZ189">
        <f t="shared" si="249"/>
        <v>0</v>
      </c>
      <c r="EA189">
        <f t="shared" si="249"/>
        <v>0</v>
      </c>
      <c r="EB189">
        <f t="shared" si="249"/>
        <v>0</v>
      </c>
      <c r="EC189">
        <f t="shared" si="249"/>
        <v>0</v>
      </c>
      <c r="ED189">
        <f t="shared" si="249"/>
        <v>0</v>
      </c>
      <c r="EE189">
        <f t="shared" si="249"/>
        <v>0</v>
      </c>
      <c r="EF189">
        <f t="shared" si="249"/>
        <v>0</v>
      </c>
      <c r="EG189">
        <f t="shared" si="249"/>
        <v>0</v>
      </c>
      <c r="EH189">
        <f t="shared" si="249"/>
        <v>0</v>
      </c>
      <c r="EI189">
        <f t="shared" si="249"/>
        <v>0</v>
      </c>
      <c r="EJ189">
        <f>SUM(Tabla1[[#This Row],[1]:[130]])</f>
        <v>800</v>
      </c>
    </row>
    <row r="190" spans="1:140" x14ac:dyDescent="0.25">
      <c r="A190" t="str">
        <f>B190&amp;"-"&amp;COUNTIF($B$2:B190,B190)</f>
        <v>I. PULPA LIMON-6</v>
      </c>
      <c r="B190" s="35" t="s">
        <v>106</v>
      </c>
      <c r="C190">
        <f>VLOOKUP(B190,RECETAS!D189:$E$1700,2,FALSE)</f>
        <v>0</v>
      </c>
      <c r="D190" s="34"/>
      <c r="G190" t="b">
        <f t="shared" si="171"/>
        <v>1</v>
      </c>
      <c r="I190" s="35" t="s">
        <v>32</v>
      </c>
      <c r="J190">
        <f t="shared" si="237"/>
        <v>14</v>
      </c>
      <c r="K190">
        <f t="shared" si="237"/>
        <v>0</v>
      </c>
      <c r="L190">
        <f t="shared" si="237"/>
        <v>1</v>
      </c>
      <c r="M190">
        <f t="shared" si="237"/>
        <v>4</v>
      </c>
      <c r="N190">
        <f t="shared" si="237"/>
        <v>2</v>
      </c>
      <c r="O190">
        <f t="shared" si="237"/>
        <v>0</v>
      </c>
      <c r="P190">
        <f t="shared" si="237"/>
        <v>0</v>
      </c>
      <c r="Q190">
        <f t="shared" si="237"/>
        <v>0</v>
      </c>
      <c r="R190">
        <f t="shared" si="237"/>
        <v>0</v>
      </c>
      <c r="S190">
        <f t="shared" si="237"/>
        <v>0</v>
      </c>
      <c r="T190">
        <f t="shared" si="238"/>
        <v>0</v>
      </c>
      <c r="U190">
        <f t="shared" si="238"/>
        <v>0</v>
      </c>
      <c r="V190">
        <f t="shared" si="238"/>
        <v>0</v>
      </c>
      <c r="W190">
        <f t="shared" si="238"/>
        <v>0</v>
      </c>
      <c r="X190">
        <f t="shared" si="238"/>
        <v>0</v>
      </c>
      <c r="Y190">
        <f t="shared" si="238"/>
        <v>0</v>
      </c>
      <c r="Z190">
        <f t="shared" si="238"/>
        <v>0</v>
      </c>
      <c r="AA190">
        <f t="shared" si="238"/>
        <v>0</v>
      </c>
      <c r="AB190">
        <f t="shared" si="238"/>
        <v>0</v>
      </c>
      <c r="AC190">
        <f t="shared" si="238"/>
        <v>0</v>
      </c>
      <c r="AD190">
        <f t="shared" si="239"/>
        <v>0</v>
      </c>
      <c r="AE190">
        <f t="shared" si="239"/>
        <v>0</v>
      </c>
      <c r="AF190">
        <f t="shared" si="239"/>
        <v>0</v>
      </c>
      <c r="AG190">
        <f t="shared" si="239"/>
        <v>0</v>
      </c>
      <c r="AH190">
        <f t="shared" si="239"/>
        <v>0</v>
      </c>
      <c r="AI190">
        <f t="shared" si="239"/>
        <v>0</v>
      </c>
      <c r="AJ190">
        <f t="shared" si="239"/>
        <v>0</v>
      </c>
      <c r="AK190">
        <f t="shared" si="239"/>
        <v>0</v>
      </c>
      <c r="AL190">
        <f t="shared" si="239"/>
        <v>0</v>
      </c>
      <c r="AM190">
        <f t="shared" si="239"/>
        <v>0</v>
      </c>
      <c r="AN190">
        <f t="shared" si="240"/>
        <v>0</v>
      </c>
      <c r="AO190">
        <f t="shared" si="240"/>
        <v>0</v>
      </c>
      <c r="AP190">
        <f t="shared" si="240"/>
        <v>0</v>
      </c>
      <c r="AQ190">
        <f t="shared" si="240"/>
        <v>0</v>
      </c>
      <c r="AR190">
        <f t="shared" si="240"/>
        <v>0</v>
      </c>
      <c r="AS190">
        <f t="shared" si="240"/>
        <v>0</v>
      </c>
      <c r="AT190">
        <f t="shared" si="240"/>
        <v>0</v>
      </c>
      <c r="AU190">
        <f t="shared" si="240"/>
        <v>0</v>
      </c>
      <c r="AV190">
        <f t="shared" si="240"/>
        <v>0</v>
      </c>
      <c r="AW190">
        <f t="shared" si="240"/>
        <v>0</v>
      </c>
      <c r="AX190">
        <f t="shared" si="241"/>
        <v>0</v>
      </c>
      <c r="AY190">
        <f t="shared" si="241"/>
        <v>0</v>
      </c>
      <c r="AZ190">
        <f t="shared" si="241"/>
        <v>0</v>
      </c>
      <c r="BA190">
        <f t="shared" si="241"/>
        <v>0</v>
      </c>
      <c r="BB190">
        <f t="shared" si="241"/>
        <v>0</v>
      </c>
      <c r="BC190">
        <f t="shared" si="241"/>
        <v>0</v>
      </c>
      <c r="BD190">
        <f t="shared" si="241"/>
        <v>0</v>
      </c>
      <c r="BE190">
        <f t="shared" si="241"/>
        <v>0</v>
      </c>
      <c r="BF190">
        <f t="shared" si="241"/>
        <v>0</v>
      </c>
      <c r="BG190">
        <f t="shared" si="241"/>
        <v>0</v>
      </c>
      <c r="BH190">
        <f t="shared" si="242"/>
        <v>0</v>
      </c>
      <c r="BI190">
        <f t="shared" si="242"/>
        <v>0</v>
      </c>
      <c r="BJ190">
        <f t="shared" si="242"/>
        <v>0</v>
      </c>
      <c r="BK190">
        <f t="shared" si="242"/>
        <v>0</v>
      </c>
      <c r="BL190">
        <f t="shared" si="242"/>
        <v>0</v>
      </c>
      <c r="BM190">
        <f t="shared" si="242"/>
        <v>0</v>
      </c>
      <c r="BN190">
        <f t="shared" si="242"/>
        <v>0</v>
      </c>
      <c r="BO190">
        <f t="shared" si="242"/>
        <v>0</v>
      </c>
      <c r="BP190">
        <f t="shared" si="242"/>
        <v>0</v>
      </c>
      <c r="BQ190">
        <f t="shared" si="242"/>
        <v>0</v>
      </c>
      <c r="BR190">
        <f t="shared" si="243"/>
        <v>0</v>
      </c>
      <c r="BS190">
        <f t="shared" si="243"/>
        <v>0</v>
      </c>
      <c r="BT190">
        <f t="shared" si="243"/>
        <v>0</v>
      </c>
      <c r="BU190">
        <f t="shared" si="243"/>
        <v>0</v>
      </c>
      <c r="BV190">
        <f t="shared" si="243"/>
        <v>0</v>
      </c>
      <c r="BW190">
        <f t="shared" si="243"/>
        <v>0</v>
      </c>
      <c r="BX190">
        <f t="shared" si="243"/>
        <v>0</v>
      </c>
      <c r="BY190">
        <f t="shared" si="243"/>
        <v>0</v>
      </c>
      <c r="BZ190">
        <f t="shared" si="243"/>
        <v>0</v>
      </c>
      <c r="CA190">
        <f t="shared" si="243"/>
        <v>0</v>
      </c>
      <c r="CB190">
        <f t="shared" si="244"/>
        <v>0</v>
      </c>
      <c r="CC190">
        <f t="shared" si="244"/>
        <v>0</v>
      </c>
      <c r="CD190">
        <f t="shared" si="244"/>
        <v>0</v>
      </c>
      <c r="CE190">
        <f t="shared" si="244"/>
        <v>0</v>
      </c>
      <c r="CF190">
        <f t="shared" si="244"/>
        <v>0</v>
      </c>
      <c r="CG190">
        <f t="shared" si="244"/>
        <v>0</v>
      </c>
      <c r="CH190">
        <f t="shared" si="244"/>
        <v>0</v>
      </c>
      <c r="CI190">
        <f t="shared" si="244"/>
        <v>0</v>
      </c>
      <c r="CJ190">
        <f t="shared" si="244"/>
        <v>0</v>
      </c>
      <c r="CK190">
        <f t="shared" si="244"/>
        <v>0</v>
      </c>
      <c r="CL190">
        <f t="shared" si="245"/>
        <v>0</v>
      </c>
      <c r="CM190">
        <f t="shared" si="245"/>
        <v>0</v>
      </c>
      <c r="CN190">
        <f t="shared" si="245"/>
        <v>0</v>
      </c>
      <c r="CO190">
        <f t="shared" si="245"/>
        <v>0</v>
      </c>
      <c r="CP190">
        <f t="shared" si="245"/>
        <v>0</v>
      </c>
      <c r="CQ190">
        <f t="shared" si="245"/>
        <v>0</v>
      </c>
      <c r="CR190">
        <f t="shared" si="245"/>
        <v>0</v>
      </c>
      <c r="CS190">
        <f t="shared" si="245"/>
        <v>0</v>
      </c>
      <c r="CT190">
        <f t="shared" si="245"/>
        <v>0</v>
      </c>
      <c r="CU190">
        <f t="shared" si="245"/>
        <v>0</v>
      </c>
      <c r="CV190">
        <f t="shared" si="246"/>
        <v>0</v>
      </c>
      <c r="CW190">
        <f t="shared" si="246"/>
        <v>0</v>
      </c>
      <c r="CX190">
        <f t="shared" si="246"/>
        <v>0</v>
      </c>
      <c r="CY190">
        <f t="shared" si="246"/>
        <v>0</v>
      </c>
      <c r="CZ190">
        <f t="shared" si="246"/>
        <v>0</v>
      </c>
      <c r="DA190">
        <f t="shared" si="246"/>
        <v>0</v>
      </c>
      <c r="DB190">
        <f t="shared" si="246"/>
        <v>0</v>
      </c>
      <c r="DC190">
        <f t="shared" si="246"/>
        <v>0</v>
      </c>
      <c r="DD190">
        <f t="shared" si="246"/>
        <v>0</v>
      </c>
      <c r="DE190">
        <f t="shared" si="246"/>
        <v>0</v>
      </c>
      <c r="DF190">
        <f t="shared" si="247"/>
        <v>0</v>
      </c>
      <c r="DG190">
        <f t="shared" si="247"/>
        <v>0</v>
      </c>
      <c r="DH190">
        <f t="shared" si="247"/>
        <v>0</v>
      </c>
      <c r="DI190">
        <f t="shared" si="247"/>
        <v>0</v>
      </c>
      <c r="DJ190">
        <f t="shared" si="247"/>
        <v>0</v>
      </c>
      <c r="DK190">
        <f t="shared" si="247"/>
        <v>0</v>
      </c>
      <c r="DL190">
        <f t="shared" si="247"/>
        <v>0</v>
      </c>
      <c r="DM190">
        <f t="shared" si="247"/>
        <v>0</v>
      </c>
      <c r="DN190">
        <f t="shared" si="247"/>
        <v>0</v>
      </c>
      <c r="DO190">
        <f t="shared" si="247"/>
        <v>0</v>
      </c>
      <c r="DP190">
        <f t="shared" si="248"/>
        <v>0</v>
      </c>
      <c r="DQ190">
        <f t="shared" si="248"/>
        <v>0</v>
      </c>
      <c r="DR190">
        <f t="shared" si="248"/>
        <v>0</v>
      </c>
      <c r="DS190">
        <f t="shared" si="248"/>
        <v>0</v>
      </c>
      <c r="DT190">
        <f t="shared" si="248"/>
        <v>0</v>
      </c>
      <c r="DU190">
        <f t="shared" si="248"/>
        <v>0</v>
      </c>
      <c r="DV190">
        <f t="shared" si="248"/>
        <v>0</v>
      </c>
      <c r="DW190">
        <f t="shared" si="248"/>
        <v>0</v>
      </c>
      <c r="DX190">
        <f t="shared" si="248"/>
        <v>0</v>
      </c>
      <c r="DY190">
        <f t="shared" si="248"/>
        <v>0</v>
      </c>
      <c r="DZ190">
        <f t="shared" si="249"/>
        <v>0</v>
      </c>
      <c r="EA190">
        <f t="shared" si="249"/>
        <v>0</v>
      </c>
      <c r="EB190">
        <f t="shared" si="249"/>
        <v>0</v>
      </c>
      <c r="EC190">
        <f t="shared" si="249"/>
        <v>0</v>
      </c>
      <c r="ED190">
        <f t="shared" si="249"/>
        <v>0</v>
      </c>
      <c r="EE190">
        <f t="shared" si="249"/>
        <v>0</v>
      </c>
      <c r="EF190">
        <f t="shared" si="249"/>
        <v>0</v>
      </c>
      <c r="EG190">
        <f t="shared" si="249"/>
        <v>0</v>
      </c>
      <c r="EH190">
        <f t="shared" si="249"/>
        <v>0</v>
      </c>
      <c r="EI190">
        <f t="shared" si="249"/>
        <v>0</v>
      </c>
      <c r="EJ190">
        <f>SUM(Tabla1[[#This Row],[1]:[130]])</f>
        <v>21</v>
      </c>
    </row>
    <row r="191" spans="1:140" x14ac:dyDescent="0.25">
      <c r="A191" t="str">
        <f>B191&amp;"-"&amp;COUNTIF($B$2:B191,B191)</f>
        <v>I. AZUCAR FLOR-11</v>
      </c>
      <c r="B191" s="35" t="s">
        <v>51</v>
      </c>
      <c r="C191">
        <f>VLOOKUP(B191,RECETAS!D190:$E$1700,2,FALSE)</f>
        <v>0</v>
      </c>
      <c r="D191" s="34"/>
      <c r="G191" t="b">
        <f t="shared" si="171"/>
        <v>1</v>
      </c>
      <c r="I191" s="35" t="s">
        <v>34</v>
      </c>
      <c r="J191">
        <f t="shared" si="237"/>
        <v>0</v>
      </c>
      <c r="K191">
        <f t="shared" si="237"/>
        <v>0</v>
      </c>
      <c r="L191">
        <f t="shared" si="237"/>
        <v>4</v>
      </c>
      <c r="M191">
        <f t="shared" si="237"/>
        <v>0</v>
      </c>
      <c r="N191">
        <f t="shared" si="237"/>
        <v>0</v>
      </c>
      <c r="O191">
        <f t="shared" si="237"/>
        <v>0</v>
      </c>
      <c r="P191">
        <f t="shared" si="237"/>
        <v>0</v>
      </c>
      <c r="Q191">
        <f t="shared" si="237"/>
        <v>0</v>
      </c>
      <c r="R191">
        <f t="shared" si="237"/>
        <v>4</v>
      </c>
      <c r="S191">
        <f t="shared" si="237"/>
        <v>0</v>
      </c>
      <c r="T191">
        <f t="shared" si="238"/>
        <v>0</v>
      </c>
      <c r="U191">
        <f t="shared" si="238"/>
        <v>0</v>
      </c>
      <c r="V191">
        <f t="shared" si="238"/>
        <v>0</v>
      </c>
      <c r="W191">
        <f t="shared" si="238"/>
        <v>0</v>
      </c>
      <c r="X191">
        <f t="shared" si="238"/>
        <v>0</v>
      </c>
      <c r="Y191">
        <f t="shared" si="238"/>
        <v>0</v>
      </c>
      <c r="Z191">
        <f t="shared" si="238"/>
        <v>0</v>
      </c>
      <c r="AA191">
        <f t="shared" si="238"/>
        <v>0</v>
      </c>
      <c r="AB191">
        <f t="shared" si="238"/>
        <v>0</v>
      </c>
      <c r="AC191">
        <f t="shared" si="238"/>
        <v>0</v>
      </c>
      <c r="AD191">
        <f t="shared" si="239"/>
        <v>0</v>
      </c>
      <c r="AE191">
        <f t="shared" si="239"/>
        <v>0</v>
      </c>
      <c r="AF191">
        <f t="shared" si="239"/>
        <v>0</v>
      </c>
      <c r="AG191">
        <f t="shared" si="239"/>
        <v>0</v>
      </c>
      <c r="AH191">
        <f t="shared" si="239"/>
        <v>0</v>
      </c>
      <c r="AI191">
        <f t="shared" si="239"/>
        <v>0</v>
      </c>
      <c r="AJ191">
        <f t="shared" si="239"/>
        <v>0</v>
      </c>
      <c r="AK191">
        <f t="shared" si="239"/>
        <v>0</v>
      </c>
      <c r="AL191">
        <f t="shared" si="239"/>
        <v>0</v>
      </c>
      <c r="AM191">
        <f t="shared" si="239"/>
        <v>0</v>
      </c>
      <c r="AN191">
        <f t="shared" si="240"/>
        <v>0</v>
      </c>
      <c r="AO191">
        <f t="shared" si="240"/>
        <v>0</v>
      </c>
      <c r="AP191">
        <f t="shared" si="240"/>
        <v>0</v>
      </c>
      <c r="AQ191">
        <f t="shared" si="240"/>
        <v>0</v>
      </c>
      <c r="AR191">
        <f t="shared" si="240"/>
        <v>0</v>
      </c>
      <c r="AS191">
        <f t="shared" si="240"/>
        <v>0</v>
      </c>
      <c r="AT191">
        <f t="shared" si="240"/>
        <v>0</v>
      </c>
      <c r="AU191">
        <f t="shared" si="240"/>
        <v>0</v>
      </c>
      <c r="AV191">
        <f t="shared" si="240"/>
        <v>0</v>
      </c>
      <c r="AW191">
        <f t="shared" si="240"/>
        <v>0</v>
      </c>
      <c r="AX191">
        <f t="shared" si="241"/>
        <v>0</v>
      </c>
      <c r="AY191">
        <f t="shared" si="241"/>
        <v>0</v>
      </c>
      <c r="AZ191">
        <f t="shared" si="241"/>
        <v>0</v>
      </c>
      <c r="BA191">
        <f t="shared" si="241"/>
        <v>0</v>
      </c>
      <c r="BB191">
        <f t="shared" si="241"/>
        <v>0</v>
      </c>
      <c r="BC191">
        <f t="shared" si="241"/>
        <v>0</v>
      </c>
      <c r="BD191">
        <f t="shared" si="241"/>
        <v>0</v>
      </c>
      <c r="BE191">
        <f t="shared" si="241"/>
        <v>0</v>
      </c>
      <c r="BF191">
        <f t="shared" si="241"/>
        <v>0</v>
      </c>
      <c r="BG191">
        <f t="shared" si="241"/>
        <v>0</v>
      </c>
      <c r="BH191">
        <f t="shared" si="242"/>
        <v>0</v>
      </c>
      <c r="BI191">
        <f t="shared" si="242"/>
        <v>0</v>
      </c>
      <c r="BJ191">
        <f t="shared" si="242"/>
        <v>0</v>
      </c>
      <c r="BK191">
        <f t="shared" si="242"/>
        <v>0</v>
      </c>
      <c r="BL191">
        <f t="shared" si="242"/>
        <v>0</v>
      </c>
      <c r="BM191">
        <f t="shared" si="242"/>
        <v>0</v>
      </c>
      <c r="BN191">
        <f t="shared" si="242"/>
        <v>0</v>
      </c>
      <c r="BO191">
        <f t="shared" si="242"/>
        <v>0</v>
      </c>
      <c r="BP191">
        <f t="shared" si="242"/>
        <v>0</v>
      </c>
      <c r="BQ191">
        <f t="shared" si="242"/>
        <v>0</v>
      </c>
      <c r="BR191">
        <f t="shared" si="243"/>
        <v>0</v>
      </c>
      <c r="BS191">
        <f t="shared" si="243"/>
        <v>0</v>
      </c>
      <c r="BT191">
        <f t="shared" si="243"/>
        <v>0</v>
      </c>
      <c r="BU191">
        <f t="shared" si="243"/>
        <v>0</v>
      </c>
      <c r="BV191">
        <f t="shared" si="243"/>
        <v>0</v>
      </c>
      <c r="BW191">
        <f t="shared" si="243"/>
        <v>0</v>
      </c>
      <c r="BX191">
        <f t="shared" si="243"/>
        <v>0</v>
      </c>
      <c r="BY191">
        <f t="shared" si="243"/>
        <v>0</v>
      </c>
      <c r="BZ191">
        <f t="shared" si="243"/>
        <v>0</v>
      </c>
      <c r="CA191">
        <f t="shared" si="243"/>
        <v>0</v>
      </c>
      <c r="CB191">
        <f t="shared" si="244"/>
        <v>0</v>
      </c>
      <c r="CC191">
        <f t="shared" si="244"/>
        <v>0</v>
      </c>
      <c r="CD191">
        <f t="shared" si="244"/>
        <v>0</v>
      </c>
      <c r="CE191">
        <f t="shared" si="244"/>
        <v>0</v>
      </c>
      <c r="CF191">
        <f t="shared" si="244"/>
        <v>0</v>
      </c>
      <c r="CG191">
        <f t="shared" si="244"/>
        <v>0</v>
      </c>
      <c r="CH191">
        <f t="shared" si="244"/>
        <v>0</v>
      </c>
      <c r="CI191">
        <f t="shared" si="244"/>
        <v>0</v>
      </c>
      <c r="CJ191">
        <f t="shared" si="244"/>
        <v>0</v>
      </c>
      <c r="CK191">
        <f t="shared" si="244"/>
        <v>0</v>
      </c>
      <c r="CL191">
        <f t="shared" si="245"/>
        <v>0</v>
      </c>
      <c r="CM191">
        <f t="shared" si="245"/>
        <v>0</v>
      </c>
      <c r="CN191">
        <f t="shared" si="245"/>
        <v>0</v>
      </c>
      <c r="CO191">
        <f t="shared" si="245"/>
        <v>0</v>
      </c>
      <c r="CP191">
        <f t="shared" si="245"/>
        <v>0</v>
      </c>
      <c r="CQ191">
        <f t="shared" si="245"/>
        <v>0</v>
      </c>
      <c r="CR191">
        <f t="shared" si="245"/>
        <v>0</v>
      </c>
      <c r="CS191">
        <f t="shared" si="245"/>
        <v>0</v>
      </c>
      <c r="CT191">
        <f t="shared" si="245"/>
        <v>0</v>
      </c>
      <c r="CU191">
        <f t="shared" si="245"/>
        <v>0</v>
      </c>
      <c r="CV191">
        <f t="shared" si="246"/>
        <v>0</v>
      </c>
      <c r="CW191">
        <f t="shared" si="246"/>
        <v>0</v>
      </c>
      <c r="CX191">
        <f t="shared" si="246"/>
        <v>0</v>
      </c>
      <c r="CY191">
        <f t="shared" si="246"/>
        <v>0</v>
      </c>
      <c r="CZ191">
        <f t="shared" si="246"/>
        <v>0</v>
      </c>
      <c r="DA191">
        <f t="shared" si="246"/>
        <v>0</v>
      </c>
      <c r="DB191">
        <f t="shared" si="246"/>
        <v>0</v>
      </c>
      <c r="DC191">
        <f t="shared" si="246"/>
        <v>0</v>
      </c>
      <c r="DD191">
        <f t="shared" si="246"/>
        <v>0</v>
      </c>
      <c r="DE191">
        <f t="shared" si="246"/>
        <v>0</v>
      </c>
      <c r="DF191">
        <f t="shared" si="247"/>
        <v>0</v>
      </c>
      <c r="DG191">
        <f t="shared" si="247"/>
        <v>0</v>
      </c>
      <c r="DH191">
        <f t="shared" si="247"/>
        <v>0</v>
      </c>
      <c r="DI191">
        <f t="shared" si="247"/>
        <v>0</v>
      </c>
      <c r="DJ191">
        <f t="shared" si="247"/>
        <v>0</v>
      </c>
      <c r="DK191">
        <f t="shared" si="247"/>
        <v>0</v>
      </c>
      <c r="DL191">
        <f t="shared" si="247"/>
        <v>0</v>
      </c>
      <c r="DM191">
        <f t="shared" si="247"/>
        <v>0</v>
      </c>
      <c r="DN191">
        <f t="shared" si="247"/>
        <v>0</v>
      </c>
      <c r="DO191">
        <f t="shared" si="247"/>
        <v>0</v>
      </c>
      <c r="DP191">
        <f t="shared" si="248"/>
        <v>0</v>
      </c>
      <c r="DQ191">
        <f t="shared" si="248"/>
        <v>0</v>
      </c>
      <c r="DR191">
        <f t="shared" si="248"/>
        <v>0</v>
      </c>
      <c r="DS191">
        <f t="shared" si="248"/>
        <v>0</v>
      </c>
      <c r="DT191">
        <f t="shared" si="248"/>
        <v>0</v>
      </c>
      <c r="DU191">
        <f t="shared" si="248"/>
        <v>0</v>
      </c>
      <c r="DV191">
        <f t="shared" si="248"/>
        <v>0</v>
      </c>
      <c r="DW191">
        <f t="shared" si="248"/>
        <v>0</v>
      </c>
      <c r="DX191">
        <f t="shared" si="248"/>
        <v>0</v>
      </c>
      <c r="DY191">
        <f t="shared" si="248"/>
        <v>0</v>
      </c>
      <c r="DZ191">
        <f t="shared" si="249"/>
        <v>0</v>
      </c>
      <c r="EA191">
        <f t="shared" si="249"/>
        <v>0</v>
      </c>
      <c r="EB191">
        <f t="shared" si="249"/>
        <v>0</v>
      </c>
      <c r="EC191">
        <f t="shared" si="249"/>
        <v>0</v>
      </c>
      <c r="ED191">
        <f t="shared" si="249"/>
        <v>0</v>
      </c>
      <c r="EE191">
        <f t="shared" si="249"/>
        <v>0</v>
      </c>
      <c r="EF191">
        <f t="shared" si="249"/>
        <v>0</v>
      </c>
      <c r="EG191">
        <f t="shared" si="249"/>
        <v>0</v>
      </c>
      <c r="EH191">
        <f t="shared" si="249"/>
        <v>0</v>
      </c>
      <c r="EI191">
        <f t="shared" si="249"/>
        <v>0</v>
      </c>
      <c r="EJ191">
        <f>SUM(Tabla1[[#This Row],[1]:[130]])</f>
        <v>8</v>
      </c>
    </row>
    <row r="192" spans="1:140" x14ac:dyDescent="0.25">
      <c r="A192" t="str">
        <f>B192&amp;"-"&amp;COUNTIF($B$2:B192,B192)</f>
        <v>I. TRIPLE SEC-4</v>
      </c>
      <c r="B192" s="35" t="s">
        <v>128</v>
      </c>
      <c r="C192">
        <f>VLOOKUP(B192,RECETAS!D191:$E$1700,2,FALSE)</f>
        <v>0</v>
      </c>
      <c r="D192" s="34"/>
      <c r="G192" t="b">
        <f t="shared" si="171"/>
        <v>1</v>
      </c>
      <c r="I192" s="38" t="s">
        <v>125</v>
      </c>
      <c r="J192">
        <f t="shared" si="237"/>
        <v>0</v>
      </c>
      <c r="K192">
        <f t="shared" si="237"/>
        <v>0</v>
      </c>
      <c r="L192">
        <f t="shared" si="237"/>
        <v>0</v>
      </c>
      <c r="M192">
        <f t="shared" si="237"/>
        <v>0</v>
      </c>
      <c r="N192">
        <f t="shared" si="237"/>
        <v>0</v>
      </c>
      <c r="O192">
        <f t="shared" si="237"/>
        <v>0</v>
      </c>
      <c r="P192">
        <f t="shared" si="237"/>
        <v>0</v>
      </c>
      <c r="Q192">
        <f t="shared" si="237"/>
        <v>0</v>
      </c>
      <c r="R192">
        <f t="shared" si="237"/>
        <v>0</v>
      </c>
      <c r="S192">
        <f t="shared" si="237"/>
        <v>0</v>
      </c>
      <c r="T192">
        <f t="shared" si="238"/>
        <v>0</v>
      </c>
      <c r="U192">
        <f t="shared" si="238"/>
        <v>0</v>
      </c>
      <c r="V192">
        <f t="shared" si="238"/>
        <v>0</v>
      </c>
      <c r="W192">
        <f t="shared" si="238"/>
        <v>0</v>
      </c>
      <c r="X192">
        <f t="shared" si="238"/>
        <v>0</v>
      </c>
      <c r="Y192">
        <f t="shared" si="238"/>
        <v>0</v>
      </c>
      <c r="Z192">
        <f t="shared" si="238"/>
        <v>0</v>
      </c>
      <c r="AA192">
        <f t="shared" si="238"/>
        <v>0</v>
      </c>
      <c r="AB192">
        <f t="shared" si="238"/>
        <v>0</v>
      </c>
      <c r="AC192">
        <f t="shared" si="238"/>
        <v>0</v>
      </c>
      <c r="AD192">
        <f t="shared" si="239"/>
        <v>0</v>
      </c>
      <c r="AE192">
        <f t="shared" si="239"/>
        <v>0</v>
      </c>
      <c r="AF192">
        <f t="shared" si="239"/>
        <v>0</v>
      </c>
      <c r="AG192">
        <f t="shared" si="239"/>
        <v>0</v>
      </c>
      <c r="AH192">
        <f t="shared" si="239"/>
        <v>0</v>
      </c>
      <c r="AI192">
        <f t="shared" si="239"/>
        <v>0</v>
      </c>
      <c r="AJ192">
        <f t="shared" si="239"/>
        <v>0</v>
      </c>
      <c r="AK192">
        <f t="shared" si="239"/>
        <v>0</v>
      </c>
      <c r="AL192">
        <f t="shared" si="239"/>
        <v>0</v>
      </c>
      <c r="AM192">
        <f t="shared" si="239"/>
        <v>0</v>
      </c>
      <c r="AN192">
        <f t="shared" si="240"/>
        <v>0</v>
      </c>
      <c r="AO192">
        <f t="shared" si="240"/>
        <v>0</v>
      </c>
      <c r="AP192">
        <f t="shared" si="240"/>
        <v>0</v>
      </c>
      <c r="AQ192">
        <f t="shared" si="240"/>
        <v>0</v>
      </c>
      <c r="AR192">
        <f t="shared" si="240"/>
        <v>0</v>
      </c>
      <c r="AS192">
        <f t="shared" si="240"/>
        <v>0</v>
      </c>
      <c r="AT192">
        <f t="shared" si="240"/>
        <v>0</v>
      </c>
      <c r="AU192">
        <f t="shared" si="240"/>
        <v>0</v>
      </c>
      <c r="AV192">
        <f t="shared" si="240"/>
        <v>0</v>
      </c>
      <c r="AW192">
        <f t="shared" si="240"/>
        <v>0</v>
      </c>
      <c r="AX192">
        <f t="shared" si="241"/>
        <v>0</v>
      </c>
      <c r="AY192">
        <f t="shared" si="241"/>
        <v>0</v>
      </c>
      <c r="AZ192">
        <f t="shared" si="241"/>
        <v>0</v>
      </c>
      <c r="BA192">
        <f t="shared" si="241"/>
        <v>0</v>
      </c>
      <c r="BB192">
        <f t="shared" si="241"/>
        <v>0</v>
      </c>
      <c r="BC192">
        <f t="shared" si="241"/>
        <v>0</v>
      </c>
      <c r="BD192">
        <f t="shared" si="241"/>
        <v>0</v>
      </c>
      <c r="BE192">
        <f t="shared" si="241"/>
        <v>0</v>
      </c>
      <c r="BF192">
        <f t="shared" si="241"/>
        <v>0</v>
      </c>
      <c r="BG192">
        <f t="shared" si="241"/>
        <v>0</v>
      </c>
      <c r="BH192">
        <f t="shared" si="242"/>
        <v>0</v>
      </c>
      <c r="BI192">
        <f t="shared" si="242"/>
        <v>0</v>
      </c>
      <c r="BJ192">
        <f t="shared" si="242"/>
        <v>0</v>
      </c>
      <c r="BK192">
        <f t="shared" si="242"/>
        <v>0</v>
      </c>
      <c r="BL192">
        <f t="shared" si="242"/>
        <v>0</v>
      </c>
      <c r="BM192">
        <f t="shared" si="242"/>
        <v>0</v>
      </c>
      <c r="BN192">
        <f t="shared" si="242"/>
        <v>0</v>
      </c>
      <c r="BO192">
        <f t="shared" si="242"/>
        <v>0</v>
      </c>
      <c r="BP192">
        <f t="shared" si="242"/>
        <v>0</v>
      </c>
      <c r="BQ192">
        <f t="shared" si="242"/>
        <v>0</v>
      </c>
      <c r="BR192">
        <f t="shared" si="243"/>
        <v>0</v>
      </c>
      <c r="BS192">
        <f t="shared" si="243"/>
        <v>0</v>
      </c>
      <c r="BT192">
        <f t="shared" si="243"/>
        <v>0</v>
      </c>
      <c r="BU192">
        <f t="shared" si="243"/>
        <v>0</v>
      </c>
      <c r="BV192">
        <f t="shared" si="243"/>
        <v>0</v>
      </c>
      <c r="BW192">
        <f t="shared" si="243"/>
        <v>0</v>
      </c>
      <c r="BX192">
        <f t="shared" si="243"/>
        <v>0</v>
      </c>
      <c r="BY192">
        <f t="shared" si="243"/>
        <v>0</v>
      </c>
      <c r="BZ192">
        <f t="shared" si="243"/>
        <v>0</v>
      </c>
      <c r="CA192">
        <f t="shared" si="243"/>
        <v>0</v>
      </c>
      <c r="CB192">
        <f t="shared" si="244"/>
        <v>0</v>
      </c>
      <c r="CC192">
        <f t="shared" si="244"/>
        <v>0</v>
      </c>
      <c r="CD192">
        <f t="shared" si="244"/>
        <v>0</v>
      </c>
      <c r="CE192">
        <f t="shared" si="244"/>
        <v>0</v>
      </c>
      <c r="CF192">
        <f t="shared" si="244"/>
        <v>0</v>
      </c>
      <c r="CG192">
        <f t="shared" si="244"/>
        <v>0</v>
      </c>
      <c r="CH192">
        <f t="shared" si="244"/>
        <v>0</v>
      </c>
      <c r="CI192">
        <f t="shared" si="244"/>
        <v>0</v>
      </c>
      <c r="CJ192">
        <f t="shared" si="244"/>
        <v>0</v>
      </c>
      <c r="CK192">
        <f t="shared" si="244"/>
        <v>0</v>
      </c>
      <c r="CL192">
        <f t="shared" si="245"/>
        <v>0</v>
      </c>
      <c r="CM192">
        <f t="shared" si="245"/>
        <v>0</v>
      </c>
      <c r="CN192">
        <f t="shared" si="245"/>
        <v>0</v>
      </c>
      <c r="CO192">
        <f t="shared" si="245"/>
        <v>0</v>
      </c>
      <c r="CP192">
        <f t="shared" si="245"/>
        <v>0</v>
      </c>
      <c r="CQ192">
        <f t="shared" si="245"/>
        <v>0</v>
      </c>
      <c r="CR192">
        <f t="shared" si="245"/>
        <v>0</v>
      </c>
      <c r="CS192">
        <f t="shared" si="245"/>
        <v>0</v>
      </c>
      <c r="CT192">
        <f t="shared" si="245"/>
        <v>0</v>
      </c>
      <c r="CU192">
        <f t="shared" si="245"/>
        <v>0</v>
      </c>
      <c r="CV192">
        <f t="shared" si="246"/>
        <v>0</v>
      </c>
      <c r="CW192">
        <f t="shared" si="246"/>
        <v>0</v>
      </c>
      <c r="CX192">
        <f t="shared" si="246"/>
        <v>0</v>
      </c>
      <c r="CY192">
        <f t="shared" si="246"/>
        <v>0</v>
      </c>
      <c r="CZ192">
        <f t="shared" si="246"/>
        <v>0</v>
      </c>
      <c r="DA192">
        <f t="shared" si="246"/>
        <v>0</v>
      </c>
      <c r="DB192">
        <f t="shared" si="246"/>
        <v>0</v>
      </c>
      <c r="DC192">
        <f t="shared" si="246"/>
        <v>0</v>
      </c>
      <c r="DD192">
        <f t="shared" si="246"/>
        <v>0</v>
      </c>
      <c r="DE192">
        <f t="shared" si="246"/>
        <v>0</v>
      </c>
      <c r="DF192">
        <f t="shared" si="247"/>
        <v>0</v>
      </c>
      <c r="DG192">
        <f t="shared" si="247"/>
        <v>0</v>
      </c>
      <c r="DH192">
        <f t="shared" si="247"/>
        <v>0</v>
      </c>
      <c r="DI192">
        <f t="shared" si="247"/>
        <v>0</v>
      </c>
      <c r="DJ192">
        <f t="shared" si="247"/>
        <v>0</v>
      </c>
      <c r="DK192">
        <f t="shared" si="247"/>
        <v>0</v>
      </c>
      <c r="DL192">
        <f t="shared" si="247"/>
        <v>0</v>
      </c>
      <c r="DM192">
        <f t="shared" si="247"/>
        <v>0</v>
      </c>
      <c r="DN192">
        <f t="shared" si="247"/>
        <v>0</v>
      </c>
      <c r="DO192">
        <f t="shared" si="247"/>
        <v>0</v>
      </c>
      <c r="DP192">
        <f t="shared" si="248"/>
        <v>0</v>
      </c>
      <c r="DQ192">
        <f t="shared" si="248"/>
        <v>0</v>
      </c>
      <c r="DR192">
        <f t="shared" si="248"/>
        <v>0</v>
      </c>
      <c r="DS192">
        <f t="shared" si="248"/>
        <v>0</v>
      </c>
      <c r="DT192">
        <f t="shared" si="248"/>
        <v>0</v>
      </c>
      <c r="DU192">
        <f t="shared" si="248"/>
        <v>0</v>
      </c>
      <c r="DV192">
        <f t="shared" si="248"/>
        <v>0</v>
      </c>
      <c r="DW192">
        <f t="shared" si="248"/>
        <v>0</v>
      </c>
      <c r="DX192">
        <f t="shared" si="248"/>
        <v>0</v>
      </c>
      <c r="DY192">
        <f t="shared" si="248"/>
        <v>0</v>
      </c>
      <c r="DZ192">
        <f t="shared" si="249"/>
        <v>0</v>
      </c>
      <c r="EA192">
        <f t="shared" si="249"/>
        <v>0</v>
      </c>
      <c r="EB192">
        <f t="shared" si="249"/>
        <v>0</v>
      </c>
      <c r="EC192">
        <f t="shared" si="249"/>
        <v>0</v>
      </c>
      <c r="ED192">
        <f t="shared" si="249"/>
        <v>0</v>
      </c>
      <c r="EE192">
        <f t="shared" si="249"/>
        <v>0</v>
      </c>
      <c r="EF192">
        <f t="shared" si="249"/>
        <v>0</v>
      </c>
      <c r="EG192">
        <f t="shared" si="249"/>
        <v>0</v>
      </c>
      <c r="EH192">
        <f t="shared" si="249"/>
        <v>0</v>
      </c>
      <c r="EI192">
        <f t="shared" si="249"/>
        <v>0</v>
      </c>
      <c r="EJ192">
        <f>SUM(Tabla1[[#This Row],[1]:[130]])</f>
        <v>0</v>
      </c>
    </row>
    <row r="193" spans="1:140" ht="15.75" thickBot="1" x14ac:dyDescent="0.3">
      <c r="A193" t="str">
        <f>B193&amp;"-"&amp;COUNTIF($B$2:B193,B193)</f>
        <v>I. PULPA FRAMBUESA-3</v>
      </c>
      <c r="B193" s="33" t="s">
        <v>105</v>
      </c>
      <c r="C193">
        <f>VLOOKUP(B193,RECETAS!D192:$E$1700,2,FALSE)</f>
        <v>0</v>
      </c>
      <c r="D193" s="32"/>
      <c r="G193" t="b">
        <f t="shared" si="171"/>
        <v>1</v>
      </c>
      <c r="I193" s="39" t="s">
        <v>126</v>
      </c>
      <c r="J193">
        <f t="shared" ref="J193:S202" si="250">IFERROR(VLOOKUP($I193&amp;"-"&amp;J$2,$A$3:$C$1700,3,FALSE),0)</f>
        <v>0</v>
      </c>
      <c r="K193">
        <f t="shared" si="250"/>
        <v>0</v>
      </c>
      <c r="L193">
        <f t="shared" si="250"/>
        <v>0</v>
      </c>
      <c r="M193">
        <f t="shared" si="250"/>
        <v>0</v>
      </c>
      <c r="N193">
        <f t="shared" si="250"/>
        <v>0</v>
      </c>
      <c r="O193">
        <f t="shared" si="250"/>
        <v>0</v>
      </c>
      <c r="P193">
        <f t="shared" si="250"/>
        <v>0</v>
      </c>
      <c r="Q193">
        <f t="shared" si="250"/>
        <v>0</v>
      </c>
      <c r="R193">
        <f t="shared" si="250"/>
        <v>0</v>
      </c>
      <c r="S193">
        <f t="shared" si="250"/>
        <v>0</v>
      </c>
      <c r="T193">
        <f t="shared" ref="T193:AC202" si="251">IFERROR(VLOOKUP($I193&amp;"-"&amp;T$2,$A$3:$C$1700,3,FALSE),0)</f>
        <v>0</v>
      </c>
      <c r="U193">
        <f t="shared" si="251"/>
        <v>0</v>
      </c>
      <c r="V193">
        <f t="shared" si="251"/>
        <v>0</v>
      </c>
      <c r="W193">
        <f t="shared" si="251"/>
        <v>0</v>
      </c>
      <c r="X193">
        <f t="shared" si="251"/>
        <v>0</v>
      </c>
      <c r="Y193">
        <f t="shared" si="251"/>
        <v>0</v>
      </c>
      <c r="Z193">
        <f t="shared" si="251"/>
        <v>0</v>
      </c>
      <c r="AA193">
        <f t="shared" si="251"/>
        <v>0</v>
      </c>
      <c r="AB193">
        <f t="shared" si="251"/>
        <v>0</v>
      </c>
      <c r="AC193">
        <f t="shared" si="251"/>
        <v>0</v>
      </c>
      <c r="AD193">
        <f t="shared" ref="AD193:AM202" si="252">IFERROR(VLOOKUP($I193&amp;"-"&amp;AD$2,$A$3:$C$1700,3,FALSE),0)</f>
        <v>0</v>
      </c>
      <c r="AE193">
        <f t="shared" si="252"/>
        <v>0</v>
      </c>
      <c r="AF193">
        <f t="shared" si="252"/>
        <v>0</v>
      </c>
      <c r="AG193">
        <f t="shared" si="252"/>
        <v>0</v>
      </c>
      <c r="AH193">
        <f t="shared" si="252"/>
        <v>0</v>
      </c>
      <c r="AI193">
        <f t="shared" si="252"/>
        <v>0</v>
      </c>
      <c r="AJ193">
        <f t="shared" si="252"/>
        <v>0</v>
      </c>
      <c r="AK193">
        <f t="shared" si="252"/>
        <v>0</v>
      </c>
      <c r="AL193">
        <f t="shared" si="252"/>
        <v>0</v>
      </c>
      <c r="AM193">
        <f t="shared" si="252"/>
        <v>0</v>
      </c>
      <c r="AN193">
        <f t="shared" ref="AN193:AW202" si="253">IFERROR(VLOOKUP($I193&amp;"-"&amp;AN$2,$A$3:$C$1700,3,FALSE),0)</f>
        <v>0</v>
      </c>
      <c r="AO193">
        <f t="shared" si="253"/>
        <v>0</v>
      </c>
      <c r="AP193">
        <f t="shared" si="253"/>
        <v>0</v>
      </c>
      <c r="AQ193">
        <f t="shared" si="253"/>
        <v>0</v>
      </c>
      <c r="AR193">
        <f t="shared" si="253"/>
        <v>0</v>
      </c>
      <c r="AS193">
        <f t="shared" si="253"/>
        <v>0</v>
      </c>
      <c r="AT193">
        <f t="shared" si="253"/>
        <v>0</v>
      </c>
      <c r="AU193">
        <f t="shared" si="253"/>
        <v>0</v>
      </c>
      <c r="AV193">
        <f t="shared" si="253"/>
        <v>0</v>
      </c>
      <c r="AW193">
        <f t="shared" si="253"/>
        <v>0</v>
      </c>
      <c r="AX193">
        <f t="shared" ref="AX193:BG202" si="254">IFERROR(VLOOKUP($I193&amp;"-"&amp;AX$2,$A$3:$C$1700,3,FALSE),0)</f>
        <v>0</v>
      </c>
      <c r="AY193">
        <f t="shared" si="254"/>
        <v>0</v>
      </c>
      <c r="AZ193">
        <f t="shared" si="254"/>
        <v>0</v>
      </c>
      <c r="BA193">
        <f t="shared" si="254"/>
        <v>0</v>
      </c>
      <c r="BB193">
        <f t="shared" si="254"/>
        <v>0</v>
      </c>
      <c r="BC193">
        <f t="shared" si="254"/>
        <v>0</v>
      </c>
      <c r="BD193">
        <f t="shared" si="254"/>
        <v>0</v>
      </c>
      <c r="BE193">
        <f t="shared" si="254"/>
        <v>0</v>
      </c>
      <c r="BF193">
        <f t="shared" si="254"/>
        <v>0</v>
      </c>
      <c r="BG193">
        <f t="shared" si="254"/>
        <v>0</v>
      </c>
      <c r="BH193">
        <f t="shared" ref="BH193:BQ202" si="255">IFERROR(VLOOKUP($I193&amp;"-"&amp;BH$2,$A$3:$C$1700,3,FALSE),0)</f>
        <v>0</v>
      </c>
      <c r="BI193">
        <f t="shared" si="255"/>
        <v>0</v>
      </c>
      <c r="BJ193">
        <f t="shared" si="255"/>
        <v>0</v>
      </c>
      <c r="BK193">
        <f t="shared" si="255"/>
        <v>0</v>
      </c>
      <c r="BL193">
        <f t="shared" si="255"/>
        <v>0</v>
      </c>
      <c r="BM193">
        <f t="shared" si="255"/>
        <v>0</v>
      </c>
      <c r="BN193">
        <f t="shared" si="255"/>
        <v>0</v>
      </c>
      <c r="BO193">
        <f t="shared" si="255"/>
        <v>0</v>
      </c>
      <c r="BP193">
        <f t="shared" si="255"/>
        <v>0</v>
      </c>
      <c r="BQ193">
        <f t="shared" si="255"/>
        <v>0</v>
      </c>
      <c r="BR193">
        <f t="shared" ref="BR193:CA202" si="256">IFERROR(VLOOKUP($I193&amp;"-"&amp;BR$2,$A$3:$C$1700,3,FALSE),0)</f>
        <v>0</v>
      </c>
      <c r="BS193">
        <f t="shared" si="256"/>
        <v>0</v>
      </c>
      <c r="BT193">
        <f t="shared" si="256"/>
        <v>0</v>
      </c>
      <c r="BU193">
        <f t="shared" si="256"/>
        <v>0</v>
      </c>
      <c r="BV193">
        <f t="shared" si="256"/>
        <v>0</v>
      </c>
      <c r="BW193">
        <f t="shared" si="256"/>
        <v>0</v>
      </c>
      <c r="BX193">
        <f t="shared" si="256"/>
        <v>0</v>
      </c>
      <c r="BY193">
        <f t="shared" si="256"/>
        <v>0</v>
      </c>
      <c r="BZ193">
        <f t="shared" si="256"/>
        <v>0</v>
      </c>
      <c r="CA193">
        <f t="shared" si="256"/>
        <v>0</v>
      </c>
      <c r="CB193">
        <f t="shared" ref="CB193:CK202" si="257">IFERROR(VLOOKUP($I193&amp;"-"&amp;CB$2,$A$3:$C$1700,3,FALSE),0)</f>
        <v>0</v>
      </c>
      <c r="CC193">
        <f t="shared" si="257"/>
        <v>0</v>
      </c>
      <c r="CD193">
        <f t="shared" si="257"/>
        <v>0</v>
      </c>
      <c r="CE193">
        <f t="shared" si="257"/>
        <v>0</v>
      </c>
      <c r="CF193">
        <f t="shared" si="257"/>
        <v>0</v>
      </c>
      <c r="CG193">
        <f t="shared" si="257"/>
        <v>0</v>
      </c>
      <c r="CH193">
        <f t="shared" si="257"/>
        <v>0</v>
      </c>
      <c r="CI193">
        <f t="shared" si="257"/>
        <v>0</v>
      </c>
      <c r="CJ193">
        <f t="shared" si="257"/>
        <v>0</v>
      </c>
      <c r="CK193">
        <f t="shared" si="257"/>
        <v>0</v>
      </c>
      <c r="CL193">
        <f t="shared" ref="CL193:CU202" si="258">IFERROR(VLOOKUP($I193&amp;"-"&amp;CL$2,$A$3:$C$1700,3,FALSE),0)</f>
        <v>0</v>
      </c>
      <c r="CM193">
        <f t="shared" si="258"/>
        <v>0</v>
      </c>
      <c r="CN193">
        <f t="shared" si="258"/>
        <v>0</v>
      </c>
      <c r="CO193">
        <f t="shared" si="258"/>
        <v>0</v>
      </c>
      <c r="CP193">
        <f t="shared" si="258"/>
        <v>0</v>
      </c>
      <c r="CQ193">
        <f t="shared" si="258"/>
        <v>0</v>
      </c>
      <c r="CR193">
        <f t="shared" si="258"/>
        <v>0</v>
      </c>
      <c r="CS193">
        <f t="shared" si="258"/>
        <v>0</v>
      </c>
      <c r="CT193">
        <f t="shared" si="258"/>
        <v>0</v>
      </c>
      <c r="CU193">
        <f t="shared" si="258"/>
        <v>0</v>
      </c>
      <c r="CV193">
        <f t="shared" ref="CV193:DE202" si="259">IFERROR(VLOOKUP($I193&amp;"-"&amp;CV$2,$A$3:$C$1700,3,FALSE),0)</f>
        <v>0</v>
      </c>
      <c r="CW193">
        <f t="shared" si="259"/>
        <v>0</v>
      </c>
      <c r="CX193">
        <f t="shared" si="259"/>
        <v>0</v>
      </c>
      <c r="CY193">
        <f t="shared" si="259"/>
        <v>0</v>
      </c>
      <c r="CZ193">
        <f t="shared" si="259"/>
        <v>0</v>
      </c>
      <c r="DA193">
        <f t="shared" si="259"/>
        <v>0</v>
      </c>
      <c r="DB193">
        <f t="shared" si="259"/>
        <v>0</v>
      </c>
      <c r="DC193">
        <f t="shared" si="259"/>
        <v>0</v>
      </c>
      <c r="DD193">
        <f t="shared" si="259"/>
        <v>0</v>
      </c>
      <c r="DE193">
        <f t="shared" si="259"/>
        <v>0</v>
      </c>
      <c r="DF193">
        <f t="shared" ref="DF193:DO202" si="260">IFERROR(VLOOKUP($I193&amp;"-"&amp;DF$2,$A$3:$C$1700,3,FALSE),0)</f>
        <v>0</v>
      </c>
      <c r="DG193">
        <f t="shared" si="260"/>
        <v>0</v>
      </c>
      <c r="DH193">
        <f t="shared" si="260"/>
        <v>0</v>
      </c>
      <c r="DI193">
        <f t="shared" si="260"/>
        <v>0</v>
      </c>
      <c r="DJ193">
        <f t="shared" si="260"/>
        <v>0</v>
      </c>
      <c r="DK193">
        <f t="shared" si="260"/>
        <v>0</v>
      </c>
      <c r="DL193">
        <f t="shared" si="260"/>
        <v>0</v>
      </c>
      <c r="DM193">
        <f t="shared" si="260"/>
        <v>0</v>
      </c>
      <c r="DN193">
        <f t="shared" si="260"/>
        <v>0</v>
      </c>
      <c r="DO193">
        <f t="shared" si="260"/>
        <v>0</v>
      </c>
      <c r="DP193">
        <f t="shared" ref="DP193:DY202" si="261">IFERROR(VLOOKUP($I193&amp;"-"&amp;DP$2,$A$3:$C$1700,3,FALSE),0)</f>
        <v>0</v>
      </c>
      <c r="DQ193">
        <f t="shared" si="261"/>
        <v>0</v>
      </c>
      <c r="DR193">
        <f t="shared" si="261"/>
        <v>0</v>
      </c>
      <c r="DS193">
        <f t="shared" si="261"/>
        <v>0</v>
      </c>
      <c r="DT193">
        <f t="shared" si="261"/>
        <v>0</v>
      </c>
      <c r="DU193">
        <f t="shared" si="261"/>
        <v>0</v>
      </c>
      <c r="DV193">
        <f t="shared" si="261"/>
        <v>0</v>
      </c>
      <c r="DW193">
        <f t="shared" si="261"/>
        <v>0</v>
      </c>
      <c r="DX193">
        <f t="shared" si="261"/>
        <v>0</v>
      </c>
      <c r="DY193">
        <f t="shared" si="261"/>
        <v>0</v>
      </c>
      <c r="DZ193">
        <f t="shared" ref="DZ193:EI202" si="262">IFERROR(VLOOKUP($I193&amp;"-"&amp;DZ$2,$A$3:$C$1700,3,FALSE),0)</f>
        <v>0</v>
      </c>
      <c r="EA193">
        <f t="shared" si="262"/>
        <v>0</v>
      </c>
      <c r="EB193">
        <f t="shared" si="262"/>
        <v>0</v>
      </c>
      <c r="EC193">
        <f t="shared" si="262"/>
        <v>0</v>
      </c>
      <c r="ED193">
        <f t="shared" si="262"/>
        <v>0</v>
      </c>
      <c r="EE193">
        <f t="shared" si="262"/>
        <v>0</v>
      </c>
      <c r="EF193">
        <f t="shared" si="262"/>
        <v>0</v>
      </c>
      <c r="EG193">
        <f t="shared" si="262"/>
        <v>0</v>
      </c>
      <c r="EH193">
        <f t="shared" si="262"/>
        <v>0</v>
      </c>
      <c r="EI193">
        <f t="shared" si="262"/>
        <v>0</v>
      </c>
      <c r="EJ193">
        <f>SUM(Tabla1[[#This Row],[1]:[130]])</f>
        <v>0</v>
      </c>
    </row>
    <row r="194" spans="1:140" x14ac:dyDescent="0.25">
      <c r="A194" t="str">
        <f>B194&amp;"-"&amp;COUNTIF($B$2:B194,B194)</f>
        <v>I. WISKY BATALLA-1</v>
      </c>
      <c r="B194" s="26" t="s">
        <v>130</v>
      </c>
      <c r="C194">
        <f>VLOOKUP(B194,RECETAS!D193:$E$1700,2,FALSE)</f>
        <v>0</v>
      </c>
      <c r="D194" s="25" t="s">
        <v>367</v>
      </c>
      <c r="G194" t="b">
        <f t="shared" si="171"/>
        <v>1</v>
      </c>
      <c r="I194" s="46" t="s">
        <v>127</v>
      </c>
      <c r="J194">
        <f t="shared" si="250"/>
        <v>23</v>
      </c>
      <c r="K194">
        <f t="shared" si="250"/>
        <v>0</v>
      </c>
      <c r="L194">
        <f t="shared" si="250"/>
        <v>0</v>
      </c>
      <c r="M194">
        <f t="shared" si="250"/>
        <v>0</v>
      </c>
      <c r="N194">
        <f t="shared" si="250"/>
        <v>0</v>
      </c>
      <c r="O194">
        <f t="shared" si="250"/>
        <v>0</v>
      </c>
      <c r="P194">
        <f t="shared" si="250"/>
        <v>0</v>
      </c>
      <c r="Q194">
        <f t="shared" si="250"/>
        <v>0</v>
      </c>
      <c r="R194">
        <f t="shared" si="250"/>
        <v>0</v>
      </c>
      <c r="S194">
        <f t="shared" si="250"/>
        <v>0</v>
      </c>
      <c r="T194">
        <f t="shared" si="251"/>
        <v>0</v>
      </c>
      <c r="U194">
        <f t="shared" si="251"/>
        <v>0</v>
      </c>
      <c r="V194">
        <f t="shared" si="251"/>
        <v>0</v>
      </c>
      <c r="W194">
        <f t="shared" si="251"/>
        <v>0</v>
      </c>
      <c r="X194">
        <f t="shared" si="251"/>
        <v>0</v>
      </c>
      <c r="Y194">
        <f t="shared" si="251"/>
        <v>0</v>
      </c>
      <c r="Z194">
        <f t="shared" si="251"/>
        <v>0</v>
      </c>
      <c r="AA194">
        <f t="shared" si="251"/>
        <v>0</v>
      </c>
      <c r="AB194">
        <f t="shared" si="251"/>
        <v>0</v>
      </c>
      <c r="AC194">
        <f t="shared" si="251"/>
        <v>0</v>
      </c>
      <c r="AD194">
        <f t="shared" si="252"/>
        <v>0</v>
      </c>
      <c r="AE194">
        <f t="shared" si="252"/>
        <v>0</v>
      </c>
      <c r="AF194">
        <f t="shared" si="252"/>
        <v>0</v>
      </c>
      <c r="AG194">
        <f t="shared" si="252"/>
        <v>0</v>
      </c>
      <c r="AH194">
        <f t="shared" si="252"/>
        <v>0</v>
      </c>
      <c r="AI194">
        <f t="shared" si="252"/>
        <v>0</v>
      </c>
      <c r="AJ194">
        <f t="shared" si="252"/>
        <v>0</v>
      </c>
      <c r="AK194">
        <f t="shared" si="252"/>
        <v>0</v>
      </c>
      <c r="AL194">
        <f t="shared" si="252"/>
        <v>0</v>
      </c>
      <c r="AM194">
        <f t="shared" si="252"/>
        <v>0</v>
      </c>
      <c r="AN194">
        <f t="shared" si="253"/>
        <v>0</v>
      </c>
      <c r="AO194">
        <f t="shared" si="253"/>
        <v>0</v>
      </c>
      <c r="AP194">
        <f t="shared" si="253"/>
        <v>0</v>
      </c>
      <c r="AQ194">
        <f t="shared" si="253"/>
        <v>0</v>
      </c>
      <c r="AR194">
        <f t="shared" si="253"/>
        <v>0</v>
      </c>
      <c r="AS194">
        <f t="shared" si="253"/>
        <v>0</v>
      </c>
      <c r="AT194">
        <f t="shared" si="253"/>
        <v>0</v>
      </c>
      <c r="AU194">
        <f t="shared" si="253"/>
        <v>0</v>
      </c>
      <c r="AV194">
        <f t="shared" si="253"/>
        <v>0</v>
      </c>
      <c r="AW194">
        <f t="shared" si="253"/>
        <v>0</v>
      </c>
      <c r="AX194">
        <f t="shared" si="254"/>
        <v>0</v>
      </c>
      <c r="AY194">
        <f t="shared" si="254"/>
        <v>0</v>
      </c>
      <c r="AZ194">
        <f t="shared" si="254"/>
        <v>0</v>
      </c>
      <c r="BA194">
        <f t="shared" si="254"/>
        <v>0</v>
      </c>
      <c r="BB194">
        <f t="shared" si="254"/>
        <v>0</v>
      </c>
      <c r="BC194">
        <f t="shared" si="254"/>
        <v>0</v>
      </c>
      <c r="BD194">
        <f t="shared" si="254"/>
        <v>0</v>
      </c>
      <c r="BE194">
        <f t="shared" si="254"/>
        <v>0</v>
      </c>
      <c r="BF194">
        <f t="shared" si="254"/>
        <v>0</v>
      </c>
      <c r="BG194">
        <f t="shared" si="254"/>
        <v>0</v>
      </c>
      <c r="BH194">
        <f t="shared" si="255"/>
        <v>0</v>
      </c>
      <c r="BI194">
        <f t="shared" si="255"/>
        <v>0</v>
      </c>
      <c r="BJ194">
        <f t="shared" si="255"/>
        <v>0</v>
      </c>
      <c r="BK194">
        <f t="shared" si="255"/>
        <v>0</v>
      </c>
      <c r="BL194">
        <f t="shared" si="255"/>
        <v>0</v>
      </c>
      <c r="BM194">
        <f t="shared" si="255"/>
        <v>0</v>
      </c>
      <c r="BN194">
        <f t="shared" si="255"/>
        <v>0</v>
      </c>
      <c r="BO194">
        <f t="shared" si="255"/>
        <v>0</v>
      </c>
      <c r="BP194">
        <f t="shared" si="255"/>
        <v>0</v>
      </c>
      <c r="BQ194">
        <f t="shared" si="255"/>
        <v>0</v>
      </c>
      <c r="BR194">
        <f t="shared" si="256"/>
        <v>0</v>
      </c>
      <c r="BS194">
        <f t="shared" si="256"/>
        <v>0</v>
      </c>
      <c r="BT194">
        <f t="shared" si="256"/>
        <v>0</v>
      </c>
      <c r="BU194">
        <f t="shared" si="256"/>
        <v>0</v>
      </c>
      <c r="BV194">
        <f t="shared" si="256"/>
        <v>0</v>
      </c>
      <c r="BW194">
        <f t="shared" si="256"/>
        <v>0</v>
      </c>
      <c r="BX194">
        <f t="shared" si="256"/>
        <v>0</v>
      </c>
      <c r="BY194">
        <f t="shared" si="256"/>
        <v>0</v>
      </c>
      <c r="BZ194">
        <f t="shared" si="256"/>
        <v>0</v>
      </c>
      <c r="CA194">
        <f t="shared" si="256"/>
        <v>0</v>
      </c>
      <c r="CB194">
        <f t="shared" si="257"/>
        <v>0</v>
      </c>
      <c r="CC194">
        <f t="shared" si="257"/>
        <v>0</v>
      </c>
      <c r="CD194">
        <f t="shared" si="257"/>
        <v>0</v>
      </c>
      <c r="CE194">
        <f t="shared" si="257"/>
        <v>0</v>
      </c>
      <c r="CF194">
        <f t="shared" si="257"/>
        <v>0</v>
      </c>
      <c r="CG194">
        <f t="shared" si="257"/>
        <v>0</v>
      </c>
      <c r="CH194">
        <f t="shared" si="257"/>
        <v>0</v>
      </c>
      <c r="CI194">
        <f t="shared" si="257"/>
        <v>0</v>
      </c>
      <c r="CJ194">
        <f t="shared" si="257"/>
        <v>0</v>
      </c>
      <c r="CK194">
        <f t="shared" si="257"/>
        <v>0</v>
      </c>
      <c r="CL194">
        <f t="shared" si="258"/>
        <v>0</v>
      </c>
      <c r="CM194">
        <f t="shared" si="258"/>
        <v>0</v>
      </c>
      <c r="CN194">
        <f t="shared" si="258"/>
        <v>0</v>
      </c>
      <c r="CO194">
        <f t="shared" si="258"/>
        <v>0</v>
      </c>
      <c r="CP194">
        <f t="shared" si="258"/>
        <v>0</v>
      </c>
      <c r="CQ194">
        <f t="shared" si="258"/>
        <v>0</v>
      </c>
      <c r="CR194">
        <f t="shared" si="258"/>
        <v>0</v>
      </c>
      <c r="CS194">
        <f t="shared" si="258"/>
        <v>0</v>
      </c>
      <c r="CT194">
        <f t="shared" si="258"/>
        <v>0</v>
      </c>
      <c r="CU194">
        <f t="shared" si="258"/>
        <v>0</v>
      </c>
      <c r="CV194">
        <f t="shared" si="259"/>
        <v>0</v>
      </c>
      <c r="CW194">
        <f t="shared" si="259"/>
        <v>0</v>
      </c>
      <c r="CX194">
        <f t="shared" si="259"/>
        <v>0</v>
      </c>
      <c r="CY194">
        <f t="shared" si="259"/>
        <v>0</v>
      </c>
      <c r="CZ194">
        <f t="shared" si="259"/>
        <v>0</v>
      </c>
      <c r="DA194">
        <f t="shared" si="259"/>
        <v>0</v>
      </c>
      <c r="DB194">
        <f t="shared" si="259"/>
        <v>0</v>
      </c>
      <c r="DC194">
        <f t="shared" si="259"/>
        <v>0</v>
      </c>
      <c r="DD194">
        <f t="shared" si="259"/>
        <v>0</v>
      </c>
      <c r="DE194">
        <f t="shared" si="259"/>
        <v>0</v>
      </c>
      <c r="DF194">
        <f t="shared" si="260"/>
        <v>0</v>
      </c>
      <c r="DG194">
        <f t="shared" si="260"/>
        <v>0</v>
      </c>
      <c r="DH194">
        <f t="shared" si="260"/>
        <v>0</v>
      </c>
      <c r="DI194">
        <f t="shared" si="260"/>
        <v>0</v>
      </c>
      <c r="DJ194">
        <f t="shared" si="260"/>
        <v>0</v>
      </c>
      <c r="DK194">
        <f t="shared" si="260"/>
        <v>0</v>
      </c>
      <c r="DL194">
        <f t="shared" si="260"/>
        <v>0</v>
      </c>
      <c r="DM194">
        <f t="shared" si="260"/>
        <v>0</v>
      </c>
      <c r="DN194">
        <f t="shared" si="260"/>
        <v>0</v>
      </c>
      <c r="DO194">
        <f t="shared" si="260"/>
        <v>0</v>
      </c>
      <c r="DP194">
        <f t="shared" si="261"/>
        <v>0</v>
      </c>
      <c r="DQ194">
        <f t="shared" si="261"/>
        <v>0</v>
      </c>
      <c r="DR194">
        <f t="shared" si="261"/>
        <v>0</v>
      </c>
      <c r="DS194">
        <f t="shared" si="261"/>
        <v>0</v>
      </c>
      <c r="DT194">
        <f t="shared" si="261"/>
        <v>0</v>
      </c>
      <c r="DU194">
        <f t="shared" si="261"/>
        <v>0</v>
      </c>
      <c r="DV194">
        <f t="shared" si="261"/>
        <v>0</v>
      </c>
      <c r="DW194">
        <f t="shared" si="261"/>
        <v>0</v>
      </c>
      <c r="DX194">
        <f t="shared" si="261"/>
        <v>0</v>
      </c>
      <c r="DY194">
        <f t="shared" si="261"/>
        <v>0</v>
      </c>
      <c r="DZ194">
        <f t="shared" si="262"/>
        <v>0</v>
      </c>
      <c r="EA194">
        <f t="shared" si="262"/>
        <v>0</v>
      </c>
      <c r="EB194">
        <f t="shared" si="262"/>
        <v>0</v>
      </c>
      <c r="EC194">
        <f t="shared" si="262"/>
        <v>0</v>
      </c>
      <c r="ED194">
        <f t="shared" si="262"/>
        <v>0</v>
      </c>
      <c r="EE194">
        <f t="shared" si="262"/>
        <v>0</v>
      </c>
      <c r="EF194">
        <f t="shared" si="262"/>
        <v>0</v>
      </c>
      <c r="EG194">
        <f t="shared" si="262"/>
        <v>0</v>
      </c>
      <c r="EH194">
        <f t="shared" si="262"/>
        <v>0</v>
      </c>
      <c r="EI194">
        <f t="shared" si="262"/>
        <v>0</v>
      </c>
      <c r="EJ194">
        <f>SUM(Tabla1[[#This Row],[1]:[130]])</f>
        <v>23</v>
      </c>
    </row>
    <row r="195" spans="1:140" x14ac:dyDescent="0.25">
      <c r="A195" t="str">
        <f>B195&amp;"-"&amp;COUNTIF($B$2:B195,B195)</f>
        <v>I. PULPA LIMON-7</v>
      </c>
      <c r="B195" s="35" t="s">
        <v>106</v>
      </c>
      <c r="C195">
        <f>VLOOKUP(B195,RECETAS!D194:$E$1700,2,FALSE)</f>
        <v>0</v>
      </c>
      <c r="D195" s="34"/>
      <c r="G195" t="b">
        <f t="shared" ref="G195:G258" si="263">IFERROR(IF(MATCH(B195,I:I,0) &lt;&gt; "", TRUE,""),FALSE)</f>
        <v>1</v>
      </c>
      <c r="I195" s="35" t="s">
        <v>4</v>
      </c>
      <c r="J195">
        <f t="shared" si="250"/>
        <v>0</v>
      </c>
      <c r="K195">
        <f t="shared" si="250"/>
        <v>0</v>
      </c>
      <c r="L195">
        <f t="shared" si="250"/>
        <v>0</v>
      </c>
      <c r="M195">
        <f t="shared" si="250"/>
        <v>0</v>
      </c>
      <c r="N195">
        <f t="shared" si="250"/>
        <v>0</v>
      </c>
      <c r="O195">
        <f t="shared" si="250"/>
        <v>2</v>
      </c>
      <c r="P195">
        <f t="shared" si="250"/>
        <v>0</v>
      </c>
      <c r="Q195">
        <f t="shared" si="250"/>
        <v>0</v>
      </c>
      <c r="R195">
        <f t="shared" si="250"/>
        <v>0</v>
      </c>
      <c r="S195">
        <f t="shared" si="250"/>
        <v>0</v>
      </c>
      <c r="T195">
        <f t="shared" si="251"/>
        <v>0</v>
      </c>
      <c r="U195">
        <f t="shared" si="251"/>
        <v>0</v>
      </c>
      <c r="V195">
        <f t="shared" si="251"/>
        <v>0</v>
      </c>
      <c r="W195">
        <f t="shared" si="251"/>
        <v>0</v>
      </c>
      <c r="X195">
        <f t="shared" si="251"/>
        <v>0</v>
      </c>
      <c r="Y195">
        <f t="shared" si="251"/>
        <v>0</v>
      </c>
      <c r="Z195">
        <f t="shared" si="251"/>
        <v>0</v>
      </c>
      <c r="AA195">
        <f t="shared" si="251"/>
        <v>0</v>
      </c>
      <c r="AB195">
        <f t="shared" si="251"/>
        <v>0</v>
      </c>
      <c r="AC195">
        <f t="shared" si="251"/>
        <v>0</v>
      </c>
      <c r="AD195">
        <f t="shared" si="252"/>
        <v>0</v>
      </c>
      <c r="AE195">
        <f t="shared" si="252"/>
        <v>0</v>
      </c>
      <c r="AF195">
        <f t="shared" si="252"/>
        <v>0</v>
      </c>
      <c r="AG195">
        <f t="shared" si="252"/>
        <v>0</v>
      </c>
      <c r="AH195">
        <f t="shared" si="252"/>
        <v>0</v>
      </c>
      <c r="AI195">
        <f t="shared" si="252"/>
        <v>0</v>
      </c>
      <c r="AJ195">
        <f t="shared" si="252"/>
        <v>0</v>
      </c>
      <c r="AK195">
        <f t="shared" si="252"/>
        <v>0</v>
      </c>
      <c r="AL195">
        <f t="shared" si="252"/>
        <v>0</v>
      </c>
      <c r="AM195">
        <f t="shared" si="252"/>
        <v>0</v>
      </c>
      <c r="AN195">
        <f t="shared" si="253"/>
        <v>0</v>
      </c>
      <c r="AO195">
        <f t="shared" si="253"/>
        <v>0</v>
      </c>
      <c r="AP195">
        <f t="shared" si="253"/>
        <v>0</v>
      </c>
      <c r="AQ195">
        <f t="shared" si="253"/>
        <v>0</v>
      </c>
      <c r="AR195">
        <f t="shared" si="253"/>
        <v>0</v>
      </c>
      <c r="AS195">
        <f t="shared" si="253"/>
        <v>0</v>
      </c>
      <c r="AT195">
        <f t="shared" si="253"/>
        <v>0</v>
      </c>
      <c r="AU195">
        <f t="shared" si="253"/>
        <v>0</v>
      </c>
      <c r="AV195">
        <f t="shared" si="253"/>
        <v>0</v>
      </c>
      <c r="AW195">
        <f t="shared" si="253"/>
        <v>0</v>
      </c>
      <c r="AX195">
        <f t="shared" si="254"/>
        <v>0</v>
      </c>
      <c r="AY195">
        <f t="shared" si="254"/>
        <v>0</v>
      </c>
      <c r="AZ195">
        <f t="shared" si="254"/>
        <v>0</v>
      </c>
      <c r="BA195">
        <f t="shared" si="254"/>
        <v>0</v>
      </c>
      <c r="BB195">
        <f t="shared" si="254"/>
        <v>0</v>
      </c>
      <c r="BC195">
        <f t="shared" si="254"/>
        <v>0</v>
      </c>
      <c r="BD195">
        <f t="shared" si="254"/>
        <v>0</v>
      </c>
      <c r="BE195">
        <f t="shared" si="254"/>
        <v>0</v>
      </c>
      <c r="BF195">
        <f t="shared" si="254"/>
        <v>0</v>
      </c>
      <c r="BG195">
        <f t="shared" si="254"/>
        <v>0</v>
      </c>
      <c r="BH195">
        <f t="shared" si="255"/>
        <v>0</v>
      </c>
      <c r="BI195">
        <f t="shared" si="255"/>
        <v>0</v>
      </c>
      <c r="BJ195">
        <f t="shared" si="255"/>
        <v>0</v>
      </c>
      <c r="BK195">
        <f t="shared" si="255"/>
        <v>0</v>
      </c>
      <c r="BL195">
        <f t="shared" si="255"/>
        <v>0</v>
      </c>
      <c r="BM195">
        <f t="shared" si="255"/>
        <v>0</v>
      </c>
      <c r="BN195">
        <f t="shared" si="255"/>
        <v>0</v>
      </c>
      <c r="BO195">
        <f t="shared" si="255"/>
        <v>0</v>
      </c>
      <c r="BP195">
        <f t="shared" si="255"/>
        <v>0</v>
      </c>
      <c r="BQ195">
        <f t="shared" si="255"/>
        <v>0</v>
      </c>
      <c r="BR195">
        <f t="shared" si="256"/>
        <v>0</v>
      </c>
      <c r="BS195">
        <f t="shared" si="256"/>
        <v>0</v>
      </c>
      <c r="BT195">
        <f t="shared" si="256"/>
        <v>0</v>
      </c>
      <c r="BU195">
        <f t="shared" si="256"/>
        <v>0</v>
      </c>
      <c r="BV195">
        <f t="shared" si="256"/>
        <v>0</v>
      </c>
      <c r="BW195">
        <f t="shared" si="256"/>
        <v>0</v>
      </c>
      <c r="BX195">
        <f t="shared" si="256"/>
        <v>0</v>
      </c>
      <c r="BY195">
        <f t="shared" si="256"/>
        <v>0</v>
      </c>
      <c r="BZ195">
        <f t="shared" si="256"/>
        <v>0</v>
      </c>
      <c r="CA195">
        <f t="shared" si="256"/>
        <v>0</v>
      </c>
      <c r="CB195">
        <f t="shared" si="257"/>
        <v>0</v>
      </c>
      <c r="CC195">
        <f t="shared" si="257"/>
        <v>0</v>
      </c>
      <c r="CD195">
        <f t="shared" si="257"/>
        <v>0</v>
      </c>
      <c r="CE195">
        <f t="shared" si="257"/>
        <v>0</v>
      </c>
      <c r="CF195">
        <f t="shared" si="257"/>
        <v>0</v>
      </c>
      <c r="CG195">
        <f t="shared" si="257"/>
        <v>0</v>
      </c>
      <c r="CH195">
        <f t="shared" si="257"/>
        <v>0</v>
      </c>
      <c r="CI195">
        <f t="shared" si="257"/>
        <v>0</v>
      </c>
      <c r="CJ195">
        <f t="shared" si="257"/>
        <v>0</v>
      </c>
      <c r="CK195">
        <f t="shared" si="257"/>
        <v>0</v>
      </c>
      <c r="CL195">
        <f t="shared" si="258"/>
        <v>0</v>
      </c>
      <c r="CM195">
        <f t="shared" si="258"/>
        <v>0</v>
      </c>
      <c r="CN195">
        <f t="shared" si="258"/>
        <v>0</v>
      </c>
      <c r="CO195">
        <f t="shared" si="258"/>
        <v>0</v>
      </c>
      <c r="CP195">
        <f t="shared" si="258"/>
        <v>0</v>
      </c>
      <c r="CQ195">
        <f t="shared" si="258"/>
        <v>0</v>
      </c>
      <c r="CR195">
        <f t="shared" si="258"/>
        <v>0</v>
      </c>
      <c r="CS195">
        <f t="shared" si="258"/>
        <v>0</v>
      </c>
      <c r="CT195">
        <f t="shared" si="258"/>
        <v>0</v>
      </c>
      <c r="CU195">
        <f t="shared" si="258"/>
        <v>0</v>
      </c>
      <c r="CV195">
        <f t="shared" si="259"/>
        <v>0</v>
      </c>
      <c r="CW195">
        <f t="shared" si="259"/>
        <v>0</v>
      </c>
      <c r="CX195">
        <f t="shared" si="259"/>
        <v>0</v>
      </c>
      <c r="CY195">
        <f t="shared" si="259"/>
        <v>0</v>
      </c>
      <c r="CZ195">
        <f t="shared" si="259"/>
        <v>0</v>
      </c>
      <c r="DA195">
        <f t="shared" si="259"/>
        <v>0</v>
      </c>
      <c r="DB195">
        <f t="shared" si="259"/>
        <v>0</v>
      </c>
      <c r="DC195">
        <f t="shared" si="259"/>
        <v>0</v>
      </c>
      <c r="DD195">
        <f t="shared" si="259"/>
        <v>0</v>
      </c>
      <c r="DE195">
        <f t="shared" si="259"/>
        <v>0</v>
      </c>
      <c r="DF195">
        <f t="shared" si="260"/>
        <v>0</v>
      </c>
      <c r="DG195">
        <f t="shared" si="260"/>
        <v>0</v>
      </c>
      <c r="DH195">
        <f t="shared" si="260"/>
        <v>0</v>
      </c>
      <c r="DI195">
        <f t="shared" si="260"/>
        <v>0</v>
      </c>
      <c r="DJ195">
        <f t="shared" si="260"/>
        <v>0</v>
      </c>
      <c r="DK195">
        <f t="shared" si="260"/>
        <v>0</v>
      </c>
      <c r="DL195">
        <f t="shared" si="260"/>
        <v>0</v>
      </c>
      <c r="DM195">
        <f t="shared" si="260"/>
        <v>0</v>
      </c>
      <c r="DN195">
        <f t="shared" si="260"/>
        <v>0</v>
      </c>
      <c r="DO195">
        <f t="shared" si="260"/>
        <v>0</v>
      </c>
      <c r="DP195">
        <f t="shared" si="261"/>
        <v>0</v>
      </c>
      <c r="DQ195">
        <f t="shared" si="261"/>
        <v>0</v>
      </c>
      <c r="DR195">
        <f t="shared" si="261"/>
        <v>0</v>
      </c>
      <c r="DS195">
        <f t="shared" si="261"/>
        <v>0</v>
      </c>
      <c r="DT195">
        <f t="shared" si="261"/>
        <v>0</v>
      </c>
      <c r="DU195">
        <f t="shared" si="261"/>
        <v>0</v>
      </c>
      <c r="DV195">
        <f t="shared" si="261"/>
        <v>0</v>
      </c>
      <c r="DW195">
        <f t="shared" si="261"/>
        <v>0</v>
      </c>
      <c r="DX195">
        <f t="shared" si="261"/>
        <v>0</v>
      </c>
      <c r="DY195">
        <f t="shared" si="261"/>
        <v>0</v>
      </c>
      <c r="DZ195">
        <f t="shared" si="262"/>
        <v>0</v>
      </c>
      <c r="EA195">
        <f t="shared" si="262"/>
        <v>0</v>
      </c>
      <c r="EB195">
        <f t="shared" si="262"/>
        <v>0</v>
      </c>
      <c r="EC195">
        <f t="shared" si="262"/>
        <v>0</v>
      </c>
      <c r="ED195">
        <f t="shared" si="262"/>
        <v>0</v>
      </c>
      <c r="EE195">
        <f t="shared" si="262"/>
        <v>0</v>
      </c>
      <c r="EF195">
        <f t="shared" si="262"/>
        <v>0</v>
      </c>
      <c r="EG195">
        <f t="shared" si="262"/>
        <v>0</v>
      </c>
      <c r="EH195">
        <f t="shared" si="262"/>
        <v>0</v>
      </c>
      <c r="EI195">
        <f t="shared" si="262"/>
        <v>0</v>
      </c>
      <c r="EJ195">
        <f>SUM(Tabla1[[#This Row],[1]:[130]])</f>
        <v>2</v>
      </c>
    </row>
    <row r="196" spans="1:140" x14ac:dyDescent="0.25">
      <c r="A196" t="str">
        <f>B196&amp;"-"&amp;COUNTIF($B$2:B196,B196)</f>
        <v>I. AZUCAR FLOR-12</v>
      </c>
      <c r="B196" s="35" t="s">
        <v>51</v>
      </c>
      <c r="C196">
        <f>VLOOKUP(B196,RECETAS!D195:$E$1700,2,FALSE)</f>
        <v>0</v>
      </c>
      <c r="D196" s="34"/>
      <c r="G196" t="b">
        <f t="shared" si="263"/>
        <v>1</v>
      </c>
      <c r="I196" s="35" t="s">
        <v>7</v>
      </c>
      <c r="J196">
        <f t="shared" si="250"/>
        <v>33</v>
      </c>
      <c r="K196">
        <f t="shared" si="250"/>
        <v>20</v>
      </c>
      <c r="L196">
        <f t="shared" si="250"/>
        <v>19</v>
      </c>
      <c r="M196">
        <f t="shared" si="250"/>
        <v>10</v>
      </c>
      <c r="N196">
        <f t="shared" si="250"/>
        <v>3</v>
      </c>
      <c r="O196">
        <f t="shared" si="250"/>
        <v>1</v>
      </c>
      <c r="P196">
        <f t="shared" si="250"/>
        <v>4</v>
      </c>
      <c r="Q196">
        <f t="shared" si="250"/>
        <v>2</v>
      </c>
      <c r="R196">
        <f t="shared" si="250"/>
        <v>2</v>
      </c>
      <c r="S196">
        <f t="shared" si="250"/>
        <v>0</v>
      </c>
      <c r="T196">
        <f t="shared" si="251"/>
        <v>0</v>
      </c>
      <c r="U196">
        <f t="shared" si="251"/>
        <v>0</v>
      </c>
      <c r="V196">
        <f t="shared" si="251"/>
        <v>0</v>
      </c>
      <c r="W196">
        <f t="shared" si="251"/>
        <v>0</v>
      </c>
      <c r="X196">
        <f t="shared" si="251"/>
        <v>0</v>
      </c>
      <c r="Y196">
        <f t="shared" si="251"/>
        <v>0</v>
      </c>
      <c r="Z196">
        <f t="shared" si="251"/>
        <v>0</v>
      </c>
      <c r="AA196">
        <f t="shared" si="251"/>
        <v>0</v>
      </c>
      <c r="AB196">
        <f t="shared" si="251"/>
        <v>0</v>
      </c>
      <c r="AC196">
        <f t="shared" si="251"/>
        <v>0</v>
      </c>
      <c r="AD196">
        <f t="shared" si="252"/>
        <v>0</v>
      </c>
      <c r="AE196">
        <f t="shared" si="252"/>
        <v>0</v>
      </c>
      <c r="AF196">
        <f t="shared" si="252"/>
        <v>0</v>
      </c>
      <c r="AG196">
        <f t="shared" si="252"/>
        <v>0</v>
      </c>
      <c r="AH196">
        <f t="shared" si="252"/>
        <v>0</v>
      </c>
      <c r="AI196">
        <f t="shared" si="252"/>
        <v>0</v>
      </c>
      <c r="AJ196">
        <f t="shared" si="252"/>
        <v>0</v>
      </c>
      <c r="AK196">
        <f t="shared" si="252"/>
        <v>0</v>
      </c>
      <c r="AL196">
        <f t="shared" si="252"/>
        <v>0</v>
      </c>
      <c r="AM196">
        <f t="shared" si="252"/>
        <v>0</v>
      </c>
      <c r="AN196">
        <f t="shared" si="253"/>
        <v>0</v>
      </c>
      <c r="AO196">
        <f t="shared" si="253"/>
        <v>0</v>
      </c>
      <c r="AP196">
        <f t="shared" si="253"/>
        <v>0</v>
      </c>
      <c r="AQ196">
        <f t="shared" si="253"/>
        <v>0</v>
      </c>
      <c r="AR196">
        <f t="shared" si="253"/>
        <v>0</v>
      </c>
      <c r="AS196">
        <f t="shared" si="253"/>
        <v>0</v>
      </c>
      <c r="AT196">
        <f t="shared" si="253"/>
        <v>0</v>
      </c>
      <c r="AU196">
        <f t="shared" si="253"/>
        <v>0</v>
      </c>
      <c r="AV196">
        <f t="shared" si="253"/>
        <v>0</v>
      </c>
      <c r="AW196">
        <f t="shared" si="253"/>
        <v>0</v>
      </c>
      <c r="AX196">
        <f t="shared" si="254"/>
        <v>0</v>
      </c>
      <c r="AY196">
        <f t="shared" si="254"/>
        <v>0</v>
      </c>
      <c r="AZ196">
        <f t="shared" si="254"/>
        <v>0</v>
      </c>
      <c r="BA196">
        <f t="shared" si="254"/>
        <v>0</v>
      </c>
      <c r="BB196">
        <f t="shared" si="254"/>
        <v>0</v>
      </c>
      <c r="BC196">
        <f t="shared" si="254"/>
        <v>0</v>
      </c>
      <c r="BD196">
        <f t="shared" si="254"/>
        <v>0</v>
      </c>
      <c r="BE196">
        <f t="shared" si="254"/>
        <v>0</v>
      </c>
      <c r="BF196">
        <f t="shared" si="254"/>
        <v>0</v>
      </c>
      <c r="BG196">
        <f t="shared" si="254"/>
        <v>0</v>
      </c>
      <c r="BH196">
        <f t="shared" si="255"/>
        <v>0</v>
      </c>
      <c r="BI196">
        <f t="shared" si="255"/>
        <v>0</v>
      </c>
      <c r="BJ196">
        <f t="shared" si="255"/>
        <v>0</v>
      </c>
      <c r="BK196">
        <f t="shared" si="255"/>
        <v>0</v>
      </c>
      <c r="BL196">
        <f t="shared" si="255"/>
        <v>0</v>
      </c>
      <c r="BM196">
        <f t="shared" si="255"/>
        <v>0</v>
      </c>
      <c r="BN196">
        <f t="shared" si="255"/>
        <v>0</v>
      </c>
      <c r="BO196">
        <f t="shared" si="255"/>
        <v>0</v>
      </c>
      <c r="BP196">
        <f t="shared" si="255"/>
        <v>0</v>
      </c>
      <c r="BQ196">
        <f t="shared" si="255"/>
        <v>0</v>
      </c>
      <c r="BR196">
        <f t="shared" si="256"/>
        <v>0</v>
      </c>
      <c r="BS196">
        <f t="shared" si="256"/>
        <v>0</v>
      </c>
      <c r="BT196">
        <f t="shared" si="256"/>
        <v>0</v>
      </c>
      <c r="BU196">
        <f t="shared" si="256"/>
        <v>0</v>
      </c>
      <c r="BV196">
        <f t="shared" si="256"/>
        <v>0</v>
      </c>
      <c r="BW196">
        <f t="shared" si="256"/>
        <v>0</v>
      </c>
      <c r="BX196">
        <f t="shared" si="256"/>
        <v>0</v>
      </c>
      <c r="BY196">
        <f t="shared" si="256"/>
        <v>0</v>
      </c>
      <c r="BZ196">
        <f t="shared" si="256"/>
        <v>0</v>
      </c>
      <c r="CA196">
        <f t="shared" si="256"/>
        <v>0</v>
      </c>
      <c r="CB196">
        <f t="shared" si="257"/>
        <v>0</v>
      </c>
      <c r="CC196">
        <f t="shared" si="257"/>
        <v>0</v>
      </c>
      <c r="CD196">
        <f t="shared" si="257"/>
        <v>0</v>
      </c>
      <c r="CE196">
        <f t="shared" si="257"/>
        <v>0</v>
      </c>
      <c r="CF196">
        <f t="shared" si="257"/>
        <v>0</v>
      </c>
      <c r="CG196">
        <f t="shared" si="257"/>
        <v>0</v>
      </c>
      <c r="CH196">
        <f t="shared" si="257"/>
        <v>0</v>
      </c>
      <c r="CI196">
        <f t="shared" si="257"/>
        <v>0</v>
      </c>
      <c r="CJ196">
        <f t="shared" si="257"/>
        <v>0</v>
      </c>
      <c r="CK196">
        <f t="shared" si="257"/>
        <v>0</v>
      </c>
      <c r="CL196">
        <f t="shared" si="258"/>
        <v>0</v>
      </c>
      <c r="CM196">
        <f t="shared" si="258"/>
        <v>0</v>
      </c>
      <c r="CN196">
        <f t="shared" si="258"/>
        <v>0</v>
      </c>
      <c r="CO196">
        <f t="shared" si="258"/>
        <v>0</v>
      </c>
      <c r="CP196">
        <f t="shared" si="258"/>
        <v>0</v>
      </c>
      <c r="CQ196">
        <f t="shared" si="258"/>
        <v>0</v>
      </c>
      <c r="CR196">
        <f t="shared" si="258"/>
        <v>0</v>
      </c>
      <c r="CS196">
        <f t="shared" si="258"/>
        <v>0</v>
      </c>
      <c r="CT196">
        <f t="shared" si="258"/>
        <v>0</v>
      </c>
      <c r="CU196">
        <f t="shared" si="258"/>
        <v>0</v>
      </c>
      <c r="CV196">
        <f t="shared" si="259"/>
        <v>0</v>
      </c>
      <c r="CW196">
        <f t="shared" si="259"/>
        <v>0</v>
      </c>
      <c r="CX196">
        <f t="shared" si="259"/>
        <v>0</v>
      </c>
      <c r="CY196">
        <f t="shared" si="259"/>
        <v>0</v>
      </c>
      <c r="CZ196">
        <f t="shared" si="259"/>
        <v>0</v>
      </c>
      <c r="DA196">
        <f t="shared" si="259"/>
        <v>0</v>
      </c>
      <c r="DB196">
        <f t="shared" si="259"/>
        <v>0</v>
      </c>
      <c r="DC196">
        <f t="shared" si="259"/>
        <v>0</v>
      </c>
      <c r="DD196">
        <f t="shared" si="259"/>
        <v>0</v>
      </c>
      <c r="DE196">
        <f t="shared" si="259"/>
        <v>0</v>
      </c>
      <c r="DF196">
        <f t="shared" si="260"/>
        <v>0</v>
      </c>
      <c r="DG196">
        <f t="shared" si="260"/>
        <v>0</v>
      </c>
      <c r="DH196">
        <f t="shared" si="260"/>
        <v>0</v>
      </c>
      <c r="DI196">
        <f t="shared" si="260"/>
        <v>0</v>
      </c>
      <c r="DJ196">
        <f t="shared" si="260"/>
        <v>0</v>
      </c>
      <c r="DK196">
        <f t="shared" si="260"/>
        <v>0</v>
      </c>
      <c r="DL196">
        <f t="shared" si="260"/>
        <v>0</v>
      </c>
      <c r="DM196">
        <f t="shared" si="260"/>
        <v>0</v>
      </c>
      <c r="DN196">
        <f t="shared" si="260"/>
        <v>0</v>
      </c>
      <c r="DO196">
        <f t="shared" si="260"/>
        <v>0</v>
      </c>
      <c r="DP196">
        <f t="shared" si="261"/>
        <v>0</v>
      </c>
      <c r="DQ196">
        <f t="shared" si="261"/>
        <v>0</v>
      </c>
      <c r="DR196">
        <f t="shared" si="261"/>
        <v>0</v>
      </c>
      <c r="DS196">
        <f t="shared" si="261"/>
        <v>0</v>
      </c>
      <c r="DT196">
        <f t="shared" si="261"/>
        <v>0</v>
      </c>
      <c r="DU196">
        <f t="shared" si="261"/>
        <v>0</v>
      </c>
      <c r="DV196">
        <f t="shared" si="261"/>
        <v>0</v>
      </c>
      <c r="DW196">
        <f t="shared" si="261"/>
        <v>0</v>
      </c>
      <c r="DX196">
        <f t="shared" si="261"/>
        <v>0</v>
      </c>
      <c r="DY196">
        <f t="shared" si="261"/>
        <v>0</v>
      </c>
      <c r="DZ196">
        <f t="shared" si="262"/>
        <v>0</v>
      </c>
      <c r="EA196">
        <f t="shared" si="262"/>
        <v>0</v>
      </c>
      <c r="EB196">
        <f t="shared" si="262"/>
        <v>0</v>
      </c>
      <c r="EC196">
        <f t="shared" si="262"/>
        <v>0</v>
      </c>
      <c r="ED196">
        <f t="shared" si="262"/>
        <v>0</v>
      </c>
      <c r="EE196">
        <f t="shared" si="262"/>
        <v>0</v>
      </c>
      <c r="EF196">
        <f t="shared" si="262"/>
        <v>0</v>
      </c>
      <c r="EG196">
        <f t="shared" si="262"/>
        <v>0</v>
      </c>
      <c r="EH196">
        <f t="shared" si="262"/>
        <v>0</v>
      </c>
      <c r="EI196">
        <f t="shared" si="262"/>
        <v>0</v>
      </c>
      <c r="EJ196">
        <f>SUM(Tabla1[[#This Row],[1]:[130]])</f>
        <v>94</v>
      </c>
    </row>
    <row r="197" spans="1:140" ht="15.75" thickBot="1" x14ac:dyDescent="0.3">
      <c r="A197" t="str">
        <f>B197&amp;"-"&amp;COUNTIF($B$2:B197,B197)</f>
        <v>I. TRIPLE SEC-5</v>
      </c>
      <c r="B197" s="33" t="s">
        <v>128</v>
      </c>
      <c r="C197">
        <f>VLOOKUP(B197,RECETAS!D196:$E$1700,2,FALSE)</f>
        <v>0</v>
      </c>
      <c r="D197" s="32"/>
      <c r="G197" t="b">
        <f t="shared" si="263"/>
        <v>1</v>
      </c>
      <c r="I197" s="33" t="s">
        <v>128</v>
      </c>
      <c r="J197">
        <f t="shared" si="250"/>
        <v>30</v>
      </c>
      <c r="K197">
        <f t="shared" si="250"/>
        <v>120</v>
      </c>
      <c r="L197">
        <f t="shared" si="250"/>
        <v>30</v>
      </c>
      <c r="M197">
        <f t="shared" si="250"/>
        <v>0</v>
      </c>
      <c r="N197">
        <f t="shared" si="250"/>
        <v>0</v>
      </c>
      <c r="O197">
        <f t="shared" si="250"/>
        <v>190</v>
      </c>
      <c r="P197">
        <f t="shared" si="250"/>
        <v>120</v>
      </c>
      <c r="Q197">
        <f t="shared" si="250"/>
        <v>60</v>
      </c>
      <c r="R197">
        <f t="shared" si="250"/>
        <v>90</v>
      </c>
      <c r="S197">
        <f t="shared" si="250"/>
        <v>30</v>
      </c>
      <c r="T197">
        <f t="shared" si="251"/>
        <v>0</v>
      </c>
      <c r="U197">
        <f t="shared" si="251"/>
        <v>40</v>
      </c>
      <c r="V197">
        <f t="shared" si="251"/>
        <v>200</v>
      </c>
      <c r="W197">
        <f t="shared" si="251"/>
        <v>20</v>
      </c>
      <c r="X197">
        <f t="shared" si="251"/>
        <v>20</v>
      </c>
      <c r="Y197">
        <f t="shared" si="251"/>
        <v>0</v>
      </c>
      <c r="Z197">
        <f t="shared" si="251"/>
        <v>0</v>
      </c>
      <c r="AA197">
        <f t="shared" si="251"/>
        <v>0</v>
      </c>
      <c r="AB197">
        <f t="shared" si="251"/>
        <v>0</v>
      </c>
      <c r="AC197">
        <f t="shared" si="251"/>
        <v>0</v>
      </c>
      <c r="AD197">
        <f t="shared" si="252"/>
        <v>0</v>
      </c>
      <c r="AE197">
        <f t="shared" si="252"/>
        <v>0</v>
      </c>
      <c r="AF197">
        <f t="shared" si="252"/>
        <v>0</v>
      </c>
      <c r="AG197">
        <f t="shared" si="252"/>
        <v>0</v>
      </c>
      <c r="AH197">
        <f t="shared" si="252"/>
        <v>0</v>
      </c>
      <c r="AI197">
        <f t="shared" si="252"/>
        <v>0</v>
      </c>
      <c r="AJ197">
        <f t="shared" si="252"/>
        <v>40</v>
      </c>
      <c r="AK197">
        <f t="shared" si="252"/>
        <v>70</v>
      </c>
      <c r="AL197">
        <f t="shared" si="252"/>
        <v>30</v>
      </c>
      <c r="AM197">
        <f t="shared" si="252"/>
        <v>40</v>
      </c>
      <c r="AN197">
        <f t="shared" si="253"/>
        <v>20</v>
      </c>
      <c r="AO197">
        <f t="shared" si="253"/>
        <v>10</v>
      </c>
      <c r="AP197">
        <f t="shared" si="253"/>
        <v>0</v>
      </c>
      <c r="AQ197">
        <f t="shared" si="253"/>
        <v>40</v>
      </c>
      <c r="AR197">
        <f t="shared" si="253"/>
        <v>0</v>
      </c>
      <c r="AS197">
        <f t="shared" si="253"/>
        <v>0</v>
      </c>
      <c r="AT197">
        <f t="shared" si="253"/>
        <v>0</v>
      </c>
      <c r="AU197">
        <f t="shared" si="253"/>
        <v>0</v>
      </c>
      <c r="AV197">
        <f t="shared" si="253"/>
        <v>0</v>
      </c>
      <c r="AW197">
        <f t="shared" si="253"/>
        <v>0</v>
      </c>
      <c r="AX197">
        <f t="shared" si="254"/>
        <v>0</v>
      </c>
      <c r="AY197">
        <f t="shared" si="254"/>
        <v>0</v>
      </c>
      <c r="AZ197">
        <f t="shared" si="254"/>
        <v>0</v>
      </c>
      <c r="BA197">
        <f t="shared" si="254"/>
        <v>0</v>
      </c>
      <c r="BB197">
        <f t="shared" si="254"/>
        <v>0</v>
      </c>
      <c r="BC197">
        <f t="shared" si="254"/>
        <v>0</v>
      </c>
      <c r="BD197">
        <f t="shared" si="254"/>
        <v>0</v>
      </c>
      <c r="BE197">
        <f t="shared" si="254"/>
        <v>0</v>
      </c>
      <c r="BF197">
        <f t="shared" si="254"/>
        <v>0</v>
      </c>
      <c r="BG197">
        <f t="shared" si="254"/>
        <v>0</v>
      </c>
      <c r="BH197">
        <f t="shared" si="255"/>
        <v>0</v>
      </c>
      <c r="BI197">
        <f t="shared" si="255"/>
        <v>0</v>
      </c>
      <c r="BJ197">
        <f t="shared" si="255"/>
        <v>0</v>
      </c>
      <c r="BK197">
        <f t="shared" si="255"/>
        <v>0</v>
      </c>
      <c r="BL197">
        <f t="shared" si="255"/>
        <v>0</v>
      </c>
      <c r="BM197">
        <f t="shared" si="255"/>
        <v>0</v>
      </c>
      <c r="BN197">
        <f t="shared" si="255"/>
        <v>0</v>
      </c>
      <c r="BO197">
        <f t="shared" si="255"/>
        <v>0</v>
      </c>
      <c r="BP197">
        <f t="shared" si="255"/>
        <v>0</v>
      </c>
      <c r="BQ197">
        <f t="shared" si="255"/>
        <v>0</v>
      </c>
      <c r="BR197">
        <f t="shared" si="256"/>
        <v>0</v>
      </c>
      <c r="BS197">
        <f t="shared" si="256"/>
        <v>0</v>
      </c>
      <c r="BT197">
        <f t="shared" si="256"/>
        <v>0</v>
      </c>
      <c r="BU197">
        <f t="shared" si="256"/>
        <v>0</v>
      </c>
      <c r="BV197">
        <f t="shared" si="256"/>
        <v>0</v>
      </c>
      <c r="BW197">
        <f t="shared" si="256"/>
        <v>0</v>
      </c>
      <c r="BX197">
        <f t="shared" si="256"/>
        <v>0</v>
      </c>
      <c r="BY197">
        <f t="shared" si="256"/>
        <v>0</v>
      </c>
      <c r="BZ197">
        <f t="shared" si="256"/>
        <v>0</v>
      </c>
      <c r="CA197">
        <f t="shared" si="256"/>
        <v>0</v>
      </c>
      <c r="CB197">
        <f t="shared" si="257"/>
        <v>0</v>
      </c>
      <c r="CC197">
        <f t="shared" si="257"/>
        <v>0</v>
      </c>
      <c r="CD197">
        <f t="shared" si="257"/>
        <v>0</v>
      </c>
      <c r="CE197">
        <f t="shared" si="257"/>
        <v>0</v>
      </c>
      <c r="CF197">
        <f t="shared" si="257"/>
        <v>0</v>
      </c>
      <c r="CG197">
        <f t="shared" si="257"/>
        <v>0</v>
      </c>
      <c r="CH197">
        <f t="shared" si="257"/>
        <v>0</v>
      </c>
      <c r="CI197">
        <f t="shared" si="257"/>
        <v>0</v>
      </c>
      <c r="CJ197">
        <f t="shared" si="257"/>
        <v>0</v>
      </c>
      <c r="CK197">
        <f t="shared" si="257"/>
        <v>0</v>
      </c>
      <c r="CL197">
        <f t="shared" si="258"/>
        <v>0</v>
      </c>
      <c r="CM197">
        <f t="shared" si="258"/>
        <v>0</v>
      </c>
      <c r="CN197">
        <f t="shared" si="258"/>
        <v>0</v>
      </c>
      <c r="CO197">
        <f t="shared" si="258"/>
        <v>0</v>
      </c>
      <c r="CP197">
        <f t="shared" si="258"/>
        <v>0</v>
      </c>
      <c r="CQ197">
        <f t="shared" si="258"/>
        <v>0</v>
      </c>
      <c r="CR197">
        <f t="shared" si="258"/>
        <v>0</v>
      </c>
      <c r="CS197">
        <f t="shared" si="258"/>
        <v>0</v>
      </c>
      <c r="CT197">
        <f t="shared" si="258"/>
        <v>0</v>
      </c>
      <c r="CU197">
        <f t="shared" si="258"/>
        <v>0</v>
      </c>
      <c r="CV197">
        <f t="shared" si="259"/>
        <v>0</v>
      </c>
      <c r="CW197">
        <f t="shared" si="259"/>
        <v>0</v>
      </c>
      <c r="CX197">
        <f t="shared" si="259"/>
        <v>0</v>
      </c>
      <c r="CY197">
        <f t="shared" si="259"/>
        <v>0</v>
      </c>
      <c r="CZ197">
        <f t="shared" si="259"/>
        <v>0</v>
      </c>
      <c r="DA197">
        <f t="shared" si="259"/>
        <v>0</v>
      </c>
      <c r="DB197">
        <f t="shared" si="259"/>
        <v>0</v>
      </c>
      <c r="DC197">
        <f t="shared" si="259"/>
        <v>0</v>
      </c>
      <c r="DD197">
        <f t="shared" si="259"/>
        <v>0</v>
      </c>
      <c r="DE197">
        <f t="shared" si="259"/>
        <v>0</v>
      </c>
      <c r="DF197">
        <f t="shared" si="260"/>
        <v>0</v>
      </c>
      <c r="DG197">
        <f t="shared" si="260"/>
        <v>0</v>
      </c>
      <c r="DH197">
        <f t="shared" si="260"/>
        <v>0</v>
      </c>
      <c r="DI197">
        <f t="shared" si="260"/>
        <v>0</v>
      </c>
      <c r="DJ197">
        <f t="shared" si="260"/>
        <v>0</v>
      </c>
      <c r="DK197">
        <f t="shared" si="260"/>
        <v>0</v>
      </c>
      <c r="DL197">
        <f t="shared" si="260"/>
        <v>0</v>
      </c>
      <c r="DM197">
        <f t="shared" si="260"/>
        <v>0</v>
      </c>
      <c r="DN197">
        <f t="shared" si="260"/>
        <v>0</v>
      </c>
      <c r="DO197">
        <f t="shared" si="260"/>
        <v>0</v>
      </c>
      <c r="DP197">
        <f t="shared" si="261"/>
        <v>0</v>
      </c>
      <c r="DQ197">
        <f t="shared" si="261"/>
        <v>0</v>
      </c>
      <c r="DR197">
        <f t="shared" si="261"/>
        <v>0</v>
      </c>
      <c r="DS197">
        <f t="shared" si="261"/>
        <v>0</v>
      </c>
      <c r="DT197">
        <f t="shared" si="261"/>
        <v>0</v>
      </c>
      <c r="DU197">
        <f t="shared" si="261"/>
        <v>0</v>
      </c>
      <c r="DV197">
        <f t="shared" si="261"/>
        <v>0</v>
      </c>
      <c r="DW197">
        <f t="shared" si="261"/>
        <v>0</v>
      </c>
      <c r="DX197">
        <f t="shared" si="261"/>
        <v>0</v>
      </c>
      <c r="DY197">
        <f t="shared" si="261"/>
        <v>0</v>
      </c>
      <c r="DZ197">
        <f t="shared" si="262"/>
        <v>0</v>
      </c>
      <c r="EA197">
        <f t="shared" si="262"/>
        <v>0</v>
      </c>
      <c r="EB197">
        <f t="shared" si="262"/>
        <v>0</v>
      </c>
      <c r="EC197">
        <f t="shared" si="262"/>
        <v>0</v>
      </c>
      <c r="ED197">
        <f t="shared" si="262"/>
        <v>0</v>
      </c>
      <c r="EE197">
        <f t="shared" si="262"/>
        <v>0</v>
      </c>
      <c r="EF197">
        <f t="shared" si="262"/>
        <v>0</v>
      </c>
      <c r="EG197">
        <f t="shared" si="262"/>
        <v>0</v>
      </c>
      <c r="EH197">
        <f t="shared" si="262"/>
        <v>0</v>
      </c>
      <c r="EI197">
        <f t="shared" si="262"/>
        <v>0</v>
      </c>
      <c r="EJ197">
        <f>SUM(Tabla1[[#This Row],[1]:[130]])</f>
        <v>1200</v>
      </c>
    </row>
    <row r="198" spans="1:140" x14ac:dyDescent="0.25">
      <c r="A198" t="str">
        <f>B198&amp;"-"&amp;COUNTIF($B$2:B198,B198)</f>
        <v>I. CHAMP BRUT 750-2</v>
      </c>
      <c r="B198" s="26" t="s">
        <v>59</v>
      </c>
      <c r="C198">
        <f>VLOOKUP(B198,RECETAS!D197:$E$1700,2,FALSE)</f>
        <v>0</v>
      </c>
      <c r="D198" s="25" t="s">
        <v>368</v>
      </c>
      <c r="G198" t="b">
        <f t="shared" si="263"/>
        <v>1</v>
      </c>
      <c r="I198" s="37" t="s">
        <v>279</v>
      </c>
      <c r="J198">
        <f t="shared" si="250"/>
        <v>0</v>
      </c>
      <c r="K198">
        <f t="shared" si="250"/>
        <v>0</v>
      </c>
      <c r="L198">
        <f t="shared" si="250"/>
        <v>0</v>
      </c>
      <c r="M198">
        <f t="shared" si="250"/>
        <v>0</v>
      </c>
      <c r="N198">
        <f t="shared" si="250"/>
        <v>0</v>
      </c>
      <c r="O198">
        <f t="shared" si="250"/>
        <v>0</v>
      </c>
      <c r="P198">
        <f t="shared" si="250"/>
        <v>0</v>
      </c>
      <c r="Q198">
        <f t="shared" si="250"/>
        <v>0</v>
      </c>
      <c r="R198">
        <f t="shared" si="250"/>
        <v>0</v>
      </c>
      <c r="S198">
        <f t="shared" si="250"/>
        <v>0</v>
      </c>
      <c r="T198">
        <f t="shared" si="251"/>
        <v>0</v>
      </c>
      <c r="U198">
        <f t="shared" si="251"/>
        <v>0</v>
      </c>
      <c r="V198">
        <f t="shared" si="251"/>
        <v>0</v>
      </c>
      <c r="W198">
        <f t="shared" si="251"/>
        <v>0</v>
      </c>
      <c r="X198">
        <f t="shared" si="251"/>
        <v>0</v>
      </c>
      <c r="Y198">
        <f t="shared" si="251"/>
        <v>0</v>
      </c>
      <c r="Z198">
        <f t="shared" si="251"/>
        <v>0</v>
      </c>
      <c r="AA198">
        <f t="shared" si="251"/>
        <v>0</v>
      </c>
      <c r="AB198">
        <f t="shared" si="251"/>
        <v>0</v>
      </c>
      <c r="AC198">
        <f t="shared" si="251"/>
        <v>0</v>
      </c>
      <c r="AD198">
        <f t="shared" si="252"/>
        <v>0</v>
      </c>
      <c r="AE198">
        <f t="shared" si="252"/>
        <v>0</v>
      </c>
      <c r="AF198">
        <f t="shared" si="252"/>
        <v>0</v>
      </c>
      <c r="AG198">
        <f t="shared" si="252"/>
        <v>0</v>
      </c>
      <c r="AH198">
        <f t="shared" si="252"/>
        <v>0</v>
      </c>
      <c r="AI198">
        <f t="shared" si="252"/>
        <v>0</v>
      </c>
      <c r="AJ198">
        <f t="shared" si="252"/>
        <v>0</v>
      </c>
      <c r="AK198">
        <f t="shared" si="252"/>
        <v>0</v>
      </c>
      <c r="AL198">
        <f t="shared" si="252"/>
        <v>0</v>
      </c>
      <c r="AM198">
        <f t="shared" si="252"/>
        <v>0</v>
      </c>
      <c r="AN198">
        <f t="shared" si="253"/>
        <v>0</v>
      </c>
      <c r="AO198">
        <f t="shared" si="253"/>
        <v>0</v>
      </c>
      <c r="AP198">
        <f t="shared" si="253"/>
        <v>0</v>
      </c>
      <c r="AQ198">
        <f t="shared" si="253"/>
        <v>0</v>
      </c>
      <c r="AR198">
        <f t="shared" si="253"/>
        <v>0</v>
      </c>
      <c r="AS198">
        <f t="shared" si="253"/>
        <v>0</v>
      </c>
      <c r="AT198">
        <f t="shared" si="253"/>
        <v>0</v>
      </c>
      <c r="AU198">
        <f t="shared" si="253"/>
        <v>0</v>
      </c>
      <c r="AV198">
        <f t="shared" si="253"/>
        <v>0</v>
      </c>
      <c r="AW198">
        <f t="shared" si="253"/>
        <v>0</v>
      </c>
      <c r="AX198">
        <f t="shared" si="254"/>
        <v>0</v>
      </c>
      <c r="AY198">
        <f t="shared" si="254"/>
        <v>0</v>
      </c>
      <c r="AZ198">
        <f t="shared" si="254"/>
        <v>0</v>
      </c>
      <c r="BA198">
        <f t="shared" si="254"/>
        <v>0</v>
      </c>
      <c r="BB198">
        <f t="shared" si="254"/>
        <v>0</v>
      </c>
      <c r="BC198">
        <f t="shared" si="254"/>
        <v>0</v>
      </c>
      <c r="BD198">
        <f t="shared" si="254"/>
        <v>0</v>
      </c>
      <c r="BE198">
        <f t="shared" si="254"/>
        <v>0</v>
      </c>
      <c r="BF198">
        <f t="shared" si="254"/>
        <v>0</v>
      </c>
      <c r="BG198">
        <f t="shared" si="254"/>
        <v>0</v>
      </c>
      <c r="BH198">
        <f t="shared" si="255"/>
        <v>0</v>
      </c>
      <c r="BI198">
        <f t="shared" si="255"/>
        <v>0</v>
      </c>
      <c r="BJ198">
        <f t="shared" si="255"/>
        <v>0</v>
      </c>
      <c r="BK198">
        <f t="shared" si="255"/>
        <v>0</v>
      </c>
      <c r="BL198">
        <f t="shared" si="255"/>
        <v>0</v>
      </c>
      <c r="BM198">
        <f t="shared" si="255"/>
        <v>0</v>
      </c>
      <c r="BN198">
        <f t="shared" si="255"/>
        <v>0</v>
      </c>
      <c r="BO198">
        <f t="shared" si="255"/>
        <v>0</v>
      </c>
      <c r="BP198">
        <f t="shared" si="255"/>
        <v>0</v>
      </c>
      <c r="BQ198">
        <f t="shared" si="255"/>
        <v>0</v>
      </c>
      <c r="BR198">
        <f t="shared" si="256"/>
        <v>0</v>
      </c>
      <c r="BS198">
        <f t="shared" si="256"/>
        <v>0</v>
      </c>
      <c r="BT198">
        <f t="shared" si="256"/>
        <v>0</v>
      </c>
      <c r="BU198">
        <f t="shared" si="256"/>
        <v>0</v>
      </c>
      <c r="BV198">
        <f t="shared" si="256"/>
        <v>0</v>
      </c>
      <c r="BW198">
        <f t="shared" si="256"/>
        <v>0</v>
      </c>
      <c r="BX198">
        <f t="shared" si="256"/>
        <v>0</v>
      </c>
      <c r="BY198">
        <f t="shared" si="256"/>
        <v>0</v>
      </c>
      <c r="BZ198">
        <f t="shared" si="256"/>
        <v>0</v>
      </c>
      <c r="CA198">
        <f t="shared" si="256"/>
        <v>0</v>
      </c>
      <c r="CB198">
        <f t="shared" si="257"/>
        <v>0</v>
      </c>
      <c r="CC198">
        <f t="shared" si="257"/>
        <v>0</v>
      </c>
      <c r="CD198">
        <f t="shared" si="257"/>
        <v>0</v>
      </c>
      <c r="CE198">
        <f t="shared" si="257"/>
        <v>0</v>
      </c>
      <c r="CF198">
        <f t="shared" si="257"/>
        <v>0</v>
      </c>
      <c r="CG198">
        <f t="shared" si="257"/>
        <v>0</v>
      </c>
      <c r="CH198">
        <f t="shared" si="257"/>
        <v>0</v>
      </c>
      <c r="CI198">
        <f t="shared" si="257"/>
        <v>0</v>
      </c>
      <c r="CJ198">
        <f t="shared" si="257"/>
        <v>0</v>
      </c>
      <c r="CK198">
        <f t="shared" si="257"/>
        <v>0</v>
      </c>
      <c r="CL198">
        <f t="shared" si="258"/>
        <v>0</v>
      </c>
      <c r="CM198">
        <f t="shared" si="258"/>
        <v>0</v>
      </c>
      <c r="CN198">
        <f t="shared" si="258"/>
        <v>0</v>
      </c>
      <c r="CO198">
        <f t="shared" si="258"/>
        <v>0</v>
      </c>
      <c r="CP198">
        <f t="shared" si="258"/>
        <v>0</v>
      </c>
      <c r="CQ198">
        <f t="shared" si="258"/>
        <v>0</v>
      </c>
      <c r="CR198">
        <f t="shared" si="258"/>
        <v>0</v>
      </c>
      <c r="CS198">
        <f t="shared" si="258"/>
        <v>0</v>
      </c>
      <c r="CT198">
        <f t="shared" si="258"/>
        <v>0</v>
      </c>
      <c r="CU198">
        <f t="shared" si="258"/>
        <v>0</v>
      </c>
      <c r="CV198">
        <f t="shared" si="259"/>
        <v>0</v>
      </c>
      <c r="CW198">
        <f t="shared" si="259"/>
        <v>0</v>
      </c>
      <c r="CX198">
        <f t="shared" si="259"/>
        <v>0</v>
      </c>
      <c r="CY198">
        <f t="shared" si="259"/>
        <v>0</v>
      </c>
      <c r="CZ198">
        <f t="shared" si="259"/>
        <v>0</v>
      </c>
      <c r="DA198">
        <f t="shared" si="259"/>
        <v>0</v>
      </c>
      <c r="DB198">
        <f t="shared" si="259"/>
        <v>0</v>
      </c>
      <c r="DC198">
        <f t="shared" si="259"/>
        <v>0</v>
      </c>
      <c r="DD198">
        <f t="shared" si="259"/>
        <v>0</v>
      </c>
      <c r="DE198">
        <f t="shared" si="259"/>
        <v>0</v>
      </c>
      <c r="DF198">
        <f t="shared" si="260"/>
        <v>0</v>
      </c>
      <c r="DG198">
        <f t="shared" si="260"/>
        <v>0</v>
      </c>
      <c r="DH198">
        <f t="shared" si="260"/>
        <v>0</v>
      </c>
      <c r="DI198">
        <f t="shared" si="260"/>
        <v>0</v>
      </c>
      <c r="DJ198">
        <f t="shared" si="260"/>
        <v>0</v>
      </c>
      <c r="DK198">
        <f t="shared" si="260"/>
        <v>0</v>
      </c>
      <c r="DL198">
        <f t="shared" si="260"/>
        <v>0</v>
      </c>
      <c r="DM198">
        <f t="shared" si="260"/>
        <v>0</v>
      </c>
      <c r="DN198">
        <f t="shared" si="260"/>
        <v>0</v>
      </c>
      <c r="DO198">
        <f t="shared" si="260"/>
        <v>0</v>
      </c>
      <c r="DP198">
        <f t="shared" si="261"/>
        <v>0</v>
      </c>
      <c r="DQ198">
        <f t="shared" si="261"/>
        <v>0</v>
      </c>
      <c r="DR198">
        <f t="shared" si="261"/>
        <v>0</v>
      </c>
      <c r="DS198">
        <f t="shared" si="261"/>
        <v>0</v>
      </c>
      <c r="DT198">
        <f t="shared" si="261"/>
        <v>0</v>
      </c>
      <c r="DU198">
        <f t="shared" si="261"/>
        <v>0</v>
      </c>
      <c r="DV198">
        <f t="shared" si="261"/>
        <v>0</v>
      </c>
      <c r="DW198">
        <f t="shared" si="261"/>
        <v>0</v>
      </c>
      <c r="DX198">
        <f t="shared" si="261"/>
        <v>0</v>
      </c>
      <c r="DY198">
        <f t="shared" si="261"/>
        <v>0</v>
      </c>
      <c r="DZ198">
        <f t="shared" si="262"/>
        <v>0</v>
      </c>
      <c r="EA198">
        <f t="shared" si="262"/>
        <v>0</v>
      </c>
      <c r="EB198">
        <f t="shared" si="262"/>
        <v>0</v>
      </c>
      <c r="EC198">
        <f t="shared" si="262"/>
        <v>0</v>
      </c>
      <c r="ED198">
        <f t="shared" si="262"/>
        <v>0</v>
      </c>
      <c r="EE198">
        <f t="shared" si="262"/>
        <v>0</v>
      </c>
      <c r="EF198">
        <f t="shared" si="262"/>
        <v>0</v>
      </c>
      <c r="EG198">
        <f t="shared" si="262"/>
        <v>0</v>
      </c>
      <c r="EH198">
        <f t="shared" si="262"/>
        <v>0</v>
      </c>
      <c r="EI198">
        <f t="shared" si="262"/>
        <v>0</v>
      </c>
      <c r="EJ198">
        <f>SUM(Tabla1[[#This Row],[1]:[130]])</f>
        <v>0</v>
      </c>
    </row>
    <row r="199" spans="1:140" ht="15.75" thickBot="1" x14ac:dyDescent="0.3">
      <c r="A199" t="str">
        <f>B199&amp;"-"&amp;COUNTIF($B$2:B199,B199)</f>
        <v>I. CREMA DE CASSIS-1</v>
      </c>
      <c r="B199" s="28" t="s">
        <v>66</v>
      </c>
      <c r="C199">
        <f>VLOOKUP(B199,RECETAS!D198:$E$1700,2,FALSE)</f>
        <v>0</v>
      </c>
      <c r="D199" s="27"/>
      <c r="G199" t="b">
        <f t="shared" si="263"/>
        <v>1</v>
      </c>
      <c r="I199" s="41" t="s">
        <v>37</v>
      </c>
      <c r="J199">
        <f t="shared" si="250"/>
        <v>11</v>
      </c>
      <c r="K199">
        <f t="shared" si="250"/>
        <v>0</v>
      </c>
      <c r="L199">
        <f t="shared" si="250"/>
        <v>0</v>
      </c>
      <c r="M199">
        <f t="shared" si="250"/>
        <v>0</v>
      </c>
      <c r="N199">
        <f t="shared" si="250"/>
        <v>0</v>
      </c>
      <c r="O199">
        <f t="shared" si="250"/>
        <v>0</v>
      </c>
      <c r="P199">
        <f t="shared" si="250"/>
        <v>0</v>
      </c>
      <c r="Q199">
        <f t="shared" si="250"/>
        <v>0</v>
      </c>
      <c r="R199">
        <f t="shared" si="250"/>
        <v>0</v>
      </c>
      <c r="S199">
        <f t="shared" si="250"/>
        <v>0</v>
      </c>
      <c r="T199">
        <f t="shared" si="251"/>
        <v>0</v>
      </c>
      <c r="U199">
        <f t="shared" si="251"/>
        <v>0</v>
      </c>
      <c r="V199">
        <f t="shared" si="251"/>
        <v>0</v>
      </c>
      <c r="W199">
        <f t="shared" si="251"/>
        <v>0</v>
      </c>
      <c r="X199">
        <f t="shared" si="251"/>
        <v>0</v>
      </c>
      <c r="Y199">
        <f t="shared" si="251"/>
        <v>0</v>
      </c>
      <c r="Z199">
        <f t="shared" si="251"/>
        <v>0</v>
      </c>
      <c r="AA199">
        <f t="shared" si="251"/>
        <v>0</v>
      </c>
      <c r="AB199">
        <f t="shared" si="251"/>
        <v>0</v>
      </c>
      <c r="AC199">
        <f t="shared" si="251"/>
        <v>0</v>
      </c>
      <c r="AD199">
        <f t="shared" si="252"/>
        <v>0</v>
      </c>
      <c r="AE199">
        <f t="shared" si="252"/>
        <v>0</v>
      </c>
      <c r="AF199">
        <f t="shared" si="252"/>
        <v>0</v>
      </c>
      <c r="AG199">
        <f t="shared" si="252"/>
        <v>0</v>
      </c>
      <c r="AH199">
        <f t="shared" si="252"/>
        <v>0</v>
      </c>
      <c r="AI199">
        <f t="shared" si="252"/>
        <v>0</v>
      </c>
      <c r="AJ199">
        <f t="shared" si="252"/>
        <v>0</v>
      </c>
      <c r="AK199">
        <f t="shared" si="252"/>
        <v>0</v>
      </c>
      <c r="AL199">
        <f t="shared" si="252"/>
        <v>0</v>
      </c>
      <c r="AM199">
        <f t="shared" si="252"/>
        <v>0</v>
      </c>
      <c r="AN199">
        <f t="shared" si="253"/>
        <v>0</v>
      </c>
      <c r="AO199">
        <f t="shared" si="253"/>
        <v>0</v>
      </c>
      <c r="AP199">
        <f t="shared" si="253"/>
        <v>0</v>
      </c>
      <c r="AQ199">
        <f t="shared" si="253"/>
        <v>0</v>
      </c>
      <c r="AR199">
        <f t="shared" si="253"/>
        <v>0</v>
      </c>
      <c r="AS199">
        <f t="shared" si="253"/>
        <v>0</v>
      </c>
      <c r="AT199">
        <f t="shared" si="253"/>
        <v>0</v>
      </c>
      <c r="AU199">
        <f t="shared" si="253"/>
        <v>0</v>
      </c>
      <c r="AV199">
        <f t="shared" si="253"/>
        <v>0</v>
      </c>
      <c r="AW199">
        <f t="shared" si="253"/>
        <v>0</v>
      </c>
      <c r="AX199">
        <f t="shared" si="254"/>
        <v>0</v>
      </c>
      <c r="AY199">
        <f t="shared" si="254"/>
        <v>0</v>
      </c>
      <c r="AZ199">
        <f t="shared" si="254"/>
        <v>0</v>
      </c>
      <c r="BA199">
        <f t="shared" si="254"/>
        <v>0</v>
      </c>
      <c r="BB199">
        <f t="shared" si="254"/>
        <v>0</v>
      </c>
      <c r="BC199">
        <f t="shared" si="254"/>
        <v>0</v>
      </c>
      <c r="BD199">
        <f t="shared" si="254"/>
        <v>0</v>
      </c>
      <c r="BE199">
        <f t="shared" si="254"/>
        <v>0</v>
      </c>
      <c r="BF199">
        <f t="shared" si="254"/>
        <v>0</v>
      </c>
      <c r="BG199">
        <f t="shared" si="254"/>
        <v>0</v>
      </c>
      <c r="BH199">
        <f t="shared" si="255"/>
        <v>0</v>
      </c>
      <c r="BI199">
        <f t="shared" si="255"/>
        <v>0</v>
      </c>
      <c r="BJ199">
        <f t="shared" si="255"/>
        <v>0</v>
      </c>
      <c r="BK199">
        <f t="shared" si="255"/>
        <v>0</v>
      </c>
      <c r="BL199">
        <f t="shared" si="255"/>
        <v>0</v>
      </c>
      <c r="BM199">
        <f t="shared" si="255"/>
        <v>0</v>
      </c>
      <c r="BN199">
        <f t="shared" si="255"/>
        <v>0</v>
      </c>
      <c r="BO199">
        <f t="shared" si="255"/>
        <v>0</v>
      </c>
      <c r="BP199">
        <f t="shared" si="255"/>
        <v>0</v>
      </c>
      <c r="BQ199">
        <f t="shared" si="255"/>
        <v>0</v>
      </c>
      <c r="BR199">
        <f t="shared" si="256"/>
        <v>0</v>
      </c>
      <c r="BS199">
        <f t="shared" si="256"/>
        <v>0</v>
      </c>
      <c r="BT199">
        <f t="shared" si="256"/>
        <v>0</v>
      </c>
      <c r="BU199">
        <f t="shared" si="256"/>
        <v>0</v>
      </c>
      <c r="BV199">
        <f t="shared" si="256"/>
        <v>0</v>
      </c>
      <c r="BW199">
        <f t="shared" si="256"/>
        <v>0</v>
      </c>
      <c r="BX199">
        <f t="shared" si="256"/>
        <v>0</v>
      </c>
      <c r="BY199">
        <f t="shared" si="256"/>
        <v>0</v>
      </c>
      <c r="BZ199">
        <f t="shared" si="256"/>
        <v>0</v>
      </c>
      <c r="CA199">
        <f t="shared" si="256"/>
        <v>0</v>
      </c>
      <c r="CB199">
        <f t="shared" si="257"/>
        <v>0</v>
      </c>
      <c r="CC199">
        <f t="shared" si="257"/>
        <v>0</v>
      </c>
      <c r="CD199">
        <f t="shared" si="257"/>
        <v>0</v>
      </c>
      <c r="CE199">
        <f t="shared" si="257"/>
        <v>0</v>
      </c>
      <c r="CF199">
        <f t="shared" si="257"/>
        <v>0</v>
      </c>
      <c r="CG199">
        <f t="shared" si="257"/>
        <v>0</v>
      </c>
      <c r="CH199">
        <f t="shared" si="257"/>
        <v>0</v>
      </c>
      <c r="CI199">
        <f t="shared" si="257"/>
        <v>0</v>
      </c>
      <c r="CJ199">
        <f t="shared" si="257"/>
        <v>0</v>
      </c>
      <c r="CK199">
        <f t="shared" si="257"/>
        <v>0</v>
      </c>
      <c r="CL199">
        <f t="shared" si="258"/>
        <v>0</v>
      </c>
      <c r="CM199">
        <f t="shared" si="258"/>
        <v>0</v>
      </c>
      <c r="CN199">
        <f t="shared" si="258"/>
        <v>0</v>
      </c>
      <c r="CO199">
        <f t="shared" si="258"/>
        <v>0</v>
      </c>
      <c r="CP199">
        <f t="shared" si="258"/>
        <v>0</v>
      </c>
      <c r="CQ199">
        <f t="shared" si="258"/>
        <v>0</v>
      </c>
      <c r="CR199">
        <f t="shared" si="258"/>
        <v>0</v>
      </c>
      <c r="CS199">
        <f t="shared" si="258"/>
        <v>0</v>
      </c>
      <c r="CT199">
        <f t="shared" si="258"/>
        <v>0</v>
      </c>
      <c r="CU199">
        <f t="shared" si="258"/>
        <v>0</v>
      </c>
      <c r="CV199">
        <f t="shared" si="259"/>
        <v>0</v>
      </c>
      <c r="CW199">
        <f t="shared" si="259"/>
        <v>0</v>
      </c>
      <c r="CX199">
        <f t="shared" si="259"/>
        <v>0</v>
      </c>
      <c r="CY199">
        <f t="shared" si="259"/>
        <v>0</v>
      </c>
      <c r="CZ199">
        <f t="shared" si="259"/>
        <v>0</v>
      </c>
      <c r="DA199">
        <f t="shared" si="259"/>
        <v>0</v>
      </c>
      <c r="DB199">
        <f t="shared" si="259"/>
        <v>0</v>
      </c>
      <c r="DC199">
        <f t="shared" si="259"/>
        <v>0</v>
      </c>
      <c r="DD199">
        <f t="shared" si="259"/>
        <v>0</v>
      </c>
      <c r="DE199">
        <f t="shared" si="259"/>
        <v>0</v>
      </c>
      <c r="DF199">
        <f t="shared" si="260"/>
        <v>0</v>
      </c>
      <c r="DG199">
        <f t="shared" si="260"/>
        <v>0</v>
      </c>
      <c r="DH199">
        <f t="shared" si="260"/>
        <v>0</v>
      </c>
      <c r="DI199">
        <f t="shared" si="260"/>
        <v>0</v>
      </c>
      <c r="DJ199">
        <f t="shared" si="260"/>
        <v>0</v>
      </c>
      <c r="DK199">
        <f t="shared" si="260"/>
        <v>0</v>
      </c>
      <c r="DL199">
        <f t="shared" si="260"/>
        <v>0</v>
      </c>
      <c r="DM199">
        <f t="shared" si="260"/>
        <v>0</v>
      </c>
      <c r="DN199">
        <f t="shared" si="260"/>
        <v>0</v>
      </c>
      <c r="DO199">
        <f t="shared" si="260"/>
        <v>0</v>
      </c>
      <c r="DP199">
        <f t="shared" si="261"/>
        <v>0</v>
      </c>
      <c r="DQ199">
        <f t="shared" si="261"/>
        <v>0</v>
      </c>
      <c r="DR199">
        <f t="shared" si="261"/>
        <v>0</v>
      </c>
      <c r="DS199">
        <f t="shared" si="261"/>
        <v>0</v>
      </c>
      <c r="DT199">
        <f t="shared" si="261"/>
        <v>0</v>
      </c>
      <c r="DU199">
        <f t="shared" si="261"/>
        <v>0</v>
      </c>
      <c r="DV199">
        <f t="shared" si="261"/>
        <v>0</v>
      </c>
      <c r="DW199">
        <f t="shared" si="261"/>
        <v>0</v>
      </c>
      <c r="DX199">
        <f t="shared" si="261"/>
        <v>0</v>
      </c>
      <c r="DY199">
        <f t="shared" si="261"/>
        <v>0</v>
      </c>
      <c r="DZ199">
        <f t="shared" si="262"/>
        <v>0</v>
      </c>
      <c r="EA199">
        <f t="shared" si="262"/>
        <v>0</v>
      </c>
      <c r="EB199">
        <f t="shared" si="262"/>
        <v>0</v>
      </c>
      <c r="EC199">
        <f t="shared" si="262"/>
        <v>0</v>
      </c>
      <c r="ED199">
        <f t="shared" si="262"/>
        <v>0</v>
      </c>
      <c r="EE199">
        <f t="shared" si="262"/>
        <v>0</v>
      </c>
      <c r="EF199">
        <f t="shared" si="262"/>
        <v>0</v>
      </c>
      <c r="EG199">
        <f t="shared" si="262"/>
        <v>0</v>
      </c>
      <c r="EH199">
        <f t="shared" si="262"/>
        <v>0</v>
      </c>
      <c r="EI199">
        <f t="shared" si="262"/>
        <v>0</v>
      </c>
      <c r="EJ199">
        <f>SUM(Tabla1[[#This Row],[1]:[130]])</f>
        <v>11</v>
      </c>
    </row>
    <row r="200" spans="1:140" ht="15.75" thickBot="1" x14ac:dyDescent="0.3">
      <c r="A200" t="str">
        <f>B200&amp;"-"&amp;COUNTIF($B$2:B200,B200)</f>
        <v>I. MARTINI DRY-1</v>
      </c>
      <c r="B200" s="37" t="s">
        <v>93</v>
      </c>
      <c r="C200">
        <f>VLOOKUP(B200,RECETAS!D199:$E$1700,2,FALSE)</f>
        <v>35</v>
      </c>
      <c r="D200" s="25" t="s">
        <v>137</v>
      </c>
      <c r="G200" t="b">
        <f t="shared" si="263"/>
        <v>1</v>
      </c>
      <c r="I200" s="26" t="s">
        <v>129</v>
      </c>
      <c r="J200">
        <f t="shared" si="250"/>
        <v>0</v>
      </c>
      <c r="K200">
        <f t="shared" si="250"/>
        <v>0</v>
      </c>
      <c r="L200">
        <f t="shared" si="250"/>
        <v>75</v>
      </c>
      <c r="M200">
        <f t="shared" si="250"/>
        <v>0</v>
      </c>
      <c r="N200">
        <f t="shared" si="250"/>
        <v>825</v>
      </c>
      <c r="O200">
        <f t="shared" si="250"/>
        <v>750</v>
      </c>
      <c r="P200">
        <f t="shared" si="250"/>
        <v>75</v>
      </c>
      <c r="Q200">
        <f t="shared" si="250"/>
        <v>225</v>
      </c>
      <c r="R200">
        <f t="shared" si="250"/>
        <v>360</v>
      </c>
      <c r="S200">
        <f t="shared" si="250"/>
        <v>1125</v>
      </c>
      <c r="T200">
        <f t="shared" si="251"/>
        <v>525</v>
      </c>
      <c r="U200">
        <f t="shared" si="251"/>
        <v>0</v>
      </c>
      <c r="V200">
        <f t="shared" si="251"/>
        <v>75</v>
      </c>
      <c r="W200">
        <f t="shared" si="251"/>
        <v>0</v>
      </c>
      <c r="X200">
        <f t="shared" si="251"/>
        <v>0</v>
      </c>
      <c r="Y200">
        <f t="shared" si="251"/>
        <v>0</v>
      </c>
      <c r="Z200">
        <f t="shared" si="251"/>
        <v>0</v>
      </c>
      <c r="AA200">
        <f t="shared" si="251"/>
        <v>0</v>
      </c>
      <c r="AB200">
        <f t="shared" si="251"/>
        <v>0</v>
      </c>
      <c r="AC200">
        <f t="shared" si="251"/>
        <v>0</v>
      </c>
      <c r="AD200">
        <f t="shared" si="252"/>
        <v>0</v>
      </c>
      <c r="AE200">
        <f t="shared" si="252"/>
        <v>0</v>
      </c>
      <c r="AF200">
        <f t="shared" si="252"/>
        <v>0</v>
      </c>
      <c r="AG200">
        <f t="shared" si="252"/>
        <v>0</v>
      </c>
      <c r="AH200">
        <f t="shared" si="252"/>
        <v>0</v>
      </c>
      <c r="AI200">
        <f t="shared" si="252"/>
        <v>0</v>
      </c>
      <c r="AJ200">
        <f t="shared" si="252"/>
        <v>0</v>
      </c>
      <c r="AK200">
        <f t="shared" si="252"/>
        <v>0</v>
      </c>
      <c r="AL200">
        <f t="shared" si="252"/>
        <v>0</v>
      </c>
      <c r="AM200">
        <f t="shared" si="252"/>
        <v>0</v>
      </c>
      <c r="AN200">
        <f t="shared" si="253"/>
        <v>0</v>
      </c>
      <c r="AO200">
        <f t="shared" si="253"/>
        <v>0</v>
      </c>
      <c r="AP200">
        <f t="shared" si="253"/>
        <v>0</v>
      </c>
      <c r="AQ200">
        <f t="shared" si="253"/>
        <v>0</v>
      </c>
      <c r="AR200">
        <f t="shared" si="253"/>
        <v>0</v>
      </c>
      <c r="AS200">
        <f t="shared" si="253"/>
        <v>0</v>
      </c>
      <c r="AT200">
        <f t="shared" si="253"/>
        <v>0</v>
      </c>
      <c r="AU200">
        <f t="shared" si="253"/>
        <v>0</v>
      </c>
      <c r="AV200">
        <f t="shared" si="253"/>
        <v>0</v>
      </c>
      <c r="AW200">
        <f t="shared" si="253"/>
        <v>0</v>
      </c>
      <c r="AX200">
        <f t="shared" si="254"/>
        <v>0</v>
      </c>
      <c r="AY200">
        <f t="shared" si="254"/>
        <v>0</v>
      </c>
      <c r="AZ200">
        <f t="shared" si="254"/>
        <v>0</v>
      </c>
      <c r="BA200">
        <f t="shared" si="254"/>
        <v>0</v>
      </c>
      <c r="BB200">
        <f t="shared" si="254"/>
        <v>0</v>
      </c>
      <c r="BC200">
        <f t="shared" si="254"/>
        <v>0</v>
      </c>
      <c r="BD200">
        <f t="shared" si="254"/>
        <v>0</v>
      </c>
      <c r="BE200">
        <f t="shared" si="254"/>
        <v>0</v>
      </c>
      <c r="BF200">
        <f t="shared" si="254"/>
        <v>0</v>
      </c>
      <c r="BG200">
        <f t="shared" si="254"/>
        <v>0</v>
      </c>
      <c r="BH200">
        <f t="shared" si="255"/>
        <v>0</v>
      </c>
      <c r="BI200">
        <f t="shared" si="255"/>
        <v>0</v>
      </c>
      <c r="BJ200">
        <f t="shared" si="255"/>
        <v>0</v>
      </c>
      <c r="BK200">
        <f t="shared" si="255"/>
        <v>0</v>
      </c>
      <c r="BL200">
        <f t="shared" si="255"/>
        <v>0</v>
      </c>
      <c r="BM200">
        <f t="shared" si="255"/>
        <v>0</v>
      </c>
      <c r="BN200">
        <f t="shared" si="255"/>
        <v>0</v>
      </c>
      <c r="BO200">
        <f t="shared" si="255"/>
        <v>0</v>
      </c>
      <c r="BP200">
        <f t="shared" si="255"/>
        <v>0</v>
      </c>
      <c r="BQ200">
        <f t="shared" si="255"/>
        <v>0</v>
      </c>
      <c r="BR200">
        <f t="shared" si="256"/>
        <v>0</v>
      </c>
      <c r="BS200">
        <f t="shared" si="256"/>
        <v>0</v>
      </c>
      <c r="BT200">
        <f t="shared" si="256"/>
        <v>0</v>
      </c>
      <c r="BU200">
        <f t="shared" si="256"/>
        <v>0</v>
      </c>
      <c r="BV200">
        <f t="shared" si="256"/>
        <v>0</v>
      </c>
      <c r="BW200">
        <f t="shared" si="256"/>
        <v>0</v>
      </c>
      <c r="BX200">
        <f t="shared" si="256"/>
        <v>0</v>
      </c>
      <c r="BY200">
        <f t="shared" si="256"/>
        <v>0</v>
      </c>
      <c r="BZ200">
        <f t="shared" si="256"/>
        <v>0</v>
      </c>
      <c r="CA200">
        <f t="shared" si="256"/>
        <v>0</v>
      </c>
      <c r="CB200">
        <f t="shared" si="257"/>
        <v>0</v>
      </c>
      <c r="CC200">
        <f t="shared" si="257"/>
        <v>0</v>
      </c>
      <c r="CD200">
        <f t="shared" si="257"/>
        <v>0</v>
      </c>
      <c r="CE200">
        <f t="shared" si="257"/>
        <v>0</v>
      </c>
      <c r="CF200">
        <f t="shared" si="257"/>
        <v>0</v>
      </c>
      <c r="CG200">
        <f t="shared" si="257"/>
        <v>0</v>
      </c>
      <c r="CH200">
        <f t="shared" si="257"/>
        <v>0</v>
      </c>
      <c r="CI200">
        <f t="shared" si="257"/>
        <v>0</v>
      </c>
      <c r="CJ200">
        <f t="shared" si="257"/>
        <v>0</v>
      </c>
      <c r="CK200">
        <f t="shared" si="257"/>
        <v>0</v>
      </c>
      <c r="CL200">
        <f t="shared" si="258"/>
        <v>0</v>
      </c>
      <c r="CM200">
        <f t="shared" si="258"/>
        <v>0</v>
      </c>
      <c r="CN200">
        <f t="shared" si="258"/>
        <v>0</v>
      </c>
      <c r="CO200">
        <f t="shared" si="258"/>
        <v>0</v>
      </c>
      <c r="CP200">
        <f t="shared" si="258"/>
        <v>0</v>
      </c>
      <c r="CQ200">
        <f t="shared" si="258"/>
        <v>0</v>
      </c>
      <c r="CR200">
        <f t="shared" si="258"/>
        <v>0</v>
      </c>
      <c r="CS200">
        <f t="shared" si="258"/>
        <v>0</v>
      </c>
      <c r="CT200">
        <f t="shared" si="258"/>
        <v>0</v>
      </c>
      <c r="CU200">
        <f t="shared" si="258"/>
        <v>0</v>
      </c>
      <c r="CV200">
        <f t="shared" si="259"/>
        <v>0</v>
      </c>
      <c r="CW200">
        <f t="shared" si="259"/>
        <v>0</v>
      </c>
      <c r="CX200">
        <f t="shared" si="259"/>
        <v>0</v>
      </c>
      <c r="CY200">
        <f t="shared" si="259"/>
        <v>0</v>
      </c>
      <c r="CZ200">
        <f t="shared" si="259"/>
        <v>0</v>
      </c>
      <c r="DA200">
        <f t="shared" si="259"/>
        <v>0</v>
      </c>
      <c r="DB200">
        <f t="shared" si="259"/>
        <v>0</v>
      </c>
      <c r="DC200">
        <f t="shared" si="259"/>
        <v>0</v>
      </c>
      <c r="DD200">
        <f t="shared" si="259"/>
        <v>0</v>
      </c>
      <c r="DE200">
        <f t="shared" si="259"/>
        <v>0</v>
      </c>
      <c r="DF200">
        <f t="shared" si="260"/>
        <v>0</v>
      </c>
      <c r="DG200">
        <f t="shared" si="260"/>
        <v>0</v>
      </c>
      <c r="DH200">
        <f t="shared" si="260"/>
        <v>0</v>
      </c>
      <c r="DI200">
        <f t="shared" si="260"/>
        <v>0</v>
      </c>
      <c r="DJ200">
        <f t="shared" si="260"/>
        <v>0</v>
      </c>
      <c r="DK200">
        <f t="shared" si="260"/>
        <v>0</v>
      </c>
      <c r="DL200">
        <f t="shared" si="260"/>
        <v>0</v>
      </c>
      <c r="DM200">
        <f t="shared" si="260"/>
        <v>0</v>
      </c>
      <c r="DN200">
        <f t="shared" si="260"/>
        <v>0</v>
      </c>
      <c r="DO200">
        <f t="shared" si="260"/>
        <v>0</v>
      </c>
      <c r="DP200">
        <f t="shared" si="261"/>
        <v>0</v>
      </c>
      <c r="DQ200">
        <f t="shared" si="261"/>
        <v>0</v>
      </c>
      <c r="DR200">
        <f t="shared" si="261"/>
        <v>0</v>
      </c>
      <c r="DS200">
        <f t="shared" si="261"/>
        <v>0</v>
      </c>
      <c r="DT200">
        <f t="shared" si="261"/>
        <v>0</v>
      </c>
      <c r="DU200">
        <f t="shared" si="261"/>
        <v>0</v>
      </c>
      <c r="DV200">
        <f t="shared" si="261"/>
        <v>0</v>
      </c>
      <c r="DW200">
        <f t="shared" si="261"/>
        <v>0</v>
      </c>
      <c r="DX200">
        <f t="shared" si="261"/>
        <v>0</v>
      </c>
      <c r="DY200">
        <f t="shared" si="261"/>
        <v>0</v>
      </c>
      <c r="DZ200">
        <f t="shared" si="262"/>
        <v>0</v>
      </c>
      <c r="EA200">
        <f t="shared" si="262"/>
        <v>0</v>
      </c>
      <c r="EB200">
        <f t="shared" si="262"/>
        <v>0</v>
      </c>
      <c r="EC200">
        <f t="shared" si="262"/>
        <v>0</v>
      </c>
      <c r="ED200">
        <f t="shared" si="262"/>
        <v>0</v>
      </c>
      <c r="EE200">
        <f t="shared" si="262"/>
        <v>0</v>
      </c>
      <c r="EF200">
        <f t="shared" si="262"/>
        <v>0</v>
      </c>
      <c r="EG200">
        <f t="shared" si="262"/>
        <v>0</v>
      </c>
      <c r="EH200">
        <f t="shared" si="262"/>
        <v>0</v>
      </c>
      <c r="EI200">
        <f t="shared" si="262"/>
        <v>0</v>
      </c>
      <c r="EJ200">
        <f>SUM(Tabla1[[#This Row],[1]:[130]])</f>
        <v>4035</v>
      </c>
    </row>
    <row r="201" spans="1:140" ht="15.75" thickBot="1" x14ac:dyDescent="0.3">
      <c r="A201" t="str">
        <f>B201&amp;"-"&amp;COUNTIF($B$2:B201,B201)</f>
        <v>I. GIN BATALLA-1</v>
      </c>
      <c r="B201" s="38" t="s">
        <v>75</v>
      </c>
      <c r="C201">
        <f>VLOOKUP(B201,RECETAS!D200:$E$1700,2,FALSE)</f>
        <v>35</v>
      </c>
      <c r="D201" s="34"/>
      <c r="G201" t="b">
        <f t="shared" si="263"/>
        <v>1</v>
      </c>
      <c r="I201" s="20" t="s">
        <v>130</v>
      </c>
      <c r="J201">
        <f t="shared" si="250"/>
        <v>0</v>
      </c>
      <c r="K201">
        <f t="shared" si="250"/>
        <v>0</v>
      </c>
      <c r="L201">
        <f t="shared" si="250"/>
        <v>300</v>
      </c>
      <c r="M201">
        <f t="shared" si="250"/>
        <v>150</v>
      </c>
      <c r="N201">
        <f t="shared" si="250"/>
        <v>0</v>
      </c>
      <c r="O201">
        <f t="shared" si="250"/>
        <v>0</v>
      </c>
      <c r="P201">
        <f t="shared" si="250"/>
        <v>0</v>
      </c>
      <c r="Q201">
        <f t="shared" si="250"/>
        <v>0</v>
      </c>
      <c r="R201">
        <f t="shared" si="250"/>
        <v>0</v>
      </c>
      <c r="S201">
        <f t="shared" si="250"/>
        <v>0</v>
      </c>
      <c r="T201">
        <f t="shared" si="251"/>
        <v>0</v>
      </c>
      <c r="U201">
        <f t="shared" si="251"/>
        <v>0</v>
      </c>
      <c r="V201">
        <f t="shared" si="251"/>
        <v>0</v>
      </c>
      <c r="W201">
        <f t="shared" si="251"/>
        <v>0</v>
      </c>
      <c r="X201">
        <f t="shared" si="251"/>
        <v>0</v>
      </c>
      <c r="Y201">
        <f t="shared" si="251"/>
        <v>0</v>
      </c>
      <c r="Z201">
        <f t="shared" si="251"/>
        <v>0</v>
      </c>
      <c r="AA201">
        <f t="shared" si="251"/>
        <v>0</v>
      </c>
      <c r="AB201">
        <f t="shared" si="251"/>
        <v>0</v>
      </c>
      <c r="AC201">
        <f t="shared" si="251"/>
        <v>0</v>
      </c>
      <c r="AD201">
        <f t="shared" si="252"/>
        <v>0</v>
      </c>
      <c r="AE201">
        <f t="shared" si="252"/>
        <v>0</v>
      </c>
      <c r="AF201">
        <f t="shared" si="252"/>
        <v>0</v>
      </c>
      <c r="AG201">
        <f t="shared" si="252"/>
        <v>0</v>
      </c>
      <c r="AH201">
        <f t="shared" si="252"/>
        <v>0</v>
      </c>
      <c r="AI201">
        <f t="shared" si="252"/>
        <v>0</v>
      </c>
      <c r="AJ201">
        <f t="shared" si="252"/>
        <v>0</v>
      </c>
      <c r="AK201">
        <f t="shared" si="252"/>
        <v>0</v>
      </c>
      <c r="AL201">
        <f t="shared" si="252"/>
        <v>0</v>
      </c>
      <c r="AM201">
        <f t="shared" si="252"/>
        <v>0</v>
      </c>
      <c r="AN201">
        <f t="shared" si="253"/>
        <v>0</v>
      </c>
      <c r="AO201">
        <f t="shared" si="253"/>
        <v>0</v>
      </c>
      <c r="AP201">
        <f t="shared" si="253"/>
        <v>0</v>
      </c>
      <c r="AQ201">
        <f t="shared" si="253"/>
        <v>0</v>
      </c>
      <c r="AR201">
        <f t="shared" si="253"/>
        <v>0</v>
      </c>
      <c r="AS201">
        <f t="shared" si="253"/>
        <v>0</v>
      </c>
      <c r="AT201">
        <f t="shared" si="253"/>
        <v>0</v>
      </c>
      <c r="AU201">
        <f t="shared" si="253"/>
        <v>0</v>
      </c>
      <c r="AV201">
        <f t="shared" si="253"/>
        <v>0</v>
      </c>
      <c r="AW201">
        <f t="shared" si="253"/>
        <v>0</v>
      </c>
      <c r="AX201">
        <f t="shared" si="254"/>
        <v>0</v>
      </c>
      <c r="AY201">
        <f t="shared" si="254"/>
        <v>0</v>
      </c>
      <c r="AZ201">
        <f t="shared" si="254"/>
        <v>0</v>
      </c>
      <c r="BA201">
        <f t="shared" si="254"/>
        <v>0</v>
      </c>
      <c r="BB201">
        <f t="shared" si="254"/>
        <v>0</v>
      </c>
      <c r="BC201">
        <f t="shared" si="254"/>
        <v>0</v>
      </c>
      <c r="BD201">
        <f t="shared" si="254"/>
        <v>0</v>
      </c>
      <c r="BE201">
        <f t="shared" si="254"/>
        <v>0</v>
      </c>
      <c r="BF201">
        <f t="shared" si="254"/>
        <v>0</v>
      </c>
      <c r="BG201">
        <f t="shared" si="254"/>
        <v>0</v>
      </c>
      <c r="BH201">
        <f t="shared" si="255"/>
        <v>0</v>
      </c>
      <c r="BI201">
        <f t="shared" si="255"/>
        <v>0</v>
      </c>
      <c r="BJ201">
        <f t="shared" si="255"/>
        <v>0</v>
      </c>
      <c r="BK201">
        <f t="shared" si="255"/>
        <v>0</v>
      </c>
      <c r="BL201">
        <f t="shared" si="255"/>
        <v>0</v>
      </c>
      <c r="BM201">
        <f t="shared" si="255"/>
        <v>0</v>
      </c>
      <c r="BN201">
        <f t="shared" si="255"/>
        <v>0</v>
      </c>
      <c r="BO201">
        <f t="shared" si="255"/>
        <v>0</v>
      </c>
      <c r="BP201">
        <f t="shared" si="255"/>
        <v>0</v>
      </c>
      <c r="BQ201">
        <f t="shared" si="255"/>
        <v>0</v>
      </c>
      <c r="BR201">
        <f t="shared" si="256"/>
        <v>0</v>
      </c>
      <c r="BS201">
        <f t="shared" si="256"/>
        <v>0</v>
      </c>
      <c r="BT201">
        <f t="shared" si="256"/>
        <v>0</v>
      </c>
      <c r="BU201">
        <f t="shared" si="256"/>
        <v>0</v>
      </c>
      <c r="BV201">
        <f t="shared" si="256"/>
        <v>0</v>
      </c>
      <c r="BW201">
        <f t="shared" si="256"/>
        <v>0</v>
      </c>
      <c r="BX201">
        <f t="shared" si="256"/>
        <v>0</v>
      </c>
      <c r="BY201">
        <f t="shared" si="256"/>
        <v>0</v>
      </c>
      <c r="BZ201">
        <f t="shared" si="256"/>
        <v>0</v>
      </c>
      <c r="CA201">
        <f t="shared" si="256"/>
        <v>0</v>
      </c>
      <c r="CB201">
        <f t="shared" si="257"/>
        <v>0</v>
      </c>
      <c r="CC201">
        <f t="shared" si="257"/>
        <v>0</v>
      </c>
      <c r="CD201">
        <f t="shared" si="257"/>
        <v>0</v>
      </c>
      <c r="CE201">
        <f t="shared" si="257"/>
        <v>0</v>
      </c>
      <c r="CF201">
        <f t="shared" si="257"/>
        <v>0</v>
      </c>
      <c r="CG201">
        <f t="shared" si="257"/>
        <v>0</v>
      </c>
      <c r="CH201">
        <f t="shared" si="257"/>
        <v>0</v>
      </c>
      <c r="CI201">
        <f t="shared" si="257"/>
        <v>0</v>
      </c>
      <c r="CJ201">
        <f t="shared" si="257"/>
        <v>0</v>
      </c>
      <c r="CK201">
        <f t="shared" si="257"/>
        <v>0</v>
      </c>
      <c r="CL201">
        <f t="shared" si="258"/>
        <v>0</v>
      </c>
      <c r="CM201">
        <f t="shared" si="258"/>
        <v>0</v>
      </c>
      <c r="CN201">
        <f t="shared" si="258"/>
        <v>0</v>
      </c>
      <c r="CO201">
        <f t="shared" si="258"/>
        <v>0</v>
      </c>
      <c r="CP201">
        <f t="shared" si="258"/>
        <v>0</v>
      </c>
      <c r="CQ201">
        <f t="shared" si="258"/>
        <v>0</v>
      </c>
      <c r="CR201">
        <f t="shared" si="258"/>
        <v>0</v>
      </c>
      <c r="CS201">
        <f t="shared" si="258"/>
        <v>0</v>
      </c>
      <c r="CT201">
        <f t="shared" si="258"/>
        <v>0</v>
      </c>
      <c r="CU201">
        <f t="shared" si="258"/>
        <v>0</v>
      </c>
      <c r="CV201">
        <f t="shared" si="259"/>
        <v>0</v>
      </c>
      <c r="CW201">
        <f t="shared" si="259"/>
        <v>0</v>
      </c>
      <c r="CX201">
        <f t="shared" si="259"/>
        <v>0</v>
      </c>
      <c r="CY201">
        <f t="shared" si="259"/>
        <v>0</v>
      </c>
      <c r="CZ201">
        <f t="shared" si="259"/>
        <v>0</v>
      </c>
      <c r="DA201">
        <f t="shared" si="259"/>
        <v>0</v>
      </c>
      <c r="DB201">
        <f t="shared" si="259"/>
        <v>0</v>
      </c>
      <c r="DC201">
        <f t="shared" si="259"/>
        <v>0</v>
      </c>
      <c r="DD201">
        <f t="shared" si="259"/>
        <v>0</v>
      </c>
      <c r="DE201">
        <f t="shared" si="259"/>
        <v>0</v>
      </c>
      <c r="DF201">
        <f t="shared" si="260"/>
        <v>0</v>
      </c>
      <c r="DG201">
        <f t="shared" si="260"/>
        <v>0</v>
      </c>
      <c r="DH201">
        <f t="shared" si="260"/>
        <v>0</v>
      </c>
      <c r="DI201">
        <f t="shared" si="260"/>
        <v>0</v>
      </c>
      <c r="DJ201">
        <f t="shared" si="260"/>
        <v>0</v>
      </c>
      <c r="DK201">
        <f t="shared" si="260"/>
        <v>0</v>
      </c>
      <c r="DL201">
        <f t="shared" si="260"/>
        <v>0</v>
      </c>
      <c r="DM201">
        <f t="shared" si="260"/>
        <v>0</v>
      </c>
      <c r="DN201">
        <f t="shared" si="260"/>
        <v>0</v>
      </c>
      <c r="DO201">
        <f t="shared" si="260"/>
        <v>0</v>
      </c>
      <c r="DP201">
        <f t="shared" si="261"/>
        <v>0</v>
      </c>
      <c r="DQ201">
        <f t="shared" si="261"/>
        <v>0</v>
      </c>
      <c r="DR201">
        <f t="shared" si="261"/>
        <v>0</v>
      </c>
      <c r="DS201">
        <f t="shared" si="261"/>
        <v>0</v>
      </c>
      <c r="DT201">
        <f t="shared" si="261"/>
        <v>0</v>
      </c>
      <c r="DU201">
        <f t="shared" si="261"/>
        <v>0</v>
      </c>
      <c r="DV201">
        <f t="shared" si="261"/>
        <v>0</v>
      </c>
      <c r="DW201">
        <f t="shared" si="261"/>
        <v>0</v>
      </c>
      <c r="DX201">
        <f t="shared" si="261"/>
        <v>0</v>
      </c>
      <c r="DY201">
        <f t="shared" si="261"/>
        <v>0</v>
      </c>
      <c r="DZ201">
        <f t="shared" si="262"/>
        <v>0</v>
      </c>
      <c r="EA201">
        <f t="shared" si="262"/>
        <v>0</v>
      </c>
      <c r="EB201">
        <f t="shared" si="262"/>
        <v>0</v>
      </c>
      <c r="EC201">
        <f t="shared" si="262"/>
        <v>0</v>
      </c>
      <c r="ED201">
        <f t="shared" si="262"/>
        <v>0</v>
      </c>
      <c r="EE201">
        <f t="shared" si="262"/>
        <v>0</v>
      </c>
      <c r="EF201">
        <f t="shared" si="262"/>
        <v>0</v>
      </c>
      <c r="EG201">
        <f t="shared" si="262"/>
        <v>0</v>
      </c>
      <c r="EH201">
        <f t="shared" si="262"/>
        <v>0</v>
      </c>
      <c r="EI201">
        <f t="shared" si="262"/>
        <v>0</v>
      </c>
      <c r="EJ201">
        <f>SUM(Tabla1[[#This Row],[1]:[130]])</f>
        <v>450</v>
      </c>
    </row>
    <row r="202" spans="1:140" ht="15.75" thickBot="1" x14ac:dyDescent="0.3">
      <c r="A202" t="str">
        <f>B202&amp;"-"&amp;COUNTIF($B$2:B202,B202)</f>
        <v>I. AZUCAR FLOR-13</v>
      </c>
      <c r="B202" s="39" t="s">
        <v>51</v>
      </c>
      <c r="C202">
        <f>VLOOKUP(B202,RECETAS!D201:$E$1700,2,FALSE)</f>
        <v>20</v>
      </c>
      <c r="D202" s="32"/>
      <c r="G202" t="b">
        <f t="shared" si="263"/>
        <v>1</v>
      </c>
      <c r="I202" s="39" t="s">
        <v>280</v>
      </c>
      <c r="J202" s="96">
        <f t="shared" si="250"/>
        <v>0</v>
      </c>
      <c r="K202">
        <f t="shared" si="250"/>
        <v>0</v>
      </c>
      <c r="L202">
        <f t="shared" si="250"/>
        <v>0</v>
      </c>
      <c r="M202">
        <f t="shared" si="250"/>
        <v>0</v>
      </c>
      <c r="N202">
        <f t="shared" si="250"/>
        <v>0</v>
      </c>
      <c r="O202">
        <f t="shared" si="250"/>
        <v>0</v>
      </c>
      <c r="P202">
        <f t="shared" si="250"/>
        <v>0</v>
      </c>
      <c r="Q202">
        <f t="shared" si="250"/>
        <v>0</v>
      </c>
      <c r="R202">
        <f t="shared" si="250"/>
        <v>0</v>
      </c>
      <c r="S202">
        <f t="shared" si="250"/>
        <v>0</v>
      </c>
      <c r="T202">
        <f t="shared" si="251"/>
        <v>0</v>
      </c>
      <c r="U202">
        <f t="shared" si="251"/>
        <v>0</v>
      </c>
      <c r="V202">
        <f t="shared" si="251"/>
        <v>0</v>
      </c>
      <c r="W202">
        <f t="shared" si="251"/>
        <v>0</v>
      </c>
      <c r="X202">
        <f t="shared" si="251"/>
        <v>0</v>
      </c>
      <c r="Y202">
        <f t="shared" si="251"/>
        <v>0</v>
      </c>
      <c r="Z202">
        <f t="shared" si="251"/>
        <v>0</v>
      </c>
      <c r="AA202">
        <f t="shared" si="251"/>
        <v>0</v>
      </c>
      <c r="AB202">
        <f t="shared" si="251"/>
        <v>0</v>
      </c>
      <c r="AC202">
        <f t="shared" si="251"/>
        <v>0</v>
      </c>
      <c r="AD202">
        <f t="shared" si="252"/>
        <v>0</v>
      </c>
      <c r="AE202">
        <f t="shared" si="252"/>
        <v>0</v>
      </c>
      <c r="AF202">
        <f t="shared" si="252"/>
        <v>0</v>
      </c>
      <c r="AG202">
        <f t="shared" si="252"/>
        <v>0</v>
      </c>
      <c r="AH202">
        <f t="shared" si="252"/>
        <v>0</v>
      </c>
      <c r="AI202">
        <f t="shared" si="252"/>
        <v>0</v>
      </c>
      <c r="AJ202">
        <f t="shared" si="252"/>
        <v>0</v>
      </c>
      <c r="AK202">
        <f t="shared" si="252"/>
        <v>0</v>
      </c>
      <c r="AL202">
        <f t="shared" si="252"/>
        <v>0</v>
      </c>
      <c r="AM202">
        <f t="shared" si="252"/>
        <v>0</v>
      </c>
      <c r="AN202">
        <f t="shared" si="253"/>
        <v>0</v>
      </c>
      <c r="AO202">
        <f t="shared" si="253"/>
        <v>0</v>
      </c>
      <c r="AP202">
        <f t="shared" si="253"/>
        <v>0</v>
      </c>
      <c r="AQ202">
        <f t="shared" si="253"/>
        <v>0</v>
      </c>
      <c r="AR202">
        <f t="shared" si="253"/>
        <v>0</v>
      </c>
      <c r="AS202">
        <f t="shared" si="253"/>
        <v>0</v>
      </c>
      <c r="AT202">
        <f t="shared" si="253"/>
        <v>0</v>
      </c>
      <c r="AU202">
        <f t="shared" si="253"/>
        <v>0</v>
      </c>
      <c r="AV202">
        <f t="shared" si="253"/>
        <v>0</v>
      </c>
      <c r="AW202">
        <f t="shared" si="253"/>
        <v>0</v>
      </c>
      <c r="AX202">
        <f t="shared" si="254"/>
        <v>0</v>
      </c>
      <c r="AY202">
        <f t="shared" si="254"/>
        <v>0</v>
      </c>
      <c r="AZ202">
        <f t="shared" si="254"/>
        <v>0</v>
      </c>
      <c r="BA202">
        <f t="shared" si="254"/>
        <v>0</v>
      </c>
      <c r="BB202">
        <f t="shared" si="254"/>
        <v>0</v>
      </c>
      <c r="BC202">
        <f t="shared" si="254"/>
        <v>0</v>
      </c>
      <c r="BD202">
        <f t="shared" si="254"/>
        <v>0</v>
      </c>
      <c r="BE202">
        <f t="shared" si="254"/>
        <v>0</v>
      </c>
      <c r="BF202">
        <f t="shared" si="254"/>
        <v>0</v>
      </c>
      <c r="BG202">
        <f t="shared" si="254"/>
        <v>0</v>
      </c>
      <c r="BH202">
        <f t="shared" si="255"/>
        <v>0</v>
      </c>
      <c r="BI202">
        <f t="shared" si="255"/>
        <v>0</v>
      </c>
      <c r="BJ202">
        <f t="shared" si="255"/>
        <v>0</v>
      </c>
      <c r="BK202">
        <f t="shared" si="255"/>
        <v>0</v>
      </c>
      <c r="BL202">
        <f t="shared" si="255"/>
        <v>0</v>
      </c>
      <c r="BM202">
        <f t="shared" si="255"/>
        <v>0</v>
      </c>
      <c r="BN202">
        <f t="shared" si="255"/>
        <v>0</v>
      </c>
      <c r="BO202">
        <f t="shared" si="255"/>
        <v>0</v>
      </c>
      <c r="BP202">
        <f t="shared" si="255"/>
        <v>0</v>
      </c>
      <c r="BQ202">
        <f t="shared" si="255"/>
        <v>0</v>
      </c>
      <c r="BR202">
        <f t="shared" si="256"/>
        <v>0</v>
      </c>
      <c r="BS202">
        <f t="shared" si="256"/>
        <v>0</v>
      </c>
      <c r="BT202">
        <f t="shared" si="256"/>
        <v>0</v>
      </c>
      <c r="BU202">
        <f t="shared" si="256"/>
        <v>0</v>
      </c>
      <c r="BV202">
        <f t="shared" si="256"/>
        <v>0</v>
      </c>
      <c r="BW202">
        <f t="shared" si="256"/>
        <v>0</v>
      </c>
      <c r="BX202">
        <f t="shared" si="256"/>
        <v>0</v>
      </c>
      <c r="BY202">
        <f t="shared" si="256"/>
        <v>0</v>
      </c>
      <c r="BZ202">
        <f t="shared" si="256"/>
        <v>0</v>
      </c>
      <c r="CA202">
        <f t="shared" si="256"/>
        <v>0</v>
      </c>
      <c r="CB202">
        <f t="shared" si="257"/>
        <v>0</v>
      </c>
      <c r="CC202">
        <f t="shared" si="257"/>
        <v>0</v>
      </c>
      <c r="CD202">
        <f t="shared" si="257"/>
        <v>0</v>
      </c>
      <c r="CE202">
        <f t="shared" si="257"/>
        <v>0</v>
      </c>
      <c r="CF202">
        <f t="shared" si="257"/>
        <v>0</v>
      </c>
      <c r="CG202">
        <f t="shared" si="257"/>
        <v>0</v>
      </c>
      <c r="CH202">
        <f t="shared" si="257"/>
        <v>0</v>
      </c>
      <c r="CI202">
        <f t="shared" si="257"/>
        <v>0</v>
      </c>
      <c r="CJ202">
        <f t="shared" si="257"/>
        <v>0</v>
      </c>
      <c r="CK202">
        <f t="shared" si="257"/>
        <v>0</v>
      </c>
      <c r="CL202">
        <f t="shared" si="258"/>
        <v>0</v>
      </c>
      <c r="CM202">
        <f t="shared" si="258"/>
        <v>0</v>
      </c>
      <c r="CN202">
        <f t="shared" si="258"/>
        <v>0</v>
      </c>
      <c r="CO202">
        <f t="shared" si="258"/>
        <v>0</v>
      </c>
      <c r="CP202">
        <f t="shared" si="258"/>
        <v>0</v>
      </c>
      <c r="CQ202">
        <f t="shared" si="258"/>
        <v>0</v>
      </c>
      <c r="CR202">
        <f t="shared" si="258"/>
        <v>0</v>
      </c>
      <c r="CS202">
        <f t="shared" si="258"/>
        <v>0</v>
      </c>
      <c r="CT202">
        <f t="shared" si="258"/>
        <v>0</v>
      </c>
      <c r="CU202">
        <f t="shared" si="258"/>
        <v>0</v>
      </c>
      <c r="CV202">
        <f t="shared" si="259"/>
        <v>0</v>
      </c>
      <c r="CW202">
        <f t="shared" si="259"/>
        <v>0</v>
      </c>
      <c r="CX202">
        <f t="shared" si="259"/>
        <v>0</v>
      </c>
      <c r="CY202">
        <f t="shared" si="259"/>
        <v>0</v>
      </c>
      <c r="CZ202">
        <f t="shared" si="259"/>
        <v>0</v>
      </c>
      <c r="DA202">
        <f t="shared" si="259"/>
        <v>0</v>
      </c>
      <c r="DB202">
        <f t="shared" si="259"/>
        <v>0</v>
      </c>
      <c r="DC202">
        <f t="shared" si="259"/>
        <v>0</v>
      </c>
      <c r="DD202">
        <f t="shared" si="259"/>
        <v>0</v>
      </c>
      <c r="DE202">
        <f t="shared" si="259"/>
        <v>0</v>
      </c>
      <c r="DF202">
        <f t="shared" si="260"/>
        <v>0</v>
      </c>
      <c r="DG202">
        <f t="shared" si="260"/>
        <v>0</v>
      </c>
      <c r="DH202">
        <f t="shared" si="260"/>
        <v>0</v>
      </c>
      <c r="DI202">
        <f t="shared" si="260"/>
        <v>0</v>
      </c>
      <c r="DJ202">
        <f t="shared" si="260"/>
        <v>0</v>
      </c>
      <c r="DK202">
        <f t="shared" si="260"/>
        <v>0</v>
      </c>
      <c r="DL202">
        <f t="shared" si="260"/>
        <v>0</v>
      </c>
      <c r="DM202">
        <f t="shared" si="260"/>
        <v>0</v>
      </c>
      <c r="DN202">
        <f t="shared" si="260"/>
        <v>0</v>
      </c>
      <c r="DO202">
        <f t="shared" si="260"/>
        <v>0</v>
      </c>
      <c r="DP202">
        <f t="shared" si="261"/>
        <v>0</v>
      </c>
      <c r="DQ202">
        <f t="shared" si="261"/>
        <v>0</v>
      </c>
      <c r="DR202">
        <f t="shared" si="261"/>
        <v>0</v>
      </c>
      <c r="DS202">
        <f t="shared" si="261"/>
        <v>0</v>
      </c>
      <c r="DT202">
        <f t="shared" si="261"/>
        <v>0</v>
      </c>
      <c r="DU202">
        <f t="shared" si="261"/>
        <v>0</v>
      </c>
      <c r="DV202">
        <f t="shared" si="261"/>
        <v>0</v>
      </c>
      <c r="DW202">
        <f t="shared" si="261"/>
        <v>0</v>
      </c>
      <c r="DX202">
        <f t="shared" si="261"/>
        <v>0</v>
      </c>
      <c r="DY202">
        <f t="shared" si="261"/>
        <v>0</v>
      </c>
      <c r="DZ202">
        <f t="shared" si="262"/>
        <v>0</v>
      </c>
      <c r="EA202">
        <f t="shared" si="262"/>
        <v>0</v>
      </c>
      <c r="EB202">
        <f t="shared" si="262"/>
        <v>0</v>
      </c>
      <c r="EC202">
        <f t="shared" si="262"/>
        <v>0</v>
      </c>
      <c r="ED202">
        <f t="shared" si="262"/>
        <v>0</v>
      </c>
      <c r="EE202">
        <f t="shared" si="262"/>
        <v>0</v>
      </c>
      <c r="EF202">
        <f t="shared" si="262"/>
        <v>0</v>
      </c>
      <c r="EG202">
        <f t="shared" si="262"/>
        <v>0</v>
      </c>
      <c r="EH202">
        <f t="shared" si="262"/>
        <v>0</v>
      </c>
      <c r="EI202">
        <f t="shared" si="262"/>
        <v>0</v>
      </c>
      <c r="EJ202">
        <f>SUM(Tabla1[[#This Row],[1]:[130]])</f>
        <v>0</v>
      </c>
    </row>
    <row r="203" spans="1:140" x14ac:dyDescent="0.25">
      <c r="A203" t="str">
        <f>B203&amp;"-"&amp;COUNTIF($B$2:B203,B203)</f>
        <v>I. WISKY BATALLA-2</v>
      </c>
      <c r="B203" s="26" t="s">
        <v>130</v>
      </c>
      <c r="C203">
        <f>VLOOKUP(B203,RECETAS!D202:$E$1700,2,FALSE)</f>
        <v>0</v>
      </c>
      <c r="D203" s="25" t="s">
        <v>138</v>
      </c>
      <c r="G203" t="b">
        <f t="shared" si="263"/>
        <v>1</v>
      </c>
    </row>
    <row r="204" spans="1:140" x14ac:dyDescent="0.25">
      <c r="A204" t="str">
        <f>B204&amp;"-"&amp;COUNTIF($B$2:B204,B204)</f>
        <v>I. MARTINI ROSSO-1</v>
      </c>
      <c r="B204" s="35" t="s">
        <v>94</v>
      </c>
      <c r="C204">
        <f>VLOOKUP(B204,RECETAS!D203:$E$1700,2,FALSE)</f>
        <v>0</v>
      </c>
      <c r="D204" s="34"/>
      <c r="G204" t="b">
        <f t="shared" si="263"/>
        <v>1</v>
      </c>
    </row>
    <row r="205" spans="1:140" ht="15.75" thickBot="1" x14ac:dyDescent="0.3">
      <c r="A205" t="str">
        <f>B205&amp;"-"&amp;COUNTIF($B$2:B205,B205)</f>
        <v>I. AZUCAR FLOR-14</v>
      </c>
      <c r="B205" s="33" t="s">
        <v>51</v>
      </c>
      <c r="C205">
        <f>VLOOKUP(B205,RECETAS!D204:$E$1700,2,FALSE)</f>
        <v>0</v>
      </c>
      <c r="D205" s="32"/>
      <c r="G205" t="b">
        <f t="shared" si="263"/>
        <v>1</v>
      </c>
    </row>
    <row r="206" spans="1:140" x14ac:dyDescent="0.25">
      <c r="A206" t="str">
        <f>B206&amp;"-"&amp;COUNTIF($B$2:B206,B206)</f>
        <v>I. CACHAZA-1</v>
      </c>
      <c r="B206" s="26" t="s">
        <v>57</v>
      </c>
      <c r="C206">
        <f>VLOOKUP(B206,RECETAS!D205:$E$1700,2,FALSE)</f>
        <v>375</v>
      </c>
      <c r="D206" s="25" t="s">
        <v>369</v>
      </c>
      <c r="G206" t="b">
        <f t="shared" si="263"/>
        <v>1</v>
      </c>
    </row>
    <row r="207" spans="1:140" x14ac:dyDescent="0.25">
      <c r="A207" t="str">
        <f>B207&amp;"-"&amp;COUNTIF($B$2:B207,B207)</f>
        <v>I. LIMON PICA-3</v>
      </c>
      <c r="B207" s="35" t="s">
        <v>636</v>
      </c>
      <c r="C207">
        <f>VLOOKUP(B207,RECETAS!D206:$E$1700,2,FALSE)</f>
        <v>2.5</v>
      </c>
      <c r="D207" s="34"/>
      <c r="G207" t="b">
        <f t="shared" si="263"/>
        <v>1</v>
      </c>
    </row>
    <row r="208" spans="1:140" x14ac:dyDescent="0.25">
      <c r="A208" t="str">
        <f>B208&amp;"-"&amp;COUNTIF($B$2:B208,B208)</f>
        <v>I. AZUCAR FLOR-15</v>
      </c>
      <c r="B208" s="35" t="s">
        <v>51</v>
      </c>
      <c r="C208">
        <f>VLOOKUP(B208,RECETAS!D207:$E$1700,2,FALSE)</f>
        <v>100</v>
      </c>
      <c r="D208" s="34"/>
      <c r="G208" t="b">
        <f t="shared" si="263"/>
        <v>1</v>
      </c>
    </row>
    <row r="209" spans="1:7" ht="15.75" thickBot="1" x14ac:dyDescent="0.3">
      <c r="A209" t="str">
        <f>B209&amp;"-"&amp;COUNTIF($B$2:B209,B209)</f>
        <v>I. PULPA LIMON-8</v>
      </c>
      <c r="B209" s="33" t="s">
        <v>106</v>
      </c>
      <c r="C209">
        <f>VLOOKUP(B209,RECETAS!D208:$E$1700,2,FALSE)</f>
        <v>100</v>
      </c>
      <c r="D209" s="32"/>
      <c r="G209" t="b">
        <f t="shared" si="263"/>
        <v>1</v>
      </c>
    </row>
    <row r="210" spans="1:7" x14ac:dyDescent="0.25">
      <c r="A210" t="str">
        <f>B210&amp;"-"&amp;COUNTIF($B$2:B210,B210)</f>
        <v>I. CACHAZA-2</v>
      </c>
      <c r="B210" s="26" t="s">
        <v>57</v>
      </c>
      <c r="C210">
        <f>VLOOKUP(B210,RECETAS!D209:$E$1700,2,FALSE)</f>
        <v>0</v>
      </c>
      <c r="D210" s="25" t="s">
        <v>141</v>
      </c>
      <c r="G210" t="b">
        <f t="shared" si="263"/>
        <v>1</v>
      </c>
    </row>
    <row r="211" spans="1:7" x14ac:dyDescent="0.25">
      <c r="A211" t="str">
        <f>B211&amp;"-"&amp;COUNTIF($B$2:B211,B211)</f>
        <v>I. LIMON PICA-4</v>
      </c>
      <c r="B211" s="35" t="s">
        <v>636</v>
      </c>
      <c r="C211">
        <f>VLOOKUP(B211,RECETAS!D210:$E$1700,2,FALSE)</f>
        <v>0</v>
      </c>
      <c r="D211" s="34"/>
      <c r="G211" t="b">
        <f t="shared" si="263"/>
        <v>1</v>
      </c>
    </row>
    <row r="212" spans="1:7" x14ac:dyDescent="0.25">
      <c r="A212" t="str">
        <f>B212&amp;"-"&amp;COUNTIF($B$2:B212,B212)</f>
        <v>I. AZUCAR FLOR-16</v>
      </c>
      <c r="B212" s="35" t="s">
        <v>51</v>
      </c>
      <c r="C212">
        <f>VLOOKUP(B212,RECETAS!D211:$E$1700,2,FALSE)</f>
        <v>0</v>
      </c>
      <c r="D212" s="34"/>
      <c r="G212" t="b">
        <f t="shared" si="263"/>
        <v>1</v>
      </c>
    </row>
    <row r="213" spans="1:7" x14ac:dyDescent="0.25">
      <c r="A213" t="str">
        <f>B213&amp;"-"&amp;COUNTIF($B$2:B213,B213)</f>
        <v>I. PULPA LIMON-9</v>
      </c>
      <c r="B213" s="35" t="s">
        <v>106</v>
      </c>
      <c r="C213">
        <f>VLOOKUP(B213,RECETAS!D212:$E$1700,2,FALSE)</f>
        <v>0</v>
      </c>
      <c r="D213" s="34"/>
      <c r="G213" t="b">
        <f t="shared" si="263"/>
        <v>1</v>
      </c>
    </row>
    <row r="214" spans="1:7" ht="15.75" thickBot="1" x14ac:dyDescent="0.3">
      <c r="A214" t="str">
        <f>B214&amp;"-"&amp;COUNTIF($B$2:B214,B214)</f>
        <v>I. PULPA FRUTILLA-3</v>
      </c>
      <c r="B214" s="33" t="s">
        <v>582</v>
      </c>
      <c r="C214">
        <f>VLOOKUP(B214,RECETAS!D213:$E$1700,2,FALSE)</f>
        <v>0</v>
      </c>
      <c r="D214" s="32"/>
      <c r="G214" t="b">
        <f t="shared" si="263"/>
        <v>1</v>
      </c>
    </row>
    <row r="215" spans="1:7" x14ac:dyDescent="0.25">
      <c r="A215" t="str">
        <f>B215&amp;"-"&amp;COUNTIF($B$2:B215,B215)</f>
        <v>I. CACHAZA-3</v>
      </c>
      <c r="B215" s="26" t="s">
        <v>57</v>
      </c>
      <c r="C215">
        <f>VLOOKUP(B215,RECETAS!D214:$E$1700,2,FALSE)</f>
        <v>75</v>
      </c>
      <c r="D215" s="25" t="s">
        <v>139</v>
      </c>
      <c r="G215" t="b">
        <f t="shared" si="263"/>
        <v>1</v>
      </c>
    </row>
    <row r="216" spans="1:7" x14ac:dyDescent="0.25">
      <c r="A216" t="str">
        <f>B216&amp;"-"&amp;COUNTIF($B$2:B216,B216)</f>
        <v>I. LIMON PICA-5</v>
      </c>
      <c r="B216" s="35" t="s">
        <v>636</v>
      </c>
      <c r="C216">
        <f>VLOOKUP(B216,RECETAS!D215:$E$1700,2,FALSE)</f>
        <v>0.5</v>
      </c>
      <c r="D216" s="34"/>
      <c r="G216" t="b">
        <f t="shared" si="263"/>
        <v>1</v>
      </c>
    </row>
    <row r="217" spans="1:7" x14ac:dyDescent="0.25">
      <c r="A217" t="str">
        <f>B217&amp;"-"&amp;COUNTIF($B$2:B217,B217)</f>
        <v>I. AZUCAR FLOR-17</v>
      </c>
      <c r="B217" s="35" t="s">
        <v>51</v>
      </c>
      <c r="C217">
        <f>VLOOKUP(B217,RECETAS!D216:$E$1700,2,FALSE)</f>
        <v>20</v>
      </c>
      <c r="D217" s="34"/>
      <c r="G217" t="b">
        <f t="shared" si="263"/>
        <v>1</v>
      </c>
    </row>
    <row r="218" spans="1:7" x14ac:dyDescent="0.25">
      <c r="A218" t="str">
        <f>B218&amp;"-"&amp;COUNTIF($B$2:B218,B218)</f>
        <v>I. PULPA LIMON-10</v>
      </c>
      <c r="B218" s="35" t="s">
        <v>106</v>
      </c>
      <c r="C218">
        <f>VLOOKUP(B218,RECETAS!D217:$E$1700,2,FALSE)</f>
        <v>20</v>
      </c>
      <c r="D218" s="34"/>
      <c r="G218" t="b">
        <f t="shared" si="263"/>
        <v>1</v>
      </c>
    </row>
    <row r="219" spans="1:7" ht="15.75" thickBot="1" x14ac:dyDescent="0.3">
      <c r="A219" t="str">
        <f>B219&amp;"-"&amp;COUNTIF($B$2:B219,B219)</f>
        <v>I. PULPA FRAMBUESA-4</v>
      </c>
      <c r="B219" s="33" t="s">
        <v>105</v>
      </c>
      <c r="C219">
        <f>VLOOKUP(B219,RECETAS!D218:$E$1700,2,FALSE)</f>
        <v>20</v>
      </c>
      <c r="D219" s="32"/>
      <c r="G219" t="b">
        <f t="shared" si="263"/>
        <v>1</v>
      </c>
    </row>
    <row r="220" spans="1:7" x14ac:dyDescent="0.25">
      <c r="A220" t="str">
        <f>B220&amp;"-"&amp;COUNTIF($B$2:B220,B220)</f>
        <v>I. CACHAZA-4</v>
      </c>
      <c r="B220" s="26" t="s">
        <v>57</v>
      </c>
      <c r="C220">
        <f>VLOOKUP(B220,RECETAS!D219:$E$1700,2,FALSE)</f>
        <v>0</v>
      </c>
      <c r="D220" s="25" t="s">
        <v>140</v>
      </c>
      <c r="G220" t="b">
        <f t="shared" si="263"/>
        <v>1</v>
      </c>
    </row>
    <row r="221" spans="1:7" x14ac:dyDescent="0.25">
      <c r="A221" t="str">
        <f>B221&amp;"-"&amp;COUNTIF($B$2:B221,B221)</f>
        <v>I. LIMON PICA-6</v>
      </c>
      <c r="B221" s="35" t="s">
        <v>636</v>
      </c>
      <c r="C221">
        <f>VLOOKUP(B221,RECETAS!D220:$E$1700,2,FALSE)</f>
        <v>0</v>
      </c>
      <c r="D221" s="34"/>
      <c r="G221" t="b">
        <f t="shared" si="263"/>
        <v>1</v>
      </c>
    </row>
    <row r="222" spans="1:7" x14ac:dyDescent="0.25">
      <c r="A222" t="str">
        <f>B222&amp;"-"&amp;COUNTIF($B$2:B222,B222)</f>
        <v>I. AZUCAR FLOR-18</v>
      </c>
      <c r="B222" s="35" t="s">
        <v>51</v>
      </c>
      <c r="C222">
        <f>VLOOKUP(B222,RECETAS!D221:$E$1700,2,FALSE)</f>
        <v>0</v>
      </c>
      <c r="D222" s="34"/>
      <c r="G222" t="b">
        <f t="shared" si="263"/>
        <v>1</v>
      </c>
    </row>
    <row r="223" spans="1:7" x14ac:dyDescent="0.25">
      <c r="A223" t="str">
        <f>B223&amp;"-"&amp;COUNTIF($B$2:B223,B223)</f>
        <v>I. PULPA LIMON-11</v>
      </c>
      <c r="B223" s="35" t="s">
        <v>106</v>
      </c>
      <c r="C223">
        <f>VLOOKUP(B223,RECETAS!D222:$E$1700,2,FALSE)</f>
        <v>0</v>
      </c>
      <c r="D223" s="34"/>
      <c r="G223" t="b">
        <f t="shared" si="263"/>
        <v>1</v>
      </c>
    </row>
    <row r="224" spans="1:7" ht="15.75" thickBot="1" x14ac:dyDescent="0.3">
      <c r="A224" t="str">
        <f>B224&amp;"-"&amp;COUNTIF($B$2:B224,B224)</f>
        <v>I. PULPA MANGO-3</v>
      </c>
      <c r="B224" s="33" t="s">
        <v>107</v>
      </c>
      <c r="C224">
        <f>VLOOKUP(B224,RECETAS!D223:$E$1700,2,FALSE)</f>
        <v>0</v>
      </c>
      <c r="D224" s="32"/>
      <c r="G224" t="b">
        <f t="shared" si="263"/>
        <v>1</v>
      </c>
    </row>
    <row r="225" spans="1:7" x14ac:dyDescent="0.25">
      <c r="A225" t="str">
        <f>B225&amp;"-"&amp;COUNTIF($B$2:B225,B225)</f>
        <v>I. VODKA BATALLA-1</v>
      </c>
      <c r="B225" s="26" t="s">
        <v>129</v>
      </c>
      <c r="C225">
        <f>VLOOKUP(B225,RECETAS!D224:$E$1700,2,FALSE)</f>
        <v>0</v>
      </c>
      <c r="D225" s="25" t="s">
        <v>370</v>
      </c>
      <c r="G225" t="b">
        <f t="shared" si="263"/>
        <v>1</v>
      </c>
    </row>
    <row r="226" spans="1:7" x14ac:dyDescent="0.25">
      <c r="A226" t="str">
        <f>B226&amp;"-"&amp;COUNTIF($B$2:B226,B226)</f>
        <v>I. LIMON PICA-7</v>
      </c>
      <c r="B226" s="35" t="s">
        <v>636</v>
      </c>
      <c r="C226">
        <f>VLOOKUP(B226,RECETAS!D225:$E$1700,2,FALSE)</f>
        <v>0</v>
      </c>
      <c r="D226" s="34"/>
      <c r="G226" t="b">
        <f t="shared" si="263"/>
        <v>1</v>
      </c>
    </row>
    <row r="227" spans="1:7" x14ac:dyDescent="0.25">
      <c r="A227" t="str">
        <f>B227&amp;"-"&amp;COUNTIF($B$2:B227,B227)</f>
        <v>I. AZUCAR FLOR-19</v>
      </c>
      <c r="B227" s="35" t="s">
        <v>51</v>
      </c>
      <c r="C227">
        <f>VLOOKUP(B227,RECETAS!D226:$E$1700,2,FALSE)</f>
        <v>0</v>
      </c>
      <c r="D227" s="34"/>
      <c r="G227" t="b">
        <f t="shared" si="263"/>
        <v>1</v>
      </c>
    </row>
    <row r="228" spans="1:7" ht="15.75" thickBot="1" x14ac:dyDescent="0.3">
      <c r="A228" t="str">
        <f>B228&amp;"-"&amp;COUNTIF($B$2:B228,B228)</f>
        <v>I. PULPA LIMON-12</v>
      </c>
      <c r="B228" s="33" t="s">
        <v>106</v>
      </c>
      <c r="C228">
        <f>VLOOKUP(B228,RECETAS!D227:$E$1700,2,FALSE)</f>
        <v>0</v>
      </c>
      <c r="D228" s="32"/>
      <c r="G228" t="b">
        <f t="shared" si="263"/>
        <v>1</v>
      </c>
    </row>
    <row r="229" spans="1:7" x14ac:dyDescent="0.25">
      <c r="A229" t="str">
        <f>B229&amp;"-"&amp;COUNTIF($B$2:B229,B229)</f>
        <v>I. VODKA BATALLA-2</v>
      </c>
      <c r="B229" s="26" t="s">
        <v>129</v>
      </c>
      <c r="C229">
        <f>VLOOKUP(B229,RECETAS!D228:$E$1700,2,FALSE)</f>
        <v>0</v>
      </c>
      <c r="D229" s="112" t="s">
        <v>652</v>
      </c>
      <c r="G229" t="b">
        <f t="shared" si="263"/>
        <v>1</v>
      </c>
    </row>
    <row r="230" spans="1:7" x14ac:dyDescent="0.25">
      <c r="A230" t="str">
        <f>B230&amp;"-"&amp;COUNTIF($B$2:B230,B230)</f>
        <v>I. LIMON PICA-8</v>
      </c>
      <c r="B230" s="35" t="s">
        <v>636</v>
      </c>
      <c r="C230">
        <f>VLOOKUP(B230,RECETAS!D229:$E$1700,2,FALSE)</f>
        <v>0</v>
      </c>
      <c r="D230" s="34"/>
      <c r="G230" t="b">
        <f t="shared" si="263"/>
        <v>1</v>
      </c>
    </row>
    <row r="231" spans="1:7" x14ac:dyDescent="0.25">
      <c r="A231" t="str">
        <f>B231&amp;"-"&amp;COUNTIF($B$2:B231,B231)</f>
        <v>I. AZUCAR FLOR-20</v>
      </c>
      <c r="B231" s="35" t="s">
        <v>51</v>
      </c>
      <c r="C231">
        <f>VLOOKUP(B231,RECETAS!D230:$E$1700,2,FALSE)</f>
        <v>0</v>
      </c>
      <c r="D231" s="34"/>
      <c r="G231" t="b">
        <f t="shared" si="263"/>
        <v>1</v>
      </c>
    </row>
    <row r="232" spans="1:7" x14ac:dyDescent="0.25">
      <c r="A232" t="str">
        <f>B232&amp;"-"&amp;COUNTIF($B$2:B232,B232)</f>
        <v>I. PULPA LIMON-13</v>
      </c>
      <c r="B232" s="35" t="s">
        <v>106</v>
      </c>
      <c r="C232">
        <f>VLOOKUP(B232,RECETAS!D231:$E$1700,2,FALSE)</f>
        <v>0</v>
      </c>
      <c r="D232" s="34"/>
      <c r="G232" t="b">
        <f t="shared" si="263"/>
        <v>1</v>
      </c>
    </row>
    <row r="233" spans="1:7" ht="15.75" thickBot="1" x14ac:dyDescent="0.3">
      <c r="A233" t="str">
        <f>B233&amp;"-"&amp;COUNTIF($B$2:B233,B233)</f>
        <v>I. PULPA FRUTILLA-4</v>
      </c>
      <c r="B233" s="33" t="s">
        <v>582</v>
      </c>
      <c r="C233">
        <f>VLOOKUP(B233,RECETAS!D232:$E$1700,2,FALSE)</f>
        <v>0</v>
      </c>
      <c r="D233" s="32"/>
      <c r="G233" t="b">
        <f t="shared" si="263"/>
        <v>1</v>
      </c>
    </row>
    <row r="234" spans="1:7" x14ac:dyDescent="0.25">
      <c r="A234" t="str">
        <f>B234&amp;"-"&amp;COUNTIF($B$2:B234,B234)</f>
        <v>I. VODKA BATALLA-3</v>
      </c>
      <c r="B234" s="26" t="s">
        <v>129</v>
      </c>
      <c r="C234">
        <f>VLOOKUP(B234,RECETAS!D233:$E$1700,2,FALSE)</f>
        <v>75</v>
      </c>
      <c r="D234" s="112" t="s">
        <v>608</v>
      </c>
      <c r="G234" t="b">
        <f t="shared" si="263"/>
        <v>1</v>
      </c>
    </row>
    <row r="235" spans="1:7" x14ac:dyDescent="0.25">
      <c r="A235" t="str">
        <f>B235&amp;"-"&amp;COUNTIF($B$2:B235,B235)</f>
        <v>I. LIMON PICA-9</v>
      </c>
      <c r="B235" s="35" t="s">
        <v>636</v>
      </c>
      <c r="C235">
        <f>VLOOKUP(B235,RECETAS!D234:$E$1700,2,FALSE)</f>
        <v>0.5</v>
      </c>
      <c r="D235" s="34"/>
      <c r="G235" t="b">
        <f t="shared" si="263"/>
        <v>1</v>
      </c>
    </row>
    <row r="236" spans="1:7" x14ac:dyDescent="0.25">
      <c r="A236" t="str">
        <f>B236&amp;"-"&amp;COUNTIF($B$2:B236,B236)</f>
        <v>I. AZUCAR FLOR-21</v>
      </c>
      <c r="B236" s="35" t="s">
        <v>51</v>
      </c>
      <c r="C236">
        <f>VLOOKUP(B236,RECETAS!D235:$E$1700,2,FALSE)</f>
        <v>20</v>
      </c>
      <c r="D236" s="34"/>
      <c r="G236" t="b">
        <f t="shared" si="263"/>
        <v>1</v>
      </c>
    </row>
    <row r="237" spans="1:7" x14ac:dyDescent="0.25">
      <c r="A237" t="str">
        <f>B237&amp;"-"&amp;COUNTIF($B$2:B237,B237)</f>
        <v>I. PULPA LIMON-14</v>
      </c>
      <c r="B237" s="35" t="s">
        <v>106</v>
      </c>
      <c r="C237">
        <f>VLOOKUP(B237,RECETAS!D236:$E$1700,2,FALSE)</f>
        <v>20</v>
      </c>
      <c r="D237" s="34"/>
      <c r="G237" t="b">
        <f t="shared" si="263"/>
        <v>1</v>
      </c>
    </row>
    <row r="238" spans="1:7" ht="15.75" thickBot="1" x14ac:dyDescent="0.3">
      <c r="A238" t="str">
        <f>B238&amp;"-"&amp;COUNTIF($B$2:B238,B238)</f>
        <v>I. PULPA FRAMBUESA-5</v>
      </c>
      <c r="B238" s="33" t="s">
        <v>105</v>
      </c>
      <c r="C238">
        <f>VLOOKUP(B238,RECETAS!D237:$E$1700,2,FALSE)</f>
        <v>20</v>
      </c>
      <c r="D238" s="32"/>
      <c r="G238" t="b">
        <f t="shared" si="263"/>
        <v>1</v>
      </c>
    </row>
    <row r="239" spans="1:7" x14ac:dyDescent="0.25">
      <c r="A239" t="str">
        <f>B239&amp;"-"&amp;COUNTIF($B$2:B239,B239)</f>
        <v>I. VODKA BATALLA-4</v>
      </c>
      <c r="B239" s="26" t="s">
        <v>129</v>
      </c>
      <c r="C239">
        <f>VLOOKUP(B239,RECETAS!D238:$E$1700,2,FALSE)</f>
        <v>0</v>
      </c>
      <c r="D239" s="25" t="s">
        <v>143</v>
      </c>
      <c r="G239" t="b">
        <f t="shared" si="263"/>
        <v>1</v>
      </c>
    </row>
    <row r="240" spans="1:7" x14ac:dyDescent="0.25">
      <c r="A240" t="str">
        <f>B240&amp;"-"&amp;COUNTIF($B$2:B240,B240)</f>
        <v>I. LIMON PICA-10</v>
      </c>
      <c r="B240" s="35" t="s">
        <v>636</v>
      </c>
      <c r="C240">
        <f>VLOOKUP(B240,RECETAS!D239:$E$1700,2,FALSE)</f>
        <v>0</v>
      </c>
      <c r="D240" s="34"/>
      <c r="G240" t="b">
        <f t="shared" si="263"/>
        <v>1</v>
      </c>
    </row>
    <row r="241" spans="1:7" x14ac:dyDescent="0.25">
      <c r="A241" t="str">
        <f>B241&amp;"-"&amp;COUNTIF($B$2:B241,B241)</f>
        <v>I. AZUCAR FLOR-22</v>
      </c>
      <c r="B241" s="35" t="s">
        <v>51</v>
      </c>
      <c r="C241">
        <f>VLOOKUP(B241,RECETAS!D240:$E$1700,2,FALSE)</f>
        <v>0</v>
      </c>
      <c r="D241" s="34"/>
      <c r="G241" t="b">
        <f t="shared" si="263"/>
        <v>1</v>
      </c>
    </row>
    <row r="242" spans="1:7" x14ac:dyDescent="0.25">
      <c r="A242" t="str">
        <f>B242&amp;"-"&amp;COUNTIF($B$2:B242,B242)</f>
        <v>I. PULPA LIMON-15</v>
      </c>
      <c r="B242" s="35" t="s">
        <v>106</v>
      </c>
      <c r="C242">
        <f>VLOOKUP(B242,RECETAS!D241:$E$1700,2,FALSE)</f>
        <v>0</v>
      </c>
      <c r="D242" s="34"/>
      <c r="G242" t="b">
        <f t="shared" si="263"/>
        <v>1</v>
      </c>
    </row>
    <row r="243" spans="1:7" ht="15.75" thickBot="1" x14ac:dyDescent="0.3">
      <c r="A243" t="str">
        <f>B243&amp;"-"&amp;COUNTIF($B$2:B243,B243)</f>
        <v>I. PULPA MANGO-4</v>
      </c>
      <c r="B243" s="28" t="s">
        <v>107</v>
      </c>
      <c r="C243">
        <f>VLOOKUP(B243,RECETAS!D242:$E$1700,2,FALSE)</f>
        <v>0</v>
      </c>
      <c r="D243" s="27"/>
      <c r="G243" t="b">
        <f t="shared" si="263"/>
        <v>1</v>
      </c>
    </row>
    <row r="244" spans="1:7" x14ac:dyDescent="0.25">
      <c r="A244" t="str">
        <f>B244&amp;"-"&amp;COUNTIF($B$2:B244,B244)</f>
        <v>I. RAMAZZOTTI-1</v>
      </c>
      <c r="B244" s="26" t="s">
        <v>109</v>
      </c>
      <c r="C244">
        <f>VLOOKUP(B244,RECETAS!D243:$E$1700,2,FALSE)</f>
        <v>2850</v>
      </c>
      <c r="D244" s="25" t="s">
        <v>371</v>
      </c>
      <c r="G244" t="b">
        <f t="shared" si="263"/>
        <v>1</v>
      </c>
    </row>
    <row r="245" spans="1:7" ht="15.75" thickBot="1" x14ac:dyDescent="0.3">
      <c r="A245" t="str">
        <f>B245&amp;"-"&amp;COUNTIF($B$2:B245,B245)</f>
        <v>I. CHAMP BRUT 750-3</v>
      </c>
      <c r="B245" s="33" t="s">
        <v>59</v>
      </c>
      <c r="C245">
        <f>VLOOKUP(B245,RECETAS!D244:$E$1700,2,FALSE)</f>
        <v>5700</v>
      </c>
      <c r="D245" s="32"/>
      <c r="G245" t="b">
        <f t="shared" si="263"/>
        <v>1</v>
      </c>
    </row>
    <row r="246" spans="1:7" x14ac:dyDescent="0.25">
      <c r="A246" t="str">
        <f>B246&amp;"-"&amp;COUNTIF($B$2:B246,B246)</f>
        <v>I. APEROL-1</v>
      </c>
      <c r="B246" s="26" t="s">
        <v>49</v>
      </c>
      <c r="C246">
        <f>VLOOKUP(B246,RECETAS!D245:$E$1700,2,FALSE)</f>
        <v>1350</v>
      </c>
      <c r="D246" s="25" t="s">
        <v>208</v>
      </c>
      <c r="G246" t="b">
        <f t="shared" si="263"/>
        <v>1</v>
      </c>
    </row>
    <row r="247" spans="1:7" ht="15.75" thickBot="1" x14ac:dyDescent="0.3">
      <c r="A247" t="str">
        <f>B247&amp;"-"&amp;COUNTIF($B$2:B247,B247)</f>
        <v>I. CHAMP BRUT 750-4</v>
      </c>
      <c r="B247" s="33" t="s">
        <v>59</v>
      </c>
      <c r="C247">
        <f>VLOOKUP(B247,RECETAS!D246:$E$1700,2,FALSE)</f>
        <v>2700</v>
      </c>
      <c r="D247" s="32"/>
      <c r="G247" t="b">
        <f t="shared" si="263"/>
        <v>1</v>
      </c>
    </row>
    <row r="248" spans="1:7" ht="15.75" thickBot="1" x14ac:dyDescent="0.3">
      <c r="A248" t="str">
        <f>B248&amp;"-"&amp;COUNTIF($B$2:B248,B248)</f>
        <v>I. JACK DANIELS-1</v>
      </c>
      <c r="B248" s="20" t="s">
        <v>83</v>
      </c>
      <c r="C248">
        <f>VLOOKUP(B248,RECETAS!D247:$E$1700,2,FALSE)</f>
        <v>450</v>
      </c>
      <c r="D248" s="18" t="s">
        <v>372</v>
      </c>
      <c r="G248" t="b">
        <f t="shared" si="263"/>
        <v>1</v>
      </c>
    </row>
    <row r="249" spans="1:7" ht="15.75" thickBot="1" x14ac:dyDescent="0.3">
      <c r="A249" t="str">
        <f>B249&amp;"-"&amp;COUNTIF($B$2:B249,B249)</f>
        <v>I. JACK HONEY-1</v>
      </c>
      <c r="B249" s="20" t="s">
        <v>85</v>
      </c>
      <c r="C249">
        <f>VLOOKUP(B249,RECETAS!D248:$E$1700,2,FALSE)</f>
        <v>300</v>
      </c>
      <c r="D249" s="18" t="s">
        <v>373</v>
      </c>
      <c r="G249" t="b">
        <f t="shared" si="263"/>
        <v>1</v>
      </c>
    </row>
    <row r="250" spans="1:7" ht="15.75" thickBot="1" x14ac:dyDescent="0.3">
      <c r="A250" t="str">
        <f>B250&amp;"-"&amp;COUNTIF($B$2:B250,B250)</f>
        <v>I. JACK FIRE-1</v>
      </c>
      <c r="B250" s="20" t="s">
        <v>84</v>
      </c>
      <c r="C250">
        <f>VLOOKUP(B250,RECETAS!D249:$E$1700,2,FALSE)</f>
        <v>0</v>
      </c>
      <c r="D250" s="112" t="s">
        <v>622</v>
      </c>
      <c r="G250" t="b">
        <f t="shared" si="263"/>
        <v>1</v>
      </c>
    </row>
    <row r="251" spans="1:7" ht="15.75" thickBot="1" x14ac:dyDescent="0.3">
      <c r="A251" t="str">
        <f>B251&amp;"-"&amp;COUNTIF($B$2:B251,B251)</f>
        <v>I. VAT 69 -1</v>
      </c>
      <c r="B251" s="47" t="s">
        <v>279</v>
      </c>
      <c r="C251">
        <f>VLOOKUP(B251,RECETAS!D250:$E$1700,2,FALSE)</f>
        <v>0</v>
      </c>
      <c r="D251" s="18" t="s">
        <v>374</v>
      </c>
      <c r="G251" t="b">
        <f t="shared" si="263"/>
        <v>1</v>
      </c>
    </row>
    <row r="252" spans="1:7" ht="15.75" thickBot="1" x14ac:dyDescent="0.3">
      <c r="A252" t="str">
        <f>B252&amp;"-"&amp;COUNTIF($B$2:B252,B252)</f>
        <v>I. JOHNNIE ROJO-1</v>
      </c>
      <c r="B252" s="48" t="s">
        <v>88</v>
      </c>
      <c r="C252">
        <f>VLOOKUP(B252,RECETAS!D251:$E$1700,2,FALSE)</f>
        <v>75</v>
      </c>
      <c r="D252" s="112" t="s">
        <v>625</v>
      </c>
      <c r="G252" t="b">
        <f t="shared" si="263"/>
        <v>1</v>
      </c>
    </row>
    <row r="253" spans="1:7" ht="15.75" thickBot="1" x14ac:dyDescent="0.3">
      <c r="A253" t="str">
        <f>B253&amp;"-"&amp;COUNTIF($B$2:B253,B253)</f>
        <v>I. JOHNNIE NEGRO-1</v>
      </c>
      <c r="B253" s="48" t="s">
        <v>87</v>
      </c>
      <c r="C253">
        <f>VLOOKUP(B253,RECETAS!D252:$E$1700,2,FALSE)</f>
        <v>375</v>
      </c>
      <c r="D253" s="112" t="s">
        <v>624</v>
      </c>
      <c r="G253" t="b">
        <f t="shared" si="263"/>
        <v>1</v>
      </c>
    </row>
    <row r="254" spans="1:7" ht="15.75" thickBot="1" x14ac:dyDescent="0.3">
      <c r="A254" t="str">
        <f>B254&amp;"-"&amp;COUNTIF($B$2:B254,B254)</f>
        <v>I. THE SINGLETON 12-1</v>
      </c>
      <c r="B254" s="47" t="s">
        <v>278</v>
      </c>
      <c r="C254">
        <f>VLOOKUP(B254,RECETAS!D253:$E$1700,2,FALSE)</f>
        <v>75</v>
      </c>
      <c r="D254" s="112" t="s">
        <v>653</v>
      </c>
      <c r="G254" t="b">
        <f t="shared" si="263"/>
        <v>1</v>
      </c>
    </row>
    <row r="255" spans="1:7" ht="15.75" thickBot="1" x14ac:dyDescent="0.3">
      <c r="A255" t="str">
        <f>B255&amp;"-"&amp;COUNTIF($B$2:B255,B255)</f>
        <v>I. SMIRNOFF-1</v>
      </c>
      <c r="B255" s="47" t="s">
        <v>274</v>
      </c>
      <c r="C255">
        <f>VLOOKUP(B255,RECETAS!D254:$E$1700,2,FALSE)</f>
        <v>0</v>
      </c>
      <c r="D255" s="18" t="s">
        <v>375</v>
      </c>
      <c r="G255" t="b">
        <f t="shared" si="263"/>
        <v>1</v>
      </c>
    </row>
    <row r="256" spans="1:7" ht="15.75" thickBot="1" x14ac:dyDescent="0.3">
      <c r="A256" t="str">
        <f>B256&amp;"-"&amp;COUNTIF($B$2:B256,B256)</f>
        <v>I. STOLICHNAYA 750CC-1</v>
      </c>
      <c r="B256" s="20" t="s">
        <v>122</v>
      </c>
      <c r="C256">
        <f>VLOOKUP(B256,RECETAS!D255:$E$1700,2,FALSE)</f>
        <v>225</v>
      </c>
      <c r="D256" s="18" t="s">
        <v>567</v>
      </c>
      <c r="G256" t="b">
        <f t="shared" si="263"/>
        <v>1</v>
      </c>
    </row>
    <row r="257" spans="1:7" ht="15.75" thickBot="1" x14ac:dyDescent="0.3">
      <c r="A257" t="str">
        <f>B257&amp;"-"&amp;COUNTIF($B$2:B257,B257)</f>
        <v>I. ABSOLUT AZUL-1</v>
      </c>
      <c r="B257" s="48" t="s">
        <v>43</v>
      </c>
      <c r="C257">
        <f>VLOOKUP(B257,RECETAS!D256:$E$1700,2,FALSE)</f>
        <v>75</v>
      </c>
      <c r="D257" s="18" t="s">
        <v>376</v>
      </c>
      <c r="G257" t="b">
        <f t="shared" si="263"/>
        <v>1</v>
      </c>
    </row>
    <row r="258" spans="1:7" ht="15.75" thickBot="1" x14ac:dyDescent="0.3">
      <c r="A258" t="str">
        <f>B258&amp;"-"&amp;COUNTIF($B$2:B258,B258)</f>
        <v>I. ABSOLUT RASPERRI-1</v>
      </c>
      <c r="B258" s="47" t="s">
        <v>45</v>
      </c>
      <c r="C258">
        <f>VLOOKUP(B258,RECETAS!D257:$E$1700,2,FALSE)</f>
        <v>0</v>
      </c>
      <c r="D258" s="18" t="s">
        <v>377</v>
      </c>
      <c r="G258" t="b">
        <f t="shared" si="263"/>
        <v>1</v>
      </c>
    </row>
    <row r="259" spans="1:7" ht="15.75" thickBot="1" x14ac:dyDescent="0.3">
      <c r="A259" t="str">
        <f>B259&amp;"-"&amp;COUNTIF($B$2:B259,B259)</f>
        <v>I. ABSOLUT VAINILLA-1</v>
      </c>
      <c r="B259" s="47" t="s">
        <v>46</v>
      </c>
      <c r="C259">
        <f>VLOOKUP(B259,RECETAS!D258:$E$1700,2,FALSE)</f>
        <v>0</v>
      </c>
      <c r="D259" s="18" t="s">
        <v>378</v>
      </c>
      <c r="G259" t="b">
        <f t="shared" ref="G259:G322" si="264">IFERROR(IF(MATCH(B259,I:I,0) &lt;&gt; "", TRUE,""),FALSE)</f>
        <v>1</v>
      </c>
    </row>
    <row r="260" spans="1:7" ht="15.75" thickBot="1" x14ac:dyDescent="0.3">
      <c r="A260" t="str">
        <f>B260&amp;"-"&amp;COUNTIF($B$2:B260,B260)</f>
        <v>I. ABSOLUT MANGO-1</v>
      </c>
      <c r="B260" s="47" t="s">
        <v>44</v>
      </c>
      <c r="C260">
        <f>VLOOKUP(B260,RECETAS!D259:$E$1700,2,FALSE)</f>
        <v>0</v>
      </c>
      <c r="D260" s="18" t="s">
        <v>379</v>
      </c>
      <c r="G260" t="b">
        <f t="shared" si="264"/>
        <v>1</v>
      </c>
    </row>
    <row r="261" spans="1:7" ht="15.75" thickBot="1" x14ac:dyDescent="0.3">
      <c r="A261" t="str">
        <f>B261&amp;"-"&amp;COUNTIF($B$2:B261,B261)</f>
        <v>I. JAGERMEISTER-1</v>
      </c>
      <c r="B261" s="20" t="s">
        <v>86</v>
      </c>
      <c r="C261">
        <f>VLOOKUP(B261,RECETAS!D260:$E$1700,2,FALSE)</f>
        <v>225</v>
      </c>
      <c r="D261" s="112" t="s">
        <v>623</v>
      </c>
      <c r="G261" t="b">
        <f t="shared" si="264"/>
        <v>1</v>
      </c>
    </row>
    <row r="262" spans="1:7" ht="15.75" thickBot="1" x14ac:dyDescent="0.3">
      <c r="A262" t="str">
        <f>B262&amp;"-"&amp;COUNTIF($B$2:B262,B262)</f>
        <v>I. JAGERMEISTER-2</v>
      </c>
      <c r="B262" s="54" t="s">
        <v>86</v>
      </c>
      <c r="C262">
        <f>VLOOKUP(B262,RECETAS!D261:$E$1700,2,FALSE)</f>
        <v>300</v>
      </c>
      <c r="D262" s="53" t="s">
        <v>222</v>
      </c>
      <c r="G262" t="b">
        <f t="shared" si="264"/>
        <v>1</v>
      </c>
    </row>
    <row r="263" spans="1:7" ht="15.75" thickBot="1" x14ac:dyDescent="0.3">
      <c r="A263" t="str">
        <f>B263&amp;"-"&amp;COUNTIF($B$2:B263,B263)</f>
        <v>I. JAGERMEISTER-3</v>
      </c>
      <c r="B263" s="23" t="s">
        <v>86</v>
      </c>
      <c r="C263">
        <f>VLOOKUP(B263,RECETAS!D262:$E$1700,2,FALSE)</f>
        <v>0</v>
      </c>
      <c r="D263" s="22" t="s">
        <v>380</v>
      </c>
      <c r="G263" t="b">
        <f t="shared" si="264"/>
        <v>1</v>
      </c>
    </row>
    <row r="264" spans="1:7" x14ac:dyDescent="0.25">
      <c r="A264" t="str">
        <f>B264&amp;"-"&amp;COUNTIF($B$2:B264,B264)</f>
        <v>I. MENTA-2</v>
      </c>
      <c r="B264" s="46" t="s">
        <v>637</v>
      </c>
      <c r="C264">
        <f>VLOOKUP(B264,RECETAS!D263:$E$1700,2,FALSE)</f>
        <v>0</v>
      </c>
      <c r="D264" s="15" t="s">
        <v>733</v>
      </c>
      <c r="G264" t="b">
        <f t="shared" si="264"/>
        <v>1</v>
      </c>
    </row>
    <row r="265" spans="1:7" x14ac:dyDescent="0.25">
      <c r="A265" t="str">
        <f>B265&amp;"-"&amp;COUNTIF($B$2:B265,B265)</f>
        <v>I. LIMON PICA-11</v>
      </c>
      <c r="B265" s="36" t="s">
        <v>636</v>
      </c>
      <c r="C265">
        <f>VLOOKUP(B265,RECETAS!D264:$E$1700,2,FALSE)</f>
        <v>0</v>
      </c>
      <c r="D265" s="34"/>
      <c r="G265" t="b">
        <f t="shared" si="264"/>
        <v>1</v>
      </c>
    </row>
    <row r="266" spans="1:7" x14ac:dyDescent="0.25">
      <c r="A266" t="str">
        <f>B266&amp;"-"&amp;COUNTIF($B$2:B266,B266)</f>
        <v>I. MINERAL1.6LT  C/G-1</v>
      </c>
      <c r="B266" s="36" t="s">
        <v>97</v>
      </c>
      <c r="C266">
        <f>VLOOKUP(B266,RECETAS!D265:$E$1700,2,FALSE)</f>
        <v>0</v>
      </c>
      <c r="D266" s="34"/>
      <c r="G266" t="b">
        <f t="shared" si="264"/>
        <v>1</v>
      </c>
    </row>
    <row r="267" spans="1:7" x14ac:dyDescent="0.25">
      <c r="A267" t="str">
        <f>B267&amp;"-"&amp;COUNTIF($B$2:B267,B267)</f>
        <v>I. AZUCAR FLOR-23</v>
      </c>
      <c r="B267" s="36" t="s">
        <v>51</v>
      </c>
      <c r="C267">
        <f>VLOOKUP(B267,RECETAS!D266:$E$1700,2,FALSE)</f>
        <v>0</v>
      </c>
      <c r="D267" s="34"/>
      <c r="G267" t="b">
        <f t="shared" si="264"/>
        <v>1</v>
      </c>
    </row>
    <row r="268" spans="1:7" x14ac:dyDescent="0.25">
      <c r="A268" t="str">
        <f>B268&amp;"-"&amp;COUNTIF($B$2:B268,B268)</f>
        <v>I. PULPA LIMON-16</v>
      </c>
      <c r="B268" s="36" t="s">
        <v>106</v>
      </c>
      <c r="C268">
        <f>VLOOKUP(B268,RECETAS!D267:$E$1700,2,FALSE)</f>
        <v>0</v>
      </c>
      <c r="D268" s="34"/>
      <c r="G268" t="b">
        <f t="shared" si="264"/>
        <v>1</v>
      </c>
    </row>
    <row r="269" spans="1:7" ht="15.75" thickBot="1" x14ac:dyDescent="0.3">
      <c r="A269" t="str">
        <f>B269&amp;"-"&amp;COUNTIF($B$2:B269,B269)</f>
        <v>I. JAGERMEISTER-4</v>
      </c>
      <c r="B269" s="29" t="s">
        <v>86</v>
      </c>
      <c r="C269">
        <f>VLOOKUP(B269,RECETAS!D268:$E$1700,2,FALSE)</f>
        <v>0</v>
      </c>
      <c r="D269" s="27"/>
      <c r="G269" t="b">
        <f t="shared" si="264"/>
        <v>1</v>
      </c>
    </row>
    <row r="270" spans="1:7" ht="15.75" thickBot="1" x14ac:dyDescent="0.3">
      <c r="A270" t="str">
        <f>B270&amp;"-"&amp;COUNTIF($B$2:B270,B270)</f>
        <v>I. PAMPERO SELECCION-1</v>
      </c>
      <c r="B270" s="47" t="s">
        <v>273</v>
      </c>
      <c r="C270">
        <f>VLOOKUP(B270,RECETAS!D269:$E$1700,2,FALSE)</f>
        <v>75</v>
      </c>
      <c r="D270" s="18" t="s">
        <v>381</v>
      </c>
      <c r="G270" t="b">
        <f t="shared" si="264"/>
        <v>1</v>
      </c>
    </row>
    <row r="271" spans="1:7" ht="15.75" thickBot="1" x14ac:dyDescent="0.3">
      <c r="A271" t="str">
        <f>B271&amp;"-"&amp;COUNTIF($B$2:B271,B271)</f>
        <v>I. PAMPERO ANIVERSARIO-1</v>
      </c>
      <c r="B271" s="47" t="s">
        <v>272</v>
      </c>
      <c r="C271">
        <f>VLOOKUP(B271,RECETAS!D270:$E$1700,2,FALSE)</f>
        <v>75</v>
      </c>
      <c r="D271" s="18" t="s">
        <v>382</v>
      </c>
      <c r="G271" t="b">
        <f t="shared" si="264"/>
        <v>1</v>
      </c>
    </row>
    <row r="272" spans="1:7" ht="15.75" thickBot="1" x14ac:dyDescent="0.3">
      <c r="A272" t="str">
        <f>B272&amp;"-"&amp;COUNTIF($B$2:B272,B272)</f>
        <v>I. ZACAPAR-1</v>
      </c>
      <c r="B272" s="47" t="s">
        <v>280</v>
      </c>
      <c r="C272">
        <f>VLOOKUP(B272,RECETAS!D271:$E$1700,2,FALSE)</f>
        <v>0</v>
      </c>
      <c r="D272" s="18" t="s">
        <v>288</v>
      </c>
      <c r="G272" t="b">
        <f t="shared" si="264"/>
        <v>1</v>
      </c>
    </row>
    <row r="273" spans="1:7" ht="15.75" thickBot="1" x14ac:dyDescent="0.3">
      <c r="A273" t="str">
        <f>B273&amp;"-"&amp;COUNTIF($B$2:B273,B273)</f>
        <v>I. ALTO 35-2</v>
      </c>
      <c r="B273" s="47" t="s">
        <v>47</v>
      </c>
      <c r="C273">
        <f>VLOOKUP(B273,RECETAS!D272:$E$1700,2,FALSE)</f>
        <v>1800</v>
      </c>
      <c r="D273" s="18" t="s">
        <v>315</v>
      </c>
      <c r="G273" t="b">
        <f t="shared" si="264"/>
        <v>1</v>
      </c>
    </row>
    <row r="274" spans="1:7" ht="15.75" thickBot="1" x14ac:dyDescent="0.3">
      <c r="A274" t="str">
        <f>B274&amp;"-"&amp;COUNTIF($B$2:B274,B274)</f>
        <v>I. ALTO 40-1</v>
      </c>
      <c r="B274" s="47" t="s">
        <v>48</v>
      </c>
      <c r="C274">
        <f>VLOOKUP(B274,RECETAS!D273:$E$1700,2,FALSE)</f>
        <v>75</v>
      </c>
      <c r="D274" s="18" t="s">
        <v>534</v>
      </c>
      <c r="G274" t="b">
        <f t="shared" si="264"/>
        <v>1</v>
      </c>
    </row>
    <row r="275" spans="1:7" ht="15.75" thickBot="1" x14ac:dyDescent="0.3">
      <c r="A275" t="str">
        <f>B275&amp;"-"&amp;COUNTIF($B$2:B275,B275)</f>
        <v>I. ALTO TRANSPARENTE 40-1</v>
      </c>
      <c r="B275" s="60" t="s">
        <v>287</v>
      </c>
      <c r="C275">
        <f>VLOOKUP(B275,RECETAS!D274:$E$1700,2,FALSE)</f>
        <v>525</v>
      </c>
      <c r="D275" s="18" t="s">
        <v>314</v>
      </c>
      <c r="G275" t="b">
        <f t="shared" si="264"/>
        <v>1</v>
      </c>
    </row>
    <row r="276" spans="1:7" ht="15.75" thickBot="1" x14ac:dyDescent="0.3">
      <c r="A276" t="str">
        <f>B276&amp;"-"&amp;COUNTIF($B$2:B276,B276)</f>
        <v>I. ALTO 40-2</v>
      </c>
      <c r="B276" s="61" t="s">
        <v>48</v>
      </c>
      <c r="C276">
        <f>VLOOKUP(B276,RECETAS!D275:$E$1700,2,FALSE)</f>
        <v>0</v>
      </c>
      <c r="D276" s="112" t="s">
        <v>605</v>
      </c>
      <c r="G276" t="b">
        <f t="shared" si="264"/>
        <v>1</v>
      </c>
    </row>
    <row r="277" spans="1:7" ht="15.75" thickBot="1" x14ac:dyDescent="0.3">
      <c r="A277" t="str">
        <f>B277&amp;"-"&amp;COUNTIF($B$2:B277,B277)</f>
        <v>I. BRUJAS 35-3</v>
      </c>
      <c r="B277" s="61" t="s">
        <v>270</v>
      </c>
      <c r="C277">
        <f>VLOOKUP(B277,RECETAS!D276:$E$1700,2,FALSE)</f>
        <v>0</v>
      </c>
      <c r="D277" s="18" t="s">
        <v>535</v>
      </c>
      <c r="G277" t="b">
        <f t="shared" si="264"/>
        <v>1</v>
      </c>
    </row>
    <row r="278" spans="1:7" ht="15.75" thickBot="1" x14ac:dyDescent="0.3">
      <c r="A278" t="str">
        <f>B278&amp;"-"&amp;COUNTIF($B$2:B278,B278)</f>
        <v>I. BRUJAS 40-1</v>
      </c>
      <c r="B278" s="47" t="s">
        <v>271</v>
      </c>
      <c r="C278">
        <f>VLOOKUP(B278,RECETAS!D277:$E$1700,2,FALSE)</f>
        <v>75</v>
      </c>
      <c r="D278" s="18" t="s">
        <v>536</v>
      </c>
      <c r="G278" t="b">
        <f t="shared" si="264"/>
        <v>1</v>
      </c>
    </row>
    <row r="279" spans="1:7" ht="15.75" thickBot="1" x14ac:dyDescent="0.3">
      <c r="A279" t="str">
        <f>B279&amp;"-"&amp;COUNTIF($B$2:B279,B279)</f>
        <v>I. MISTRAL DE 35-2</v>
      </c>
      <c r="B279" s="47" t="s">
        <v>98</v>
      </c>
      <c r="C279">
        <f>VLOOKUP(B279,RECETAS!D278:$E$1700,2,FALSE)</f>
        <v>300</v>
      </c>
      <c r="D279" s="18" t="s">
        <v>558</v>
      </c>
      <c r="G279" t="b">
        <f t="shared" si="264"/>
        <v>1</v>
      </c>
    </row>
    <row r="280" spans="1:7" ht="15.75" thickBot="1" x14ac:dyDescent="0.3">
      <c r="A280" t="str">
        <f>B280&amp;"-"&amp;COUNTIF($B$2:B280,B280)</f>
        <v>I. MISTRAL NOBEL-1</v>
      </c>
      <c r="B280" s="20" t="s">
        <v>99</v>
      </c>
      <c r="C280">
        <f>VLOOKUP(B280,RECETAS!D279:$E$1700,2,FALSE)</f>
        <v>600</v>
      </c>
      <c r="D280" s="18" t="s">
        <v>559</v>
      </c>
      <c r="G280" t="b">
        <f t="shared" si="264"/>
        <v>1</v>
      </c>
    </row>
    <row r="281" spans="1:7" ht="15.75" thickBot="1" x14ac:dyDescent="0.3">
      <c r="A281" t="str">
        <f>B281&amp;"-"&amp;COUNTIF($B$2:B281,B281)</f>
        <v>I. TANQUERAY LONDON-1</v>
      </c>
      <c r="B281" s="47" t="s">
        <v>275</v>
      </c>
      <c r="C281">
        <f>VLOOKUP(B281,RECETAS!D280:$E$1700,2,FALSE)</f>
        <v>750</v>
      </c>
      <c r="D281" s="18" t="s">
        <v>383</v>
      </c>
      <c r="G281" t="b">
        <f t="shared" si="264"/>
        <v>1</v>
      </c>
    </row>
    <row r="282" spans="1:7" ht="15.75" thickBot="1" x14ac:dyDescent="0.3">
      <c r="A282" t="str">
        <f>B282&amp;"-"&amp;COUNTIF($B$2:B282,B282)</f>
        <v>I. TANQUERAY SEVILLA-1</v>
      </c>
      <c r="B282" s="47" t="s">
        <v>276</v>
      </c>
      <c r="C282">
        <f>VLOOKUP(B282,RECETAS!D281:$E$1700,2,FALSE)</f>
        <v>75</v>
      </c>
      <c r="D282" s="18" t="s">
        <v>384</v>
      </c>
      <c r="G282" t="b">
        <f t="shared" si="264"/>
        <v>1</v>
      </c>
    </row>
    <row r="283" spans="1:7" ht="15.75" thickBot="1" x14ac:dyDescent="0.3">
      <c r="A283" t="str">
        <f>B283&amp;"-"&amp;COUNTIF($B$2:B283,B283)</f>
        <v>I. TANQUERAY TEN-1</v>
      </c>
      <c r="B283" s="47" t="s">
        <v>277</v>
      </c>
      <c r="C283">
        <f>VLOOKUP(B283,RECETAS!D282:$E$1700,2,FALSE)</f>
        <v>0</v>
      </c>
      <c r="D283" s="18" t="s">
        <v>385</v>
      </c>
      <c r="G283" t="b">
        <f t="shared" si="264"/>
        <v>1</v>
      </c>
    </row>
    <row r="284" spans="1:7" ht="15.75" thickBot="1" x14ac:dyDescent="0.3">
      <c r="A284" t="str">
        <f>B284&amp;"-"&amp;COUNTIF($B$2:B284,B284)</f>
        <v>I. GIN HENDRICKS-1</v>
      </c>
      <c r="B284" s="47" t="s">
        <v>76</v>
      </c>
      <c r="C284">
        <f>VLOOKUP(B284,RECETAS!D283:$E$1700,2,FALSE)</f>
        <v>450</v>
      </c>
      <c r="D284" s="18" t="s">
        <v>386</v>
      </c>
      <c r="G284" t="b">
        <f t="shared" si="264"/>
        <v>1</v>
      </c>
    </row>
    <row r="285" spans="1:7" ht="15.75" thickBot="1" x14ac:dyDescent="0.3">
      <c r="A285" t="str">
        <f>B285&amp;"-"&amp;COUNTIF($B$2:B285,B285)</f>
        <v>I. BEEFEATER-1</v>
      </c>
      <c r="B285" s="42" t="s">
        <v>54</v>
      </c>
      <c r="C285">
        <f>VLOOKUP(B285,RECETAS!D284:$E$1700,2,FALSE)</f>
        <v>75</v>
      </c>
      <c r="D285" s="22" t="s">
        <v>387</v>
      </c>
      <c r="G285" t="b">
        <f t="shared" si="264"/>
        <v>1</v>
      </c>
    </row>
    <row r="286" spans="1:7" ht="15.75" thickBot="1" x14ac:dyDescent="0.3">
      <c r="A286" t="str">
        <f>B286&amp;"-"&amp;COUNTIF($B$2:B286,B286)</f>
        <v>I. BEEFEATER-2</v>
      </c>
      <c r="B286" s="37" t="s">
        <v>54</v>
      </c>
      <c r="C286">
        <f>VLOOKUP(B286,RECETAS!D285:$E$1700,2,FALSE)</f>
        <v>3750</v>
      </c>
      <c r="D286" s="25" t="s">
        <v>388</v>
      </c>
      <c r="G286" t="b">
        <f t="shared" si="264"/>
        <v>1</v>
      </c>
    </row>
    <row r="287" spans="1:7" ht="15.75" thickBot="1" x14ac:dyDescent="0.3">
      <c r="A287" t="str">
        <f>B287&amp;"-"&amp;COUNTIF($B$2:B287,B287)</f>
        <v>I. FERNET BRANCA-1</v>
      </c>
      <c r="B287" s="64" t="s">
        <v>72</v>
      </c>
      <c r="C287">
        <f>VLOOKUP(B287,RECETAS!D286:$E$1700,2,FALSE)</f>
        <v>150</v>
      </c>
      <c r="D287" s="18" t="s">
        <v>389</v>
      </c>
      <c r="G287" t="b">
        <f t="shared" si="264"/>
        <v>1</v>
      </c>
    </row>
    <row r="288" spans="1:7" ht="15.75" thickBot="1" x14ac:dyDescent="0.3">
      <c r="A288" t="str">
        <f>B288&amp;"-"&amp;COUNTIF($B$2:B288,B288)</f>
        <v>I. BAILEYS-1</v>
      </c>
      <c r="B288" s="42" t="s">
        <v>269</v>
      </c>
      <c r="C288">
        <f>VLOOKUP(B288,RECETAS!D287:$E$1700,2,FALSE)</f>
        <v>0</v>
      </c>
      <c r="D288" s="22" t="s">
        <v>390</v>
      </c>
      <c r="G288" t="b">
        <f t="shared" si="264"/>
        <v>1</v>
      </c>
    </row>
    <row r="289" spans="1:7" x14ac:dyDescent="0.25">
      <c r="A289" t="str">
        <f>B289&amp;"-"&amp;COUNTIF($B$2:B289,B289)</f>
        <v>I. RON BLANCO BATALLA-1</v>
      </c>
      <c r="B289" s="26" t="s">
        <v>116</v>
      </c>
      <c r="C289">
        <f>VLOOKUP(B289,RECETAS!D288:$E$1700,2,FALSE)</f>
        <v>75</v>
      </c>
      <c r="D289" s="112" t="s">
        <v>654</v>
      </c>
      <c r="G289" t="b">
        <f t="shared" si="264"/>
        <v>1</v>
      </c>
    </row>
    <row r="290" spans="1:7" x14ac:dyDescent="0.25">
      <c r="A290" t="str">
        <f>B290&amp;"-"&amp;COUNTIF($B$2:B290,B290)</f>
        <v>I. PULPA LIMON-17</v>
      </c>
      <c r="B290" s="35" t="s">
        <v>106</v>
      </c>
      <c r="C290">
        <f>VLOOKUP(B290,RECETAS!D289:$E$1700,2,FALSE)</f>
        <v>60</v>
      </c>
      <c r="D290" s="34"/>
      <c r="G290" t="b">
        <f t="shared" si="264"/>
        <v>1</v>
      </c>
    </row>
    <row r="291" spans="1:7" ht="15.75" thickBot="1" x14ac:dyDescent="0.3">
      <c r="A291" t="str">
        <f>B291&amp;"-"&amp;COUNTIF($B$2:B291,B291)</f>
        <v>I. AZUCAR FLOR-24</v>
      </c>
      <c r="B291" s="33" t="s">
        <v>51</v>
      </c>
      <c r="C291">
        <f>VLOOKUP(B291,RECETAS!D290:$E$1700,2,FALSE)</f>
        <v>10</v>
      </c>
      <c r="D291" s="32"/>
      <c r="G291" t="b">
        <f t="shared" si="264"/>
        <v>1</v>
      </c>
    </row>
    <row r="292" spans="1:7" x14ac:dyDescent="0.25">
      <c r="A292" t="str">
        <f>B292&amp;"-"&amp;COUNTIF($B$2:B292,B292)</f>
        <v>I. RON BLANCO BATALLA-2</v>
      </c>
      <c r="B292" s="26" t="s">
        <v>116</v>
      </c>
      <c r="C292">
        <f>VLOOKUP(B292,RECETAS!D291:$E$1700,2,FALSE)</f>
        <v>1425</v>
      </c>
      <c r="D292" s="25" t="s">
        <v>391</v>
      </c>
      <c r="G292" t="b">
        <f t="shared" si="264"/>
        <v>1</v>
      </c>
    </row>
    <row r="293" spans="1:7" x14ac:dyDescent="0.25">
      <c r="A293" t="str">
        <f>B293&amp;"-"&amp;COUNTIF($B$2:B293,B293)</f>
        <v>I. PULPA LIMON-18</v>
      </c>
      <c r="B293" s="35" t="s">
        <v>106</v>
      </c>
      <c r="C293">
        <f>VLOOKUP(B293,RECETAS!D292:$E$1700,2,FALSE)</f>
        <v>380</v>
      </c>
      <c r="D293" s="34"/>
      <c r="G293" t="b">
        <f t="shared" si="264"/>
        <v>1</v>
      </c>
    </row>
    <row r="294" spans="1:7" x14ac:dyDescent="0.25">
      <c r="A294" t="str">
        <f>B294&amp;"-"&amp;COUNTIF($B$2:B294,B294)</f>
        <v>I. AZUCAR FLOR-25</v>
      </c>
      <c r="B294" s="35" t="s">
        <v>51</v>
      </c>
      <c r="C294">
        <f>VLOOKUP(B294,RECETAS!D293:$E$1700,2,FALSE)</f>
        <v>760</v>
      </c>
      <c r="D294" s="34"/>
      <c r="G294" t="b">
        <f t="shared" si="264"/>
        <v>1</v>
      </c>
    </row>
    <row r="295" spans="1:7" x14ac:dyDescent="0.25">
      <c r="A295" t="str">
        <f>B295&amp;"-"&amp;COUNTIF($B$2:B295,B295)</f>
        <v>I. TRIPLE SEC-6</v>
      </c>
      <c r="B295" s="35" t="s">
        <v>128</v>
      </c>
      <c r="C295">
        <f>VLOOKUP(B295,RECETAS!D294:$E$1700,2,FALSE)</f>
        <v>190</v>
      </c>
      <c r="D295" s="34"/>
      <c r="G295" t="b">
        <f t="shared" si="264"/>
        <v>1</v>
      </c>
    </row>
    <row r="296" spans="1:7" ht="15.75" thickBot="1" x14ac:dyDescent="0.3">
      <c r="A296" t="str">
        <f>B296&amp;"-"&amp;COUNTIF($B$2:B296,B296)</f>
        <v>I. PULPA FRAMBUESA-6</v>
      </c>
      <c r="B296" s="33" t="s">
        <v>105</v>
      </c>
      <c r="C296">
        <f>VLOOKUP(B296,RECETAS!D295:$E$1700,2,FALSE)</f>
        <v>2850</v>
      </c>
      <c r="D296" s="32"/>
      <c r="G296" t="b">
        <f t="shared" si="264"/>
        <v>1</v>
      </c>
    </row>
    <row r="297" spans="1:7" x14ac:dyDescent="0.25">
      <c r="A297" t="str">
        <f>B297&amp;"-"&amp;COUNTIF($B$2:B297,B297)</f>
        <v>I. RON BLANCO BATALLA-3</v>
      </c>
      <c r="B297" s="26" t="s">
        <v>116</v>
      </c>
      <c r="C297">
        <f>VLOOKUP(B297,RECETAS!D296:$E$1700,2,FALSE)</f>
        <v>900</v>
      </c>
      <c r="D297" s="15" t="s">
        <v>617</v>
      </c>
      <c r="G297" t="b">
        <f t="shared" si="264"/>
        <v>1</v>
      </c>
    </row>
    <row r="298" spans="1:7" x14ac:dyDescent="0.25">
      <c r="A298" t="str">
        <f>B298&amp;"-"&amp;COUNTIF($B$2:B298,B298)</f>
        <v>I. PULPA LIMON-19</v>
      </c>
      <c r="B298" s="35" t="s">
        <v>106</v>
      </c>
      <c r="C298">
        <f>VLOOKUP(B298,RECETAS!D297:$E$1700,2,FALSE)</f>
        <v>240</v>
      </c>
      <c r="D298" s="34"/>
      <c r="G298" t="b">
        <f t="shared" si="264"/>
        <v>1</v>
      </c>
    </row>
    <row r="299" spans="1:7" x14ac:dyDescent="0.25">
      <c r="A299" t="str">
        <f>B299&amp;"-"&amp;COUNTIF($B$2:B299,B299)</f>
        <v>I. TRIPLE SEC-7</v>
      </c>
      <c r="B299" s="35" t="s">
        <v>128</v>
      </c>
      <c r="C299">
        <f>VLOOKUP(B299,RECETAS!D298:$E$1700,2,FALSE)</f>
        <v>120</v>
      </c>
      <c r="D299" s="34"/>
      <c r="G299" t="b">
        <f t="shared" si="264"/>
        <v>1</v>
      </c>
    </row>
    <row r="300" spans="1:7" x14ac:dyDescent="0.25">
      <c r="A300" t="str">
        <f>B300&amp;"-"&amp;COUNTIF($B$2:B300,B300)</f>
        <v>I. AZUCAR FLOR-26</v>
      </c>
      <c r="B300" s="35" t="s">
        <v>51</v>
      </c>
      <c r="C300">
        <f>VLOOKUP(B300,RECETAS!D299:$E$1700,2,FALSE)</f>
        <v>480</v>
      </c>
      <c r="D300" s="34"/>
      <c r="G300" t="b">
        <f t="shared" si="264"/>
        <v>1</v>
      </c>
    </row>
    <row r="301" spans="1:7" ht="15.75" thickBot="1" x14ac:dyDescent="0.3">
      <c r="A301" t="str">
        <f>B301&amp;"-"&amp;COUNTIF($B$2:B301,B301)</f>
        <v>I. PULPA FRUTILLA-5</v>
      </c>
      <c r="B301" s="33" t="s">
        <v>582</v>
      </c>
      <c r="C301">
        <f>VLOOKUP(B301,RECETAS!D300:$E$1700,2,FALSE)</f>
        <v>1800</v>
      </c>
      <c r="D301" s="32"/>
      <c r="G301" t="b">
        <f t="shared" si="264"/>
        <v>1</v>
      </c>
    </row>
    <row r="302" spans="1:7" x14ac:dyDescent="0.25">
      <c r="A302" t="str">
        <f>B302&amp;"-"&amp;COUNTIF($B$2:B302,B302)</f>
        <v>I. RON BLANCO BATALLA-4</v>
      </c>
      <c r="B302" s="26" t="s">
        <v>116</v>
      </c>
      <c r="C302">
        <f>VLOOKUP(B302,RECETAS!D301:$E$1700,2,FALSE)</f>
        <v>450</v>
      </c>
      <c r="D302" s="25" t="s">
        <v>142</v>
      </c>
      <c r="G302" t="b">
        <f t="shared" si="264"/>
        <v>1</v>
      </c>
    </row>
    <row r="303" spans="1:7" x14ac:dyDescent="0.25">
      <c r="A303" t="str">
        <f>B303&amp;"-"&amp;COUNTIF($B$2:B303,B303)</f>
        <v>I. PULPA LIMON-20</v>
      </c>
      <c r="B303" s="35" t="s">
        <v>106</v>
      </c>
      <c r="C303">
        <f>VLOOKUP(B303,RECETAS!D302:$E$1700,2,FALSE)</f>
        <v>120</v>
      </c>
      <c r="D303" s="34"/>
      <c r="G303" t="b">
        <f t="shared" si="264"/>
        <v>1</v>
      </c>
    </row>
    <row r="304" spans="1:7" x14ac:dyDescent="0.25">
      <c r="A304" t="str">
        <f>B304&amp;"-"&amp;COUNTIF($B$2:B304,B304)</f>
        <v>I. TRIPLE SEC-8</v>
      </c>
      <c r="B304" s="35" t="s">
        <v>128</v>
      </c>
      <c r="C304">
        <f>VLOOKUP(B304,RECETAS!D303:$E$1700,2,FALSE)</f>
        <v>60</v>
      </c>
      <c r="D304" s="34"/>
      <c r="G304" t="b">
        <f t="shared" si="264"/>
        <v>1</v>
      </c>
    </row>
    <row r="305" spans="1:7" x14ac:dyDescent="0.25">
      <c r="A305" t="str">
        <f>B305&amp;"-"&amp;COUNTIF($B$2:B305,B305)</f>
        <v>I. AZUCAR FLOR-27</v>
      </c>
      <c r="B305" s="35" t="s">
        <v>51</v>
      </c>
      <c r="C305">
        <f>VLOOKUP(B305,RECETAS!D304:$E$1700,2,FALSE)</f>
        <v>240</v>
      </c>
      <c r="D305" s="34"/>
      <c r="G305" t="b">
        <f t="shared" si="264"/>
        <v>1</v>
      </c>
    </row>
    <row r="306" spans="1:7" ht="15.75" thickBot="1" x14ac:dyDescent="0.3">
      <c r="A306" t="str">
        <f>B306&amp;"-"&amp;COUNTIF($B$2:B306,B306)</f>
        <v>I. PULPA MANGO-5</v>
      </c>
      <c r="B306" s="33" t="s">
        <v>107</v>
      </c>
      <c r="C306">
        <f>VLOOKUP(B306,RECETAS!D305:$E$1700,2,FALSE)</f>
        <v>900</v>
      </c>
      <c r="D306" s="32"/>
      <c r="G306" t="b">
        <f t="shared" si="264"/>
        <v>1</v>
      </c>
    </row>
    <row r="307" spans="1:7" x14ac:dyDescent="0.25">
      <c r="A307" t="str">
        <f>B307&amp;"-"&amp;COUNTIF($B$2:B307,B307)</f>
        <v>I. TEQUILA BATALLA-1</v>
      </c>
      <c r="B307" s="26" t="s">
        <v>123</v>
      </c>
      <c r="C307">
        <f>VLOOKUP(B307,RECETAS!D306:$E$1700,2,FALSE)</f>
        <v>675</v>
      </c>
      <c r="D307" s="25" t="s">
        <v>576</v>
      </c>
      <c r="G307" t="b">
        <f t="shared" si="264"/>
        <v>1</v>
      </c>
    </row>
    <row r="308" spans="1:7" x14ac:dyDescent="0.25">
      <c r="A308" t="str">
        <f>B308&amp;"-"&amp;COUNTIF($B$2:B308,B308)</f>
        <v>I. PULPA LIMON-21</v>
      </c>
      <c r="B308" s="35" t="s">
        <v>106</v>
      </c>
      <c r="C308">
        <f>VLOOKUP(B308,RECETAS!D307:$E$1700,2,FALSE)</f>
        <v>450</v>
      </c>
      <c r="D308" s="34"/>
      <c r="G308" t="b">
        <f t="shared" si="264"/>
        <v>1</v>
      </c>
    </row>
    <row r="309" spans="1:7" x14ac:dyDescent="0.25">
      <c r="A309" t="str">
        <f>B309&amp;"-"&amp;COUNTIF($B$2:B309,B309)</f>
        <v>I. TRIPLE SEC-9</v>
      </c>
      <c r="B309" s="35" t="s">
        <v>128</v>
      </c>
      <c r="C309">
        <f>VLOOKUP(B309,RECETAS!D308:$E$1700,2,FALSE)</f>
        <v>90</v>
      </c>
      <c r="D309" s="34"/>
      <c r="G309" t="b">
        <f t="shared" si="264"/>
        <v>1</v>
      </c>
    </row>
    <row r="310" spans="1:7" ht="15.75" thickBot="1" x14ac:dyDescent="0.3">
      <c r="A310" t="str">
        <f>B310&amp;"-"&amp;COUNTIF($B$2:B310,B310)</f>
        <v>I. AZUCAR FLOR-28</v>
      </c>
      <c r="B310" s="33" t="s">
        <v>51</v>
      </c>
      <c r="C310">
        <f>VLOOKUP(B310,RECETAS!D309:$E$1700,2,FALSE)</f>
        <v>360</v>
      </c>
      <c r="D310" s="32"/>
      <c r="G310" t="b">
        <f t="shared" si="264"/>
        <v>1</v>
      </c>
    </row>
    <row r="311" spans="1:7" x14ac:dyDescent="0.25">
      <c r="A311" t="str">
        <f>B311&amp;"-"&amp;COUNTIF($B$2:B311,B311)</f>
        <v>I. TEQUILA BATALLA-2</v>
      </c>
      <c r="B311" s="37" t="s">
        <v>123</v>
      </c>
      <c r="C311">
        <f>VLOOKUP(B311,RECETAS!D310:$E$1700,2,FALSE)</f>
        <v>225</v>
      </c>
      <c r="D311" s="25" t="s">
        <v>392</v>
      </c>
      <c r="G311" t="b">
        <f t="shared" si="264"/>
        <v>1</v>
      </c>
    </row>
    <row r="312" spans="1:7" x14ac:dyDescent="0.25">
      <c r="A312" t="str">
        <f>B312&amp;"-"&amp;COUNTIF($B$2:B312,B312)</f>
        <v>I. PULPA LIMON-22</v>
      </c>
      <c r="B312" s="38" t="s">
        <v>106</v>
      </c>
      <c r="C312">
        <f>VLOOKUP(B312,RECETAS!D311:$E$1700,2,FALSE)</f>
        <v>90</v>
      </c>
      <c r="D312" s="34"/>
      <c r="G312" t="b">
        <f t="shared" si="264"/>
        <v>1</v>
      </c>
    </row>
    <row r="313" spans="1:7" x14ac:dyDescent="0.25">
      <c r="A313" t="str">
        <f>B313&amp;"-"&amp;COUNTIF($B$2:B313,B313)</f>
        <v>I. TRIPLE SEC-10</v>
      </c>
      <c r="B313" s="38" t="s">
        <v>128</v>
      </c>
      <c r="C313">
        <f>VLOOKUP(B313,RECETAS!D312:$E$1700,2,FALSE)</f>
        <v>30</v>
      </c>
      <c r="D313" s="34"/>
      <c r="G313" t="b">
        <f t="shared" si="264"/>
        <v>1</v>
      </c>
    </row>
    <row r="314" spans="1:7" x14ac:dyDescent="0.25">
      <c r="A314" t="str">
        <f>B314&amp;"-"&amp;COUNTIF($B$2:B314,B314)</f>
        <v>I. AZUCAR FLOR-29</v>
      </c>
      <c r="B314" s="38" t="s">
        <v>51</v>
      </c>
      <c r="C314">
        <f>VLOOKUP(B314,RECETAS!D313:$E$1700,2,FALSE)</f>
        <v>30</v>
      </c>
      <c r="D314" s="34"/>
      <c r="G314" t="b">
        <f t="shared" si="264"/>
        <v>1</v>
      </c>
    </row>
    <row r="315" spans="1:7" ht="15.75" thickBot="1" x14ac:dyDescent="0.3">
      <c r="A315" t="str">
        <f>B315&amp;"-"&amp;COUNTIF($B$2:B315,B315)</f>
        <v>I. PULPA FRUTILLA-6</v>
      </c>
      <c r="B315" s="39" t="s">
        <v>582</v>
      </c>
      <c r="C315">
        <f>VLOOKUP(B315,RECETAS!D314:$E$1700,2,FALSE)</f>
        <v>90</v>
      </c>
      <c r="D315" s="32"/>
      <c r="G315" t="b">
        <f t="shared" si="264"/>
        <v>1</v>
      </c>
    </row>
    <row r="316" spans="1:7" x14ac:dyDescent="0.25">
      <c r="A316" t="str">
        <f>B316&amp;"-"&amp;COUNTIF($B$2:B316,B316)</f>
        <v>I. TEQUILA BATALLA-3</v>
      </c>
      <c r="B316" s="26" t="s">
        <v>123</v>
      </c>
      <c r="C316">
        <f>VLOOKUP(B316,RECETAS!D315:$E$1700,2,FALSE)</f>
        <v>0</v>
      </c>
      <c r="D316" s="25" t="s">
        <v>393</v>
      </c>
      <c r="G316" t="b">
        <f t="shared" si="264"/>
        <v>1</v>
      </c>
    </row>
    <row r="317" spans="1:7" x14ac:dyDescent="0.25">
      <c r="A317" t="str">
        <f>B317&amp;"-"&amp;COUNTIF($B$2:B317,B317)</f>
        <v>I. PULPA LIMON-23</v>
      </c>
      <c r="B317" s="35" t="s">
        <v>106</v>
      </c>
      <c r="C317">
        <f>VLOOKUP(B317,RECETAS!D316:$E$1700,2,FALSE)</f>
        <v>0</v>
      </c>
      <c r="D317" s="34"/>
      <c r="G317" t="b">
        <f t="shared" si="264"/>
        <v>1</v>
      </c>
    </row>
    <row r="318" spans="1:7" x14ac:dyDescent="0.25">
      <c r="A318" t="str">
        <f>B318&amp;"-"&amp;COUNTIF($B$2:B318,B318)</f>
        <v>I. TRIPLE SEC-11</v>
      </c>
      <c r="B318" s="35" t="s">
        <v>128</v>
      </c>
      <c r="C318">
        <f>VLOOKUP(B318,RECETAS!D317:$E$1700,2,FALSE)</f>
        <v>0</v>
      </c>
      <c r="D318" s="34"/>
      <c r="G318" t="b">
        <f t="shared" si="264"/>
        <v>1</v>
      </c>
    </row>
    <row r="319" spans="1:7" x14ac:dyDescent="0.25">
      <c r="A319" t="str">
        <f>B319&amp;"-"&amp;COUNTIF($B$2:B319,B319)</f>
        <v>I. AZUCAR FLOR-30</v>
      </c>
      <c r="B319" s="35" t="s">
        <v>51</v>
      </c>
      <c r="C319">
        <f>VLOOKUP(B319,RECETAS!D318:$E$1700,2,FALSE)</f>
        <v>0</v>
      </c>
      <c r="D319" s="34"/>
      <c r="G319" t="b">
        <f t="shared" si="264"/>
        <v>1</v>
      </c>
    </row>
    <row r="320" spans="1:7" ht="15.75" thickBot="1" x14ac:dyDescent="0.3">
      <c r="A320" t="str">
        <f>B320&amp;"-"&amp;COUNTIF($B$2:B320,B320)</f>
        <v>I. PULPA FRAMBUESA-7</v>
      </c>
      <c r="B320" s="33" t="s">
        <v>105</v>
      </c>
      <c r="C320">
        <f>VLOOKUP(B320,RECETAS!D319:$E$1700,2,FALSE)</f>
        <v>0</v>
      </c>
      <c r="D320" s="32"/>
      <c r="G320" t="b">
        <f t="shared" si="264"/>
        <v>1</v>
      </c>
    </row>
    <row r="321" spans="1:7" x14ac:dyDescent="0.25">
      <c r="A321" t="str">
        <f>B321&amp;"-"&amp;COUNTIF($B$2:B321,B321)</f>
        <v>I. TEQUILA BATALLA-4</v>
      </c>
      <c r="B321" s="26" t="s">
        <v>123</v>
      </c>
      <c r="C321">
        <f>VLOOKUP(B321,RECETAS!D320:$E$1700,2,FALSE)</f>
        <v>300</v>
      </c>
      <c r="D321" s="112" t="s">
        <v>655</v>
      </c>
      <c r="G321" t="b">
        <f t="shared" si="264"/>
        <v>1</v>
      </c>
    </row>
    <row r="322" spans="1:7" x14ac:dyDescent="0.25">
      <c r="A322" t="str">
        <f>B322&amp;"-"&amp;COUNTIF($B$2:B322,B322)</f>
        <v>I. PULPA LIMON-24</v>
      </c>
      <c r="B322" s="35" t="s">
        <v>106</v>
      </c>
      <c r="C322">
        <f>VLOOKUP(B322,RECETAS!D321:$E$1700,2,FALSE)</f>
        <v>120</v>
      </c>
      <c r="D322" s="34"/>
      <c r="G322" t="b">
        <f t="shared" si="264"/>
        <v>1</v>
      </c>
    </row>
    <row r="323" spans="1:7" x14ac:dyDescent="0.25">
      <c r="A323" t="str">
        <f>B323&amp;"-"&amp;COUNTIF($B$2:B323,B323)</f>
        <v>I. TRIPLE SEC-12</v>
      </c>
      <c r="B323" s="35" t="s">
        <v>128</v>
      </c>
      <c r="C323">
        <f>VLOOKUP(B323,RECETAS!D322:$E$1700,2,FALSE)</f>
        <v>40</v>
      </c>
      <c r="D323" s="34"/>
      <c r="G323" t="b">
        <f t="shared" ref="G323:G386" si="265">IFERROR(IF(MATCH(B323,I:I,0) &lt;&gt; "", TRUE,""),FALSE)</f>
        <v>1</v>
      </c>
    </row>
    <row r="324" spans="1:7" x14ac:dyDescent="0.25">
      <c r="A324" t="str">
        <f>B324&amp;"-"&amp;COUNTIF($B$2:B324,B324)</f>
        <v>I. AZUCAR FLOR-31</v>
      </c>
      <c r="B324" s="35" t="s">
        <v>51</v>
      </c>
      <c r="C324">
        <f>VLOOKUP(B324,RECETAS!D323:$E$1700,2,FALSE)</f>
        <v>160</v>
      </c>
      <c r="D324" s="34"/>
      <c r="G324" t="b">
        <f t="shared" si="265"/>
        <v>1</v>
      </c>
    </row>
    <row r="325" spans="1:7" ht="15.75" thickBot="1" x14ac:dyDescent="0.3">
      <c r="A325" t="str">
        <f>B325&amp;"-"&amp;COUNTIF($B$2:B325,B325)</f>
        <v>I. CURACAO-1</v>
      </c>
      <c r="B325" s="33" t="s">
        <v>67</v>
      </c>
      <c r="C325">
        <f>VLOOKUP(B325,RECETAS!D324:$E$1700,2,FALSE)</f>
        <v>120</v>
      </c>
      <c r="D325" s="32"/>
      <c r="G325" t="b">
        <f t="shared" si="265"/>
        <v>1</v>
      </c>
    </row>
    <row r="326" spans="1:7" x14ac:dyDescent="0.25">
      <c r="A326" t="str">
        <f>B326&amp;"-"&amp;COUNTIF($B$2:B326,B326)</f>
        <v>I. RON BLANCO BATALLA-5</v>
      </c>
      <c r="B326" s="46" t="s">
        <v>116</v>
      </c>
      <c r="C326">
        <f>VLOOKUP(B326,RECETAS!D325:$E$1700,2,FALSE)</f>
        <v>1275</v>
      </c>
      <c r="D326" s="25" t="s">
        <v>322</v>
      </c>
      <c r="G326" t="b">
        <f t="shared" si="265"/>
        <v>1</v>
      </c>
    </row>
    <row r="327" spans="1:7" x14ac:dyDescent="0.25">
      <c r="A327" t="str">
        <f>B327&amp;"-"&amp;COUNTIF($B$2:B327,B327)</f>
        <v>I. ESENCIA COCO-2</v>
      </c>
      <c r="B327" s="36" t="s">
        <v>134</v>
      </c>
      <c r="C327">
        <f>VLOOKUP(B327,RECETAS!D326:$E$1700,2,FALSE)</f>
        <v>170</v>
      </c>
      <c r="D327" s="34"/>
      <c r="G327" t="b">
        <f t="shared" si="265"/>
        <v>1</v>
      </c>
    </row>
    <row r="328" spans="1:7" x14ac:dyDescent="0.25">
      <c r="A328" t="str">
        <f>B328&amp;"-"&amp;COUNTIF($B$2:B328,B328)</f>
        <v>I. JUGO PINA 1 LTS-2</v>
      </c>
      <c r="B328" s="36" t="s">
        <v>90</v>
      </c>
      <c r="C328">
        <f>VLOOKUP(B328,RECETAS!D327:$E$1700,2,FALSE)</f>
        <v>1275</v>
      </c>
      <c r="D328" s="34"/>
      <c r="G328" t="b">
        <f t="shared" si="265"/>
        <v>1</v>
      </c>
    </row>
    <row r="329" spans="1:7" x14ac:dyDescent="0.25">
      <c r="A329" t="str">
        <f>B329&amp;"-"&amp;COUNTIF($B$2:B329,B329)</f>
        <v>I. AZUCAR FLOR-32</v>
      </c>
      <c r="B329" s="36" t="s">
        <v>51</v>
      </c>
      <c r="C329">
        <f>VLOOKUP(B329,RECETAS!D328:$E$1700,2,FALSE)</f>
        <v>680</v>
      </c>
      <c r="D329" s="34"/>
      <c r="G329" t="b">
        <f t="shared" si="265"/>
        <v>1</v>
      </c>
    </row>
    <row r="330" spans="1:7" ht="15.75" thickBot="1" x14ac:dyDescent="0.3">
      <c r="A330" t="str">
        <f>B330&amp;"-"&amp;COUNTIF($B$2:B330,B330)</f>
        <v>I. CREMA ESPESA-19</v>
      </c>
      <c r="B330" s="40" t="s">
        <v>16</v>
      </c>
      <c r="C330">
        <f>VLOOKUP(B330,RECETAS!D329:$E$1700,2,FALSE)</f>
        <v>1700</v>
      </c>
      <c r="D330" s="32"/>
      <c r="G330" t="b">
        <f t="shared" si="265"/>
        <v>1</v>
      </c>
    </row>
    <row r="331" spans="1:7" x14ac:dyDescent="0.25">
      <c r="A331" t="str">
        <f>B331&amp;"-"&amp;COUNTIF($B$2:B331,B331)</f>
        <v>I. RON BLANCO BATALLA-6</v>
      </c>
      <c r="B331" s="46" t="s">
        <v>116</v>
      </c>
      <c r="C331">
        <f>VLOOKUP(B331,RECETAS!D330:$E$1700,2,FALSE)</f>
        <v>225</v>
      </c>
      <c r="D331" s="25" t="s">
        <v>144</v>
      </c>
      <c r="G331" t="b">
        <f t="shared" si="265"/>
        <v>1</v>
      </c>
    </row>
    <row r="332" spans="1:7" x14ac:dyDescent="0.25">
      <c r="A332" t="str">
        <f>B332&amp;"-"&amp;COUNTIF($B$2:B332,B332)</f>
        <v>I. ESENCIA COCO-3</v>
      </c>
      <c r="B332" s="36" t="s">
        <v>134</v>
      </c>
      <c r="C332">
        <f>VLOOKUP(B332,RECETAS!D331:$E$1700,2,FALSE)</f>
        <v>30</v>
      </c>
      <c r="D332" s="34"/>
      <c r="G332" t="b">
        <f t="shared" si="265"/>
        <v>1</v>
      </c>
    </row>
    <row r="333" spans="1:7" x14ac:dyDescent="0.25">
      <c r="A333" t="str">
        <f>B333&amp;"-"&amp;COUNTIF($B$2:B333,B333)</f>
        <v>I. AZUCAR FLOR-33</v>
      </c>
      <c r="B333" s="36" t="s">
        <v>51</v>
      </c>
      <c r="C333">
        <f>VLOOKUP(B333,RECETAS!D332:$E$1700,2,FALSE)</f>
        <v>120</v>
      </c>
      <c r="D333" s="34"/>
      <c r="G333" t="b">
        <f t="shared" si="265"/>
        <v>1</v>
      </c>
    </row>
    <row r="334" spans="1:7" x14ac:dyDescent="0.25">
      <c r="A334" t="str">
        <f>B334&amp;"-"&amp;COUNTIF($B$2:B334,B334)</f>
        <v>I. CREMA ESPESA-20</v>
      </c>
      <c r="B334" s="36" t="s">
        <v>16</v>
      </c>
      <c r="C334">
        <f>VLOOKUP(B334,RECETAS!D333:$E$1700,2,FALSE)</f>
        <v>300</v>
      </c>
      <c r="D334" s="34"/>
      <c r="G334" t="b">
        <f t="shared" si="265"/>
        <v>1</v>
      </c>
    </row>
    <row r="335" spans="1:7" ht="15.75" thickBot="1" x14ac:dyDescent="0.3">
      <c r="A335" t="str">
        <f>B335&amp;"-"&amp;COUNTIF($B$2:B335,B335)</f>
        <v>I. PULPA MANGO-6</v>
      </c>
      <c r="B335" s="40" t="s">
        <v>107</v>
      </c>
      <c r="C335">
        <f>VLOOKUP(B335,RECETAS!D334:$E$1700,2,FALSE)</f>
        <v>150</v>
      </c>
      <c r="D335" s="32"/>
      <c r="G335" t="b">
        <f t="shared" si="265"/>
        <v>1</v>
      </c>
    </row>
    <row r="336" spans="1:7" x14ac:dyDescent="0.25">
      <c r="A336" t="str">
        <f>B336&amp;"-"&amp;COUNTIF($B$2:B336,B336)</f>
        <v>I. RON BLANCO BATALLA-7</v>
      </c>
      <c r="B336" s="46" t="s">
        <v>116</v>
      </c>
      <c r="C336">
        <f>VLOOKUP(B336,RECETAS!D335:$E$1700,2,FALSE)</f>
        <v>150</v>
      </c>
      <c r="D336" s="25" t="s">
        <v>145</v>
      </c>
      <c r="G336" t="b">
        <f t="shared" si="265"/>
        <v>1</v>
      </c>
    </row>
    <row r="337" spans="1:7" x14ac:dyDescent="0.25">
      <c r="A337" t="str">
        <f>B337&amp;"-"&amp;COUNTIF($B$2:B337,B337)</f>
        <v>I. JUGO NARANJA-1</v>
      </c>
      <c r="B337" s="36" t="s">
        <v>89</v>
      </c>
      <c r="C337">
        <f>VLOOKUP(B337,RECETAS!D336:$E$1700,2,FALSE)</f>
        <v>100</v>
      </c>
      <c r="D337" s="34"/>
      <c r="G337" t="b">
        <f t="shared" si="265"/>
        <v>1</v>
      </c>
    </row>
    <row r="338" spans="1:7" x14ac:dyDescent="0.25">
      <c r="A338" t="str">
        <f>B338&amp;"-"&amp;COUNTIF($B$2:B338,B338)</f>
        <v>I. JUGO PINA 1 LTS-3</v>
      </c>
      <c r="B338" s="36" t="s">
        <v>90</v>
      </c>
      <c r="C338">
        <f>VLOOKUP(B338,RECETAS!D337:$E$1700,2,FALSE)</f>
        <v>100</v>
      </c>
      <c r="D338" s="34"/>
      <c r="G338" t="b">
        <f t="shared" si="265"/>
        <v>1</v>
      </c>
    </row>
    <row r="339" spans="1:7" x14ac:dyDescent="0.25">
      <c r="A339" t="str">
        <f>B339&amp;"-"&amp;COUNTIF($B$2:B339,B339)</f>
        <v>I. PULPA MANGO-7</v>
      </c>
      <c r="B339" s="36" t="s">
        <v>107</v>
      </c>
      <c r="C339">
        <f>VLOOKUP(B339,RECETAS!D338:$E$1700,2,FALSE)</f>
        <v>100</v>
      </c>
      <c r="D339" s="34"/>
      <c r="G339" t="b">
        <f t="shared" si="265"/>
        <v>1</v>
      </c>
    </row>
    <row r="340" spans="1:7" ht="15.75" thickBot="1" x14ac:dyDescent="0.3">
      <c r="A340" t="str">
        <f>B340&amp;"-"&amp;COUNTIF($B$2:B340,B340)</f>
        <v>I. AZUCAR FLOR-34</v>
      </c>
      <c r="B340" s="40" t="s">
        <v>51</v>
      </c>
      <c r="C340">
        <f>VLOOKUP(B340,RECETAS!D339:$E$1700,2,FALSE)</f>
        <v>40</v>
      </c>
      <c r="D340" s="32"/>
      <c r="G340" t="b">
        <f t="shared" si="265"/>
        <v>1</v>
      </c>
    </row>
    <row r="341" spans="1:7" x14ac:dyDescent="0.25">
      <c r="A341" t="str">
        <f>B341&amp;"-"&amp;COUNTIF($B$2:B341,B341)</f>
        <v>I. PULPA LIMON-25</v>
      </c>
      <c r="B341" s="46" t="s">
        <v>106</v>
      </c>
      <c r="C341">
        <f>VLOOKUP(B341,RECETAS!D340:$E$1700,2,FALSE)</f>
        <v>220</v>
      </c>
      <c r="D341" s="25" t="s">
        <v>146</v>
      </c>
      <c r="G341" t="b">
        <f t="shared" si="265"/>
        <v>1</v>
      </c>
    </row>
    <row r="342" spans="1:7" x14ac:dyDescent="0.25">
      <c r="A342" t="str">
        <f>B342&amp;"-"&amp;COUNTIF($B$2:B342,B342)</f>
        <v>I. AZUCAR FLOR-35</v>
      </c>
      <c r="B342" s="36" t="s">
        <v>51</v>
      </c>
      <c r="C342">
        <f>VLOOKUP(B342,RECETAS!D341:$E$1700,2,FALSE)</f>
        <v>220</v>
      </c>
      <c r="D342" s="34"/>
      <c r="G342" t="b">
        <f t="shared" si="265"/>
        <v>1</v>
      </c>
    </row>
    <row r="343" spans="1:7" x14ac:dyDescent="0.25">
      <c r="A343" t="str">
        <f>B343&amp;"-"&amp;COUNTIF($B$2:B343,B343)</f>
        <v>I. VODKA BATALLA-5</v>
      </c>
      <c r="B343" s="36" t="s">
        <v>129</v>
      </c>
      <c r="C343">
        <f>VLOOKUP(B343,RECETAS!D342:$E$1700,2,FALSE)</f>
        <v>825</v>
      </c>
      <c r="D343" s="34"/>
      <c r="G343" t="b">
        <f t="shared" si="265"/>
        <v>1</v>
      </c>
    </row>
    <row r="344" spans="1:7" x14ac:dyDescent="0.25">
      <c r="A344" t="str">
        <f>B344&amp;"-"&amp;COUNTIF($B$2:B344,B344)</f>
        <v>I. JUGO PINA 1 LTS-4</v>
      </c>
      <c r="B344" s="36" t="s">
        <v>90</v>
      </c>
      <c r="C344">
        <f>VLOOKUP(B344,RECETAS!D343:$E$1700,2,FALSE)</f>
        <v>550</v>
      </c>
      <c r="D344" s="34"/>
      <c r="G344" t="b">
        <f t="shared" si="265"/>
        <v>1</v>
      </c>
    </row>
    <row r="345" spans="1:7" ht="15.75" thickBot="1" x14ac:dyDescent="0.3">
      <c r="A345" t="str">
        <f>B345&amp;"-"&amp;COUNTIF($B$2:B345,B345)</f>
        <v>I. CURACAO-2</v>
      </c>
      <c r="B345" s="40" t="s">
        <v>67</v>
      </c>
      <c r="C345">
        <f>VLOOKUP(B345,RECETAS!D344:$E$1700,2,FALSE)</f>
        <v>385</v>
      </c>
      <c r="D345" s="32"/>
      <c r="G345" t="b">
        <f t="shared" si="265"/>
        <v>1</v>
      </c>
    </row>
    <row r="346" spans="1:7" x14ac:dyDescent="0.25">
      <c r="A346" t="str">
        <f>B346&amp;"-"&amp;COUNTIF($B$2:B346,B346)</f>
        <v>I. AMARETO-1</v>
      </c>
      <c r="B346" s="46" t="s">
        <v>656</v>
      </c>
      <c r="C346">
        <f>VLOOKUP(B346,RECETAS!D345:$E$1700,2,FALSE)</f>
        <v>80</v>
      </c>
      <c r="D346" s="25" t="s">
        <v>147</v>
      </c>
      <c r="G346" t="b">
        <f t="shared" si="265"/>
        <v>1</v>
      </c>
    </row>
    <row r="347" spans="1:7" x14ac:dyDescent="0.25">
      <c r="A347" t="str">
        <f>B347&amp;"-"&amp;COUNTIF($B$2:B347,B347)</f>
        <v>I. JUGO PINA 1 LTS-5</v>
      </c>
      <c r="B347" s="36" t="s">
        <v>90</v>
      </c>
      <c r="C347">
        <f>VLOOKUP(B347,RECETAS!D346:$E$1700,2,FALSE)</f>
        <v>200</v>
      </c>
      <c r="D347" s="34"/>
      <c r="G347" t="b">
        <f t="shared" si="265"/>
        <v>1</v>
      </c>
    </row>
    <row r="348" spans="1:7" x14ac:dyDescent="0.25">
      <c r="A348" t="str">
        <f>B348&amp;"-"&amp;COUNTIF($B$2:B348,B348)</f>
        <v>I. RON BLANCO BATALLA-8</v>
      </c>
      <c r="B348" s="36" t="s">
        <v>116</v>
      </c>
      <c r="C348">
        <f>VLOOKUP(B348,RECETAS!D347:$E$1700,2,FALSE)</f>
        <v>300</v>
      </c>
      <c r="D348" s="34"/>
      <c r="G348" t="b">
        <f t="shared" si="265"/>
        <v>1</v>
      </c>
    </row>
    <row r="349" spans="1:7" ht="15.75" thickBot="1" x14ac:dyDescent="0.3">
      <c r="A349" t="str">
        <f>B349&amp;"-"&amp;COUNTIF($B$2:B349,B349)</f>
        <v>I. CURACAO-3</v>
      </c>
      <c r="B349" s="40" t="s">
        <v>67</v>
      </c>
      <c r="C349">
        <f>VLOOKUP(B349,RECETAS!D348:$E$1700,2,FALSE)</f>
        <v>140</v>
      </c>
      <c r="D349" s="32"/>
      <c r="G349" t="b">
        <f t="shared" si="265"/>
        <v>1</v>
      </c>
    </row>
    <row r="350" spans="1:7" x14ac:dyDescent="0.25">
      <c r="A350" t="str">
        <f>B350&amp;"-"&amp;COUNTIF($B$2:B350,B350)</f>
        <v>I. PULPA ARAN FRAM-2</v>
      </c>
      <c r="B350" s="46" t="s">
        <v>104</v>
      </c>
      <c r="C350">
        <f>VLOOKUP(B350,RECETAS!D349:$E$1700,2,FALSE)</f>
        <v>300</v>
      </c>
      <c r="D350" s="25" t="s">
        <v>148</v>
      </c>
      <c r="G350" t="b">
        <f t="shared" si="265"/>
        <v>1</v>
      </c>
    </row>
    <row r="351" spans="1:7" x14ac:dyDescent="0.25">
      <c r="A351" t="str">
        <f>B351&amp;"-"&amp;COUNTIF($B$2:B351,B351)</f>
        <v>I. VODKA BATALLA-6</v>
      </c>
      <c r="B351" s="36" t="s">
        <v>129</v>
      </c>
      <c r="C351">
        <f>VLOOKUP(B351,RECETAS!D350:$E$1700,2,FALSE)</f>
        <v>750</v>
      </c>
      <c r="D351" s="34"/>
      <c r="G351" t="b">
        <f t="shared" si="265"/>
        <v>1</v>
      </c>
    </row>
    <row r="352" spans="1:7" x14ac:dyDescent="0.25">
      <c r="A352" t="str">
        <f>B352&amp;"-"&amp;COUNTIF($B$2:B352,B352)</f>
        <v>I. TRIPLE SEC-13</v>
      </c>
      <c r="B352" s="36" t="s">
        <v>128</v>
      </c>
      <c r="C352">
        <f>VLOOKUP(B352,RECETAS!D351:$E$1700,2,FALSE)</f>
        <v>200</v>
      </c>
      <c r="D352" s="34"/>
      <c r="G352" t="b">
        <f t="shared" si="265"/>
        <v>1</v>
      </c>
    </row>
    <row r="353" spans="1:7" x14ac:dyDescent="0.25">
      <c r="A353" t="str">
        <f>B353&amp;"-"&amp;COUNTIF($B$2:B353,B353)</f>
        <v>I. PULPA LIMON-26</v>
      </c>
      <c r="B353" s="36" t="s">
        <v>106</v>
      </c>
      <c r="C353">
        <f>VLOOKUP(B353,RECETAS!D352:$E$1700,2,FALSE)</f>
        <v>200</v>
      </c>
      <c r="D353" s="34"/>
      <c r="G353" t="b">
        <f t="shared" si="265"/>
        <v>1</v>
      </c>
    </row>
    <row r="354" spans="1:7" ht="15.75" thickBot="1" x14ac:dyDescent="0.3">
      <c r="A354" t="str">
        <f>B354&amp;"-"&amp;COUNTIF($B$2:B354,B354)</f>
        <v>I. AZUCAR FLOR-36</v>
      </c>
      <c r="B354" s="40" t="s">
        <v>51</v>
      </c>
      <c r="C354">
        <f>VLOOKUP(B354,RECETAS!D353:$E$1700,2,FALSE)</f>
        <v>200</v>
      </c>
      <c r="D354" s="32"/>
      <c r="G354" t="b">
        <f t="shared" si="265"/>
        <v>1</v>
      </c>
    </row>
    <row r="355" spans="1:7" x14ac:dyDescent="0.25">
      <c r="A355" t="str">
        <f>B355&amp;"-"&amp;COUNTIF($B$2:B355,B355)</f>
        <v>I. MENTA-3</v>
      </c>
      <c r="B355" s="26" t="s">
        <v>637</v>
      </c>
      <c r="C355">
        <f>VLOOKUP(B355,RECETAS!D354:$E$1700,2,FALSE)</f>
        <v>26</v>
      </c>
      <c r="D355" s="25" t="s">
        <v>224</v>
      </c>
      <c r="G355" t="b">
        <f t="shared" si="265"/>
        <v>1</v>
      </c>
    </row>
    <row r="356" spans="1:7" x14ac:dyDescent="0.25">
      <c r="A356" t="str">
        <f>B356&amp;"-"&amp;COUNTIF($B$2:B356,B356)</f>
        <v>I. STOLICHNAYA 750CC-2</v>
      </c>
      <c r="B356" s="35" t="s">
        <v>122</v>
      </c>
      <c r="C356">
        <f>VLOOKUP(B356,RECETAS!D355:$E$1700,2,FALSE)</f>
        <v>1950</v>
      </c>
      <c r="D356" s="34"/>
      <c r="G356" t="b">
        <f t="shared" si="265"/>
        <v>1</v>
      </c>
    </row>
    <row r="357" spans="1:7" x14ac:dyDescent="0.25">
      <c r="A357" t="str">
        <f>B357&amp;"-"&amp;COUNTIF($B$2:B357,B357)</f>
        <v>I. AZUCAR FLOR-37</v>
      </c>
      <c r="B357" s="35" t="s">
        <v>51</v>
      </c>
      <c r="C357">
        <f>VLOOKUP(B357,RECETAS!D356:$E$1700,2,FALSE)</f>
        <v>520</v>
      </c>
      <c r="D357" s="34"/>
      <c r="G357" t="b">
        <f t="shared" si="265"/>
        <v>1</v>
      </c>
    </row>
    <row r="358" spans="1:7" x14ac:dyDescent="0.25">
      <c r="A358" t="str">
        <f>B358&amp;"-"&amp;COUNTIF($B$2:B358,B358)</f>
        <v>I. GINGER BEER-2</v>
      </c>
      <c r="B358" s="35" t="s">
        <v>78</v>
      </c>
      <c r="C358">
        <f>VLOOKUP(B358,RECETAS!D357:$E$1700,2,FALSE)</f>
        <v>26</v>
      </c>
      <c r="D358" s="34"/>
      <c r="G358" t="b">
        <f t="shared" si="265"/>
        <v>1</v>
      </c>
    </row>
    <row r="359" spans="1:7" ht="15.75" thickBot="1" x14ac:dyDescent="0.3">
      <c r="A359" t="str">
        <f>B359&amp;"-"&amp;COUNTIF($B$2:B359,B359)</f>
        <v>I. PULPA LIMON-27</v>
      </c>
      <c r="B359" s="33" t="s">
        <v>106</v>
      </c>
      <c r="C359">
        <f>VLOOKUP(B359,RECETAS!D358:$E$1700,2,FALSE)</f>
        <v>520</v>
      </c>
      <c r="D359" s="32"/>
      <c r="G359" t="b">
        <f t="shared" si="265"/>
        <v>1</v>
      </c>
    </row>
    <row r="360" spans="1:7" x14ac:dyDescent="0.25">
      <c r="A360" t="str">
        <f>B360&amp;"-"&amp;COUNTIF($B$2:B360,B360)</f>
        <v>I. MENTA-4</v>
      </c>
      <c r="B360" s="26" t="s">
        <v>637</v>
      </c>
      <c r="C360">
        <f>VLOOKUP(B360,RECETAS!D359:$E$1700,2,FALSE)</f>
        <v>1</v>
      </c>
      <c r="D360" s="25" t="s">
        <v>394</v>
      </c>
      <c r="G360" t="b">
        <f t="shared" si="265"/>
        <v>1</v>
      </c>
    </row>
    <row r="361" spans="1:7" x14ac:dyDescent="0.25">
      <c r="A361" t="str">
        <f>B361&amp;"-"&amp;COUNTIF($B$2:B361,B361)</f>
        <v>I. JACK DANIELS-2</v>
      </c>
      <c r="B361" s="35" t="s">
        <v>83</v>
      </c>
      <c r="C361">
        <f>VLOOKUP(B361,RECETAS!D360:$E$1700,2,FALSE)</f>
        <v>75</v>
      </c>
      <c r="D361" s="34"/>
      <c r="G361" t="b">
        <f t="shared" si="265"/>
        <v>1</v>
      </c>
    </row>
    <row r="362" spans="1:7" x14ac:dyDescent="0.25">
      <c r="A362" t="str">
        <f>B362&amp;"-"&amp;COUNTIF($B$2:B362,B362)</f>
        <v>I. AZUCAR FLOR-38</v>
      </c>
      <c r="B362" s="35" t="s">
        <v>51</v>
      </c>
      <c r="C362">
        <f>VLOOKUP(B362,RECETAS!D361:$E$1700,2,FALSE)</f>
        <v>20</v>
      </c>
      <c r="D362" s="34"/>
      <c r="G362" t="b">
        <f t="shared" si="265"/>
        <v>1</v>
      </c>
    </row>
    <row r="363" spans="1:7" x14ac:dyDescent="0.25">
      <c r="A363" t="str">
        <f>B363&amp;"-"&amp;COUNTIF($B$2:B363,B363)</f>
        <v>I. GINGER BEER-3</v>
      </c>
      <c r="B363" s="35" t="s">
        <v>78</v>
      </c>
      <c r="C363">
        <f>VLOOKUP(B363,RECETAS!D362:$E$1700,2,FALSE)</f>
        <v>1</v>
      </c>
      <c r="D363" s="34"/>
      <c r="G363" t="b">
        <f t="shared" si="265"/>
        <v>1</v>
      </c>
    </row>
    <row r="364" spans="1:7" ht="15.75" thickBot="1" x14ac:dyDescent="0.3">
      <c r="A364" t="str">
        <f>B364&amp;"-"&amp;COUNTIF($B$2:B364,B364)</f>
        <v>I. PULPA LIMON-28</v>
      </c>
      <c r="B364" s="33" t="s">
        <v>106</v>
      </c>
      <c r="C364">
        <f>VLOOKUP(B364,RECETAS!D363:$E$1700,2,FALSE)</f>
        <v>20</v>
      </c>
      <c r="D364" s="32"/>
      <c r="G364" t="b">
        <f t="shared" si="265"/>
        <v>1</v>
      </c>
    </row>
    <row r="365" spans="1:7" x14ac:dyDescent="0.25">
      <c r="A365" t="str">
        <f>B365&amp;"-"&amp;COUNTIF($B$2:B365,B365)</f>
        <v>I. MENTA-5</v>
      </c>
      <c r="B365" s="26" t="s">
        <v>637</v>
      </c>
      <c r="C365">
        <f>VLOOKUP(B365,RECETAS!D364:$E$1700,2,FALSE)</f>
        <v>3</v>
      </c>
      <c r="D365" s="25" t="s">
        <v>395</v>
      </c>
      <c r="G365" t="b">
        <f t="shared" si="265"/>
        <v>1</v>
      </c>
    </row>
    <row r="366" spans="1:7" x14ac:dyDescent="0.25">
      <c r="A366" t="str">
        <f>B366&amp;"-"&amp;COUNTIF($B$2:B366,B366)</f>
        <v>I. PULPA LIMON-29</v>
      </c>
      <c r="B366" s="35" t="s">
        <v>106</v>
      </c>
      <c r="C366">
        <f>VLOOKUP(B366,RECETAS!D365:$E$1700,2,FALSE)</f>
        <v>60</v>
      </c>
      <c r="D366" s="34"/>
      <c r="G366" t="b">
        <f t="shared" si="265"/>
        <v>1</v>
      </c>
    </row>
    <row r="367" spans="1:7" x14ac:dyDescent="0.25">
      <c r="A367" t="str">
        <f>B367&amp;"-"&amp;COUNTIF($B$2:B367,B367)</f>
        <v>I. AZUCAR FLOR-39</v>
      </c>
      <c r="B367" s="35" t="s">
        <v>51</v>
      </c>
      <c r="C367">
        <f>VLOOKUP(B367,RECETAS!D366:$E$1700,2,FALSE)</f>
        <v>60</v>
      </c>
      <c r="D367" s="34"/>
      <c r="G367" t="b">
        <f t="shared" si="265"/>
        <v>1</v>
      </c>
    </row>
    <row r="368" spans="1:7" x14ac:dyDescent="0.25">
      <c r="A368" t="str">
        <f>B368&amp;"-"&amp;COUNTIF($B$2:B368,B368)</f>
        <v>I. JAGERMEISTER-5</v>
      </c>
      <c r="B368" s="35" t="s">
        <v>86</v>
      </c>
      <c r="C368">
        <f>VLOOKUP(B368,RECETAS!D367:$E$1700,2,FALSE)</f>
        <v>225</v>
      </c>
      <c r="D368" s="34"/>
      <c r="G368" t="b">
        <f t="shared" si="265"/>
        <v>1</v>
      </c>
    </row>
    <row r="369" spans="1:7" ht="15.75" thickBot="1" x14ac:dyDescent="0.3">
      <c r="A369" t="str">
        <f>B369&amp;"-"&amp;COUNTIF($B$2:B369,B369)</f>
        <v>I. GINGER BEER-4</v>
      </c>
      <c r="B369" s="28" t="s">
        <v>78</v>
      </c>
      <c r="C369">
        <f>VLOOKUP(B369,RECETAS!D368:$E$1700,2,FALSE)</f>
        <v>3</v>
      </c>
      <c r="D369" s="27"/>
      <c r="G369" t="b">
        <f t="shared" si="265"/>
        <v>1</v>
      </c>
    </row>
    <row r="370" spans="1:7" x14ac:dyDescent="0.25">
      <c r="A370" t="str">
        <f>B370&amp;"-"&amp;COUNTIF($B$2:B370,B370)</f>
        <v>I. MENTA-6</v>
      </c>
      <c r="B370" s="31" t="s">
        <v>637</v>
      </c>
      <c r="C370">
        <f>VLOOKUP(B370,RECETAS!D369:$E$1700,2,FALSE)</f>
        <v>13</v>
      </c>
      <c r="D370" s="30" t="s">
        <v>396</v>
      </c>
      <c r="G370" t="b">
        <f t="shared" si="265"/>
        <v>1</v>
      </c>
    </row>
    <row r="371" spans="1:7" x14ac:dyDescent="0.25">
      <c r="A371" t="str">
        <f>B371&amp;"-"&amp;COUNTIF($B$2:B371,B371)</f>
        <v>I. PULPA LIMON-30</v>
      </c>
      <c r="B371" s="35" t="s">
        <v>106</v>
      </c>
      <c r="C371">
        <f>VLOOKUP(B371,RECETAS!D370:$E$1700,2,FALSE)</f>
        <v>260</v>
      </c>
      <c r="D371" s="34"/>
      <c r="G371" t="b">
        <f t="shared" si="265"/>
        <v>1</v>
      </c>
    </row>
    <row r="372" spans="1:7" x14ac:dyDescent="0.25">
      <c r="A372" t="str">
        <f>B372&amp;"-"&amp;COUNTIF($B$2:B372,B372)</f>
        <v>I. AZUCAR FLOR-40</v>
      </c>
      <c r="B372" s="35" t="s">
        <v>51</v>
      </c>
      <c r="C372">
        <f>VLOOKUP(B372,RECETAS!D371:$E$1700,2,FALSE)</f>
        <v>260</v>
      </c>
      <c r="D372" s="34"/>
      <c r="G372" t="b">
        <f t="shared" si="265"/>
        <v>1</v>
      </c>
    </row>
    <row r="373" spans="1:7" x14ac:dyDescent="0.25">
      <c r="A373" t="str">
        <f>B373&amp;"-"&amp;COUNTIF($B$2:B373,B373)</f>
        <v>I. BEEFEATER-3</v>
      </c>
      <c r="B373" s="35" t="s">
        <v>54</v>
      </c>
      <c r="C373">
        <f>VLOOKUP(B373,RECETAS!D372:$E$1700,2,FALSE)</f>
        <v>975</v>
      </c>
      <c r="D373" s="34"/>
      <c r="G373" t="b">
        <f t="shared" si="265"/>
        <v>1</v>
      </c>
    </row>
    <row r="374" spans="1:7" ht="15.75" thickBot="1" x14ac:dyDescent="0.3">
      <c r="A374" t="str">
        <f>B374&amp;"-"&amp;COUNTIF($B$2:B374,B374)</f>
        <v>I. GINGER BEER-5</v>
      </c>
      <c r="B374" s="33" t="s">
        <v>78</v>
      </c>
      <c r="C374">
        <f>VLOOKUP(B374,RECETAS!D373:$E$1700,2,FALSE)</f>
        <v>13</v>
      </c>
      <c r="D374" s="32"/>
      <c r="G374" t="b">
        <f t="shared" si="265"/>
        <v>1</v>
      </c>
    </row>
    <row r="375" spans="1:7" x14ac:dyDescent="0.25">
      <c r="A375" t="str">
        <f>B375&amp;"-"&amp;COUNTIF($B$2:B375,B375)</f>
        <v>I. GRANADINA-1</v>
      </c>
      <c r="B375" s="46" t="s">
        <v>82</v>
      </c>
      <c r="C375">
        <f>VLOOKUP(B375,RECETAS!D374:$E$1700,2,FALSE)</f>
        <v>30</v>
      </c>
      <c r="D375" s="25" t="s">
        <v>156</v>
      </c>
      <c r="G375" t="b">
        <f t="shared" si="265"/>
        <v>1</v>
      </c>
    </row>
    <row r="376" spans="1:7" x14ac:dyDescent="0.25">
      <c r="A376" t="str">
        <f>B376&amp;"-"&amp;COUNTIF($B$2:B376,B376)</f>
        <v>I. JUGO PINA 1 LTS-6</v>
      </c>
      <c r="B376" s="36" t="s">
        <v>90</v>
      </c>
      <c r="C376">
        <f>VLOOKUP(B376,RECETAS!D375:$E$1700,2,FALSE)</f>
        <v>75</v>
      </c>
      <c r="D376" s="34"/>
      <c r="G376" t="b">
        <f t="shared" si="265"/>
        <v>1</v>
      </c>
    </row>
    <row r="377" spans="1:7" x14ac:dyDescent="0.25">
      <c r="A377" t="str">
        <f>B377&amp;"-"&amp;COUNTIF($B$2:B377,B377)</f>
        <v>I. JUGO NARANJA-2</v>
      </c>
      <c r="B377" s="36" t="s">
        <v>89</v>
      </c>
      <c r="C377">
        <f>VLOOKUP(B377,RECETAS!D376:$E$1700,2,FALSE)</f>
        <v>75</v>
      </c>
      <c r="D377" s="34"/>
      <c r="G377" t="b">
        <f t="shared" si="265"/>
        <v>1</v>
      </c>
    </row>
    <row r="378" spans="1:7" ht="15.75" thickBot="1" x14ac:dyDescent="0.3">
      <c r="A378" t="str">
        <f>B378&amp;"-"&amp;COUNTIF($B$2:B378,B378)</f>
        <v>I. RON DORADO BATALLA-1</v>
      </c>
      <c r="B378" s="40" t="s">
        <v>117</v>
      </c>
      <c r="C378">
        <f>VLOOKUP(B378,RECETAS!D377:$E$1700,2,FALSE)</f>
        <v>75</v>
      </c>
      <c r="D378" s="32"/>
      <c r="G378" t="b">
        <f t="shared" si="265"/>
        <v>1</v>
      </c>
    </row>
    <row r="379" spans="1:7" x14ac:dyDescent="0.25">
      <c r="A379" t="str">
        <f>B379&amp;"-"&amp;COUNTIF($B$2:B379,B379)</f>
        <v>I. LICOR DE CAFé-1</v>
      </c>
      <c r="B379" s="45" t="s">
        <v>657</v>
      </c>
      <c r="C379">
        <f>VLOOKUP(B379,RECETAS!D378:$E$1700,2,FALSE)</f>
        <v>35</v>
      </c>
      <c r="D379" s="25" t="s">
        <v>154</v>
      </c>
      <c r="G379" t="b">
        <f t="shared" si="265"/>
        <v>1</v>
      </c>
    </row>
    <row r="380" spans="1:7" x14ac:dyDescent="0.25">
      <c r="A380" t="str">
        <f>B380&amp;"-"&amp;COUNTIF($B$2:B380,B380)</f>
        <v>I. VODKA BATALLA-7</v>
      </c>
      <c r="B380" s="36" t="s">
        <v>129</v>
      </c>
      <c r="C380">
        <f>VLOOKUP(B380,RECETAS!D379:$E$1700,2,FALSE)</f>
        <v>75</v>
      </c>
      <c r="D380" s="34"/>
      <c r="G380" t="b">
        <f t="shared" si="265"/>
        <v>1</v>
      </c>
    </row>
    <row r="381" spans="1:7" ht="15.75" thickBot="1" x14ac:dyDescent="0.3">
      <c r="A381" t="str">
        <f>B381&amp;"-"&amp;COUNTIF($B$2:B381,B381)</f>
        <v>I. MARRASQUINO ROJO-1</v>
      </c>
      <c r="B381" s="40" t="s">
        <v>92</v>
      </c>
      <c r="C381">
        <f>VLOOKUP(B381,RECETAS!D380:$E$1700,2,FALSE)</f>
        <v>1</v>
      </c>
      <c r="D381" s="32"/>
      <c r="G381" t="b">
        <f t="shared" si="265"/>
        <v>1</v>
      </c>
    </row>
    <row r="382" spans="1:7" x14ac:dyDescent="0.25">
      <c r="A382" t="str">
        <f>B382&amp;"-"&amp;COUNTIF($B$2:B382,B382)</f>
        <v>I. JUGO TOMATE-1</v>
      </c>
      <c r="B382" s="46" t="s">
        <v>91</v>
      </c>
      <c r="C382">
        <f>VLOOKUP(B382,RECETAS!D381:$E$1700,2,FALSE)</f>
        <v>105</v>
      </c>
      <c r="D382" s="25" t="s">
        <v>157</v>
      </c>
      <c r="G382" t="b">
        <f t="shared" si="265"/>
        <v>1</v>
      </c>
    </row>
    <row r="383" spans="1:7" x14ac:dyDescent="0.25">
      <c r="A383" t="str">
        <f>B383&amp;"-"&amp;COUNTIF($B$2:B383,B383)</f>
        <v>I. VODKA BATALLA-8</v>
      </c>
      <c r="B383" s="36" t="s">
        <v>129</v>
      </c>
      <c r="C383">
        <f>VLOOKUP(B383,RECETAS!D382:$E$1700,2,FALSE)</f>
        <v>225</v>
      </c>
      <c r="D383" s="34"/>
      <c r="G383" t="b">
        <f t="shared" si="265"/>
        <v>1</v>
      </c>
    </row>
    <row r="384" spans="1:7" x14ac:dyDescent="0.25">
      <c r="A384" t="str">
        <f>B384&amp;"-"&amp;COUNTIF($B$2:B384,B384)</f>
        <v>I. SALSA INGLESA-1</v>
      </c>
      <c r="B384" s="36" t="s">
        <v>118</v>
      </c>
      <c r="C384">
        <f>VLOOKUP(B384,RECETAS!D383:$E$1700,2,FALSE)</f>
        <v>0.30000000000000004</v>
      </c>
      <c r="D384" s="34"/>
      <c r="G384" t="b">
        <f t="shared" si="265"/>
        <v>1</v>
      </c>
    </row>
    <row r="385" spans="1:7" x14ac:dyDescent="0.25">
      <c r="A385" t="str">
        <f>B385&amp;"-"&amp;COUNTIF($B$2:B385,B385)</f>
        <v>I. PIMIENTA NEGRA-1</v>
      </c>
      <c r="B385" s="38" t="s">
        <v>103</v>
      </c>
      <c r="C385">
        <f>VLOOKUP(B385,RECETAS!D384:$E$1700,2,FALSE)</f>
        <v>3</v>
      </c>
      <c r="D385" s="34"/>
      <c r="G385" t="b">
        <f t="shared" si="265"/>
        <v>1</v>
      </c>
    </row>
    <row r="386" spans="1:7" x14ac:dyDescent="0.25">
      <c r="A386" t="str">
        <f>B386&amp;"-"&amp;COUNTIF($B$2:B386,B386)</f>
        <v>I. SAL-1</v>
      </c>
      <c r="B386" s="36" t="s">
        <v>42</v>
      </c>
      <c r="C386">
        <f>VLOOKUP(B386,RECETAS!D385:$E$1700,2,FALSE)</f>
        <v>0.30000000000000004</v>
      </c>
      <c r="D386" s="34"/>
      <c r="G386" t="b">
        <f t="shared" si="265"/>
        <v>1</v>
      </c>
    </row>
    <row r="387" spans="1:7" ht="15.75" thickBot="1" x14ac:dyDescent="0.3">
      <c r="A387" t="str">
        <f>B387&amp;"-"&amp;COUNTIF($B$2:B387,B387)</f>
        <v>I. PULPA LIMON-31</v>
      </c>
      <c r="B387" s="40" t="s">
        <v>106</v>
      </c>
      <c r="C387">
        <f>VLOOKUP(B387,RECETAS!D386:$E$1700,2,FALSE)</f>
        <v>30</v>
      </c>
      <c r="D387" s="32"/>
      <c r="G387" t="b">
        <f t="shared" ref="G387:G450" si="266">IFERROR(IF(MATCH(B387,I:I,0) &lt;&gt; "", TRUE,""),FALSE)</f>
        <v>1</v>
      </c>
    </row>
    <row r="388" spans="1:7" x14ac:dyDescent="0.25">
      <c r="A388" t="str">
        <f>B388&amp;"-"&amp;COUNTIF($B$2:B388,B388)</f>
        <v>I. LICOR DE WISKY-1</v>
      </c>
      <c r="B388" s="37" t="s">
        <v>658</v>
      </c>
      <c r="C388">
        <f>VLOOKUP(B388,RECETAS!D387:$E$1700,2,FALSE)</f>
        <v>60</v>
      </c>
      <c r="D388" s="25" t="s">
        <v>397</v>
      </c>
      <c r="G388" t="b">
        <f t="shared" si="266"/>
        <v>1</v>
      </c>
    </row>
    <row r="389" spans="1:7" x14ac:dyDescent="0.25">
      <c r="A389" t="str">
        <f>B389&amp;"-"&amp;COUNTIF($B$2:B389,B389)</f>
        <v>I. WISKY BATALLA-3</v>
      </c>
      <c r="B389" s="36" t="s">
        <v>130</v>
      </c>
      <c r="C389">
        <f>VLOOKUP(B389,RECETAS!D388:$E$1700,2,FALSE)</f>
        <v>300</v>
      </c>
      <c r="D389" s="34"/>
      <c r="G389" t="b">
        <f t="shared" si="266"/>
        <v>1</v>
      </c>
    </row>
    <row r="390" spans="1:7" x14ac:dyDescent="0.25">
      <c r="A390" t="str">
        <f>B390&amp;"-"&amp;COUNTIF($B$2:B390,B390)</f>
        <v>I. CLAVO DE OLOR-1</v>
      </c>
      <c r="B390" s="36" t="s">
        <v>210</v>
      </c>
      <c r="C390">
        <f>VLOOKUP(B390,RECETAS!D389:$E$1700,2,FALSE)</f>
        <v>8</v>
      </c>
      <c r="D390" s="34"/>
      <c r="G390" t="b">
        <f t="shared" si="266"/>
        <v>1</v>
      </c>
    </row>
    <row r="391" spans="1:7" ht="15.75" thickBot="1" x14ac:dyDescent="0.3">
      <c r="A391" t="str">
        <f>B391&amp;"-"&amp;COUNTIF($B$2:B391,B391)</f>
        <v>I. MARRASQUINO ROJO-2</v>
      </c>
      <c r="B391" s="40" t="s">
        <v>92</v>
      </c>
      <c r="C391">
        <f>VLOOKUP(B391,RECETAS!D390:$E$1700,2,FALSE)</f>
        <v>4</v>
      </c>
      <c r="D391" s="32"/>
      <c r="G391" t="b">
        <f t="shared" si="266"/>
        <v>1</v>
      </c>
    </row>
    <row r="392" spans="1:7" x14ac:dyDescent="0.25">
      <c r="A392" t="str">
        <f>B392&amp;"-"&amp;COUNTIF($B$2:B392,B392)</f>
        <v>I. GIN BATALLA-2</v>
      </c>
      <c r="B392" s="46" t="s">
        <v>75</v>
      </c>
      <c r="C392">
        <f>VLOOKUP(B392,RECETAS!D391:$E$1700,2,FALSE)</f>
        <v>360</v>
      </c>
      <c r="D392" s="25" t="s">
        <v>211</v>
      </c>
      <c r="G392" t="b">
        <f t="shared" si="266"/>
        <v>1</v>
      </c>
    </row>
    <row r="393" spans="1:7" x14ac:dyDescent="0.25">
      <c r="A393" t="str">
        <f>B393&amp;"-"&amp;COUNTIF($B$2:B393,B393)</f>
        <v>I. RON BLANCO BATALLA-9</v>
      </c>
      <c r="B393" s="36" t="s">
        <v>116</v>
      </c>
      <c r="C393">
        <f>VLOOKUP(B393,RECETAS!D392:$E$1700,2,FALSE)</f>
        <v>360</v>
      </c>
      <c r="D393" s="34"/>
      <c r="G393" t="b">
        <f t="shared" si="266"/>
        <v>1</v>
      </c>
    </row>
    <row r="394" spans="1:7" x14ac:dyDescent="0.25">
      <c r="A394" t="str">
        <f>B394&amp;"-"&amp;COUNTIF($B$2:B394,B394)</f>
        <v>I. VODKA BATALLA-9</v>
      </c>
      <c r="B394" s="36" t="s">
        <v>129</v>
      </c>
      <c r="C394">
        <f>VLOOKUP(B394,RECETAS!D393:$E$1700,2,FALSE)</f>
        <v>360</v>
      </c>
      <c r="D394" s="34"/>
      <c r="G394" t="b">
        <f t="shared" si="266"/>
        <v>1</v>
      </c>
    </row>
    <row r="395" spans="1:7" x14ac:dyDescent="0.25">
      <c r="A395" t="str">
        <f>B395&amp;"-"&amp;COUNTIF($B$2:B395,B395)</f>
        <v>I. TEQUILA BATALLA-5</v>
      </c>
      <c r="B395" s="36" t="s">
        <v>123</v>
      </c>
      <c r="C395">
        <f>VLOOKUP(B395,RECETAS!D394:$E$1700,2,FALSE)</f>
        <v>360</v>
      </c>
      <c r="D395" s="34"/>
      <c r="G395" t="b">
        <f t="shared" si="266"/>
        <v>1</v>
      </c>
    </row>
    <row r="396" spans="1:7" ht="15.75" thickBot="1" x14ac:dyDescent="0.3">
      <c r="A396" t="str">
        <f>B396&amp;"-"&amp;COUNTIF($B$2:B396,B396)</f>
        <v>I. CACHAZA-5</v>
      </c>
      <c r="B396" s="40" t="s">
        <v>57</v>
      </c>
      <c r="C396">
        <f>VLOOKUP(B396,RECETAS!D395:$E$1700,2,FALSE)</f>
        <v>360</v>
      </c>
      <c r="D396" s="32"/>
      <c r="G396" t="b">
        <f t="shared" si="266"/>
        <v>1</v>
      </c>
    </row>
    <row r="397" spans="1:7" x14ac:dyDescent="0.25">
      <c r="A397" t="str">
        <f>B397&amp;"-"&amp;COUNTIF($B$2:B397,B397)</f>
        <v>I. RON BLANCO BATALLA-10</v>
      </c>
      <c r="B397" s="46" t="s">
        <v>116</v>
      </c>
      <c r="C397">
        <f>VLOOKUP(B397,RECETAS!D396:$E$1700,2,FALSE)</f>
        <v>525</v>
      </c>
      <c r="D397" s="25" t="s">
        <v>398</v>
      </c>
      <c r="G397" t="b">
        <f t="shared" si="266"/>
        <v>1</v>
      </c>
    </row>
    <row r="398" spans="1:7" x14ac:dyDescent="0.25">
      <c r="A398" t="str">
        <f>B398&amp;"-"&amp;COUNTIF($B$2:B398,B398)</f>
        <v>I. ESENCIA COCO-4</v>
      </c>
      <c r="B398" s="36" t="s">
        <v>134</v>
      </c>
      <c r="C398">
        <f>VLOOKUP(B398,RECETAS!D397:$E$1700,2,FALSE)</f>
        <v>70</v>
      </c>
      <c r="D398" s="34"/>
      <c r="G398" t="b">
        <f t="shared" si="266"/>
        <v>1</v>
      </c>
    </row>
    <row r="399" spans="1:7" x14ac:dyDescent="0.25">
      <c r="A399" t="str">
        <f>B399&amp;"-"&amp;COUNTIF($B$2:B399,B399)</f>
        <v>I. JUGO PINA 1 LTS-7</v>
      </c>
      <c r="B399" s="36" t="s">
        <v>90</v>
      </c>
      <c r="C399">
        <f>VLOOKUP(B399,RECETAS!D398:$E$1700,2,FALSE)</f>
        <v>525</v>
      </c>
      <c r="D399" s="34"/>
      <c r="G399" t="b">
        <f t="shared" si="266"/>
        <v>1</v>
      </c>
    </row>
    <row r="400" spans="1:7" x14ac:dyDescent="0.25">
      <c r="A400" t="str">
        <f>B400&amp;"-"&amp;COUNTIF($B$2:B400,B400)</f>
        <v>I. AZUCAR FLOR-41</v>
      </c>
      <c r="B400" s="36" t="s">
        <v>51</v>
      </c>
      <c r="C400">
        <f>VLOOKUP(B400,RECETAS!D399:$E$1700,2,FALSE)</f>
        <v>280</v>
      </c>
      <c r="D400" s="34"/>
      <c r="G400" t="b">
        <f t="shared" si="266"/>
        <v>1</v>
      </c>
    </row>
    <row r="401" spans="1:7" x14ac:dyDescent="0.25">
      <c r="A401" t="str">
        <f>B401&amp;"-"&amp;COUNTIF($B$2:B401,B401)</f>
        <v>I. CREMA ESPESA-21</v>
      </c>
      <c r="B401" s="36" t="s">
        <v>16</v>
      </c>
      <c r="C401">
        <f>VLOOKUP(B401,RECETAS!D400:$E$1700,2,FALSE)</f>
        <v>700</v>
      </c>
      <c r="D401" s="34"/>
      <c r="G401" t="b">
        <f t="shared" si="266"/>
        <v>1</v>
      </c>
    </row>
    <row r="402" spans="1:7" ht="15.75" thickBot="1" x14ac:dyDescent="0.3">
      <c r="A402" t="str">
        <f>B402&amp;"-"&amp;COUNTIF($B$2:B402,B402)</f>
        <v>I. GRANADINA-2</v>
      </c>
      <c r="B402" s="29" t="s">
        <v>82</v>
      </c>
      <c r="C402">
        <f>VLOOKUP(B402,RECETAS!D401:$E$1700,2,FALSE)</f>
        <v>210</v>
      </c>
      <c r="D402" s="27"/>
      <c r="G402" t="b">
        <f t="shared" si="266"/>
        <v>1</v>
      </c>
    </row>
    <row r="403" spans="1:7" x14ac:dyDescent="0.25">
      <c r="A403" t="str">
        <f>B403&amp;"-"&amp;COUNTIF($B$2:B403,B403)</f>
        <v>I. MENTA-7</v>
      </c>
      <c r="B403" s="65" t="s">
        <v>637</v>
      </c>
      <c r="C403">
        <f>VLOOKUP(B403,RECETAS!D402:$E$1700,2,FALSE)</f>
        <v>2</v>
      </c>
      <c r="D403" s="30" t="s">
        <v>399</v>
      </c>
      <c r="G403" t="b">
        <f t="shared" si="266"/>
        <v>1</v>
      </c>
    </row>
    <row r="404" spans="1:7" x14ac:dyDescent="0.25">
      <c r="A404" t="str">
        <f>B404&amp;"-"&amp;COUNTIF($B$2:B404,B404)</f>
        <v>I. LIMON PICA-12</v>
      </c>
      <c r="B404" s="36" t="s">
        <v>636</v>
      </c>
      <c r="C404">
        <f>VLOOKUP(B404,RECETAS!D403:$E$1700,2,FALSE)</f>
        <v>2</v>
      </c>
      <c r="D404" s="34"/>
      <c r="G404" t="b">
        <f t="shared" si="266"/>
        <v>1</v>
      </c>
    </row>
    <row r="405" spans="1:7" x14ac:dyDescent="0.25">
      <c r="A405" t="str">
        <f>B405&amp;"-"&amp;COUNTIF($B$2:B405,B405)</f>
        <v>I. MINERAL1.6LT  C/G-2</v>
      </c>
      <c r="B405" s="36" t="s">
        <v>97</v>
      </c>
      <c r="C405">
        <f>VLOOKUP(B405,RECETAS!D404:$E$1700,2,FALSE)</f>
        <v>100</v>
      </c>
      <c r="D405" s="34"/>
      <c r="G405" t="b">
        <f t="shared" si="266"/>
        <v>1</v>
      </c>
    </row>
    <row r="406" spans="1:7" x14ac:dyDescent="0.25">
      <c r="A406" t="str">
        <f>B406&amp;"-"&amp;COUNTIF($B$2:B406,B406)</f>
        <v>I. AZUCAR FLOR-42</v>
      </c>
      <c r="B406" s="36" t="s">
        <v>51</v>
      </c>
      <c r="C406">
        <f>VLOOKUP(B406,RECETAS!D405:$E$1700,2,FALSE)</f>
        <v>40</v>
      </c>
      <c r="D406" s="34"/>
      <c r="G406" t="b">
        <f t="shared" si="266"/>
        <v>1</v>
      </c>
    </row>
    <row r="407" spans="1:7" x14ac:dyDescent="0.25">
      <c r="A407" t="str">
        <f>B407&amp;"-"&amp;COUNTIF($B$2:B407,B407)</f>
        <v>I. PULPA LIMON-32</v>
      </c>
      <c r="B407" s="36" t="s">
        <v>106</v>
      </c>
      <c r="C407">
        <f>VLOOKUP(B407,RECETAS!D406:$E$1700,2,FALSE)</f>
        <v>40</v>
      </c>
      <c r="D407" s="34"/>
      <c r="G407" t="b">
        <f t="shared" si="266"/>
        <v>1</v>
      </c>
    </row>
    <row r="408" spans="1:7" ht="15.75" thickBot="1" x14ac:dyDescent="0.3">
      <c r="A408" t="str">
        <f>B408&amp;"-"&amp;COUNTIF($B$2:B408,B408)</f>
        <v>I. JACK DANIELS-3</v>
      </c>
      <c r="B408" s="40" t="s">
        <v>83</v>
      </c>
      <c r="C408">
        <f>VLOOKUP(B408,RECETAS!D407:$E$1700,2,FALSE)</f>
        <v>150</v>
      </c>
      <c r="D408" s="32"/>
      <c r="G408" t="b">
        <f t="shared" si="266"/>
        <v>1</v>
      </c>
    </row>
    <row r="409" spans="1:7" x14ac:dyDescent="0.25">
      <c r="A409" t="str">
        <f>B409&amp;"-"&amp;COUNTIF($B$2:B409,B409)</f>
        <v>I. MENTA-8</v>
      </c>
      <c r="B409" s="46" t="s">
        <v>637</v>
      </c>
      <c r="C409">
        <f>VLOOKUP(B409,RECETAS!D408:$E$1700,2,FALSE)</f>
        <v>36</v>
      </c>
      <c r="D409" s="25" t="s">
        <v>320</v>
      </c>
      <c r="G409" t="b">
        <f t="shared" si="266"/>
        <v>1</v>
      </c>
    </row>
    <row r="410" spans="1:7" x14ac:dyDescent="0.25">
      <c r="A410" t="str">
        <f>B410&amp;"-"&amp;COUNTIF($B$2:B410,B410)</f>
        <v>I. AZUCAR FLOR-43</v>
      </c>
      <c r="B410" s="36" t="s">
        <v>51</v>
      </c>
      <c r="C410">
        <f>VLOOKUP(B410,RECETAS!D409:$E$1700,2,FALSE)</f>
        <v>720</v>
      </c>
      <c r="D410" s="34"/>
      <c r="G410" t="b">
        <f t="shared" si="266"/>
        <v>1</v>
      </c>
    </row>
    <row r="411" spans="1:7" x14ac:dyDescent="0.25">
      <c r="A411" t="str">
        <f>B411&amp;"-"&amp;COUNTIF($B$2:B411,B411)</f>
        <v>I. PULPA LIMON-33</v>
      </c>
      <c r="B411" s="36" t="s">
        <v>106</v>
      </c>
      <c r="C411">
        <f>VLOOKUP(B411,RECETAS!D410:$E$1700,2,FALSE)</f>
        <v>720</v>
      </c>
      <c r="D411" s="34"/>
      <c r="G411" t="b">
        <f t="shared" si="266"/>
        <v>1</v>
      </c>
    </row>
    <row r="412" spans="1:7" x14ac:dyDescent="0.25">
      <c r="A412" t="str">
        <f>B412&amp;"-"&amp;COUNTIF($B$2:B412,B412)</f>
        <v>I. LIMON PICA-13</v>
      </c>
      <c r="B412" s="36" t="s">
        <v>636</v>
      </c>
      <c r="C412">
        <f>VLOOKUP(B412,RECETAS!D411:$E$1700,2,FALSE)</f>
        <v>36</v>
      </c>
      <c r="D412" s="34"/>
      <c r="G412" t="b">
        <f t="shared" si="266"/>
        <v>1</v>
      </c>
    </row>
    <row r="413" spans="1:7" x14ac:dyDescent="0.25">
      <c r="A413" t="str">
        <f>B413&amp;"-"&amp;COUNTIF($B$2:B413,B413)</f>
        <v>I. MINERAL1.6LT  C/G-3</v>
      </c>
      <c r="B413" s="66" t="s">
        <v>97</v>
      </c>
      <c r="C413">
        <f>VLOOKUP(B413,RECETAS!D412:$E$1700,2,FALSE)</f>
        <v>1800</v>
      </c>
      <c r="D413" s="34"/>
      <c r="G413" t="b">
        <f t="shared" si="266"/>
        <v>1</v>
      </c>
    </row>
    <row r="414" spans="1:7" ht="15.75" thickBot="1" x14ac:dyDescent="0.3">
      <c r="A414" t="str">
        <f>B414&amp;"-"&amp;COUNTIF($B$2:B414,B414)</f>
        <v>I. RON BLANCO BATALLA-11</v>
      </c>
      <c r="B414" s="40" t="s">
        <v>116</v>
      </c>
      <c r="C414">
        <f>VLOOKUP(B414,RECETAS!D413:$E$1700,2,FALSE)</f>
        <v>2700</v>
      </c>
      <c r="D414" s="32"/>
      <c r="G414" t="b">
        <f t="shared" si="266"/>
        <v>1</v>
      </c>
    </row>
    <row r="415" spans="1:7" x14ac:dyDescent="0.25">
      <c r="A415" t="str">
        <f>B415&amp;"-"&amp;COUNTIF($B$2:B415,B415)</f>
        <v>I. MENTA-9</v>
      </c>
      <c r="B415" s="46" t="s">
        <v>637</v>
      </c>
      <c r="C415">
        <f>VLOOKUP(B415,RECETAS!D414:$E$1700,2,FALSE)</f>
        <v>1</v>
      </c>
      <c r="D415" s="25" t="s">
        <v>560</v>
      </c>
      <c r="G415" t="b">
        <f t="shared" si="266"/>
        <v>1</v>
      </c>
    </row>
    <row r="416" spans="1:7" x14ac:dyDescent="0.25">
      <c r="A416" t="str">
        <f>B416&amp;"-"&amp;COUNTIF($B$2:B416,B416)</f>
        <v>I. LIMON PICA-14</v>
      </c>
      <c r="B416" s="36" t="s">
        <v>636</v>
      </c>
      <c r="C416">
        <f>VLOOKUP(B416,RECETAS!D415:$E$1700,2,FALSE)</f>
        <v>1</v>
      </c>
      <c r="D416" s="34"/>
      <c r="G416" t="b">
        <f t="shared" si="266"/>
        <v>1</v>
      </c>
    </row>
    <row r="417" spans="1:7" x14ac:dyDescent="0.25">
      <c r="A417" t="str">
        <f>B417&amp;"-"&amp;COUNTIF($B$2:B417,B417)</f>
        <v>I. MINERAL1.6LT  C/G-4</v>
      </c>
      <c r="B417" s="36" t="s">
        <v>97</v>
      </c>
      <c r="C417">
        <f>VLOOKUP(B417,RECETAS!D416:$E$1700,2,FALSE)</f>
        <v>50</v>
      </c>
      <c r="D417" s="34"/>
      <c r="G417" t="b">
        <f t="shared" si="266"/>
        <v>1</v>
      </c>
    </row>
    <row r="418" spans="1:7" x14ac:dyDescent="0.25">
      <c r="A418" t="str">
        <f>B418&amp;"-"&amp;COUNTIF($B$2:B418,B418)</f>
        <v>I. AZUCAR FLOR-44</v>
      </c>
      <c r="B418" s="36" t="s">
        <v>51</v>
      </c>
      <c r="C418">
        <f>VLOOKUP(B418,RECETAS!D417:$E$1700,2,FALSE)</f>
        <v>20</v>
      </c>
      <c r="D418" s="34"/>
      <c r="G418" t="b">
        <f t="shared" si="266"/>
        <v>1</v>
      </c>
    </row>
    <row r="419" spans="1:7" x14ac:dyDescent="0.25">
      <c r="A419" t="str">
        <f>B419&amp;"-"&amp;COUNTIF($B$2:B419,B419)</f>
        <v>I. PULPA LIMON-34</v>
      </c>
      <c r="B419" s="36" t="s">
        <v>106</v>
      </c>
      <c r="C419">
        <f>VLOOKUP(B419,RECETAS!D418:$E$1700,2,FALSE)</f>
        <v>20</v>
      </c>
      <c r="D419" s="34"/>
      <c r="G419" t="b">
        <f t="shared" si="266"/>
        <v>1</v>
      </c>
    </row>
    <row r="420" spans="1:7" ht="15.75" thickBot="1" x14ac:dyDescent="0.3">
      <c r="A420" t="str">
        <f>B420&amp;"-"&amp;COUNTIF($B$2:B420,B420)</f>
        <v>I. ABSOLUT AZUL-2</v>
      </c>
      <c r="B420" s="40" t="s">
        <v>43</v>
      </c>
      <c r="C420">
        <f>VLOOKUP(B420,RECETAS!D419:$E$1700,2,FALSE)</f>
        <v>75</v>
      </c>
      <c r="D420" s="32"/>
      <c r="G420" t="b">
        <f t="shared" si="266"/>
        <v>1</v>
      </c>
    </row>
    <row r="421" spans="1:7" x14ac:dyDescent="0.25">
      <c r="A421" t="str">
        <f>B421&amp;"-"&amp;COUNTIF($B$2:B421,B421)</f>
        <v>I. MENTA-10</v>
      </c>
      <c r="B421" s="46" t="s">
        <v>637</v>
      </c>
      <c r="C421">
        <f>VLOOKUP(B421,RECETAS!D420:$E$1700,2,FALSE)</f>
        <v>1</v>
      </c>
      <c r="D421" s="25" t="s">
        <v>400</v>
      </c>
      <c r="G421" t="b">
        <f t="shared" si="266"/>
        <v>1</v>
      </c>
    </row>
    <row r="422" spans="1:7" x14ac:dyDescent="0.25">
      <c r="A422" t="str">
        <f>B422&amp;"-"&amp;COUNTIF($B$2:B422,B422)</f>
        <v>I. LIMON PICA-15</v>
      </c>
      <c r="B422" s="36" t="s">
        <v>636</v>
      </c>
      <c r="C422">
        <f>VLOOKUP(B422,RECETAS!D421:$E$1700,2,FALSE)</f>
        <v>1</v>
      </c>
      <c r="D422" s="34"/>
      <c r="G422" t="b">
        <f t="shared" si="266"/>
        <v>1</v>
      </c>
    </row>
    <row r="423" spans="1:7" x14ac:dyDescent="0.25">
      <c r="A423" t="str">
        <f>B423&amp;"-"&amp;COUNTIF($B$2:B423,B423)</f>
        <v>I. MINERAL1.6LT  C/G-5</v>
      </c>
      <c r="B423" s="36" t="s">
        <v>97</v>
      </c>
      <c r="C423">
        <f>VLOOKUP(B423,RECETAS!D422:$E$1700,2,FALSE)</f>
        <v>50</v>
      </c>
      <c r="D423" s="34"/>
      <c r="G423" t="b">
        <f t="shared" si="266"/>
        <v>1</v>
      </c>
    </row>
    <row r="424" spans="1:7" x14ac:dyDescent="0.25">
      <c r="A424" t="str">
        <f>B424&amp;"-"&amp;COUNTIF($B$2:B424,B424)</f>
        <v>I. AZUCAR FLOR-45</v>
      </c>
      <c r="B424" s="36" t="s">
        <v>51</v>
      </c>
      <c r="C424">
        <f>VLOOKUP(B424,RECETAS!D423:$E$1700,2,FALSE)</f>
        <v>20</v>
      </c>
      <c r="D424" s="34"/>
      <c r="G424" t="b">
        <f t="shared" si="266"/>
        <v>1</v>
      </c>
    </row>
    <row r="425" spans="1:7" x14ac:dyDescent="0.25">
      <c r="A425" t="str">
        <f>B425&amp;"-"&amp;COUNTIF($B$2:B425,B425)</f>
        <v>I. PULPA LIMON-35</v>
      </c>
      <c r="B425" s="36" t="s">
        <v>106</v>
      </c>
      <c r="C425">
        <f>VLOOKUP(B425,RECETAS!D424:$E$1700,2,FALSE)</f>
        <v>20</v>
      </c>
      <c r="D425" s="34"/>
      <c r="G425" t="b">
        <f t="shared" si="266"/>
        <v>1</v>
      </c>
    </row>
    <row r="426" spans="1:7" ht="15.75" thickBot="1" x14ac:dyDescent="0.3">
      <c r="A426" t="str">
        <f>B426&amp;"-"&amp;COUNTIF($B$2:B426,B426)</f>
        <v>I. ABSOLUT RASPERRI-2</v>
      </c>
      <c r="B426" s="40" t="s">
        <v>45</v>
      </c>
      <c r="C426">
        <f>VLOOKUP(B426,RECETAS!D425:$E$1700,2,FALSE)</f>
        <v>75</v>
      </c>
      <c r="D426" s="32"/>
      <c r="G426" t="b">
        <f t="shared" si="266"/>
        <v>1</v>
      </c>
    </row>
    <row r="427" spans="1:7" x14ac:dyDescent="0.25">
      <c r="A427" t="str">
        <f>B427&amp;"-"&amp;COUNTIF($B$2:B427,B427)</f>
        <v>I. MENTA-11</v>
      </c>
      <c r="B427" s="46" t="s">
        <v>637</v>
      </c>
      <c r="C427">
        <f>VLOOKUP(B427,RECETAS!D426:$E$1700,2,FALSE)</f>
        <v>1</v>
      </c>
      <c r="D427" s="25" t="s">
        <v>401</v>
      </c>
      <c r="G427" t="b">
        <f t="shared" si="266"/>
        <v>1</v>
      </c>
    </row>
    <row r="428" spans="1:7" x14ac:dyDescent="0.25">
      <c r="A428" t="str">
        <f>B428&amp;"-"&amp;COUNTIF($B$2:B428,B428)</f>
        <v>I. MINERAL1.6LT  C/G-6</v>
      </c>
      <c r="B428" s="36" t="s">
        <v>97</v>
      </c>
      <c r="C428">
        <f>VLOOKUP(B428,RECETAS!D427:$E$1700,2,FALSE)</f>
        <v>50</v>
      </c>
      <c r="D428" s="34"/>
      <c r="G428" t="b">
        <f t="shared" si="266"/>
        <v>1</v>
      </c>
    </row>
    <row r="429" spans="1:7" x14ac:dyDescent="0.25">
      <c r="A429" t="str">
        <f>B429&amp;"-"&amp;COUNTIF($B$2:B429,B429)</f>
        <v>I. LIMON PICA-16</v>
      </c>
      <c r="B429" s="36" t="s">
        <v>636</v>
      </c>
      <c r="C429">
        <f>VLOOKUP(B429,RECETAS!D428:$E$1700,2,FALSE)</f>
        <v>1</v>
      </c>
      <c r="D429" s="34"/>
      <c r="G429" t="b">
        <f t="shared" si="266"/>
        <v>1</v>
      </c>
    </row>
    <row r="430" spans="1:7" x14ac:dyDescent="0.25">
      <c r="A430" t="str">
        <f>B430&amp;"-"&amp;COUNTIF($B$2:B430,B430)</f>
        <v>I. AZUCAR FLOR-46</v>
      </c>
      <c r="B430" s="36" t="s">
        <v>51</v>
      </c>
      <c r="C430">
        <f>VLOOKUP(B430,RECETAS!D429:$E$1700,2,FALSE)</f>
        <v>20</v>
      </c>
      <c r="D430" s="34"/>
      <c r="G430" t="b">
        <f t="shared" si="266"/>
        <v>1</v>
      </c>
    </row>
    <row r="431" spans="1:7" x14ac:dyDescent="0.25">
      <c r="A431" t="str">
        <f>B431&amp;"-"&amp;COUNTIF($B$2:B431,B431)</f>
        <v>I. PULPA LIMON-36</v>
      </c>
      <c r="B431" s="36" t="s">
        <v>106</v>
      </c>
      <c r="C431">
        <f>VLOOKUP(B431,RECETAS!D430:$E$1700,2,FALSE)</f>
        <v>20</v>
      </c>
      <c r="D431" s="34"/>
      <c r="G431" t="b">
        <f t="shared" si="266"/>
        <v>1</v>
      </c>
    </row>
    <row r="432" spans="1:7" ht="15.75" thickBot="1" x14ac:dyDescent="0.3">
      <c r="A432" t="str">
        <f>B432&amp;"-"&amp;COUNTIF($B$2:B432,B432)</f>
        <v>I. ABSOLUT VAINILLA-2</v>
      </c>
      <c r="B432" s="40" t="s">
        <v>46</v>
      </c>
      <c r="C432">
        <f>VLOOKUP(B432,RECETAS!D431:$E$1700,2,FALSE)</f>
        <v>75</v>
      </c>
      <c r="D432" s="32"/>
      <c r="G432" t="b">
        <f t="shared" si="266"/>
        <v>1</v>
      </c>
    </row>
    <row r="433" spans="1:7" x14ac:dyDescent="0.25">
      <c r="A433" t="str">
        <f>B433&amp;"-"&amp;COUNTIF($B$2:B433,B433)</f>
        <v>I. MENTA-12</v>
      </c>
      <c r="B433" s="46" t="s">
        <v>637</v>
      </c>
      <c r="C433">
        <f>VLOOKUP(B433,RECETAS!D432:$E$1700,2,FALSE)</f>
        <v>2</v>
      </c>
      <c r="D433" s="25" t="s">
        <v>402</v>
      </c>
      <c r="G433" t="b">
        <f t="shared" si="266"/>
        <v>1</v>
      </c>
    </row>
    <row r="434" spans="1:7" x14ac:dyDescent="0.25">
      <c r="A434" t="str">
        <f>B434&amp;"-"&amp;COUNTIF($B$2:B434,B434)</f>
        <v>I. LIMON PICA-17</v>
      </c>
      <c r="B434" s="36" t="s">
        <v>636</v>
      </c>
      <c r="C434">
        <f>VLOOKUP(B434,RECETAS!D433:$E$1700,2,FALSE)</f>
        <v>2</v>
      </c>
      <c r="D434" s="34"/>
      <c r="G434" t="b">
        <f t="shared" si="266"/>
        <v>1</v>
      </c>
    </row>
    <row r="435" spans="1:7" x14ac:dyDescent="0.25">
      <c r="A435" t="str">
        <f>B435&amp;"-"&amp;COUNTIF($B$2:B435,B435)</f>
        <v>I. MINERAL1.6LT  C/G-7</v>
      </c>
      <c r="B435" s="36" t="s">
        <v>97</v>
      </c>
      <c r="C435">
        <f>VLOOKUP(B435,RECETAS!D434:$E$1700,2,FALSE)</f>
        <v>100</v>
      </c>
      <c r="D435" s="34"/>
      <c r="G435" t="b">
        <f t="shared" si="266"/>
        <v>1</v>
      </c>
    </row>
    <row r="436" spans="1:7" x14ac:dyDescent="0.25">
      <c r="A436" t="str">
        <f>B436&amp;"-"&amp;COUNTIF($B$2:B436,B436)</f>
        <v>I. AZUCAR FLOR-47</v>
      </c>
      <c r="B436" s="36" t="s">
        <v>51</v>
      </c>
      <c r="C436">
        <f>VLOOKUP(B436,RECETAS!D435:$E$1700,2,FALSE)</f>
        <v>40</v>
      </c>
      <c r="D436" s="34"/>
      <c r="G436" t="b">
        <f t="shared" si="266"/>
        <v>1</v>
      </c>
    </row>
    <row r="437" spans="1:7" x14ac:dyDescent="0.25">
      <c r="A437" t="str">
        <f>B437&amp;"-"&amp;COUNTIF($B$2:B437,B437)</f>
        <v>I. PULPA LIMON-37</v>
      </c>
      <c r="B437" s="36" t="s">
        <v>106</v>
      </c>
      <c r="C437">
        <f>VLOOKUP(B437,RECETAS!D436:$E$1700,2,FALSE)</f>
        <v>40</v>
      </c>
      <c r="D437" s="34"/>
      <c r="G437" t="b">
        <f t="shared" si="266"/>
        <v>1</v>
      </c>
    </row>
    <row r="438" spans="1:7" ht="15.75" thickBot="1" x14ac:dyDescent="0.3">
      <c r="A438" t="str">
        <f>B438&amp;"-"&amp;COUNTIF($B$2:B438,B438)</f>
        <v>I. ABSOLUT MANGO-2</v>
      </c>
      <c r="B438" s="40" t="s">
        <v>44</v>
      </c>
      <c r="C438">
        <f>VLOOKUP(B438,RECETAS!D437:$E$1700,2,FALSE)</f>
        <v>150</v>
      </c>
      <c r="D438" s="32"/>
      <c r="G438" t="b">
        <f t="shared" si="266"/>
        <v>1</v>
      </c>
    </row>
    <row r="439" spans="1:7" x14ac:dyDescent="0.25">
      <c r="A439" t="str">
        <f>B439&amp;"-"&amp;COUNTIF($B$2:B439,B439)</f>
        <v>I. MENTA-13</v>
      </c>
      <c r="B439" s="46" t="s">
        <v>637</v>
      </c>
      <c r="C439">
        <f>VLOOKUP(B439,RECETAS!D438:$E$1700,2,FALSE)</f>
        <v>42</v>
      </c>
      <c r="D439" s="25" t="s">
        <v>403</v>
      </c>
      <c r="G439" t="b">
        <f t="shared" si="266"/>
        <v>1</v>
      </c>
    </row>
    <row r="440" spans="1:7" x14ac:dyDescent="0.25">
      <c r="A440" t="str">
        <f>B440&amp;"-"&amp;COUNTIF($B$2:B440,B440)</f>
        <v>I. LIMON PICA-18</v>
      </c>
      <c r="B440" s="36" t="s">
        <v>636</v>
      </c>
      <c r="C440">
        <f>VLOOKUP(B440,RECETAS!D439:$E$1700,2,FALSE)</f>
        <v>42</v>
      </c>
      <c r="D440" s="34"/>
      <c r="G440" t="b">
        <f t="shared" si="266"/>
        <v>1</v>
      </c>
    </row>
    <row r="441" spans="1:7" x14ac:dyDescent="0.25">
      <c r="A441" t="str">
        <f>B441&amp;"-"&amp;COUNTIF($B$2:B441,B441)</f>
        <v>I. MINERAL1.6LT  C/G-8</v>
      </c>
      <c r="B441" s="36" t="s">
        <v>97</v>
      </c>
      <c r="C441">
        <f>VLOOKUP(B441,RECETAS!D440:$E$1700,2,FALSE)</f>
        <v>2100</v>
      </c>
      <c r="D441" s="34"/>
      <c r="G441" t="b">
        <f t="shared" si="266"/>
        <v>1</v>
      </c>
    </row>
    <row r="442" spans="1:7" x14ac:dyDescent="0.25">
      <c r="A442" t="str">
        <f>B442&amp;"-"&amp;COUNTIF($B$2:B442,B442)</f>
        <v>I. AZUCAR FLOR-48</v>
      </c>
      <c r="B442" s="36" t="s">
        <v>51</v>
      </c>
      <c r="C442">
        <f>VLOOKUP(B442,RECETAS!D441:$E$1700,2,FALSE)</f>
        <v>840</v>
      </c>
      <c r="D442" s="34"/>
      <c r="G442" t="b">
        <f t="shared" si="266"/>
        <v>1</v>
      </c>
    </row>
    <row r="443" spans="1:7" x14ac:dyDescent="0.25">
      <c r="A443" t="str">
        <f>B443&amp;"-"&amp;COUNTIF($B$2:B443,B443)</f>
        <v>I. PULPA LIMON-38</v>
      </c>
      <c r="B443" s="36" t="s">
        <v>106</v>
      </c>
      <c r="C443">
        <f>VLOOKUP(B443,RECETAS!D442:$E$1700,2,FALSE)</f>
        <v>840</v>
      </c>
      <c r="D443" s="34"/>
      <c r="G443" t="b">
        <f t="shared" si="266"/>
        <v>1</v>
      </c>
    </row>
    <row r="444" spans="1:7" x14ac:dyDescent="0.25">
      <c r="A444" t="str">
        <f>B444&amp;"-"&amp;COUNTIF($B$2:B444,B444)</f>
        <v>I. RON BLANCO BATALLA-12</v>
      </c>
      <c r="B444" s="36" t="s">
        <v>116</v>
      </c>
      <c r="C444">
        <f>VLOOKUP(B444,RECETAS!D443:$E$1700,2,FALSE)</f>
        <v>3150</v>
      </c>
      <c r="D444" s="34"/>
      <c r="G444" t="b">
        <f t="shared" si="266"/>
        <v>1</v>
      </c>
    </row>
    <row r="445" spans="1:7" ht="15.75" thickBot="1" x14ac:dyDescent="0.3">
      <c r="A445" t="str">
        <f>B445&amp;"-"&amp;COUNTIF($B$2:B445,B445)</f>
        <v>I. CORONA-1</v>
      </c>
      <c r="B445" s="40" t="s">
        <v>65</v>
      </c>
      <c r="C445">
        <f>VLOOKUP(B445,RECETAS!D444:$E$1700,2,FALSE)</f>
        <v>42</v>
      </c>
      <c r="D445" s="32"/>
      <c r="G445" t="b">
        <f t="shared" si="266"/>
        <v>1</v>
      </c>
    </row>
    <row r="446" spans="1:7" x14ac:dyDescent="0.25">
      <c r="A446" t="str">
        <f>B446&amp;"-"&amp;COUNTIF($B$2:B446,B446)</f>
        <v>I. MENTA-14</v>
      </c>
      <c r="B446" s="46" t="s">
        <v>637</v>
      </c>
      <c r="C446">
        <f>VLOOKUP(B446,RECETAS!D445:$E$1700,2,FALSE)</f>
        <v>0</v>
      </c>
      <c r="D446" s="25"/>
      <c r="G446" t="b">
        <f t="shared" si="266"/>
        <v>1</v>
      </c>
    </row>
    <row r="447" spans="1:7" x14ac:dyDescent="0.25">
      <c r="A447" t="str">
        <f>B447&amp;"-"&amp;COUNTIF($B$2:B447,B447)</f>
        <v>I. LIMON PICA-19</v>
      </c>
      <c r="B447" s="36" t="s">
        <v>636</v>
      </c>
      <c r="C447">
        <f>VLOOKUP(B447,RECETAS!D446:$E$1700,2,FALSE)</f>
        <v>0</v>
      </c>
      <c r="D447" s="34"/>
      <c r="G447" t="b">
        <f t="shared" si="266"/>
        <v>1</v>
      </c>
    </row>
    <row r="448" spans="1:7" x14ac:dyDescent="0.25">
      <c r="A448" t="str">
        <f>B448&amp;"-"&amp;COUNTIF($B$2:B448,B448)</f>
        <v>I. MINERAL1.6LT  C/G-9</v>
      </c>
      <c r="B448" s="36" t="s">
        <v>97</v>
      </c>
      <c r="C448">
        <f>VLOOKUP(B448,RECETAS!D447:$E$1700,2,FALSE)</f>
        <v>0</v>
      </c>
      <c r="D448" s="34"/>
      <c r="G448" t="b">
        <f t="shared" si="266"/>
        <v>1</v>
      </c>
    </row>
    <row r="449" spans="1:7" x14ac:dyDescent="0.25">
      <c r="A449" t="str">
        <f>B449&amp;"-"&amp;COUNTIF($B$2:B449,B449)</f>
        <v>I. AZUCAR FLOR-49</v>
      </c>
      <c r="B449" s="36" t="s">
        <v>51</v>
      </c>
      <c r="C449">
        <f>VLOOKUP(B449,RECETAS!D448:$E$1700,2,FALSE)</f>
        <v>0</v>
      </c>
      <c r="D449" s="34"/>
      <c r="G449" t="b">
        <f t="shared" si="266"/>
        <v>1</v>
      </c>
    </row>
    <row r="450" spans="1:7" x14ac:dyDescent="0.25">
      <c r="A450" t="str">
        <f>B450&amp;"-"&amp;COUNTIF($B$2:B450,B450)</f>
        <v>I. PULPA LIMON-39</v>
      </c>
      <c r="B450" s="36" t="s">
        <v>106</v>
      </c>
      <c r="C450">
        <f>VLOOKUP(B450,RECETAS!D449:$E$1700,2,FALSE)</f>
        <v>0</v>
      </c>
      <c r="D450" s="34"/>
      <c r="G450" t="b">
        <f t="shared" si="266"/>
        <v>1</v>
      </c>
    </row>
    <row r="451" spans="1:7" ht="15.75" thickBot="1" x14ac:dyDescent="0.3">
      <c r="A451" t="str">
        <f>B451&amp;"-"&amp;COUNTIF($B$2:B451,B451)</f>
        <v>I. STOLI PEPINO-1</v>
      </c>
      <c r="B451" s="40" t="s">
        <v>577</v>
      </c>
      <c r="C451">
        <f>VLOOKUP(B451,RECETAS!D450:$E$1700,2,FALSE)</f>
        <v>0</v>
      </c>
      <c r="D451" s="32"/>
      <c r="G451" t="b">
        <f t="shared" ref="G451:G514" si="267">IFERROR(IF(MATCH(B451,I:I,0) &lt;&gt; "", TRUE,""),FALSE)</f>
        <v>1</v>
      </c>
    </row>
    <row r="452" spans="1:7" x14ac:dyDescent="0.25">
      <c r="A452" t="str">
        <f>B452&amp;"-"&amp;COUNTIF($B$2:B452,B452)</f>
        <v>I. GRANADINA-3</v>
      </c>
      <c r="B452" s="46" t="s">
        <v>82</v>
      </c>
      <c r="C452">
        <f>VLOOKUP(B452,RECETAS!D451:$E$1700,2,FALSE)</f>
        <v>450</v>
      </c>
      <c r="D452" s="25" t="s">
        <v>217</v>
      </c>
      <c r="G452" t="b">
        <f t="shared" si="267"/>
        <v>1</v>
      </c>
    </row>
    <row r="453" spans="1:7" x14ac:dyDescent="0.25">
      <c r="A453" t="str">
        <f>B453&amp;"-"&amp;COUNTIF($B$2:B453,B453)</f>
        <v>I. JUGO PINA 1 LTS-8</v>
      </c>
      <c r="B453" s="36" t="s">
        <v>90</v>
      </c>
      <c r="C453">
        <f>VLOOKUP(B453,RECETAS!D452:$E$1700,2,FALSE)</f>
        <v>1125</v>
      </c>
      <c r="D453" s="34"/>
      <c r="G453" t="b">
        <f t="shared" si="267"/>
        <v>1</v>
      </c>
    </row>
    <row r="454" spans="1:7" x14ac:dyDescent="0.25">
      <c r="A454" t="str">
        <f>B454&amp;"-"&amp;COUNTIF($B$2:B454,B454)</f>
        <v>I. JUGO NARANJA-3</v>
      </c>
      <c r="B454" s="36" t="s">
        <v>89</v>
      </c>
      <c r="C454">
        <f>VLOOKUP(B454,RECETAS!D453:$E$1700,2,FALSE)</f>
        <v>1125</v>
      </c>
      <c r="D454" s="34"/>
      <c r="G454" t="b">
        <f t="shared" si="267"/>
        <v>1</v>
      </c>
    </row>
    <row r="455" spans="1:7" ht="15.75" thickBot="1" x14ac:dyDescent="0.3">
      <c r="A455" t="str">
        <f>B455&amp;"-"&amp;COUNTIF($B$2:B455,B455)</f>
        <v>I. VODKA BATALLA-10</v>
      </c>
      <c r="B455" s="40" t="s">
        <v>129</v>
      </c>
      <c r="C455">
        <f>VLOOKUP(B455,RECETAS!D454:$E$1700,2,FALSE)</f>
        <v>1125</v>
      </c>
      <c r="D455" s="32"/>
      <c r="G455" t="b">
        <f t="shared" si="267"/>
        <v>1</v>
      </c>
    </row>
    <row r="456" spans="1:7" x14ac:dyDescent="0.25">
      <c r="A456" t="str">
        <f>B456&amp;"-"&amp;COUNTIF($B$2:B456,B456)</f>
        <v>I. TEQUILA BATALLA-6</v>
      </c>
      <c r="B456" s="37" t="s">
        <v>123</v>
      </c>
      <c r="C456">
        <f>VLOOKUP(B456,RECETAS!D455:$E$1700,2,FALSE)</f>
        <v>0</v>
      </c>
      <c r="D456" s="25" t="s">
        <v>404</v>
      </c>
      <c r="G456" t="b">
        <f t="shared" si="267"/>
        <v>1</v>
      </c>
    </row>
    <row r="457" spans="1:7" x14ac:dyDescent="0.25">
      <c r="A457" t="str">
        <f>B457&amp;"-"&amp;COUNTIF($B$2:B457,B457)</f>
        <v>I. LICOR DE CAFÉ-2</v>
      </c>
      <c r="B457" s="103" t="s">
        <v>659</v>
      </c>
      <c r="C457">
        <f>VLOOKUP(B457,RECETAS!D456:$E$1700,2,FALSE)</f>
        <v>0</v>
      </c>
      <c r="D457" s="34"/>
      <c r="G457" t="b">
        <f t="shared" si="267"/>
        <v>1</v>
      </c>
    </row>
    <row r="458" spans="1:7" x14ac:dyDescent="0.25">
      <c r="A458" t="str">
        <f>B458&amp;"-"&amp;COUNTIF($B$2:B458,B458)</f>
        <v>I. CREMA ESPESA-22</v>
      </c>
      <c r="B458" s="38" t="s">
        <v>16</v>
      </c>
      <c r="C458">
        <f>VLOOKUP(B458,RECETAS!D457:$E$1700,2,FALSE)</f>
        <v>0</v>
      </c>
      <c r="D458" s="34"/>
      <c r="G458" t="b">
        <f t="shared" si="267"/>
        <v>1</v>
      </c>
    </row>
    <row r="459" spans="1:7" ht="15.75" thickBot="1" x14ac:dyDescent="0.3">
      <c r="A459" t="str">
        <f>B459&amp;"-"&amp;COUNTIF($B$2:B459,B459)</f>
        <v>I. ESENCIA COCO-5</v>
      </c>
      <c r="B459" s="41" t="s">
        <v>134</v>
      </c>
      <c r="C459">
        <f>VLOOKUP(B459,RECETAS!D458:$E$1700,2,FALSE)</f>
        <v>0</v>
      </c>
      <c r="D459" s="27"/>
      <c r="G459" t="b">
        <f t="shared" si="267"/>
        <v>1</v>
      </c>
    </row>
    <row r="460" spans="1:7" x14ac:dyDescent="0.25">
      <c r="A460" t="str">
        <f>B460&amp;"-"&amp;COUNTIF($B$2:B460,B460)</f>
        <v>I. LICOR DE CAFÉ-3</v>
      </c>
      <c r="B460" s="45" t="s">
        <v>659</v>
      </c>
      <c r="C460">
        <f>VLOOKUP(B460,RECETAS!D459:$E$1700,2,FALSE)</f>
        <v>245</v>
      </c>
      <c r="D460" s="25" t="s">
        <v>155</v>
      </c>
      <c r="G460" t="b">
        <f t="shared" si="267"/>
        <v>1</v>
      </c>
    </row>
    <row r="461" spans="1:7" x14ac:dyDescent="0.25">
      <c r="A461" t="str">
        <f>B461&amp;"-"&amp;COUNTIF($B$2:B461,B461)</f>
        <v>I. CREMA ESPESA-23</v>
      </c>
      <c r="B461" s="36" t="s">
        <v>16</v>
      </c>
      <c r="C461">
        <f>VLOOKUP(B461,RECETAS!D460:$E$1700,2,FALSE)</f>
        <v>1050</v>
      </c>
      <c r="D461" s="34"/>
      <c r="G461" t="b">
        <f t="shared" si="267"/>
        <v>1</v>
      </c>
    </row>
    <row r="462" spans="1:7" ht="15.75" thickBot="1" x14ac:dyDescent="0.3">
      <c r="A462" t="str">
        <f>B462&amp;"-"&amp;COUNTIF($B$2:B462,B462)</f>
        <v>I. VODKA BATALLA-11</v>
      </c>
      <c r="B462" s="40" t="s">
        <v>129</v>
      </c>
      <c r="C462">
        <f>VLOOKUP(B462,RECETAS!D461:$E$1700,2,FALSE)</f>
        <v>525</v>
      </c>
      <c r="D462" s="32"/>
      <c r="G462" t="b">
        <f t="shared" si="267"/>
        <v>1</v>
      </c>
    </row>
    <row r="463" spans="1:7" ht="15.75" thickBot="1" x14ac:dyDescent="0.3">
      <c r="A463" t="str">
        <f>B463&amp;"-"&amp;COUNTIF($B$2:B463,B463)</f>
        <v>I. BARRIL BECKER-1</v>
      </c>
      <c r="B463" s="48" t="s">
        <v>220</v>
      </c>
      <c r="C463">
        <f>VLOOKUP(B463,RECETAS!D462:$E$1700,2,FALSE)</f>
        <v>19500</v>
      </c>
      <c r="D463" s="18" t="s">
        <v>405</v>
      </c>
      <c r="G463" t="b">
        <f t="shared" si="267"/>
        <v>1</v>
      </c>
    </row>
    <row r="464" spans="1:7" ht="15.75" thickBot="1" x14ac:dyDescent="0.3">
      <c r="A464" t="str">
        <f>B464&amp;"-"&amp;COUNTIF($B$2:B464,B464)</f>
        <v>I. BARRIL GOOSE IPA-1</v>
      </c>
      <c r="B464" s="52" t="s">
        <v>218</v>
      </c>
      <c r="C464">
        <f>VLOOKUP(B464,RECETAS!D463:$E$1700,2,FALSE)</f>
        <v>0</v>
      </c>
      <c r="D464" s="49" t="s">
        <v>406</v>
      </c>
      <c r="G464" t="b">
        <f t="shared" si="267"/>
        <v>1</v>
      </c>
    </row>
    <row r="465" spans="1:7" ht="15.75" thickBot="1" x14ac:dyDescent="0.3">
      <c r="A465" t="str">
        <f>B465&amp;"-"&amp;COUNTIF($B$2:B465,B465)</f>
        <v>I. BARRIL HOEGARDN-1</v>
      </c>
      <c r="B465" s="48" t="s">
        <v>221</v>
      </c>
      <c r="C465">
        <f>VLOOKUP(B465,RECETAS!D464:$E$1700,2,FALSE)</f>
        <v>0</v>
      </c>
      <c r="D465" s="18" t="s">
        <v>407</v>
      </c>
      <c r="G465" t="b">
        <f t="shared" si="267"/>
        <v>1</v>
      </c>
    </row>
    <row r="466" spans="1:7" ht="15.75" thickBot="1" x14ac:dyDescent="0.3">
      <c r="A466" t="str">
        <f>B466&amp;"-"&amp;COUNTIF($B$2:B466,B466)</f>
        <v>I. BARRIL STELLA -1</v>
      </c>
      <c r="B466" s="52" t="s">
        <v>219</v>
      </c>
      <c r="C466">
        <f>VLOOKUP(B466,RECETAS!D465:$E$1700,2,FALSE)</f>
        <v>63500</v>
      </c>
      <c r="D466" s="49" t="s">
        <v>408</v>
      </c>
      <c r="G466" t="b">
        <f t="shared" si="267"/>
        <v>1</v>
      </c>
    </row>
    <row r="467" spans="1:7" ht="15.75" thickBot="1" x14ac:dyDescent="0.3">
      <c r="A467" t="str">
        <f>B467&amp;"-"&amp;COUNTIF($B$2:B467,B467)</f>
        <v>I. BARRIL CUSQUENA-1</v>
      </c>
      <c r="B467" s="47" t="s">
        <v>310</v>
      </c>
      <c r="C467">
        <f>VLOOKUP(B467,RECETAS!D466:$E$1700,2,FALSE)</f>
        <v>0</v>
      </c>
      <c r="D467" s="18" t="s">
        <v>309</v>
      </c>
      <c r="G467" t="b">
        <f t="shared" si="267"/>
        <v>1</v>
      </c>
    </row>
    <row r="468" spans="1:7" ht="15.75" thickBot="1" x14ac:dyDescent="0.3">
      <c r="A468" t="str">
        <f>B468&amp;"-"&amp;COUNTIF($B$2:B468,B468)</f>
        <v>I. CORONA-2</v>
      </c>
      <c r="B468" s="48" t="s">
        <v>65</v>
      </c>
      <c r="C468">
        <f>VLOOKUP(B468,RECETAS!D467:$E$1700,2,FALSE)</f>
        <v>11</v>
      </c>
      <c r="D468" s="18" t="s">
        <v>409</v>
      </c>
      <c r="G468" t="b">
        <f t="shared" si="267"/>
        <v>1</v>
      </c>
    </row>
    <row r="469" spans="1:7" ht="15.75" thickBot="1" x14ac:dyDescent="0.3">
      <c r="A469" t="str">
        <f>B469&amp;"-"&amp;COUNTIF($B$2:B469,B469)</f>
        <v>I. STELLA ARTOIS-1</v>
      </c>
      <c r="B469" s="70" t="s">
        <v>121</v>
      </c>
      <c r="C469">
        <f>VLOOKUP(B469,RECETAS!D468:$E$1700,2,FALSE)</f>
        <v>4</v>
      </c>
      <c r="D469" s="18" t="s">
        <v>410</v>
      </c>
      <c r="G469" t="b">
        <f t="shared" si="267"/>
        <v>1</v>
      </c>
    </row>
    <row r="470" spans="1:7" ht="15.75" thickBot="1" x14ac:dyDescent="0.3">
      <c r="A470" t="str">
        <f>B470&amp;"-"&amp;COUNTIF($B$2:B470,B470)</f>
        <v>I. BUDWEISER-1</v>
      </c>
      <c r="B470" s="48" t="s">
        <v>56</v>
      </c>
      <c r="C470">
        <f>VLOOKUP(B470,RECETAS!D469:$E$1700,2,FALSE)</f>
        <v>2</v>
      </c>
      <c r="D470" s="18" t="s">
        <v>411</v>
      </c>
      <c r="G470" t="b">
        <f t="shared" si="267"/>
        <v>1</v>
      </c>
    </row>
    <row r="471" spans="1:7" ht="15.75" thickBot="1" x14ac:dyDescent="0.3">
      <c r="A471" t="str">
        <f>B471&amp;"-"&amp;COUNTIF($B$2:B471,B471)</f>
        <v>I. CUSQUENA GOLDEN-1</v>
      </c>
      <c r="B471" s="71" t="s">
        <v>660</v>
      </c>
      <c r="C471">
        <f>VLOOKUP(B471,RECETAS!D470:$E$1700,2,FALSE)</f>
        <v>1</v>
      </c>
      <c r="D471" s="18" t="s">
        <v>578</v>
      </c>
      <c r="G471" t="b">
        <f t="shared" si="267"/>
        <v>1</v>
      </c>
    </row>
    <row r="472" spans="1:7" ht="15.75" thickBot="1" x14ac:dyDescent="0.3">
      <c r="A472" t="str">
        <f>B472&amp;"-"&amp;COUNTIF($B$2:B472,B472)</f>
        <v>I. CUSQUENA DARK-1</v>
      </c>
      <c r="B472" s="73" t="s">
        <v>661</v>
      </c>
      <c r="C472">
        <f>VLOOKUP(B472,RECETAS!D471:$E$1700,2,FALSE)</f>
        <v>0</v>
      </c>
      <c r="D472" s="72" t="s">
        <v>579</v>
      </c>
      <c r="G472" t="b">
        <f t="shared" si="267"/>
        <v>1</v>
      </c>
    </row>
    <row r="473" spans="1:7" ht="15.75" thickBot="1" x14ac:dyDescent="0.3">
      <c r="A473" t="str">
        <f>B473&amp;"-"&amp;COUNTIF($B$2:B473,B473)</f>
        <v>I. CUSQUENA RED LAGER-1</v>
      </c>
      <c r="B473" s="71" t="s">
        <v>662</v>
      </c>
      <c r="C473">
        <f>VLOOKUP(B473,RECETAS!D472:$E$1700,2,FALSE)</f>
        <v>0</v>
      </c>
      <c r="D473" s="18" t="s">
        <v>580</v>
      </c>
      <c r="G473" t="b">
        <f t="shared" si="267"/>
        <v>1</v>
      </c>
    </row>
    <row r="474" spans="1:7" ht="15.75" thickBot="1" x14ac:dyDescent="0.3">
      <c r="A474" t="str">
        <f>B474&amp;"-"&amp;COUNTIF($B$2:B474,B474)</f>
        <v>I. CUSQUENA TRIGO-1</v>
      </c>
      <c r="B474" s="71" t="s">
        <v>68</v>
      </c>
      <c r="C474">
        <f>VLOOKUP(B474,RECETAS!D473:$E$1700,2,FALSE)</f>
        <v>0</v>
      </c>
      <c r="D474" s="18" t="s">
        <v>581</v>
      </c>
      <c r="G474" t="b">
        <f t="shared" si="267"/>
        <v>1</v>
      </c>
    </row>
    <row r="475" spans="1:7" ht="15.75" thickBot="1" x14ac:dyDescent="0.3">
      <c r="A475" t="str">
        <f>B475&amp;"-"&amp;COUNTIF($B$2:B475,B475)</f>
        <v>I. BECK,S-1</v>
      </c>
      <c r="B475" s="48" t="s">
        <v>52</v>
      </c>
      <c r="C475">
        <f>VLOOKUP(B475,RECETAS!D474:$E$1700,2,FALSE)</f>
        <v>0</v>
      </c>
      <c r="D475" s="18" t="s">
        <v>412</v>
      </c>
      <c r="G475" t="b">
        <f t="shared" si="267"/>
        <v>1</v>
      </c>
    </row>
    <row r="476" spans="1:7" ht="15.75" thickBot="1" x14ac:dyDescent="0.3">
      <c r="A476" t="str">
        <f>B476&amp;"-"&amp;COUNTIF($B$2:B476,B476)</f>
        <v>I. NEGRA MODELO-1</v>
      </c>
      <c r="B476" s="48" t="s">
        <v>101</v>
      </c>
      <c r="C476">
        <f>VLOOKUP(B476,RECETAS!D475:$E$1700,2,FALSE)</f>
        <v>0</v>
      </c>
      <c r="D476" s="18" t="s">
        <v>413</v>
      </c>
      <c r="G476" t="b">
        <f t="shared" si="267"/>
        <v>1</v>
      </c>
    </row>
    <row r="477" spans="1:7" ht="15.75" thickBot="1" x14ac:dyDescent="0.3">
      <c r="A477" t="str">
        <f>B477&amp;"-"&amp;COUNTIF($B$2:B477,B477)</f>
        <v>I. GOOSE IPA-1</v>
      </c>
      <c r="B477" s="48" t="s">
        <v>80</v>
      </c>
      <c r="C477">
        <f>VLOOKUP(B477,RECETAS!D476:$E$1700,2,FALSE)</f>
        <v>0</v>
      </c>
      <c r="D477" s="18" t="s">
        <v>414</v>
      </c>
      <c r="G477" t="b">
        <f t="shared" si="267"/>
        <v>1</v>
      </c>
    </row>
    <row r="478" spans="1:7" ht="15.75" thickBot="1" x14ac:dyDescent="0.3">
      <c r="A478" t="str">
        <f>B478&amp;"-"&amp;COUNTIF($B$2:B478,B478)</f>
        <v>I. GOOSE 312-1</v>
      </c>
      <c r="B478" s="48" t="s">
        <v>79</v>
      </c>
      <c r="C478">
        <f>VLOOKUP(B478,RECETAS!D477:$E$1700,2,FALSE)</f>
        <v>0</v>
      </c>
      <c r="D478" s="18" t="s">
        <v>415</v>
      </c>
      <c r="G478" t="b">
        <f t="shared" si="267"/>
        <v>1</v>
      </c>
    </row>
    <row r="479" spans="1:7" ht="15.75" thickBot="1" x14ac:dyDescent="0.3">
      <c r="A479" t="str">
        <f>B479&amp;"-"&amp;COUNTIF($B$2:B479,B479)</f>
        <v>I. GOOSE SOFI-1</v>
      </c>
      <c r="B479" s="48" t="s">
        <v>81</v>
      </c>
      <c r="C479">
        <f>VLOOKUP(B479,RECETAS!D478:$E$1700,2,FALSE)</f>
        <v>0</v>
      </c>
      <c r="D479" s="18" t="s">
        <v>416</v>
      </c>
      <c r="G479" t="b">
        <f t="shared" si="267"/>
        <v>1</v>
      </c>
    </row>
    <row r="480" spans="1:7" ht="15.75" thickBot="1" x14ac:dyDescent="0.3">
      <c r="A480" t="str">
        <f>B480&amp;"-"&amp;COUNTIF($B$2:B480,B480)</f>
        <v>I. BECKS S/ALCOHOL-1</v>
      </c>
      <c r="B480" s="74" t="s">
        <v>53</v>
      </c>
      <c r="C480">
        <f>VLOOKUP(B480,RECETAS!D479:$E$1700,2,FALSE)</f>
        <v>25</v>
      </c>
      <c r="D480" s="22" t="s">
        <v>417</v>
      </c>
      <c r="G480" t="b">
        <f t="shared" si="267"/>
        <v>1</v>
      </c>
    </row>
    <row r="481" spans="1:7" x14ac:dyDescent="0.25">
      <c r="A481" t="str">
        <f>B481&amp;"-"&amp;COUNTIF($B$2:B481,B481)</f>
        <v>I. CAMPARI-1</v>
      </c>
      <c r="B481" s="26" t="s">
        <v>58</v>
      </c>
      <c r="C481">
        <f>VLOOKUP(B481,RECETAS!D480:$E$1700,2,FALSE)</f>
        <v>0</v>
      </c>
      <c r="D481" s="25" t="s">
        <v>418</v>
      </c>
      <c r="G481" t="b">
        <f t="shared" si="267"/>
        <v>1</v>
      </c>
    </row>
    <row r="482" spans="1:7" ht="15.75" thickBot="1" x14ac:dyDescent="0.3">
      <c r="A482" t="str">
        <f>B482&amp;"-"&amp;COUNTIF($B$2:B482,B482)</f>
        <v>I. JUGO NARANJA-4</v>
      </c>
      <c r="B482" s="33" t="s">
        <v>89</v>
      </c>
      <c r="C482">
        <f>VLOOKUP(B482,RECETAS!D481:$E$1700,2,FALSE)</f>
        <v>0</v>
      </c>
      <c r="D482" s="32"/>
      <c r="G482" t="b">
        <f t="shared" si="267"/>
        <v>1</v>
      </c>
    </row>
    <row r="483" spans="1:7" x14ac:dyDescent="0.25">
      <c r="A483" t="str">
        <f>B483&amp;"-"&amp;COUNTIF($B$2:B483,B483)</f>
        <v>I. AMARETO-2</v>
      </c>
      <c r="B483" s="46" t="s">
        <v>656</v>
      </c>
      <c r="C483">
        <f>VLOOKUP(B483,RECETAS!D482:$E$1700,2,FALSE)</f>
        <v>150</v>
      </c>
      <c r="D483" s="25" t="s">
        <v>149</v>
      </c>
      <c r="G483" t="b">
        <f t="shared" si="267"/>
        <v>1</v>
      </c>
    </row>
    <row r="484" spans="1:7" ht="15.75" thickBot="1" x14ac:dyDescent="0.3">
      <c r="A484" t="str">
        <f>B484&amp;"-"&amp;COUNTIF($B$2:B484,B484)</f>
        <v>I. WISKY BATALLA-4</v>
      </c>
      <c r="B484" s="40" t="s">
        <v>130</v>
      </c>
      <c r="C484">
        <f>VLOOKUP(B484,RECETAS!D483:$E$1700,2,FALSE)</f>
        <v>150</v>
      </c>
      <c r="D484" s="32"/>
      <c r="G484" t="b">
        <f t="shared" si="267"/>
        <v>1</v>
      </c>
    </row>
    <row r="485" spans="1:7" x14ac:dyDescent="0.25">
      <c r="A485" t="str">
        <f>B485&amp;"-"&amp;COUNTIF($B$2:B485,B485)</f>
        <v>I. AMARETO-3</v>
      </c>
      <c r="B485" s="46" t="s">
        <v>656</v>
      </c>
      <c r="C485">
        <f>VLOOKUP(B485,RECETAS!D484:$E$1700,2,FALSE)</f>
        <v>0</v>
      </c>
      <c r="D485" s="25" t="s">
        <v>150</v>
      </c>
      <c r="G485" t="b">
        <f t="shared" si="267"/>
        <v>1</v>
      </c>
    </row>
    <row r="486" spans="1:7" ht="15.75" thickBot="1" x14ac:dyDescent="0.3">
      <c r="A486" t="str">
        <f>B486&amp;"-"&amp;COUNTIF($B$2:B486,B486)</f>
        <v>I. VODKA BATALLA-12</v>
      </c>
      <c r="B486" s="40" t="s">
        <v>129</v>
      </c>
      <c r="C486">
        <f>VLOOKUP(B486,RECETAS!D485:$E$1700,2,FALSE)</f>
        <v>0</v>
      </c>
      <c r="D486" s="32"/>
      <c r="G486" t="b">
        <f t="shared" si="267"/>
        <v>1</v>
      </c>
    </row>
    <row r="487" spans="1:7" x14ac:dyDescent="0.25">
      <c r="A487" t="str">
        <f>B487&amp;"-"&amp;COUNTIF($B$2:B487,B487)</f>
        <v>I. PULPA LIMON-40</v>
      </c>
      <c r="B487" s="46" t="s">
        <v>106</v>
      </c>
      <c r="C487">
        <f>VLOOKUP(B487,RECETAS!D486:$E$1700,2,FALSE)</f>
        <v>0</v>
      </c>
      <c r="D487" s="25" t="s">
        <v>151</v>
      </c>
      <c r="G487" t="b">
        <f t="shared" si="267"/>
        <v>1</v>
      </c>
    </row>
    <row r="488" spans="1:7" x14ac:dyDescent="0.25">
      <c r="A488" t="str">
        <f>B488&amp;"-"&amp;COUNTIF($B$2:B488,B488)</f>
        <v>I. AZUCAR FLOR-50</v>
      </c>
      <c r="B488" s="36" t="s">
        <v>51</v>
      </c>
      <c r="C488">
        <f>VLOOKUP(B488,RECETAS!D487:$E$1700,2,FALSE)</f>
        <v>0</v>
      </c>
      <c r="D488" s="34"/>
      <c r="G488" t="b">
        <f t="shared" si="267"/>
        <v>1</v>
      </c>
    </row>
    <row r="489" spans="1:7" x14ac:dyDescent="0.25">
      <c r="A489" t="str">
        <f>B489&amp;"-"&amp;COUNTIF($B$2:B489,B489)</f>
        <v>I. MINERAL1.6LT  C/G-10</v>
      </c>
      <c r="B489" s="66" t="s">
        <v>97</v>
      </c>
      <c r="C489">
        <f>VLOOKUP(B489,RECETAS!D488:$E$1700,2,FALSE)</f>
        <v>0</v>
      </c>
      <c r="D489" s="34"/>
      <c r="G489" t="b">
        <f t="shared" si="267"/>
        <v>1</v>
      </c>
    </row>
    <row r="490" spans="1:7" ht="15.75" thickBot="1" x14ac:dyDescent="0.3">
      <c r="A490" t="str">
        <f>B490&amp;"-"&amp;COUNTIF($B$2:B490,B490)</f>
        <v>I. GIN BATALLA-3</v>
      </c>
      <c r="B490" s="40" t="s">
        <v>75</v>
      </c>
      <c r="C490">
        <f>VLOOKUP(B490,RECETAS!D489:$E$1700,2,FALSE)</f>
        <v>0</v>
      </c>
      <c r="D490" s="32"/>
      <c r="G490" t="b">
        <f t="shared" si="267"/>
        <v>1</v>
      </c>
    </row>
    <row r="491" spans="1:7" x14ac:dyDescent="0.25">
      <c r="A491" t="str">
        <f>B491&amp;"-"&amp;COUNTIF($B$2:B491,B491)</f>
        <v>I. VODKA BATALLA-13</v>
      </c>
      <c r="B491" s="46" t="s">
        <v>129</v>
      </c>
      <c r="C491">
        <f>VLOOKUP(B491,RECETAS!D490:$E$1700,2,FALSE)</f>
        <v>75</v>
      </c>
      <c r="D491" s="25" t="s">
        <v>152</v>
      </c>
      <c r="G491" t="b">
        <f t="shared" si="267"/>
        <v>1</v>
      </c>
    </row>
    <row r="492" spans="1:7" x14ac:dyDescent="0.25">
      <c r="A492" t="str">
        <f>B492&amp;"-"&amp;COUNTIF($B$2:B492,B492)</f>
        <v>I. PULPA LIMON-41</v>
      </c>
      <c r="B492" s="36" t="s">
        <v>106</v>
      </c>
      <c r="C492">
        <f>VLOOKUP(B492,RECETAS!D491:$E$1700,2,FALSE)</f>
        <v>20</v>
      </c>
      <c r="D492" s="34"/>
      <c r="G492" t="b">
        <f t="shared" si="267"/>
        <v>1</v>
      </c>
    </row>
    <row r="493" spans="1:7" x14ac:dyDescent="0.25">
      <c r="A493" t="str">
        <f>B493&amp;"-"&amp;COUNTIF($B$2:B493,B493)</f>
        <v>I. MINERAL1.6LT  C/G-11</v>
      </c>
      <c r="B493" s="66" t="s">
        <v>97</v>
      </c>
      <c r="C493">
        <f>VLOOKUP(B493,RECETAS!D492:$E$1700,2,FALSE)</f>
        <v>50</v>
      </c>
      <c r="D493" s="34"/>
      <c r="G493" t="b">
        <f t="shared" si="267"/>
        <v>1</v>
      </c>
    </row>
    <row r="494" spans="1:7" x14ac:dyDescent="0.25">
      <c r="A494" t="str">
        <f>B494&amp;"-"&amp;COUNTIF($B$2:B494,B494)</f>
        <v>I. TRIPLE SEC-14</v>
      </c>
      <c r="B494" s="36" t="s">
        <v>128</v>
      </c>
      <c r="C494">
        <f>VLOOKUP(B494,RECETAS!D493:$E$1700,2,FALSE)</f>
        <v>20</v>
      </c>
      <c r="D494" s="34"/>
      <c r="G494" t="b">
        <f t="shared" si="267"/>
        <v>1</v>
      </c>
    </row>
    <row r="495" spans="1:7" ht="15.75" thickBot="1" x14ac:dyDescent="0.3">
      <c r="A495" t="str">
        <f>B495&amp;"-"&amp;COUNTIF($B$2:B495,B495)</f>
        <v>I. AZUCAR FLOR-51</v>
      </c>
      <c r="B495" s="40" t="s">
        <v>51</v>
      </c>
      <c r="C495">
        <f>VLOOKUP(B495,RECETAS!D494:$E$1700,2,FALSE)</f>
        <v>40</v>
      </c>
      <c r="D495" s="32"/>
      <c r="G495" t="b">
        <f t="shared" si="267"/>
        <v>1</v>
      </c>
    </row>
    <row r="496" spans="1:7" x14ac:dyDescent="0.25">
      <c r="A496" t="str">
        <f>B496&amp;"-"&amp;COUNTIF($B$2:B496,B496)</f>
        <v>I. GRANADINA-4</v>
      </c>
      <c r="B496" s="46" t="s">
        <v>82</v>
      </c>
      <c r="C496">
        <f>VLOOKUP(B496,RECETAS!D495:$E$1700,2,FALSE)</f>
        <v>30</v>
      </c>
      <c r="D496" s="25" t="s">
        <v>153</v>
      </c>
      <c r="G496" t="b">
        <f t="shared" si="267"/>
        <v>1</v>
      </c>
    </row>
    <row r="497" spans="1:7" x14ac:dyDescent="0.25">
      <c r="A497" t="str">
        <f>B497&amp;"-"&amp;COUNTIF($B$2:B497,B497)</f>
        <v>I. JUGO NARANJA-5</v>
      </c>
      <c r="B497" s="36" t="s">
        <v>89</v>
      </c>
      <c r="C497">
        <f>VLOOKUP(B497,RECETAS!D496:$E$1700,2,FALSE)</f>
        <v>75</v>
      </c>
      <c r="D497" s="34"/>
      <c r="G497" t="b">
        <f t="shared" si="267"/>
        <v>1</v>
      </c>
    </row>
    <row r="498" spans="1:7" x14ac:dyDescent="0.25">
      <c r="A498" t="str">
        <f>B498&amp;"-"&amp;COUNTIF($B$2:B498,B498)</f>
        <v>I. JUGO PINA 1 LTS-9</v>
      </c>
      <c r="B498" s="36" t="s">
        <v>90</v>
      </c>
      <c r="C498">
        <f>VLOOKUP(B498,RECETAS!D497:$E$1700,2,FALSE)</f>
        <v>75</v>
      </c>
      <c r="D498" s="34"/>
      <c r="G498" t="b">
        <f t="shared" si="267"/>
        <v>1</v>
      </c>
    </row>
    <row r="499" spans="1:7" ht="15.75" thickBot="1" x14ac:dyDescent="0.3">
      <c r="A499" t="str">
        <f>B499&amp;"-"&amp;COUNTIF($B$2:B499,B499)</f>
        <v>I. TEQUILA BATALLA-7</v>
      </c>
      <c r="B499" s="40" t="s">
        <v>123</v>
      </c>
      <c r="C499">
        <f>VLOOKUP(B499,RECETAS!D498:$E$1700,2,FALSE)</f>
        <v>75</v>
      </c>
      <c r="D499" s="32"/>
      <c r="G499" t="b">
        <f t="shared" si="267"/>
        <v>1</v>
      </c>
    </row>
    <row r="500" spans="1:7" ht="15.75" thickBot="1" x14ac:dyDescent="0.3">
      <c r="A500" t="str">
        <f>B500&amp;"-"&amp;COUNTIF($B$2:B500,B500)</f>
        <v>I. JACK FIRE-2</v>
      </c>
      <c r="B500" s="47" t="s">
        <v>84</v>
      </c>
      <c r="C500">
        <f>VLOOKUP(B500,RECETAS!D499:$E$1700,2,FALSE)</f>
        <v>75</v>
      </c>
      <c r="D500" s="18" t="s">
        <v>419</v>
      </c>
      <c r="G500" t="b">
        <f t="shared" si="267"/>
        <v>1</v>
      </c>
    </row>
    <row r="501" spans="1:7" ht="15.75" thickBot="1" x14ac:dyDescent="0.3">
      <c r="A501" t="str">
        <f>B501&amp;"-"&amp;COUNTIF($B$2:B501,B501)</f>
        <v>I. JACK FIRE-3</v>
      </c>
      <c r="B501" s="20" t="s">
        <v>84</v>
      </c>
      <c r="C501">
        <f>VLOOKUP(B501,RECETAS!D500:$E$1700,2,FALSE)</f>
        <v>0</v>
      </c>
      <c r="D501" s="18" t="s">
        <v>420</v>
      </c>
      <c r="G501" t="b">
        <f t="shared" si="267"/>
        <v>1</v>
      </c>
    </row>
    <row r="502" spans="1:7" ht="15.75" thickBot="1" x14ac:dyDescent="0.3">
      <c r="A502" t="str">
        <f>B502&amp;"-"&amp;COUNTIF($B$2:B502,B502)</f>
        <v>I. TEQUILA JIMADOR-1</v>
      </c>
      <c r="B502" s="20" t="s">
        <v>124</v>
      </c>
      <c r="C502">
        <f>VLOOKUP(B502,RECETAS!D501:$E$1700,2,FALSE)</f>
        <v>675</v>
      </c>
      <c r="D502" s="18" t="s">
        <v>421</v>
      </c>
      <c r="G502" t="b">
        <f t="shared" si="267"/>
        <v>1</v>
      </c>
    </row>
    <row r="503" spans="1:7" ht="15.75" thickBot="1" x14ac:dyDescent="0.3">
      <c r="A503" t="str">
        <f>B503&amp;"-"&amp;COUNTIF($B$2:B503,B503)</f>
        <v>I. TEQUILA JIMADOR-2</v>
      </c>
      <c r="B503" s="23" t="s">
        <v>124</v>
      </c>
      <c r="C503">
        <f>VLOOKUP(B503,RECETAS!D502:$E$1700,2,FALSE)</f>
        <v>1650</v>
      </c>
      <c r="D503" s="22" t="s">
        <v>422</v>
      </c>
      <c r="G503" t="b">
        <f t="shared" si="267"/>
        <v>1</v>
      </c>
    </row>
    <row r="504" spans="1:7" x14ac:dyDescent="0.25">
      <c r="A504" t="str">
        <f>B504&amp;"-"&amp;COUNTIF($B$2:B504,B504)</f>
        <v>I. ALTO 35-3</v>
      </c>
      <c r="B504" s="26" t="s">
        <v>47</v>
      </c>
      <c r="C504">
        <f>VLOOKUP(B504,RECETAS!D503:$E$1700,2,FALSE)</f>
        <v>3000</v>
      </c>
      <c r="D504" s="25" t="s">
        <v>564</v>
      </c>
      <c r="G504" t="b">
        <f t="shared" si="267"/>
        <v>1</v>
      </c>
    </row>
    <row r="505" spans="1:7" x14ac:dyDescent="0.25">
      <c r="A505" t="str">
        <f>B505&amp;"-"&amp;COUNTIF($B$2:B505,B505)</f>
        <v>I. RBULL ENERGY DR-2</v>
      </c>
      <c r="B505" s="35" t="s">
        <v>110</v>
      </c>
      <c r="C505">
        <f>VLOOKUP(B505,RECETAS!D504:$E$1700,2,FALSE)</f>
        <v>20</v>
      </c>
      <c r="D505" s="34"/>
      <c r="G505" t="b">
        <f t="shared" si="267"/>
        <v>1</v>
      </c>
    </row>
    <row r="506" spans="1:7" x14ac:dyDescent="0.25">
      <c r="A506" t="str">
        <f>B506&amp;"-"&amp;COUNTIF($B$2:B506,B506)</f>
        <v>I. ALTO 35-4</v>
      </c>
      <c r="B506" s="31" t="s">
        <v>47</v>
      </c>
      <c r="C506">
        <f>VLOOKUP(B506,RECETAS!D505:$E$1700,2,FALSE)</f>
        <v>0</v>
      </c>
      <c r="D506" s="30" t="s">
        <v>563</v>
      </c>
      <c r="G506" t="b">
        <f t="shared" si="267"/>
        <v>1</v>
      </c>
    </row>
    <row r="507" spans="1:7" ht="15.75" thickBot="1" x14ac:dyDescent="0.3">
      <c r="A507" t="str">
        <f>B507&amp;"-"&amp;COUNTIF($B$2:B507,B507)</f>
        <v>I. MONSTER-1</v>
      </c>
      <c r="B507" s="35" t="s">
        <v>100</v>
      </c>
      <c r="C507">
        <f>VLOOKUP(B507,RECETAS!D506:$E$1700,2,FALSE)</f>
        <v>0</v>
      </c>
      <c r="D507" s="34"/>
      <c r="G507" t="b">
        <f t="shared" si="267"/>
        <v>1</v>
      </c>
    </row>
    <row r="508" spans="1:7" x14ac:dyDescent="0.25">
      <c r="A508" t="str">
        <f>B508&amp;"-"&amp;COUNTIF($B$2:B508,B508)</f>
        <v>I. MISTRAL DE 35-3</v>
      </c>
      <c r="B508" s="26" t="s">
        <v>98</v>
      </c>
      <c r="C508">
        <f>VLOOKUP(B508,RECETAS!D507:$E$1700,2,FALSE)</f>
        <v>300</v>
      </c>
      <c r="D508" s="25" t="s">
        <v>566</v>
      </c>
      <c r="G508" t="b">
        <f t="shared" si="267"/>
        <v>1</v>
      </c>
    </row>
    <row r="509" spans="1:7" x14ac:dyDescent="0.25">
      <c r="A509" t="str">
        <f>B509&amp;"-"&amp;COUNTIF($B$2:B509,B509)</f>
        <v>I. RBULL ENERGY DR-3</v>
      </c>
      <c r="B509" s="35" t="s">
        <v>110</v>
      </c>
      <c r="C509">
        <f>VLOOKUP(B509,RECETAS!D508:$E$1700,2,FALSE)</f>
        <v>2</v>
      </c>
      <c r="D509" s="34"/>
      <c r="G509" t="b">
        <f t="shared" si="267"/>
        <v>1</v>
      </c>
    </row>
    <row r="510" spans="1:7" ht="15.75" thickBot="1" x14ac:dyDescent="0.3">
      <c r="A510" t="str">
        <f>B510&amp;"-"&amp;COUNTIF($B$2:B510,B510)</f>
        <v>I. BRUJAS 35-4</v>
      </c>
      <c r="B510" s="51" t="s">
        <v>270</v>
      </c>
      <c r="C510">
        <f>VLOOKUP(B510,RECETAS!D509:$E$1700,2,FALSE)</f>
        <v>750</v>
      </c>
      <c r="D510" s="112" t="s">
        <v>663</v>
      </c>
      <c r="G510" t="b">
        <f t="shared" si="267"/>
        <v>1</v>
      </c>
    </row>
    <row r="511" spans="1:7" x14ac:dyDescent="0.25">
      <c r="A511" t="str">
        <f>B511&amp;"-"&amp;COUNTIF($B$2:B511,B511)</f>
        <v>I. ALTO 35-5</v>
      </c>
      <c r="B511" s="26" t="s">
        <v>47</v>
      </c>
      <c r="C511">
        <f>VLOOKUP(B511,RECETAS!D510:$E$1700,2,FALSE)</f>
        <v>7800</v>
      </c>
      <c r="D511" s="25" t="s">
        <v>323</v>
      </c>
      <c r="G511" t="b">
        <f t="shared" si="267"/>
        <v>1</v>
      </c>
    </row>
    <row r="512" spans="1:7" ht="15.75" thickBot="1" x14ac:dyDescent="0.3">
      <c r="A512" t="str">
        <f>B512&amp;"-"&amp;COUNTIF($B$2:B512,B512)</f>
        <v>I. ALTO 40-3</v>
      </c>
      <c r="B512" s="51" t="s">
        <v>48</v>
      </c>
      <c r="C512">
        <f>VLOOKUP(B512,RECETAS!D511:$E$1700,2,FALSE)</f>
        <v>0</v>
      </c>
      <c r="D512" s="49" t="s">
        <v>565</v>
      </c>
      <c r="G512" t="b">
        <f t="shared" si="267"/>
        <v>1</v>
      </c>
    </row>
    <row r="513" spans="1:7" ht="15.75" thickBot="1" x14ac:dyDescent="0.3">
      <c r="A513" t="str">
        <f>B513&amp;"-"&amp;COUNTIF($B$2:B513,B513)</f>
        <v>I. STOLICHNAYA 750CC-3</v>
      </c>
      <c r="B513" s="23" t="s">
        <v>122</v>
      </c>
      <c r="C513">
        <f>VLOOKUP(B513,RECETAS!D512:$E$1700,2,FALSE)</f>
        <v>0</v>
      </c>
      <c r="D513" s="22" t="s">
        <v>423</v>
      </c>
      <c r="G513" t="b">
        <f t="shared" si="267"/>
        <v>1</v>
      </c>
    </row>
    <row r="514" spans="1:7" x14ac:dyDescent="0.25">
      <c r="A514" t="str">
        <f>B514&amp;"-"&amp;COUNTIF($B$2:B514,B514)</f>
        <v>I. BRUJAS 35-5</v>
      </c>
      <c r="B514" s="26" t="s">
        <v>270</v>
      </c>
      <c r="C514">
        <f>VLOOKUP(B514,RECETAS!D513:$E$1700,2,FALSE)</f>
        <v>150</v>
      </c>
      <c r="D514" s="25" t="s">
        <v>424</v>
      </c>
      <c r="G514" t="b">
        <f t="shared" si="267"/>
        <v>1</v>
      </c>
    </row>
    <row r="515" spans="1:7" x14ac:dyDescent="0.25">
      <c r="A515" t="str">
        <f>B515&amp;"-"&amp;COUNTIF($B$2:B515,B515)</f>
        <v>I. PULPA LIMON-42</v>
      </c>
      <c r="B515" s="35" t="s">
        <v>106</v>
      </c>
      <c r="C515">
        <f>VLOOKUP(B515,RECETAS!D514:$E$1700,2,FALSE)</f>
        <v>40</v>
      </c>
      <c r="D515" s="34"/>
      <c r="G515" t="b">
        <f t="shared" ref="G515:G578" si="268">IFERROR(IF(MATCH(B515,I:I,0) &lt;&gt; "", TRUE,""),FALSE)</f>
        <v>1</v>
      </c>
    </row>
    <row r="516" spans="1:7" x14ac:dyDescent="0.25">
      <c r="A516" t="str">
        <f>B516&amp;"-"&amp;COUNTIF($B$2:B516,B516)</f>
        <v>I. AZUCAR FLOR-52</v>
      </c>
      <c r="B516" s="35" t="s">
        <v>51</v>
      </c>
      <c r="C516">
        <f>VLOOKUP(B516,RECETAS!D515:$E$1700,2,FALSE)</f>
        <v>40</v>
      </c>
      <c r="D516" s="34"/>
      <c r="G516" t="b">
        <f t="shared" si="268"/>
        <v>1</v>
      </c>
    </row>
    <row r="517" spans="1:7" ht="15.75" thickBot="1" x14ac:dyDescent="0.3">
      <c r="A517" t="str">
        <f>B517&amp;"-"&amp;COUNTIF($B$2:B517,B517)</f>
        <v>I. TRIPLE SEC-15</v>
      </c>
      <c r="B517" s="33" t="s">
        <v>128</v>
      </c>
      <c r="C517">
        <f>VLOOKUP(B517,RECETAS!D516:$E$1700,2,FALSE)</f>
        <v>20</v>
      </c>
      <c r="D517" s="32"/>
      <c r="G517" t="b">
        <f t="shared" si="268"/>
        <v>1</v>
      </c>
    </row>
    <row r="518" spans="1:7" x14ac:dyDescent="0.25">
      <c r="A518" t="str">
        <f>B518&amp;"-"&amp;COUNTIF($B$2:B518,B518)</f>
        <v>I. MENTA-15</v>
      </c>
      <c r="B518" s="46" t="s">
        <v>637</v>
      </c>
      <c r="C518">
        <f>VLOOKUP(B518,RECETAS!D517:$E$1700,2,FALSE)</f>
        <v>21</v>
      </c>
      <c r="D518" s="25" t="s">
        <v>425</v>
      </c>
      <c r="G518" t="b">
        <f t="shared" si="268"/>
        <v>1</v>
      </c>
    </row>
    <row r="519" spans="1:7" x14ac:dyDescent="0.25">
      <c r="A519" t="str">
        <f>B519&amp;"-"&amp;COUNTIF($B$2:B519,B519)</f>
        <v>I. LIMON PICA-20</v>
      </c>
      <c r="B519" s="36" t="s">
        <v>636</v>
      </c>
      <c r="C519">
        <f>VLOOKUP(B519,RECETAS!D518:$E$1700,2,FALSE)</f>
        <v>21</v>
      </c>
      <c r="D519" s="34"/>
      <c r="G519" t="b">
        <f t="shared" si="268"/>
        <v>1</v>
      </c>
    </row>
    <row r="520" spans="1:7" x14ac:dyDescent="0.25">
      <c r="A520" t="str">
        <f>B520&amp;"-"&amp;COUNTIF($B$2:B520,B520)</f>
        <v>I. MINERAL1.6LT  C/G-12</v>
      </c>
      <c r="B520" s="36" t="s">
        <v>97</v>
      </c>
      <c r="C520">
        <f>VLOOKUP(B520,RECETAS!D519:$E$1700,2,FALSE)</f>
        <v>1050</v>
      </c>
      <c r="D520" s="34"/>
      <c r="G520" t="b">
        <f t="shared" si="268"/>
        <v>1</v>
      </c>
    </row>
    <row r="521" spans="1:7" x14ac:dyDescent="0.25">
      <c r="A521" t="str">
        <f>B521&amp;"-"&amp;COUNTIF($B$2:B521,B521)</f>
        <v>I. AZUCAR FLOR-53</v>
      </c>
      <c r="B521" s="36" t="s">
        <v>51</v>
      </c>
      <c r="C521">
        <f>VLOOKUP(B521,RECETAS!D520:$E$1700,2,FALSE)</f>
        <v>420</v>
      </c>
      <c r="D521" s="34"/>
      <c r="G521" t="b">
        <f t="shared" si="268"/>
        <v>1</v>
      </c>
    </row>
    <row r="522" spans="1:7" x14ac:dyDescent="0.25">
      <c r="A522" t="str">
        <f>B522&amp;"-"&amp;COUNTIF($B$2:B522,B522)</f>
        <v>I. PULPA LIMON-43</v>
      </c>
      <c r="B522" s="36" t="s">
        <v>106</v>
      </c>
      <c r="C522">
        <f>VLOOKUP(B522,RECETAS!D521:$E$1700,2,FALSE)</f>
        <v>630</v>
      </c>
      <c r="D522" s="34"/>
      <c r="G522" t="b">
        <f t="shared" si="268"/>
        <v>1</v>
      </c>
    </row>
    <row r="523" spans="1:7" ht="15.75" thickBot="1" x14ac:dyDescent="0.3">
      <c r="A523" t="str">
        <f>B523&amp;"-"&amp;COUNTIF($B$2:B523,B523)</f>
        <v>I. RON BLANCO BATALLA-13</v>
      </c>
      <c r="B523" s="40" t="s">
        <v>116</v>
      </c>
      <c r="C523">
        <f>VLOOKUP(B523,RECETAS!D522:$E$1700,2,FALSE)</f>
        <v>1575</v>
      </c>
      <c r="D523" s="32"/>
      <c r="G523" t="b">
        <f t="shared" si="268"/>
        <v>1</v>
      </c>
    </row>
    <row r="524" spans="1:7" x14ac:dyDescent="0.25">
      <c r="A524" t="str">
        <f>B524&amp;"-"&amp;COUNTIF($B$2:B524,B524)</f>
        <v>I. TEQUILA BATALLA-8</v>
      </c>
      <c r="B524" s="26" t="s">
        <v>123</v>
      </c>
      <c r="C524">
        <f>VLOOKUP(B524,RECETAS!D523:$E$1700,2,FALSE)</f>
        <v>0</v>
      </c>
      <c r="D524" s="25" t="s">
        <v>426</v>
      </c>
      <c r="G524" t="b">
        <f t="shared" si="268"/>
        <v>1</v>
      </c>
    </row>
    <row r="525" spans="1:7" x14ac:dyDescent="0.25">
      <c r="A525" t="str">
        <f>B525&amp;"-"&amp;COUNTIF($B$2:B525,B525)</f>
        <v>I. PULPA LIMON-44</v>
      </c>
      <c r="B525" s="35" t="s">
        <v>106</v>
      </c>
      <c r="C525">
        <f>VLOOKUP(B525,RECETAS!D524:$E$1700,2,FALSE)</f>
        <v>0</v>
      </c>
      <c r="D525" s="34"/>
      <c r="G525" t="b">
        <f t="shared" si="268"/>
        <v>1</v>
      </c>
    </row>
    <row r="526" spans="1:7" x14ac:dyDescent="0.25">
      <c r="A526" t="str">
        <f>B526&amp;"-"&amp;COUNTIF($B$2:B526,B526)</f>
        <v>I. TRIPLE SEC-16</v>
      </c>
      <c r="B526" s="35" t="s">
        <v>128</v>
      </c>
      <c r="C526">
        <f>VLOOKUP(B526,RECETAS!D525:$E$1700,2,FALSE)</f>
        <v>0</v>
      </c>
      <c r="D526" s="34"/>
      <c r="G526" t="b">
        <f t="shared" si="268"/>
        <v>1</v>
      </c>
    </row>
    <row r="527" spans="1:7" ht="15.75" thickBot="1" x14ac:dyDescent="0.3">
      <c r="A527" t="str">
        <f>B527&amp;"-"&amp;COUNTIF($B$2:B527,B527)</f>
        <v>I. AZUCAR FLOR-54</v>
      </c>
      <c r="B527" s="33" t="s">
        <v>51</v>
      </c>
      <c r="C527">
        <f>VLOOKUP(B527,RECETAS!D526:$E$1700,2,FALSE)</f>
        <v>0</v>
      </c>
      <c r="D527" s="32"/>
      <c r="G527" t="b">
        <f t="shared" si="268"/>
        <v>1</v>
      </c>
    </row>
    <row r="528" spans="1:7" x14ac:dyDescent="0.25">
      <c r="A528" t="str">
        <f>B528&amp;"-"&amp;COUNTIF($B$2:B528,B528)</f>
        <v>I. TEQUILA BATALLA-9</v>
      </c>
      <c r="B528" s="26" t="s">
        <v>123</v>
      </c>
      <c r="C528">
        <f>VLOOKUP(B528,RECETAS!D527:$E$1700,2,FALSE)</f>
        <v>0</v>
      </c>
      <c r="D528" s="25" t="s">
        <v>427</v>
      </c>
      <c r="G528" t="b">
        <f t="shared" si="268"/>
        <v>1</v>
      </c>
    </row>
    <row r="529" spans="1:7" x14ac:dyDescent="0.25">
      <c r="A529" t="str">
        <f>B529&amp;"-"&amp;COUNTIF($B$2:B529,B529)</f>
        <v>I. PULPA LIMON-45</v>
      </c>
      <c r="B529" s="35" t="s">
        <v>106</v>
      </c>
      <c r="C529">
        <f>VLOOKUP(B529,RECETAS!D528:$E$1700,2,FALSE)</f>
        <v>0</v>
      </c>
      <c r="D529" s="34"/>
      <c r="G529" t="b">
        <f t="shared" si="268"/>
        <v>1</v>
      </c>
    </row>
    <row r="530" spans="1:7" x14ac:dyDescent="0.25">
      <c r="A530" t="str">
        <f>B530&amp;"-"&amp;COUNTIF($B$2:B530,B530)</f>
        <v>I. TRIPLE SEC-17</v>
      </c>
      <c r="B530" s="35" t="s">
        <v>128</v>
      </c>
      <c r="C530">
        <f>VLOOKUP(B530,RECETAS!D529:$E$1700,2,FALSE)</f>
        <v>0</v>
      </c>
      <c r="D530" s="34"/>
      <c r="G530" t="b">
        <f t="shared" si="268"/>
        <v>1</v>
      </c>
    </row>
    <row r="531" spans="1:7" x14ac:dyDescent="0.25">
      <c r="A531" t="str">
        <f>B531&amp;"-"&amp;COUNTIF($B$2:B531,B531)</f>
        <v>I. AZUCAR FLOR-55</v>
      </c>
      <c r="B531" s="35" t="s">
        <v>51</v>
      </c>
      <c r="C531">
        <f>VLOOKUP(B531,RECETAS!D530:$E$1700,2,FALSE)</f>
        <v>0</v>
      </c>
      <c r="D531" s="34"/>
      <c r="G531" t="b">
        <f t="shared" si="268"/>
        <v>1</v>
      </c>
    </row>
    <row r="532" spans="1:7" ht="15.75" thickBot="1" x14ac:dyDescent="0.3">
      <c r="A532" t="str">
        <f>B532&amp;"-"&amp;COUNTIF($B$2:B532,B532)</f>
        <v>I. PULPA FRUTILLA-7</v>
      </c>
      <c r="B532" s="33" t="s">
        <v>582</v>
      </c>
      <c r="C532">
        <f>VLOOKUP(B532,RECETAS!D531:$E$1700,2,FALSE)</f>
        <v>0</v>
      </c>
      <c r="D532" s="32"/>
      <c r="G532" t="b">
        <f t="shared" si="268"/>
        <v>1</v>
      </c>
    </row>
    <row r="533" spans="1:7" x14ac:dyDescent="0.25">
      <c r="A533" t="str">
        <f>B533&amp;"-"&amp;COUNTIF($B$2:B533,B533)</f>
        <v>I. TEQUILA BATALLA-10</v>
      </c>
      <c r="B533" s="26" t="s">
        <v>123</v>
      </c>
      <c r="C533">
        <f>VLOOKUP(B533,RECETAS!D532:$E$1700,2,FALSE)</f>
        <v>0</v>
      </c>
      <c r="D533" s="25" t="s">
        <v>554</v>
      </c>
      <c r="G533" t="b">
        <f t="shared" si="268"/>
        <v>1</v>
      </c>
    </row>
    <row r="534" spans="1:7" x14ac:dyDescent="0.25">
      <c r="A534" t="str">
        <f>B534&amp;"-"&amp;COUNTIF($B$2:B534,B534)</f>
        <v>I. PULPA LIMON-46</v>
      </c>
      <c r="B534" s="35" t="s">
        <v>106</v>
      </c>
      <c r="C534">
        <f>VLOOKUP(B534,RECETAS!D533:$E$1700,2,FALSE)</f>
        <v>0</v>
      </c>
      <c r="D534" s="34"/>
      <c r="G534" t="b">
        <f t="shared" si="268"/>
        <v>1</v>
      </c>
    </row>
    <row r="535" spans="1:7" x14ac:dyDescent="0.25">
      <c r="A535" t="str">
        <f>B535&amp;"-"&amp;COUNTIF($B$2:B535,B535)</f>
        <v>I. TRIPLE SEC-18</v>
      </c>
      <c r="B535" s="35" t="s">
        <v>128</v>
      </c>
      <c r="C535">
        <f>VLOOKUP(B535,RECETAS!D534:$E$1700,2,FALSE)</f>
        <v>0</v>
      </c>
      <c r="D535" s="34"/>
      <c r="G535" t="b">
        <f t="shared" si="268"/>
        <v>1</v>
      </c>
    </row>
    <row r="536" spans="1:7" x14ac:dyDescent="0.25">
      <c r="A536" t="str">
        <f>B536&amp;"-"&amp;COUNTIF($B$2:B536,B536)</f>
        <v>I. AZUCAR FLOR-56</v>
      </c>
      <c r="B536" s="35" t="s">
        <v>51</v>
      </c>
      <c r="C536">
        <f>VLOOKUP(B536,RECETAS!D535:$E$1700,2,FALSE)</f>
        <v>0</v>
      </c>
      <c r="D536" s="34"/>
      <c r="G536" t="b">
        <f t="shared" si="268"/>
        <v>1</v>
      </c>
    </row>
    <row r="537" spans="1:7" ht="15.75" thickBot="1" x14ac:dyDescent="0.3">
      <c r="A537" t="str">
        <f>B537&amp;"-"&amp;COUNTIF($B$2:B537,B537)</f>
        <v>I. PULPA FRAMBUESA-8</v>
      </c>
      <c r="B537" s="33" t="s">
        <v>105</v>
      </c>
      <c r="C537">
        <f>VLOOKUP(B537,RECETAS!D536:$E$1700,2,FALSE)</f>
        <v>0</v>
      </c>
      <c r="D537" s="32"/>
      <c r="G537" t="b">
        <f t="shared" si="268"/>
        <v>1</v>
      </c>
    </row>
    <row r="538" spans="1:7" x14ac:dyDescent="0.25">
      <c r="A538" t="str">
        <f>B538&amp;"-"&amp;COUNTIF($B$2:B538,B538)</f>
        <v>I. TEQUILA BATALLA-11</v>
      </c>
      <c r="B538" s="26" t="s">
        <v>123</v>
      </c>
      <c r="C538">
        <f>VLOOKUP(B538,RECETAS!D537:$E$1700,2,FALSE)</f>
        <v>0</v>
      </c>
      <c r="D538" s="25" t="s">
        <v>553</v>
      </c>
      <c r="G538" t="b">
        <f t="shared" si="268"/>
        <v>1</v>
      </c>
    </row>
    <row r="539" spans="1:7" ht="15" customHeight="1" x14ac:dyDescent="0.25">
      <c r="A539" t="str">
        <f>B539&amp;"-"&amp;COUNTIF($B$2:B539,B539)</f>
        <v>I. PULPA LIMON-47</v>
      </c>
      <c r="B539" s="35" t="s">
        <v>106</v>
      </c>
      <c r="C539">
        <f>VLOOKUP(B539,RECETAS!D538:$E$1700,2,FALSE)</f>
        <v>0</v>
      </c>
      <c r="D539" s="34"/>
      <c r="G539" t="b">
        <f t="shared" si="268"/>
        <v>1</v>
      </c>
    </row>
    <row r="540" spans="1:7" ht="15" customHeight="1" x14ac:dyDescent="0.25">
      <c r="A540" t="str">
        <f>B540&amp;"-"&amp;COUNTIF($B$2:B540,B540)</f>
        <v>I. TRIPLE SEC-19</v>
      </c>
      <c r="B540" s="35" t="s">
        <v>128</v>
      </c>
      <c r="C540">
        <f>VLOOKUP(B540,RECETAS!D539:$E$1700,2,FALSE)</f>
        <v>0</v>
      </c>
      <c r="D540" s="34"/>
      <c r="G540" t="b">
        <f t="shared" si="268"/>
        <v>1</v>
      </c>
    </row>
    <row r="541" spans="1:7" ht="15.75" customHeight="1" x14ac:dyDescent="0.25">
      <c r="A541" t="str">
        <f>B541&amp;"-"&amp;COUNTIF($B$2:B541,B541)</f>
        <v>I. AZUCAR FLOR-57</v>
      </c>
      <c r="B541" s="35" t="s">
        <v>51</v>
      </c>
      <c r="C541">
        <f>VLOOKUP(B541,RECETAS!D540:$E$1700,2,FALSE)</f>
        <v>0</v>
      </c>
      <c r="D541" s="34"/>
      <c r="G541" t="b">
        <f t="shared" si="268"/>
        <v>1</v>
      </c>
    </row>
    <row r="542" spans="1:7" ht="15" customHeight="1" thickBot="1" x14ac:dyDescent="0.3">
      <c r="A542" t="str">
        <f>B542&amp;"-"&amp;COUNTIF($B$2:B542,B542)</f>
        <v>I. CURACAO-4</v>
      </c>
      <c r="B542" s="33" t="s">
        <v>67</v>
      </c>
      <c r="C542">
        <f>VLOOKUP(B542,RECETAS!D541:$E$1700,2,FALSE)</f>
        <v>0</v>
      </c>
      <c r="D542" s="32"/>
      <c r="G542" t="b">
        <f t="shared" si="268"/>
        <v>1</v>
      </c>
    </row>
    <row r="543" spans="1:7" ht="15" customHeight="1" x14ac:dyDescent="0.25">
      <c r="A543" t="str">
        <f>B543&amp;"-"&amp;COUNTIF($B$2:B543,B543)</f>
        <v>I. RON BLANCO BATALLA-14</v>
      </c>
      <c r="B543" s="26" t="s">
        <v>116</v>
      </c>
      <c r="C543">
        <f>VLOOKUP(B543,RECETAS!D542:$E$1700,2,FALSE)</f>
        <v>0</v>
      </c>
      <c r="D543" s="25" t="s">
        <v>548</v>
      </c>
      <c r="G543" t="b">
        <f t="shared" si="268"/>
        <v>1</v>
      </c>
    </row>
    <row r="544" spans="1:7" ht="15.75" customHeight="1" x14ac:dyDescent="0.25">
      <c r="A544" t="str">
        <f>B544&amp;"-"&amp;COUNTIF($B$2:B544,B544)</f>
        <v>I. TRIPLE SEC-20</v>
      </c>
      <c r="B544" s="35" t="s">
        <v>128</v>
      </c>
      <c r="C544">
        <f>VLOOKUP(B544,RECETAS!D543:$E$1700,2,FALSE)</f>
        <v>0</v>
      </c>
      <c r="D544" s="34"/>
      <c r="G544" t="b">
        <f t="shared" si="268"/>
        <v>1</v>
      </c>
    </row>
    <row r="545" spans="1:7" x14ac:dyDescent="0.25">
      <c r="A545" t="str">
        <f>B545&amp;"-"&amp;COUNTIF($B$2:B545,B545)</f>
        <v>I. PULPA LIMON-48</v>
      </c>
      <c r="B545" s="35" t="s">
        <v>106</v>
      </c>
      <c r="C545">
        <f>VLOOKUP(B545,RECETAS!D544:$E$1700,2,FALSE)</f>
        <v>0</v>
      </c>
      <c r="D545" s="34"/>
      <c r="G545" t="b">
        <f t="shared" si="268"/>
        <v>1</v>
      </c>
    </row>
    <row r="546" spans="1:7" x14ac:dyDescent="0.25">
      <c r="A546" t="str">
        <f>B546&amp;"-"&amp;COUNTIF($B$2:B546,B546)</f>
        <v>I. AZUCAR FLOR-58</v>
      </c>
      <c r="B546" s="35" t="s">
        <v>51</v>
      </c>
      <c r="C546">
        <f>VLOOKUP(B546,RECETAS!D545:$E$1700,2,FALSE)</f>
        <v>0</v>
      </c>
      <c r="D546" s="34"/>
      <c r="G546" t="b">
        <f t="shared" si="268"/>
        <v>1</v>
      </c>
    </row>
    <row r="547" spans="1:7" ht="15.75" thickBot="1" x14ac:dyDescent="0.3">
      <c r="A547" t="str">
        <f>B547&amp;"-"&amp;COUNTIF($B$2:B547,B547)</f>
        <v>I. PULPA FRAMBUESA-9</v>
      </c>
      <c r="B547" s="28" t="s">
        <v>105</v>
      </c>
      <c r="C547">
        <f>VLOOKUP(B547,RECETAS!D546:$E$1700,2,FALSE)</f>
        <v>0</v>
      </c>
      <c r="D547" s="27"/>
      <c r="G547" t="b">
        <f t="shared" si="268"/>
        <v>1</v>
      </c>
    </row>
    <row r="548" spans="1:7" x14ac:dyDescent="0.25">
      <c r="A548" t="str">
        <f>B548&amp;"-"&amp;COUNTIF($B$2:B548,B548)</f>
        <v>I. RON BLANCO BATALLA-15</v>
      </c>
      <c r="B548" s="31" t="s">
        <v>116</v>
      </c>
      <c r="C548">
        <f>VLOOKUP(B548,RECETAS!D547:$E$1700,2,FALSE)</f>
        <v>0</v>
      </c>
      <c r="D548" s="80" t="s">
        <v>549</v>
      </c>
      <c r="G548" t="b">
        <f t="shared" si="268"/>
        <v>1</v>
      </c>
    </row>
    <row r="549" spans="1:7" x14ac:dyDescent="0.25">
      <c r="A549" t="str">
        <f>B549&amp;"-"&amp;COUNTIF($B$2:B549,B549)</f>
        <v>I. TRIPLE SEC-21</v>
      </c>
      <c r="B549" s="35" t="s">
        <v>128</v>
      </c>
      <c r="C549">
        <f>VLOOKUP(B549,RECETAS!D548:$E$1700,2,FALSE)</f>
        <v>0</v>
      </c>
      <c r="D549" s="81"/>
      <c r="G549" t="b">
        <f t="shared" si="268"/>
        <v>1</v>
      </c>
    </row>
    <row r="550" spans="1:7" x14ac:dyDescent="0.25">
      <c r="A550" t="str">
        <f>B550&amp;"-"&amp;COUNTIF($B$2:B550,B550)</f>
        <v>I. PULPA LIMON-49</v>
      </c>
      <c r="B550" s="35" t="s">
        <v>106</v>
      </c>
      <c r="C550">
        <f>VLOOKUP(B550,RECETAS!D549:$E$1700,2,FALSE)</f>
        <v>0</v>
      </c>
      <c r="D550" s="81"/>
      <c r="G550" t="b">
        <f t="shared" si="268"/>
        <v>1</v>
      </c>
    </row>
    <row r="551" spans="1:7" x14ac:dyDescent="0.25">
      <c r="A551" t="str">
        <f>B551&amp;"-"&amp;COUNTIF($B$2:B551,B551)</f>
        <v>I. AZUCAR FLOR-59</v>
      </c>
      <c r="B551" s="35" t="s">
        <v>51</v>
      </c>
      <c r="C551">
        <f>VLOOKUP(B551,RECETAS!D550:$E$1700,2,FALSE)</f>
        <v>0</v>
      </c>
      <c r="D551" s="81"/>
      <c r="G551" t="b">
        <f t="shared" si="268"/>
        <v>1</v>
      </c>
    </row>
    <row r="552" spans="1:7" ht="15.75" thickBot="1" x14ac:dyDescent="0.3">
      <c r="A552" t="str">
        <f>B552&amp;"-"&amp;COUNTIF($B$2:B552,B552)</f>
        <v>I. PULPA FRUTILLA-8</v>
      </c>
      <c r="B552" s="33" t="s">
        <v>582</v>
      </c>
      <c r="C552">
        <f>VLOOKUP(B552,RECETAS!D551:$E$1700,2,FALSE)</f>
        <v>0</v>
      </c>
      <c r="D552" s="82"/>
      <c r="G552" t="b">
        <f t="shared" si="268"/>
        <v>1</v>
      </c>
    </row>
    <row r="553" spans="1:7" x14ac:dyDescent="0.25">
      <c r="A553" t="str">
        <f>B553&amp;"-"&amp;COUNTIF($B$2:B553,B553)</f>
        <v>I. BODEGA TINTO-1</v>
      </c>
      <c r="B553" s="26" t="s">
        <v>55</v>
      </c>
      <c r="C553">
        <f>VLOOKUP(B553,RECETAS!D552:$E$1700,2,FALSE)</f>
        <v>1750</v>
      </c>
      <c r="D553" s="25" t="s">
        <v>428</v>
      </c>
      <c r="G553" t="b">
        <f t="shared" si="268"/>
        <v>1</v>
      </c>
    </row>
    <row r="554" spans="1:7" x14ac:dyDescent="0.25">
      <c r="A554" t="str">
        <f>B554&amp;"-"&amp;COUNTIF($B$2:B554,B554)</f>
        <v>I. JUGO NARANJA-6</v>
      </c>
      <c r="B554" s="35" t="s">
        <v>89</v>
      </c>
      <c r="C554">
        <f>VLOOKUP(B554,RECETAS!D553:$E$1700,2,FALSE)</f>
        <v>525</v>
      </c>
      <c r="D554" s="34"/>
      <c r="G554" t="b">
        <f t="shared" si="268"/>
        <v>1</v>
      </c>
    </row>
    <row r="555" spans="1:7" x14ac:dyDescent="0.25">
      <c r="A555" t="str">
        <f>B555&amp;"-"&amp;COUNTIF($B$2:B555,B555)</f>
        <v>I. GRANADINA-5</v>
      </c>
      <c r="B555" s="35" t="s">
        <v>82</v>
      </c>
      <c r="C555">
        <f>VLOOKUP(B555,RECETAS!D554:$E$1700,2,FALSE)</f>
        <v>210</v>
      </c>
      <c r="D555" s="34"/>
      <c r="G555" t="b">
        <f t="shared" si="268"/>
        <v>1</v>
      </c>
    </row>
    <row r="556" spans="1:7" ht="15.75" thickBot="1" x14ac:dyDescent="0.3">
      <c r="A556" t="str">
        <f>B556&amp;"-"&amp;COUNTIF($B$2:B556,B556)</f>
        <v>I. COGNAC 3 PALOS-1</v>
      </c>
      <c r="B556" s="28" t="s">
        <v>64</v>
      </c>
      <c r="C556">
        <f>VLOOKUP(B556,RECETAS!D555:$E$1700,2,FALSE)</f>
        <v>70</v>
      </c>
      <c r="D556" s="27"/>
      <c r="G556" t="b">
        <f t="shared" si="268"/>
        <v>1</v>
      </c>
    </row>
    <row r="557" spans="1:7" x14ac:dyDescent="0.25">
      <c r="A557" t="str">
        <f>B557&amp;"-"&amp;COUNTIF($B$2:B557,B557)</f>
        <v>I. BODEGA TINTO-2</v>
      </c>
      <c r="B557" s="31" t="s">
        <v>55</v>
      </c>
      <c r="C557">
        <f>VLOOKUP(B557,RECETAS!D556:$E$1700,2,FALSE)</f>
        <v>9800</v>
      </c>
      <c r="D557" s="80" t="s">
        <v>429</v>
      </c>
      <c r="G557" t="b">
        <f t="shared" si="268"/>
        <v>1</v>
      </c>
    </row>
    <row r="558" spans="1:7" x14ac:dyDescent="0.25">
      <c r="A558" t="str">
        <f>B558&amp;"-"&amp;COUNTIF($B$2:B558,B558)</f>
        <v>I. JUGO NARANJA-7</v>
      </c>
      <c r="B558" s="35" t="s">
        <v>89</v>
      </c>
      <c r="C558">
        <f>VLOOKUP(B558,RECETAS!D557:$E$1700,2,FALSE)</f>
        <v>840</v>
      </c>
      <c r="D558" s="81"/>
      <c r="G558" t="b">
        <f t="shared" si="268"/>
        <v>1</v>
      </c>
    </row>
    <row r="559" spans="1:7" x14ac:dyDescent="0.25">
      <c r="A559" t="str">
        <f>B559&amp;"-"&amp;COUNTIF($B$2:B559,B559)</f>
        <v>I. GRANADINA-6</v>
      </c>
      <c r="B559" s="35" t="s">
        <v>82</v>
      </c>
      <c r="C559">
        <f>VLOOKUP(B559,RECETAS!D558:$E$1700,2,FALSE)</f>
        <v>420</v>
      </c>
      <c r="D559" s="81"/>
      <c r="G559" t="b">
        <f t="shared" si="268"/>
        <v>1</v>
      </c>
    </row>
    <row r="560" spans="1:7" ht="15.75" thickBot="1" x14ac:dyDescent="0.3">
      <c r="A560" t="str">
        <f>B560&amp;"-"&amp;COUNTIF($B$2:B560,B560)</f>
        <v>I. COGNAC 3 PALOS-2</v>
      </c>
      <c r="B560" s="33" t="s">
        <v>64</v>
      </c>
      <c r="C560">
        <f>VLOOKUP(B560,RECETAS!D559:$E$1700,2,FALSE)</f>
        <v>140</v>
      </c>
      <c r="D560" s="82"/>
      <c r="G560" t="b">
        <f t="shared" si="268"/>
        <v>1</v>
      </c>
    </row>
    <row r="561" spans="1:7" ht="16.5" thickBot="1" x14ac:dyDescent="0.3">
      <c r="A561" t="str">
        <f>B561&amp;"-"&amp;COUNTIF($B$2:B561,B561)</f>
        <v>I. PULPA LIMON-50</v>
      </c>
      <c r="B561" s="20" t="s">
        <v>106</v>
      </c>
      <c r="C561">
        <f>VLOOKUP(B561,RECETAS!D560:$E$1700,2,FALSE)</f>
        <v>5625</v>
      </c>
      <c r="D561" s="83" t="s">
        <v>626</v>
      </c>
      <c r="G561" t="b">
        <f t="shared" si="268"/>
        <v>1</v>
      </c>
    </row>
    <row r="562" spans="1:7" ht="16.5" thickBot="1" x14ac:dyDescent="0.3">
      <c r="A562" t="str">
        <f>B562&amp;"-"&amp;COUNTIF($B$2:B562,B562)</f>
        <v>I. PULPA LIMON-51</v>
      </c>
      <c r="B562" s="20" t="s">
        <v>106</v>
      </c>
      <c r="C562">
        <f>VLOOKUP(B562,RECETAS!D561:$E$1700,2,FALSE)</f>
        <v>4350</v>
      </c>
      <c r="D562" s="83" t="s">
        <v>205</v>
      </c>
      <c r="G562" t="b">
        <f t="shared" si="268"/>
        <v>1</v>
      </c>
    </row>
    <row r="563" spans="1:7" ht="15.75" thickBot="1" x14ac:dyDescent="0.3">
      <c r="A563" t="str">
        <f>B563&amp;"-"&amp;COUNTIF($B$2:B563,B563)</f>
        <v>I. BROWNIE-1</v>
      </c>
      <c r="B563" s="48" t="s">
        <v>19</v>
      </c>
      <c r="C563">
        <f>VLOOKUP(B563,RECETAS!D562:$E$1700,2,FALSE)</f>
        <v>9</v>
      </c>
      <c r="D563" s="18" t="s">
        <v>430</v>
      </c>
      <c r="G563" t="b">
        <f t="shared" si="268"/>
        <v>1</v>
      </c>
    </row>
    <row r="564" spans="1:7" ht="15.75" thickBot="1" x14ac:dyDescent="0.3">
      <c r="A564" t="str">
        <f>B564&amp;"-"&amp;COUNTIF($B$2:B564,B564)</f>
        <v>I. CHEESECAKE-1</v>
      </c>
      <c r="B564" s="47" t="s">
        <v>583</v>
      </c>
      <c r="C564">
        <f>VLOOKUP(B564,RECETAS!D563:$E$1700,2,FALSE)</f>
        <v>0</v>
      </c>
      <c r="D564" s="18" t="s">
        <v>431</v>
      </c>
      <c r="G564" t="b">
        <f t="shared" si="268"/>
        <v>1</v>
      </c>
    </row>
    <row r="565" spans="1:7" ht="15.75" thickBot="1" x14ac:dyDescent="0.3">
      <c r="A565" t="str">
        <f>B565&amp;"-"&amp;COUNTIF($B$2:B565,B565)</f>
        <v>I. CHEESECAKE-2</v>
      </c>
      <c r="B565" s="47" t="s">
        <v>583</v>
      </c>
      <c r="C565">
        <f>VLOOKUP(B565,RECETAS!D564:$E$1700,2,FALSE)</f>
        <v>0</v>
      </c>
      <c r="D565" s="18" t="s">
        <v>431</v>
      </c>
      <c r="G565" t="b">
        <f t="shared" si="268"/>
        <v>1</v>
      </c>
    </row>
    <row r="566" spans="1:7" ht="15.75" thickBot="1" x14ac:dyDescent="0.3">
      <c r="A566" t="str">
        <f>B566&amp;"-"&amp;COUNTIF($B$2:B566,B566)</f>
        <v>I. GIN HENDRICKS-2</v>
      </c>
      <c r="B566" s="47" t="s">
        <v>76</v>
      </c>
      <c r="C566">
        <f>VLOOKUP(B566,RECETAS!D565:$E$1700,2,FALSE)</f>
        <v>225</v>
      </c>
      <c r="D566" s="18" t="s">
        <v>432</v>
      </c>
      <c r="G566" t="b">
        <f t="shared" si="268"/>
        <v>1</v>
      </c>
    </row>
    <row r="567" spans="1:7" ht="15.75" thickBot="1" x14ac:dyDescent="0.3">
      <c r="A567" t="str">
        <f>B567&amp;"-"&amp;COUNTIF($B$2:B567,B567)</f>
        <v>I. PULPA LIMON-52</v>
      </c>
      <c r="B567" s="47" t="s">
        <v>106</v>
      </c>
      <c r="C567">
        <f>VLOOKUP(B567,RECETAS!D566:$E$1700,2,FALSE)</f>
        <v>60</v>
      </c>
      <c r="D567" s="18"/>
      <c r="G567" t="b">
        <f t="shared" si="268"/>
        <v>1</v>
      </c>
    </row>
    <row r="568" spans="1:7" ht="15.75" thickBot="1" x14ac:dyDescent="0.3">
      <c r="A568" t="str">
        <f>B568&amp;"-"&amp;COUNTIF($B$2:B568,B568)</f>
        <v>I. TANQUERAY LONDON-2</v>
      </c>
      <c r="B568" s="47" t="s">
        <v>275</v>
      </c>
      <c r="C568">
        <f>VLOOKUP(B568,RECETAS!D567:$E$1700,2,FALSE)</f>
        <v>0</v>
      </c>
      <c r="D568" s="18" t="s">
        <v>433</v>
      </c>
      <c r="G568" t="b">
        <f t="shared" si="268"/>
        <v>1</v>
      </c>
    </row>
    <row r="569" spans="1:7" ht="15.75" thickBot="1" x14ac:dyDescent="0.3">
      <c r="A569" t="str">
        <f>B569&amp;"-"&amp;COUNTIF($B$2:B569,B569)</f>
        <v>I. MARTINI ROSSO-2</v>
      </c>
      <c r="B569" s="47" t="s">
        <v>94</v>
      </c>
      <c r="C569">
        <f>VLOOKUP(B569,RECETAS!D568:$E$1700,2,FALSE)</f>
        <v>0</v>
      </c>
      <c r="D569" s="18"/>
      <c r="G569" t="b">
        <f t="shared" si="268"/>
        <v>1</v>
      </c>
    </row>
    <row r="570" spans="1:7" ht="15.75" thickBot="1" x14ac:dyDescent="0.3">
      <c r="A570" t="str">
        <f>B570&amp;"-"&amp;COUNTIF($B$2:B570,B570)</f>
        <v>I. ERRAZ ESTATE RESERVA SAUVIGNON BLANC-1</v>
      </c>
      <c r="B570" s="44" t="s">
        <v>69</v>
      </c>
      <c r="C570">
        <f>VLOOKUP(B570,RECETAS!D569:$E$1700,2,FALSE)</f>
        <v>0</v>
      </c>
      <c r="D570" s="18"/>
      <c r="G570" t="b">
        <f t="shared" si="268"/>
        <v>1</v>
      </c>
    </row>
    <row r="571" spans="1:7" ht="15.75" thickBot="1" x14ac:dyDescent="0.3">
      <c r="A571" t="str">
        <f>B571&amp;"-"&amp;COUNTIF($B$2:B571,B571)</f>
        <v>I. RAMAZZOTTI-2</v>
      </c>
      <c r="B571" s="47" t="s">
        <v>109</v>
      </c>
      <c r="C571">
        <f>VLOOKUP(B571,RECETAS!D570:$E$1700,2,FALSE)</f>
        <v>525</v>
      </c>
      <c r="D571" s="18" t="s">
        <v>434</v>
      </c>
      <c r="G571" t="b">
        <f t="shared" si="268"/>
        <v>1</v>
      </c>
    </row>
    <row r="572" spans="1:7" ht="15.75" thickBot="1" x14ac:dyDescent="0.3">
      <c r="A572" t="str">
        <f>B572&amp;"-"&amp;COUNTIF($B$2:B572,B572)</f>
        <v>I. CHAMP BRUT 750-5</v>
      </c>
      <c r="B572" s="47" t="s">
        <v>59</v>
      </c>
      <c r="C572">
        <f>VLOOKUP(B572,RECETAS!D571:$E$1700,2,FALSE)</f>
        <v>1050</v>
      </c>
      <c r="D572" s="18"/>
      <c r="G572" t="b">
        <f t="shared" si="268"/>
        <v>1</v>
      </c>
    </row>
    <row r="573" spans="1:7" ht="15.75" thickBot="1" x14ac:dyDescent="0.3">
      <c r="A573" t="str">
        <f>B573&amp;"-"&amp;COUNTIF($B$2:B573,B573)</f>
        <v>I. CREMA DE CASSIS-2</v>
      </c>
      <c r="B573" s="47" t="s">
        <v>66</v>
      </c>
      <c r="C573">
        <f>VLOOKUP(B573,RECETAS!D572:$E$1700,2,FALSE)</f>
        <v>245</v>
      </c>
      <c r="D573" s="18"/>
      <c r="G573" t="b">
        <f t="shared" si="268"/>
        <v>1</v>
      </c>
    </row>
    <row r="574" spans="1:7" ht="15.75" thickBot="1" x14ac:dyDescent="0.3">
      <c r="A574" t="str">
        <f>B574&amp;"-"&amp;COUNTIF($B$2:B574,B574)</f>
        <v>I. JACK DANIELS-4</v>
      </c>
      <c r="B574" s="47" t="s">
        <v>83</v>
      </c>
      <c r="C574">
        <f>VLOOKUP(B574,RECETAS!D573:$E$1700,2,FALSE)</f>
        <v>0</v>
      </c>
      <c r="D574" s="18" t="s">
        <v>435</v>
      </c>
      <c r="G574" t="b">
        <f t="shared" si="268"/>
        <v>1</v>
      </c>
    </row>
    <row r="575" spans="1:7" ht="15.75" thickBot="1" x14ac:dyDescent="0.3">
      <c r="A575" t="str">
        <f>B575&amp;"-"&amp;COUNTIF($B$2:B575,B575)</f>
        <v>I. PULPA LIMON-53</v>
      </c>
      <c r="B575" s="47" t="s">
        <v>106</v>
      </c>
      <c r="C575">
        <f>VLOOKUP(B575,RECETAS!D574:$E$1700,2,FALSE)</f>
        <v>0</v>
      </c>
      <c r="D575" s="18"/>
      <c r="G575" t="b">
        <f t="shared" si="268"/>
        <v>1</v>
      </c>
    </row>
    <row r="576" spans="1:7" ht="15.75" thickBot="1" x14ac:dyDescent="0.3">
      <c r="A576" t="str">
        <f>B576&amp;"-"&amp;COUNTIF($B$2:B576,B576)</f>
        <v>I. PULPA MARACUYA-1</v>
      </c>
      <c r="B576" s="47" t="s">
        <v>108</v>
      </c>
      <c r="C576">
        <f>VLOOKUP(B576,RECETAS!D575:$E$1700,2,FALSE)</f>
        <v>0</v>
      </c>
      <c r="D576" s="18"/>
      <c r="G576" t="b">
        <f t="shared" si="268"/>
        <v>1</v>
      </c>
    </row>
    <row r="577" spans="1:7" ht="15.75" thickBot="1" x14ac:dyDescent="0.3">
      <c r="A577" t="str">
        <f>B577&amp;"-"&amp;COUNTIF($B$2:B577,B577)</f>
        <v>I. CAMPARI-2</v>
      </c>
      <c r="B577" s="47" t="s">
        <v>58</v>
      </c>
      <c r="C577">
        <f>VLOOKUP(B577,RECETAS!D576:$E$1700,2,FALSE)</f>
        <v>225</v>
      </c>
      <c r="D577" s="18" t="s">
        <v>436</v>
      </c>
      <c r="G577" t="b">
        <f t="shared" si="268"/>
        <v>1</v>
      </c>
    </row>
    <row r="578" spans="1:7" ht="15.75" thickBot="1" x14ac:dyDescent="0.3">
      <c r="A578" t="str">
        <f>B578&amp;"-"&amp;COUNTIF($B$2:B578,B578)</f>
        <v>I. MARTINI ROSSO-3</v>
      </c>
      <c r="B578" s="47" t="s">
        <v>94</v>
      </c>
      <c r="C578">
        <f>VLOOKUP(B578,RECETAS!D577:$E$1700,2,FALSE)</f>
        <v>225</v>
      </c>
      <c r="D578" s="18"/>
      <c r="G578" t="b">
        <f t="shared" si="268"/>
        <v>1</v>
      </c>
    </row>
    <row r="579" spans="1:7" ht="15.75" thickBot="1" x14ac:dyDescent="0.3">
      <c r="A579" t="str">
        <f>B579&amp;"-"&amp;COUNTIF($B$2:B579,B579)</f>
        <v>I. BEEFEATER-4</v>
      </c>
      <c r="B579" s="47" t="s">
        <v>54</v>
      </c>
      <c r="C579">
        <f>VLOOKUP(B579,RECETAS!D578:$E$1700,2,FALSE)</f>
        <v>225</v>
      </c>
      <c r="D579" s="18"/>
      <c r="G579" t="b">
        <f t="shared" ref="G579:G642" si="269">IFERROR(IF(MATCH(B579,I:I,0) &lt;&gt; "", TRUE,""),FALSE)</f>
        <v>1</v>
      </c>
    </row>
    <row r="580" spans="1:7" ht="15.75" thickBot="1" x14ac:dyDescent="0.3">
      <c r="A580" t="str">
        <f>B580&amp;"-"&amp;COUNTIF($B$2:B580,B580)</f>
        <v>I. BEEFEATER-5</v>
      </c>
      <c r="B580" s="47" t="s">
        <v>54</v>
      </c>
      <c r="C580">
        <f>VLOOKUP(B580,RECETAS!D579:$E$1700,2,FALSE)</f>
        <v>0</v>
      </c>
      <c r="D580" s="18" t="s">
        <v>437</v>
      </c>
      <c r="G580" t="b">
        <f t="shared" si="269"/>
        <v>1</v>
      </c>
    </row>
    <row r="581" spans="1:7" ht="15.75" thickBot="1" x14ac:dyDescent="0.3">
      <c r="A581" t="str">
        <f>B581&amp;"-"&amp;COUNTIF($B$2:B581,B581)</f>
        <v>-0</v>
      </c>
      <c r="B581" s="55"/>
      <c r="C581" t="e">
        <f>VLOOKUP(B581,RECETAS!D580:$E$1700,2,FALSE)</f>
        <v>#N/A</v>
      </c>
      <c r="D581" s="53" t="s">
        <v>438</v>
      </c>
      <c r="G581" t="b">
        <f t="shared" si="269"/>
        <v>0</v>
      </c>
    </row>
    <row r="582" spans="1:7" x14ac:dyDescent="0.25">
      <c r="A582" t="str">
        <f>B582&amp;"-"&amp;COUNTIF($B$2:B582,B582)</f>
        <v>I. MECHADA MENU-2</v>
      </c>
      <c r="B582" s="26" t="s">
        <v>39</v>
      </c>
      <c r="C582">
        <f>VLOOKUP(B582,RECETAS!D581:$E$1700,2,FALSE)</f>
        <v>0</v>
      </c>
      <c r="D582" s="25" t="s">
        <v>439</v>
      </c>
      <c r="G582" t="b">
        <f t="shared" si="269"/>
        <v>1</v>
      </c>
    </row>
    <row r="583" spans="1:7" ht="15.75" thickBot="1" x14ac:dyDescent="0.3">
      <c r="A583" t="str">
        <f>B583&amp;"-"&amp;COUNTIF($B$2:B583,B583)</f>
        <v>I. PAPA SELECTA-1</v>
      </c>
      <c r="B583" s="33" t="s">
        <v>38</v>
      </c>
      <c r="C583">
        <f>VLOOKUP(B583,RECETAS!D582:$E$1700,2,FALSE)</f>
        <v>0</v>
      </c>
      <c r="D583" s="32"/>
      <c r="G583" t="b">
        <f t="shared" si="269"/>
        <v>1</v>
      </c>
    </row>
    <row r="584" spans="1:7" x14ac:dyDescent="0.25">
      <c r="A584" t="str">
        <f>B584&amp;"-"&amp;COUNTIF($B$2:B584,B584)</f>
        <v>I. SALMON DE 250-3</v>
      </c>
      <c r="B584" s="26" t="s">
        <v>36</v>
      </c>
      <c r="C584">
        <f>VLOOKUP(B584,RECETAS!D583:$E$1700,2,FALSE)</f>
        <v>0</v>
      </c>
      <c r="D584" s="25" t="s">
        <v>555</v>
      </c>
      <c r="G584" t="b">
        <f t="shared" si="269"/>
        <v>1</v>
      </c>
    </row>
    <row r="585" spans="1:7" x14ac:dyDescent="0.25">
      <c r="A585" t="str">
        <f>B585&amp;"-"&amp;COUNTIF($B$2:B585,B585)</f>
        <v>I. TORTILLAS CH-3</v>
      </c>
      <c r="B585" s="33" t="s">
        <v>4</v>
      </c>
      <c r="C585">
        <f>VLOOKUP(B585,RECETAS!D584:$E$1700,2,FALSE)</f>
        <v>0</v>
      </c>
      <c r="D585" s="32"/>
      <c r="G585" t="b">
        <f t="shared" si="269"/>
        <v>1</v>
      </c>
    </row>
    <row r="586" spans="1:7" ht="15.75" thickBot="1" x14ac:dyDescent="0.3">
      <c r="A586" t="str">
        <f>B586&amp;"-"&amp;COUNTIF($B$2:B586,B586)</f>
        <v>-0</v>
      </c>
      <c r="B586" s="54"/>
      <c r="C586" t="e">
        <f>VLOOKUP(B586,RECETAS!D585:$E$1700,2,FALSE)</f>
        <v>#N/A</v>
      </c>
      <c r="D586" s="53"/>
      <c r="G586" t="b">
        <f t="shared" si="269"/>
        <v>0</v>
      </c>
    </row>
    <row r="587" spans="1:7" x14ac:dyDescent="0.25">
      <c r="A587" t="str">
        <f>B587&amp;"-"&amp;COUNTIF($B$2:B587,B587)</f>
        <v>I. SALMON DE 250-4</v>
      </c>
      <c r="B587" s="37" t="s">
        <v>36</v>
      </c>
      <c r="C587">
        <f>VLOOKUP(B587,RECETAS!D586:$E$1700,2,FALSE)</f>
        <v>5</v>
      </c>
      <c r="D587" s="25" t="s">
        <v>440</v>
      </c>
      <c r="G587" t="b">
        <f t="shared" si="269"/>
        <v>1</v>
      </c>
    </row>
    <row r="588" spans="1:7" x14ac:dyDescent="0.25">
      <c r="A588" t="str">
        <f>B588&amp;"-"&amp;COUNTIF($B$2:B588,B588)</f>
        <v>I. PAPAS FRITAS-13</v>
      </c>
      <c r="B588" s="38" t="s">
        <v>13</v>
      </c>
      <c r="C588">
        <f>VLOOKUP(B588,RECETAS!D587:$E$1700,2,FALSE)</f>
        <v>1500</v>
      </c>
      <c r="D588" s="34"/>
      <c r="G588" t="b">
        <f t="shared" si="269"/>
        <v>1</v>
      </c>
    </row>
    <row r="589" spans="1:7" ht="15.75" thickBot="1" x14ac:dyDescent="0.3">
      <c r="A589" t="str">
        <f>B589&amp;"-"&amp;COUNTIF($B$2:B589,B589)</f>
        <v>I. HUEVOS-2</v>
      </c>
      <c r="B589" s="41" t="s">
        <v>209</v>
      </c>
      <c r="C589">
        <f>VLOOKUP(B589,RECETAS!D588:$E$1700,2,FALSE)</f>
        <v>10</v>
      </c>
      <c r="D589" s="27"/>
      <c r="G589" t="b">
        <f t="shared" si="269"/>
        <v>1</v>
      </c>
    </row>
    <row r="590" spans="1:7" x14ac:dyDescent="0.25">
      <c r="A590" t="str">
        <f>B590&amp;"-"&amp;COUNTIF($B$2:B590,B590)</f>
        <v>I. LOMO 250-4</v>
      </c>
      <c r="B590" s="37" t="s">
        <v>11</v>
      </c>
      <c r="C590">
        <f>VLOOKUP(B590,RECETAS!D589:$E$1700,2,FALSE)</f>
        <v>7</v>
      </c>
      <c r="D590" s="25" t="s">
        <v>441</v>
      </c>
      <c r="G590" t="b">
        <f t="shared" si="269"/>
        <v>1</v>
      </c>
    </row>
    <row r="591" spans="1:7" x14ac:dyDescent="0.25">
      <c r="A591" t="str">
        <f>B591&amp;"-"&amp;COUNTIF($B$2:B591,B591)</f>
        <v>I. PAPAS FRITAS-14</v>
      </c>
      <c r="B591" s="38" t="s">
        <v>13</v>
      </c>
      <c r="C591">
        <f>VLOOKUP(B591,RECETAS!D590:$E$1700,2,FALSE)</f>
        <v>2100</v>
      </c>
      <c r="D591" s="34"/>
      <c r="G591" t="b">
        <f t="shared" si="269"/>
        <v>1</v>
      </c>
    </row>
    <row r="592" spans="1:7" ht="15.75" thickBot="1" x14ac:dyDescent="0.3">
      <c r="A592" t="str">
        <f>B592&amp;"-"&amp;COUNTIF($B$2:B592,B592)</f>
        <v>I. HUEVOS-3</v>
      </c>
      <c r="B592" s="41" t="s">
        <v>209</v>
      </c>
      <c r="C592">
        <f>VLOOKUP(B592,RECETAS!D591:$E$1700,2,FALSE)</f>
        <v>14</v>
      </c>
      <c r="D592" s="27"/>
      <c r="G592" t="b">
        <f t="shared" si="269"/>
        <v>1</v>
      </c>
    </row>
    <row r="593" spans="1:7" x14ac:dyDescent="0.25">
      <c r="A593" t="str">
        <f>B593&amp;"-"&amp;COUNTIF($B$2:B593,B593)</f>
        <v>I. FILETILLO POLLO-3</v>
      </c>
      <c r="B593" s="37" t="s">
        <v>5</v>
      </c>
      <c r="C593">
        <f>VLOOKUP(B593,RECETAS!D592:$E$1700,2,FALSE)</f>
        <v>3</v>
      </c>
      <c r="D593" s="25" t="s">
        <v>442</v>
      </c>
      <c r="G593" t="b">
        <f t="shared" si="269"/>
        <v>1</v>
      </c>
    </row>
    <row r="594" spans="1:7" x14ac:dyDescent="0.25">
      <c r="A594" t="str">
        <f>B594&amp;"-"&amp;COUNTIF($B$2:B594,B594)</f>
        <v>I. PAPAS FRITAS-15</v>
      </c>
      <c r="B594" s="38" t="s">
        <v>13</v>
      </c>
      <c r="C594">
        <f>VLOOKUP(B594,RECETAS!D593:$E$1700,2,FALSE)</f>
        <v>900</v>
      </c>
      <c r="D594" s="34"/>
      <c r="G594" t="b">
        <f t="shared" si="269"/>
        <v>1</v>
      </c>
    </row>
    <row r="595" spans="1:7" ht="15.75" thickBot="1" x14ac:dyDescent="0.3">
      <c r="A595" t="str">
        <f>B595&amp;"-"&amp;COUNTIF($B$2:B595,B595)</f>
        <v>I. HUEVOS-4</v>
      </c>
      <c r="B595" s="41" t="s">
        <v>209</v>
      </c>
      <c r="C595">
        <f>VLOOKUP(B595,RECETAS!D594:$E$1700,2,FALSE)</f>
        <v>6</v>
      </c>
      <c r="D595" s="27"/>
      <c r="G595" t="b">
        <f t="shared" si="269"/>
        <v>1</v>
      </c>
    </row>
    <row r="596" spans="1:7" x14ac:dyDescent="0.25">
      <c r="A596" t="str">
        <f>B596&amp;"-"&amp;COUNTIF($B$2:B596,B596)</f>
        <v>I. SALMON DE 250-5</v>
      </c>
      <c r="B596" s="37" t="s">
        <v>36</v>
      </c>
      <c r="C596">
        <f>VLOOKUP(B596,RECETAS!D595:$E$1700,2,FALSE)</f>
        <v>11</v>
      </c>
      <c r="D596" s="25" t="s">
        <v>443</v>
      </c>
      <c r="G596" t="b">
        <f t="shared" si="269"/>
        <v>1</v>
      </c>
    </row>
    <row r="597" spans="1:7" ht="15.75" thickBot="1" x14ac:dyDescent="0.3">
      <c r="A597" t="str">
        <f>B597&amp;"-"&amp;COUNTIF($B$2:B597,B597)</f>
        <v>I. VERDURAS SALTEADAS-1</v>
      </c>
      <c r="B597" s="41" t="s">
        <v>37</v>
      </c>
      <c r="C597">
        <f>VLOOKUP(B597,RECETAS!D596:$E$1700,2,FALSE)</f>
        <v>11</v>
      </c>
      <c r="D597" s="27"/>
      <c r="G597" t="b">
        <f t="shared" si="269"/>
        <v>1</v>
      </c>
    </row>
    <row r="598" spans="1:7" x14ac:dyDescent="0.25">
      <c r="A598" t="str">
        <f>B598&amp;"-"&amp;COUNTIF($B$2:B598,B598)</f>
        <v>I. FILETILLO POLLO-4</v>
      </c>
      <c r="B598" s="26" t="s">
        <v>5</v>
      </c>
      <c r="C598">
        <f>VLOOKUP(B598,RECETAS!D597:$E$1700,2,FALSE)</f>
        <v>8</v>
      </c>
      <c r="D598" s="25" t="s">
        <v>444</v>
      </c>
      <c r="G598" t="b">
        <f t="shared" si="269"/>
        <v>1</v>
      </c>
    </row>
    <row r="599" spans="1:7" x14ac:dyDescent="0.25">
      <c r="A599" t="str">
        <f>B599&amp;"-"&amp;COUNTIF($B$2:B599,B599)</f>
        <v>I. ARROZ PORCION-1</v>
      </c>
      <c r="B599" s="35" t="s">
        <v>12</v>
      </c>
      <c r="C599">
        <f>VLOOKUP(B599,RECETAS!D598:$E$1700,2,FALSE)</f>
        <v>4</v>
      </c>
      <c r="D599" s="34"/>
      <c r="G599" t="b">
        <f t="shared" si="269"/>
        <v>1</v>
      </c>
    </row>
    <row r="600" spans="1:7" x14ac:dyDescent="0.25">
      <c r="A600" t="str">
        <f>B600&amp;"-"&amp;COUNTIF($B$2:B600,B600)</f>
        <v>I. PAPAS FRITAS-16</v>
      </c>
      <c r="B600" s="35" t="s">
        <v>13</v>
      </c>
      <c r="C600">
        <f>VLOOKUP(B600,RECETAS!D599:$E$1700,2,FALSE)</f>
        <v>400</v>
      </c>
      <c r="D600" s="34"/>
      <c r="G600" t="b">
        <f t="shared" si="269"/>
        <v>1</v>
      </c>
    </row>
    <row r="601" spans="1:7" ht="15.75" thickBot="1" x14ac:dyDescent="0.3">
      <c r="A601" t="str">
        <f>B601&amp;"-"&amp;COUNTIF($B$2:B601,B601)</f>
        <v>I. CREMA ESPESA-24</v>
      </c>
      <c r="B601" s="28" t="s">
        <v>16</v>
      </c>
      <c r="C601">
        <f>VLOOKUP(B601,RECETAS!D600:$E$1700,2,FALSE)</f>
        <v>120</v>
      </c>
      <c r="D601" s="27"/>
      <c r="G601" t="b">
        <f t="shared" si="269"/>
        <v>1</v>
      </c>
    </row>
    <row r="602" spans="1:7" x14ac:dyDescent="0.25">
      <c r="A602" t="str">
        <f>B602&amp;"-"&amp;COUNTIF($B$2:B602,B602)</f>
        <v>I. FILETILLO POLLO-5</v>
      </c>
      <c r="B602" s="26" t="s">
        <v>5</v>
      </c>
      <c r="C602">
        <f>VLOOKUP(B602,RECETAS!D601:$E$1700,2,FALSE)</f>
        <v>6</v>
      </c>
      <c r="D602" s="25" t="s">
        <v>445</v>
      </c>
      <c r="G602" t="b">
        <f t="shared" si="269"/>
        <v>1</v>
      </c>
    </row>
    <row r="603" spans="1:7" x14ac:dyDescent="0.25">
      <c r="A603" t="str">
        <f>B603&amp;"-"&amp;COUNTIF($B$2:B603,B603)</f>
        <v>I. ARROZ PORCION-2</v>
      </c>
      <c r="B603" s="35" t="s">
        <v>12</v>
      </c>
      <c r="C603">
        <f>VLOOKUP(B603,RECETAS!D602:$E$1700,2,FALSE)</f>
        <v>3</v>
      </c>
      <c r="D603" s="34"/>
      <c r="G603" t="b">
        <f t="shared" si="269"/>
        <v>1</v>
      </c>
    </row>
    <row r="604" spans="1:7" ht="15.75" thickBot="1" x14ac:dyDescent="0.3">
      <c r="A604" t="str">
        <f>B604&amp;"-"&amp;COUNTIF($B$2:B604,B604)</f>
        <v>I. TORTILLAS GR-5</v>
      </c>
      <c r="B604" s="33" t="s">
        <v>7</v>
      </c>
      <c r="C604">
        <f>VLOOKUP(B604,RECETAS!D603:$E$1700,2,FALSE)</f>
        <v>3</v>
      </c>
      <c r="D604" s="32"/>
      <c r="G604" t="b">
        <f t="shared" si="269"/>
        <v>1</v>
      </c>
    </row>
    <row r="605" spans="1:7" x14ac:dyDescent="0.25">
      <c r="A605" t="str">
        <f>B605&amp;"-"&amp;COUNTIF($B$2:B605,B605)</f>
        <v>I. LOMO 250-5</v>
      </c>
      <c r="B605" s="37" t="s">
        <v>11</v>
      </c>
      <c r="C605">
        <f>VLOOKUP(B605,RECETAS!D604:$E$1700,2,FALSE)</f>
        <v>12</v>
      </c>
      <c r="D605" s="25" t="s">
        <v>446</v>
      </c>
      <c r="G605" t="b">
        <f t="shared" si="269"/>
        <v>1</v>
      </c>
    </row>
    <row r="606" spans="1:7" x14ac:dyDescent="0.25">
      <c r="A606" t="str">
        <f>B606&amp;"-"&amp;COUNTIF($B$2:B606,B606)</f>
        <v>I. ARROZ PORCION-3</v>
      </c>
      <c r="B606" s="35" t="s">
        <v>12</v>
      </c>
      <c r="C606">
        <f>VLOOKUP(B606,RECETAS!D605:$E$1700,2,FALSE)</f>
        <v>12</v>
      </c>
      <c r="D606" s="34"/>
      <c r="G606" t="b">
        <f t="shared" si="269"/>
        <v>1</v>
      </c>
    </row>
    <row r="607" spans="1:7" x14ac:dyDescent="0.25">
      <c r="A607" t="str">
        <f>B607&amp;"-"&amp;COUNTIF($B$2:B607,B607)</f>
        <v>I. CREMA ESPESA-25</v>
      </c>
      <c r="B607" s="35" t="s">
        <v>16</v>
      </c>
      <c r="C607">
        <f>VLOOKUP(B607,RECETAS!D606:$E$1700,2,FALSE)</f>
        <v>600</v>
      </c>
      <c r="D607" s="34"/>
      <c r="G607" t="b">
        <f t="shared" si="269"/>
        <v>1</v>
      </c>
    </row>
    <row r="608" spans="1:7" ht="15.75" thickBot="1" x14ac:dyDescent="0.3">
      <c r="A608" t="str">
        <f>B608&amp;"-"&amp;COUNTIF($B$2:B608,B608)</f>
        <v>I. PAPAS FRITAS-17</v>
      </c>
      <c r="B608" s="28" t="s">
        <v>13</v>
      </c>
      <c r="C608">
        <f>VLOOKUP(B608,RECETAS!D607:$E$1700,2,FALSE)</f>
        <v>1200</v>
      </c>
      <c r="D608" s="27"/>
      <c r="G608" t="b">
        <f t="shared" si="269"/>
        <v>1</v>
      </c>
    </row>
    <row r="609" spans="1:7" x14ac:dyDescent="0.25">
      <c r="A609" t="str">
        <f>B609&amp;"-"&amp;COUNTIF($B$2:B609,B609)</f>
        <v>I. FETTUCCINI PORCION-1</v>
      </c>
      <c r="B609" s="46" t="s">
        <v>15</v>
      </c>
      <c r="C609">
        <f>VLOOKUP(B609,RECETAS!D608:$E$1700,2,FALSE)</f>
        <v>3</v>
      </c>
      <c r="D609" s="25" t="s">
        <v>447</v>
      </c>
      <c r="G609" t="b">
        <f t="shared" si="269"/>
        <v>1</v>
      </c>
    </row>
    <row r="610" spans="1:7" x14ac:dyDescent="0.25">
      <c r="A610" t="str">
        <f>B610&amp;"-"&amp;COUNTIF($B$2:B610,B610)</f>
        <v>I. CREMA ESPESA-26</v>
      </c>
      <c r="B610" s="36" t="s">
        <v>16</v>
      </c>
      <c r="C610">
        <f>VLOOKUP(B610,RECETAS!D609:$E$1700,2,FALSE)</f>
        <v>150</v>
      </c>
      <c r="D610" s="34"/>
      <c r="G610" t="b">
        <f t="shared" si="269"/>
        <v>1</v>
      </c>
    </row>
    <row r="611" spans="1:7" x14ac:dyDescent="0.25">
      <c r="A611" t="str">
        <f>B611&amp;"-"&amp;COUNTIF($B$2:B611,B611)</f>
        <v>I. QUESO GRANULADO-12</v>
      </c>
      <c r="B611" s="36" t="s">
        <v>9</v>
      </c>
      <c r="C611">
        <f>VLOOKUP(B611,RECETAS!D610:$E$1700,2,FALSE)</f>
        <v>90</v>
      </c>
      <c r="D611" s="34"/>
      <c r="G611" t="b">
        <f t="shared" si="269"/>
        <v>1</v>
      </c>
    </row>
    <row r="612" spans="1:7" ht="15.75" thickBot="1" x14ac:dyDescent="0.3">
      <c r="A612" t="str">
        <f>B612&amp;"-"&amp;COUNTIF($B$2:B612,B612)</f>
        <v>I. CAMARON PORCION-5</v>
      </c>
      <c r="B612" s="29" t="s">
        <v>6</v>
      </c>
      <c r="C612">
        <f>VLOOKUP(B612,RECETAS!D611:$E$1700,2,FALSE)</f>
        <v>9</v>
      </c>
      <c r="D612" s="27"/>
      <c r="G612" t="b">
        <f t="shared" si="269"/>
        <v>1</v>
      </c>
    </row>
    <row r="613" spans="1:7" ht="15.75" thickBot="1" x14ac:dyDescent="0.3">
      <c r="A613" t="str">
        <f>B613&amp;"-"&amp;COUNTIF($B$2:B613,B613)</f>
        <v>-0</v>
      </c>
      <c r="B613" s="56"/>
      <c r="C613" t="e">
        <f>VLOOKUP(B613,RECETAS!D612:$E$1700,2,FALSE)</f>
        <v>#N/A</v>
      </c>
      <c r="D613" s="53"/>
      <c r="G613" t="b">
        <f t="shared" si="269"/>
        <v>0</v>
      </c>
    </row>
    <row r="614" spans="1:7" x14ac:dyDescent="0.25">
      <c r="A614" t="str">
        <f>B614&amp;"-"&amp;COUNTIF($B$2:B614,B614)</f>
        <v>I. LOMO 250-6</v>
      </c>
      <c r="B614" s="26" t="s">
        <v>11</v>
      </c>
      <c r="C614">
        <f>VLOOKUP(B614,RECETAS!D613:$E$1700,2,FALSE)</f>
        <v>0</v>
      </c>
      <c r="D614" s="25" t="s">
        <v>236</v>
      </c>
      <c r="G614" t="b">
        <f t="shared" si="269"/>
        <v>1</v>
      </c>
    </row>
    <row r="615" spans="1:7" x14ac:dyDescent="0.25">
      <c r="A615" t="str">
        <f>B615&amp;"-"&amp;COUNTIF($B$2:B615,B615)</f>
        <v>I. ARVEJAS-1</v>
      </c>
      <c r="B615" s="35" t="s">
        <v>50</v>
      </c>
      <c r="C615">
        <f>VLOOKUP(B615,RECETAS!D614:$E$1700,2,FALSE)</f>
        <v>0</v>
      </c>
      <c r="D615" s="34"/>
      <c r="G615" t="b">
        <f t="shared" si="269"/>
        <v>1</v>
      </c>
    </row>
    <row r="616" spans="1:7" x14ac:dyDescent="0.25">
      <c r="A616" t="str">
        <f>B616&amp;"-"&amp;COUNTIF($B$2:B616,B616)</f>
        <v>I. CHAMP. PORCION-5</v>
      </c>
      <c r="B616" s="35" t="s">
        <v>8</v>
      </c>
      <c r="C616">
        <f>VLOOKUP(B616,RECETAS!D615:$E$1700,2,FALSE)</f>
        <v>0</v>
      </c>
      <c r="D616" s="34"/>
      <c r="G616" t="b">
        <f t="shared" si="269"/>
        <v>1</v>
      </c>
    </row>
    <row r="617" spans="1:7" ht="15.75" thickBot="1" x14ac:dyDescent="0.3">
      <c r="A617" t="str">
        <f>B617&amp;"-"&amp;COUNTIF($B$2:B617,B617)</f>
        <v>I. PAPA SELECTA-2</v>
      </c>
      <c r="B617" s="28" t="s">
        <v>38</v>
      </c>
      <c r="C617">
        <f>VLOOKUP(B617,RECETAS!D616:$E$1700,2,FALSE)</f>
        <v>0</v>
      </c>
      <c r="D617" s="27"/>
      <c r="G617" t="b">
        <f t="shared" si="269"/>
        <v>1</v>
      </c>
    </row>
    <row r="618" spans="1:7" ht="15.75" thickBot="1" x14ac:dyDescent="0.3">
      <c r="A618" t="str">
        <f>B618&amp;"-"&amp;COUNTIF($B$2:B618,B618)</f>
        <v>-0</v>
      </c>
      <c r="B618" s="54"/>
      <c r="C618" t="e">
        <f>VLOOKUP(B618,RECETAS!D617:$E$1700,2,FALSE)</f>
        <v>#N/A</v>
      </c>
      <c r="D618" s="53"/>
      <c r="G618" t="b">
        <f t="shared" si="269"/>
        <v>0</v>
      </c>
    </row>
    <row r="619" spans="1:7" x14ac:dyDescent="0.25">
      <c r="A619" t="str">
        <f>B619&amp;"-"&amp;COUNTIF($B$2:B619,B619)</f>
        <v>I. HAMBURGUESA-3</v>
      </c>
      <c r="B619" s="26" t="s">
        <v>26</v>
      </c>
      <c r="C619">
        <f>VLOOKUP(B619,RECETAS!D618:$E$1700,2,FALSE)</f>
        <v>0</v>
      </c>
      <c r="D619" s="25" t="s">
        <v>319</v>
      </c>
      <c r="G619" t="b">
        <f t="shared" si="269"/>
        <v>1</v>
      </c>
    </row>
    <row r="620" spans="1:7" x14ac:dyDescent="0.25">
      <c r="A620" t="str">
        <f>B620&amp;"-"&amp;COUNTIF($B$2:B620,B620)</f>
        <v>I. QUESO CHEDAR-3</v>
      </c>
      <c r="B620" s="35" t="s">
        <v>27</v>
      </c>
      <c r="C620">
        <f>VLOOKUP(B620,RECETAS!D619:$E$1700,2,FALSE)</f>
        <v>0</v>
      </c>
      <c r="D620" s="34"/>
      <c r="G620" t="b">
        <f t="shared" si="269"/>
        <v>1</v>
      </c>
    </row>
    <row r="621" spans="1:7" x14ac:dyDescent="0.25">
      <c r="A621" t="str">
        <f>B621&amp;"-"&amp;COUNTIF($B$2:B621,B621)</f>
        <v>I. TOCINO PORCION-2</v>
      </c>
      <c r="B621" s="35" t="s">
        <v>32</v>
      </c>
      <c r="C621">
        <f>VLOOKUP(B621,RECETAS!D620:$E$1700,2,FALSE)</f>
        <v>0</v>
      </c>
      <c r="D621" s="34"/>
      <c r="G621" t="b">
        <f t="shared" si="269"/>
        <v>1</v>
      </c>
    </row>
    <row r="622" spans="1:7" x14ac:dyDescent="0.25">
      <c r="A622" t="str">
        <f>B622&amp;"-"&amp;COUNTIF($B$2:B622,B622)</f>
        <v>I. PAN FRICA-4</v>
      </c>
      <c r="B622" s="35" t="s">
        <v>28</v>
      </c>
      <c r="C622">
        <f>VLOOKUP(B622,RECETAS!D621:$E$1700,2,FALSE)</f>
        <v>0</v>
      </c>
      <c r="D622" s="34"/>
      <c r="G622" t="b">
        <f t="shared" si="269"/>
        <v>1</v>
      </c>
    </row>
    <row r="623" spans="1:7" ht="15.75" thickBot="1" x14ac:dyDescent="0.3">
      <c r="A623" t="str">
        <f>B623&amp;"-"&amp;COUNTIF($B$2:B623,B623)</f>
        <v>I. PAPAS FRITAS-18</v>
      </c>
      <c r="B623" s="28" t="s">
        <v>13</v>
      </c>
      <c r="C623">
        <f>VLOOKUP(B623,RECETAS!D622:$E$1700,2,FALSE)</f>
        <v>0</v>
      </c>
      <c r="D623" s="27"/>
      <c r="G623" t="b">
        <f t="shared" si="269"/>
        <v>1</v>
      </c>
    </row>
    <row r="624" spans="1:7" ht="15.75" thickBot="1" x14ac:dyDescent="0.3">
      <c r="A624" t="str">
        <f>B624&amp;"-"&amp;COUNTIF($B$2:B624,B624)</f>
        <v>I. COCA COLA 350-2</v>
      </c>
      <c r="B624" s="47" t="s">
        <v>61</v>
      </c>
      <c r="C624">
        <f>VLOOKUP(B624,RECETAS!D623:$E$1700,2,FALSE)</f>
        <v>9</v>
      </c>
      <c r="D624" s="18" t="s">
        <v>448</v>
      </c>
      <c r="G624" t="b">
        <f t="shared" si="269"/>
        <v>1</v>
      </c>
    </row>
    <row r="625" spans="1:7" ht="15.75" thickBot="1" x14ac:dyDescent="0.3">
      <c r="A625" t="str">
        <f>B625&amp;"-"&amp;COUNTIF($B$2:B625,B625)</f>
        <v>I. COCA ZERO 350-2</v>
      </c>
      <c r="B625" s="48" t="s">
        <v>63</v>
      </c>
      <c r="C625">
        <f>VLOOKUP(B625,RECETAS!D624:$E$1700,2,FALSE)</f>
        <v>16</v>
      </c>
      <c r="D625" s="18" t="s">
        <v>449</v>
      </c>
      <c r="G625" t="b">
        <f t="shared" si="269"/>
        <v>1</v>
      </c>
    </row>
    <row r="626" spans="1:7" ht="15.75" thickBot="1" x14ac:dyDescent="0.3">
      <c r="A626" t="str">
        <f>B626&amp;"-"&amp;COUNTIF($B$2:B626,B626)</f>
        <v>I. COCA LIGHT 350-2</v>
      </c>
      <c r="B626" s="48" t="s">
        <v>62</v>
      </c>
      <c r="C626">
        <f>VLOOKUP(B626,RECETAS!D625:$E$1700,2,FALSE)</f>
        <v>6</v>
      </c>
      <c r="D626" s="18" t="s">
        <v>450</v>
      </c>
      <c r="G626" t="b">
        <f t="shared" si="269"/>
        <v>1</v>
      </c>
    </row>
    <row r="627" spans="1:7" ht="15.75" thickBot="1" x14ac:dyDescent="0.3">
      <c r="A627" t="str">
        <f>B627&amp;"-"&amp;COUNTIF($B$2:B627,B627)</f>
        <v>I. GINGER 0 350-1</v>
      </c>
      <c r="B627" s="71" t="s">
        <v>77</v>
      </c>
      <c r="C627">
        <f>VLOOKUP(B627,RECETAS!D626:$E$1700,2,FALSE)</f>
        <v>3</v>
      </c>
      <c r="D627" s="18" t="s">
        <v>451</v>
      </c>
      <c r="G627" t="b">
        <f t="shared" si="269"/>
        <v>1</v>
      </c>
    </row>
    <row r="628" spans="1:7" ht="15.75" thickBot="1" x14ac:dyDescent="0.3">
      <c r="A628" t="str">
        <f>B628&amp;"-"&amp;COUNTIF($B$2:B628,B628)</f>
        <v>I. FANTA 350-2</v>
      </c>
      <c r="B628" s="47" t="s">
        <v>71</v>
      </c>
      <c r="C628">
        <f>VLOOKUP(B628,RECETAS!D627:$E$1700,2,FALSE)</f>
        <v>1</v>
      </c>
      <c r="D628" s="18" t="s">
        <v>452</v>
      </c>
      <c r="G628" t="b">
        <f t="shared" si="269"/>
        <v>1</v>
      </c>
    </row>
    <row r="629" spans="1:7" ht="15.75" thickBot="1" x14ac:dyDescent="0.3">
      <c r="A629" t="str">
        <f>B629&amp;"-"&amp;COUNTIF($B$2:B629,B629)</f>
        <v>I. SPRITE 350-2</v>
      </c>
      <c r="B629" s="48" t="s">
        <v>119</v>
      </c>
      <c r="C629">
        <f>VLOOKUP(B629,RECETAS!D628:$E$1700,2,FALSE)</f>
        <v>1</v>
      </c>
      <c r="D629" s="18" t="s">
        <v>453</v>
      </c>
      <c r="G629" t="b">
        <f t="shared" si="269"/>
        <v>1</v>
      </c>
    </row>
    <row r="630" spans="1:7" ht="15.75" thickBot="1" x14ac:dyDescent="0.3">
      <c r="A630" t="str">
        <f>B630&amp;"-"&amp;COUNTIF($B$2:B630,B630)</f>
        <v>I. SPRITE ZERO 350-2</v>
      </c>
      <c r="B630" s="56" t="s">
        <v>120</v>
      </c>
      <c r="C630">
        <f>VLOOKUP(B630,RECETAS!D629:$E$1700,2,FALSE)</f>
        <v>4</v>
      </c>
      <c r="D630" s="72" t="s">
        <v>454</v>
      </c>
      <c r="G630" t="b">
        <f t="shared" si="269"/>
        <v>1</v>
      </c>
    </row>
    <row r="631" spans="1:7" ht="15.75" thickBot="1" x14ac:dyDescent="0.3">
      <c r="A631" t="str">
        <f>B631&amp;"-"&amp;COUNTIF($B$2:B631,B631)</f>
        <v>I. BARRIL STELLA -2</v>
      </c>
      <c r="B631" s="48" t="s">
        <v>219</v>
      </c>
      <c r="C631">
        <f>VLOOKUP(B631,RECETAS!D630:$E$1700,2,FALSE)</f>
        <v>500</v>
      </c>
      <c r="D631" s="18" t="s">
        <v>455</v>
      </c>
      <c r="G631" t="b">
        <f t="shared" si="269"/>
        <v>1</v>
      </c>
    </row>
    <row r="632" spans="1:7" ht="15.75" thickBot="1" x14ac:dyDescent="0.3">
      <c r="A632" t="str">
        <f>B632&amp;"-"&amp;COUNTIF($B$2:B632,B632)</f>
        <v>I. MINERAL C/GAS 330-2</v>
      </c>
      <c r="B632" s="56" t="s">
        <v>95</v>
      </c>
      <c r="C632">
        <f>VLOOKUP(B632,RECETAS!D631:$E$1700,2,FALSE)</f>
        <v>4</v>
      </c>
      <c r="D632" s="72" t="s">
        <v>456</v>
      </c>
      <c r="G632" t="b">
        <f t="shared" si="269"/>
        <v>1</v>
      </c>
    </row>
    <row r="633" spans="1:7" ht="15.75" thickBot="1" x14ac:dyDescent="0.3">
      <c r="A633" t="str">
        <f>B633&amp;"-"&amp;COUNTIF($B$2:B633,B633)</f>
        <v>I. MINERAL S/GAS 330-2</v>
      </c>
      <c r="B633" s="48" t="s">
        <v>96</v>
      </c>
      <c r="C633">
        <f>VLOOKUP(B633,RECETAS!D632:$E$1700,2,FALSE)</f>
        <v>11</v>
      </c>
      <c r="D633" s="18" t="s">
        <v>457</v>
      </c>
      <c r="G633" t="b">
        <f t="shared" si="269"/>
        <v>1</v>
      </c>
    </row>
    <row r="634" spans="1:7" ht="15.75" thickBot="1" x14ac:dyDescent="0.3">
      <c r="A634" t="str">
        <f>B634&amp;"-"&amp;COUNTIF($B$2:B634,B634)</f>
        <v>I. ERRAZ ESTATE RESERVA SAUVIGNON BLANC-2</v>
      </c>
      <c r="B634" s="55" t="s">
        <v>69</v>
      </c>
      <c r="C634">
        <f>VLOOKUP(B634,RECETAS!D633:$E$1700,2,FALSE)</f>
        <v>0</v>
      </c>
      <c r="D634" s="72" t="s">
        <v>556</v>
      </c>
      <c r="G634" t="b">
        <f t="shared" si="269"/>
        <v>1</v>
      </c>
    </row>
    <row r="635" spans="1:7" ht="15.75" thickBot="1" x14ac:dyDescent="0.3">
      <c r="A635" t="str">
        <f>B635&amp;"-"&amp;COUNTIF($B$2:B635,B635)</f>
        <v>I. ERRAZURIZ ESTATE RESERVA CABERNET SAUVIGNON-1</v>
      </c>
      <c r="B635" s="85" t="s">
        <v>70</v>
      </c>
      <c r="C635">
        <f>VLOOKUP(B635,RECETAS!D634:$E$1700,2,FALSE)</f>
        <v>150</v>
      </c>
      <c r="D635" s="18" t="s">
        <v>557</v>
      </c>
      <c r="G635" t="b">
        <f t="shared" si="269"/>
        <v>1</v>
      </c>
    </row>
    <row r="636" spans="1:7" ht="15.75" thickBot="1" x14ac:dyDescent="0.3">
      <c r="A636" t="str">
        <f>B636&amp;"-"&amp;COUNTIF($B$2:B636,B636)</f>
        <v>I. COCA COLA 350-3</v>
      </c>
      <c r="B636" s="55" t="s">
        <v>61</v>
      </c>
      <c r="C636">
        <f>VLOOKUP(B636,RECETAS!D635:$E$1700,2,FALSE)</f>
        <v>10</v>
      </c>
      <c r="D636" s="72" t="s">
        <v>458</v>
      </c>
      <c r="G636" t="b">
        <f t="shared" si="269"/>
        <v>1</v>
      </c>
    </row>
    <row r="637" spans="1:7" ht="15.75" thickBot="1" x14ac:dyDescent="0.3">
      <c r="A637" t="str">
        <f>B637&amp;"-"&amp;COUNTIF($B$2:B637,B637)</f>
        <v>I. COCA ZERO 350-3</v>
      </c>
      <c r="B637" s="48" t="s">
        <v>63</v>
      </c>
      <c r="C637">
        <f>VLOOKUP(B637,RECETAS!D636:$E$1700,2,FALSE)</f>
        <v>24</v>
      </c>
      <c r="D637" s="18" t="s">
        <v>459</v>
      </c>
      <c r="G637" t="b">
        <f t="shared" si="269"/>
        <v>1</v>
      </c>
    </row>
    <row r="638" spans="1:7" ht="15.75" thickBot="1" x14ac:dyDescent="0.3">
      <c r="A638" t="str">
        <f>B638&amp;"-"&amp;COUNTIF($B$2:B638,B638)</f>
        <v>I. COCA LIGHT 350-3</v>
      </c>
      <c r="B638" s="56" t="s">
        <v>62</v>
      </c>
      <c r="C638">
        <f>VLOOKUP(B638,RECETAS!D637:$E$1700,2,FALSE)</f>
        <v>1</v>
      </c>
      <c r="D638" s="72" t="s">
        <v>460</v>
      </c>
      <c r="G638" t="b">
        <f t="shared" si="269"/>
        <v>1</v>
      </c>
    </row>
    <row r="639" spans="1:7" ht="15.75" thickBot="1" x14ac:dyDescent="0.3">
      <c r="A639" t="str">
        <f>B639&amp;"-"&amp;COUNTIF($B$2:B639,B639)</f>
        <v>I. GINGER 0 350-2</v>
      </c>
      <c r="B639" s="71" t="s">
        <v>77</v>
      </c>
      <c r="C639">
        <f>VLOOKUP(B639,RECETAS!D638:$E$1700,2,FALSE)</f>
        <v>7</v>
      </c>
      <c r="D639" s="18" t="s">
        <v>461</v>
      </c>
      <c r="G639" t="b">
        <f t="shared" si="269"/>
        <v>1</v>
      </c>
    </row>
    <row r="640" spans="1:7" ht="15.75" thickBot="1" x14ac:dyDescent="0.3">
      <c r="A640" t="str">
        <f>B640&amp;"-"&amp;COUNTIF($B$2:B640,B640)</f>
        <v>I. FANTA 350-3</v>
      </c>
      <c r="B640" s="55" t="s">
        <v>71</v>
      </c>
      <c r="C640">
        <f>VLOOKUP(B640,RECETAS!D639:$E$1700,2,FALSE)</f>
        <v>0</v>
      </c>
      <c r="D640" s="72" t="s">
        <v>462</v>
      </c>
      <c r="G640" t="b">
        <f t="shared" si="269"/>
        <v>1</v>
      </c>
    </row>
    <row r="641" spans="1:7" ht="15.75" thickBot="1" x14ac:dyDescent="0.3">
      <c r="A641" t="str">
        <f>B641&amp;"-"&amp;COUNTIF($B$2:B641,B641)</f>
        <v>I. SPRITE 350-3</v>
      </c>
      <c r="B641" s="48" t="s">
        <v>119</v>
      </c>
      <c r="C641">
        <f>VLOOKUP(B641,RECETAS!D640:$E$1700,2,FALSE)</f>
        <v>0</v>
      </c>
      <c r="D641" s="18" t="s">
        <v>463</v>
      </c>
      <c r="G641" t="b">
        <f t="shared" si="269"/>
        <v>1</v>
      </c>
    </row>
    <row r="642" spans="1:7" ht="15.75" thickBot="1" x14ac:dyDescent="0.3">
      <c r="A642" t="str">
        <f>B642&amp;"-"&amp;COUNTIF($B$2:B642,B642)</f>
        <v>I. SPRITE ZERO 350-3</v>
      </c>
      <c r="B642" s="56" t="s">
        <v>120</v>
      </c>
      <c r="C642">
        <f>VLOOKUP(B642,RECETAS!D641:$E$1700,2,FALSE)</f>
        <v>0</v>
      </c>
      <c r="D642" s="72" t="s">
        <v>464</v>
      </c>
      <c r="G642" t="b">
        <f t="shared" si="269"/>
        <v>1</v>
      </c>
    </row>
    <row r="643" spans="1:7" ht="15.75" thickBot="1" x14ac:dyDescent="0.3">
      <c r="A643" t="str">
        <f>B643&amp;"-"&amp;COUNTIF($B$2:B643,B643)</f>
        <v>I. TONICA 350-1</v>
      </c>
      <c r="B643" s="48" t="s">
        <v>127</v>
      </c>
      <c r="C643">
        <f>VLOOKUP(B643,RECETAS!D642:$E$1700,2,FALSE)</f>
        <v>23</v>
      </c>
      <c r="D643" s="18" t="s">
        <v>465</v>
      </c>
      <c r="G643" t="b">
        <f t="shared" ref="G643:G706" si="270">IFERROR(IF(MATCH(B643,I:I,0) &lt;&gt; "", TRUE,""),FALSE)</f>
        <v>1</v>
      </c>
    </row>
    <row r="644" spans="1:7" ht="15.75" thickBot="1" x14ac:dyDescent="0.3">
      <c r="A644" t="str">
        <f>B644&amp;"-"&amp;COUNTIF($B$2:B644,B644)</f>
        <v>I. TONICA  FENTIMS-2</v>
      </c>
      <c r="B644" s="55" t="s">
        <v>125</v>
      </c>
      <c r="C644">
        <f>VLOOKUP(B644,RECETAS!D643:$E$1700,2,FALSE)</f>
        <v>0</v>
      </c>
      <c r="D644" s="72" t="s">
        <v>466</v>
      </c>
      <c r="G644" t="b">
        <f t="shared" si="270"/>
        <v>1</v>
      </c>
    </row>
    <row r="645" spans="1:7" ht="15.75" thickBot="1" x14ac:dyDescent="0.3">
      <c r="A645" t="str">
        <f>B645&amp;"-"&amp;COUNTIF($B$2:B645,B645)</f>
        <v>I. FETTIMAN LGHT-2</v>
      </c>
      <c r="B645" s="47" t="s">
        <v>73</v>
      </c>
      <c r="C645">
        <f>VLOOKUP(B645,RECETAS!D644:$E$1700,2,FALSE)</f>
        <v>0</v>
      </c>
      <c r="D645" s="18" t="s">
        <v>467</v>
      </c>
      <c r="G645" t="b">
        <f t="shared" si="270"/>
        <v>1</v>
      </c>
    </row>
    <row r="646" spans="1:7" ht="15" customHeight="1" thickBot="1" x14ac:dyDescent="0.3">
      <c r="A646" t="str">
        <f>B646&amp;"-"&amp;COUNTIF($B$2:B646,B646)</f>
        <v>I. COCA COLA 237CC-1</v>
      </c>
      <c r="B646" s="55" t="s">
        <v>584</v>
      </c>
      <c r="C646">
        <f>VLOOKUP(B646,RECETAS!D645:$E$1700,2,FALSE)</f>
        <v>12</v>
      </c>
      <c r="D646" s="72" t="s">
        <v>468</v>
      </c>
      <c r="G646" t="b">
        <f t="shared" si="270"/>
        <v>1</v>
      </c>
    </row>
    <row r="647" spans="1:7" ht="15" customHeight="1" thickBot="1" x14ac:dyDescent="0.3">
      <c r="A647" t="str">
        <f>B647&amp;"-"&amp;COUNTIF($B$2:B647,B647)</f>
        <v>I. COCA ZERO 237CC-1</v>
      </c>
      <c r="B647" s="47" t="s">
        <v>585</v>
      </c>
      <c r="C647">
        <f>VLOOKUP(B647,RECETAS!D646:$E$1700,2,FALSE)</f>
        <v>37</v>
      </c>
      <c r="D647" s="18" t="s">
        <v>469</v>
      </c>
      <c r="G647" t="b">
        <f t="shared" si="270"/>
        <v>1</v>
      </c>
    </row>
    <row r="648" spans="1:7" ht="15" customHeight="1" thickBot="1" x14ac:dyDescent="0.3">
      <c r="A648" t="str">
        <f>B648&amp;"-"&amp;COUNTIF($B$2:B648,B648)</f>
        <v>I. SPRITE 237CC-3</v>
      </c>
      <c r="B648" s="55" t="s">
        <v>586</v>
      </c>
      <c r="C648">
        <f>VLOOKUP(B648,RECETAS!D647:$E$1700,2,FALSE)</f>
        <v>3</v>
      </c>
      <c r="D648" s="72" t="s">
        <v>470</v>
      </c>
      <c r="G648" t="b">
        <f t="shared" si="270"/>
        <v>1</v>
      </c>
    </row>
    <row r="649" spans="1:7" ht="15.75" customHeight="1" thickBot="1" x14ac:dyDescent="0.3">
      <c r="A649" t="str">
        <f>B649&amp;"-"&amp;COUNTIF($B$2:B649,B649)</f>
        <v>I. ABSOLUT RASPERRI-3</v>
      </c>
      <c r="B649" s="47" t="s">
        <v>45</v>
      </c>
      <c r="C649">
        <f>VLOOKUP(B649,RECETAS!D648:$E$1700,2,FALSE)</f>
        <v>0</v>
      </c>
      <c r="D649" s="18" t="s">
        <v>471</v>
      </c>
      <c r="G649" t="b">
        <f t="shared" si="270"/>
        <v>1</v>
      </c>
    </row>
    <row r="650" spans="1:7" ht="15" customHeight="1" thickBot="1" x14ac:dyDescent="0.3">
      <c r="A650" t="str">
        <f>B650&amp;"-"&amp;COUNTIF($B$2:B650,B650)</f>
        <v>I. ABSOLUT AZUL-3</v>
      </c>
      <c r="B650" s="55" t="s">
        <v>43</v>
      </c>
      <c r="C650">
        <f>VLOOKUP(B650,RECETAS!D649:$E$1700,2,FALSE)</f>
        <v>0</v>
      </c>
      <c r="D650" s="72" t="s">
        <v>472</v>
      </c>
      <c r="G650" t="b">
        <f t="shared" si="270"/>
        <v>1</v>
      </c>
    </row>
    <row r="651" spans="1:7" ht="15" customHeight="1" thickBot="1" x14ac:dyDescent="0.3">
      <c r="A651" t="str">
        <f>B651&amp;"-"&amp;COUNTIF($B$2:B651,B651)</f>
        <v>I. ALTO 35-6</v>
      </c>
      <c r="B651" s="47" t="s">
        <v>47</v>
      </c>
      <c r="C651">
        <f>VLOOKUP(B651,RECETAS!D650:$E$1700,2,FALSE)</f>
        <v>0</v>
      </c>
      <c r="D651" s="114" t="s">
        <v>723</v>
      </c>
      <c r="G651" t="b">
        <f t="shared" si="270"/>
        <v>1</v>
      </c>
    </row>
    <row r="652" spans="1:7" ht="15" customHeight="1" thickBot="1" x14ac:dyDescent="0.3">
      <c r="A652" t="str">
        <f>B652&amp;"-"&amp;COUNTIF($B$2:B652,B652)</f>
        <v>I. JOHNNIE ROJO-2</v>
      </c>
      <c r="B652" s="54" t="s">
        <v>88</v>
      </c>
      <c r="C652">
        <f>VLOOKUP(B652,RECETAS!D651:$E$1700,2,FALSE)</f>
        <v>0</v>
      </c>
      <c r="D652" s="72" t="s">
        <v>473</v>
      </c>
      <c r="G652" t="b">
        <f t="shared" si="270"/>
        <v>1</v>
      </c>
    </row>
    <row r="653" spans="1:7" ht="15" customHeight="1" thickBot="1" x14ac:dyDescent="0.3">
      <c r="A653" t="str">
        <f>B653&amp;"-"&amp;COUNTIF($B$2:B653,B653)</f>
        <v>I. JACK DANIELS-5</v>
      </c>
      <c r="B653" s="47" t="s">
        <v>83</v>
      </c>
      <c r="C653">
        <f>VLOOKUP(B653,RECETAS!D652:$E$1700,2,FALSE)</f>
        <v>0</v>
      </c>
      <c r="D653" s="18" t="s">
        <v>474</v>
      </c>
      <c r="G653" t="b">
        <f t="shared" si="270"/>
        <v>1</v>
      </c>
    </row>
    <row r="654" spans="1:7" ht="15.75" customHeight="1" thickBot="1" x14ac:dyDescent="0.3">
      <c r="A654" t="str">
        <f>B654&amp;"-"&amp;COUNTIF($B$2:B654,B654)</f>
        <v>I. PAPAS FRITAS-19</v>
      </c>
      <c r="B654" s="55" t="s">
        <v>13</v>
      </c>
      <c r="C654">
        <f>VLOOKUP(B654,RECETAS!D653:$E$1700,2,FALSE)</f>
        <v>0</v>
      </c>
      <c r="D654" s="72" t="s">
        <v>587</v>
      </c>
      <c r="G654" t="b">
        <f t="shared" si="270"/>
        <v>1</v>
      </c>
    </row>
    <row r="655" spans="1:7" ht="15" customHeight="1" x14ac:dyDescent="0.25">
      <c r="A655" t="str">
        <f>B655&amp;"-"&amp;COUNTIF($B$2:B655,B655)</f>
        <v>I. PAPAS FRITAS-20</v>
      </c>
      <c r="B655" s="26" t="s">
        <v>13</v>
      </c>
      <c r="C655">
        <f>VLOOKUP(B655,RECETAS!D654:$E$1700,2,FALSE)</f>
        <v>4000</v>
      </c>
      <c r="D655" s="25" t="s">
        <v>532</v>
      </c>
      <c r="G655" t="b">
        <f t="shared" si="270"/>
        <v>1</v>
      </c>
    </row>
    <row r="656" spans="1:7" ht="15" customHeight="1" x14ac:dyDescent="0.25">
      <c r="A656" t="str">
        <f>B656&amp;"-"&amp;COUNTIF($B$2:B656,B656)</f>
        <v>I. QUESO GRANULADO-13</v>
      </c>
      <c r="B656" s="35" t="s">
        <v>9</v>
      </c>
      <c r="C656">
        <f>VLOOKUP(B656,RECETAS!D655:$E$1700,2,FALSE)</f>
        <v>750</v>
      </c>
      <c r="D656" s="34"/>
      <c r="G656" t="b">
        <f t="shared" si="270"/>
        <v>1</v>
      </c>
    </row>
    <row r="657" spans="1:7" ht="15" customHeight="1" x14ac:dyDescent="0.25">
      <c r="A657" t="str">
        <f>B657&amp;"-"&amp;COUNTIF($B$2:B657,B657)</f>
        <v>I. CREMA ESPESA-27</v>
      </c>
      <c r="B657" s="35" t="s">
        <v>16</v>
      </c>
      <c r="C657">
        <f>VLOOKUP(B657,RECETAS!D656:$E$1700,2,FALSE)</f>
        <v>750</v>
      </c>
      <c r="D657" s="34"/>
      <c r="G657" t="b">
        <f t="shared" si="270"/>
        <v>1</v>
      </c>
    </row>
    <row r="658" spans="1:7" ht="15" customHeight="1" thickBot="1" x14ac:dyDescent="0.3">
      <c r="A658" t="str">
        <f>B658&amp;"-"&amp;COUNTIF($B$2:B658,B658)</f>
        <v>I. CIBOULET-6</v>
      </c>
      <c r="B658" s="28" t="s">
        <v>23</v>
      </c>
      <c r="C658">
        <f>VLOOKUP(B658,RECETAS!D657:$E$1700,2,FALSE)</f>
        <v>100</v>
      </c>
      <c r="D658" s="27"/>
      <c r="G658" t="b">
        <f t="shared" si="270"/>
        <v>1</v>
      </c>
    </row>
    <row r="659" spans="1:7" ht="15.75" customHeight="1" x14ac:dyDescent="0.25">
      <c r="A659" t="str">
        <f>B659&amp;"-"&amp;COUNTIF($B$2:B659,B659)</f>
        <v>I. PAPAS FRITAS-21</v>
      </c>
      <c r="B659" s="26" t="s">
        <v>13</v>
      </c>
      <c r="C659">
        <f>VLOOKUP(B659,RECETAS!D658:$E$1700,2,FALSE)</f>
        <v>12000</v>
      </c>
      <c r="D659" s="25" t="s">
        <v>524</v>
      </c>
      <c r="G659" t="b">
        <f t="shared" si="270"/>
        <v>1</v>
      </c>
    </row>
    <row r="660" spans="1:7" ht="15" customHeight="1" x14ac:dyDescent="0.25">
      <c r="A660" t="str">
        <f>B660&amp;"-"&amp;COUNTIF($B$2:B660,B660)</f>
        <v>I. QUESO GRANULADO-14</v>
      </c>
      <c r="B660" s="35" t="s">
        <v>9</v>
      </c>
      <c r="C660">
        <f>VLOOKUP(B660,RECETAS!D659:$E$1700,2,FALSE)</f>
        <v>1950</v>
      </c>
      <c r="D660" s="34"/>
      <c r="G660" t="b">
        <f t="shared" si="270"/>
        <v>1</v>
      </c>
    </row>
    <row r="661" spans="1:7" ht="15" customHeight="1" x14ac:dyDescent="0.25">
      <c r="A661" t="str">
        <f>B661&amp;"-"&amp;COUNTIF($B$2:B661,B661)</f>
        <v>I. CREMA ESPESA-28</v>
      </c>
      <c r="B661" s="35" t="s">
        <v>16</v>
      </c>
      <c r="C661">
        <f>VLOOKUP(B661,RECETAS!D660:$E$1700,2,FALSE)</f>
        <v>1950</v>
      </c>
      <c r="D661" s="34"/>
      <c r="G661" t="b">
        <f t="shared" si="270"/>
        <v>1</v>
      </c>
    </row>
    <row r="662" spans="1:7" ht="15" customHeight="1" x14ac:dyDescent="0.25">
      <c r="A662" t="str">
        <f>B662&amp;"-"&amp;COUNTIF($B$2:B662,B662)</f>
        <v>I. CIBOULET-7</v>
      </c>
      <c r="B662" s="35" t="s">
        <v>23</v>
      </c>
      <c r="C662">
        <f>VLOOKUP(B662,RECETAS!D661:$E$1700,2,FALSE)</f>
        <v>300</v>
      </c>
      <c r="D662" s="34"/>
      <c r="G662" t="b">
        <f t="shared" si="270"/>
        <v>1</v>
      </c>
    </row>
    <row r="663" spans="1:7" ht="15.75" customHeight="1" thickBot="1" x14ac:dyDescent="0.3">
      <c r="A663" t="str">
        <f>B663&amp;"-"&amp;COUNTIF($B$2:B663,B663)</f>
        <v>I. CHURRASCO PORCION-2</v>
      </c>
      <c r="B663" s="29" t="s">
        <v>24</v>
      </c>
      <c r="C663">
        <f>VLOOKUP(B663,RECETAS!D662:$E$1700,2,FALSE)</f>
        <v>15</v>
      </c>
      <c r="D663" s="27"/>
      <c r="G663" t="b">
        <f t="shared" si="270"/>
        <v>1</v>
      </c>
    </row>
    <row r="664" spans="1:7" x14ac:dyDescent="0.25">
      <c r="A664" t="str">
        <f>B664&amp;"-"&amp;COUNTIF($B$2:B664,B664)</f>
        <v>I. PAPAS FRITAS-22</v>
      </c>
      <c r="B664" s="26" t="s">
        <v>13</v>
      </c>
      <c r="C664">
        <f>VLOOKUP(B664,RECETAS!D663:$E$1700,2,FALSE)</f>
        <v>3200</v>
      </c>
      <c r="D664" s="25" t="s">
        <v>531</v>
      </c>
      <c r="G664" t="b">
        <f t="shared" si="270"/>
        <v>1</v>
      </c>
    </row>
    <row r="665" spans="1:7" x14ac:dyDescent="0.25">
      <c r="A665" t="str">
        <f>B665&amp;"-"&amp;COUNTIF($B$2:B665,B665)</f>
        <v>I. QUESO GRANULADO-15</v>
      </c>
      <c r="B665" s="35" t="s">
        <v>9</v>
      </c>
      <c r="C665">
        <f>VLOOKUP(B665,RECETAS!D664:$E$1700,2,FALSE)</f>
        <v>600</v>
      </c>
      <c r="D665" s="34"/>
      <c r="G665" t="b">
        <f t="shared" si="270"/>
        <v>1</v>
      </c>
    </row>
    <row r="666" spans="1:7" ht="15" customHeight="1" x14ac:dyDescent="0.25">
      <c r="A666" t="str">
        <f>B666&amp;"-"&amp;COUNTIF($B$2:B666,B666)</f>
        <v>I. CREMA ESPESA-29</v>
      </c>
      <c r="B666" s="35" t="s">
        <v>16</v>
      </c>
      <c r="C666">
        <f>VLOOKUP(B666,RECETAS!D665:$E$1700,2,FALSE)</f>
        <v>600</v>
      </c>
      <c r="D666" s="34"/>
      <c r="G666" t="b">
        <f t="shared" si="270"/>
        <v>1</v>
      </c>
    </row>
    <row r="667" spans="1:7" ht="15" customHeight="1" x14ac:dyDescent="0.25">
      <c r="A667" t="str">
        <f>B667&amp;"-"&amp;COUNTIF($B$2:B667,B667)</f>
        <v>I. CIBOULET-8</v>
      </c>
      <c r="B667" s="35" t="s">
        <v>23</v>
      </c>
      <c r="C667">
        <f>VLOOKUP(B667,RECETAS!D666:$E$1700,2,FALSE)</f>
        <v>80</v>
      </c>
      <c r="D667" s="34"/>
      <c r="G667" t="b">
        <f t="shared" si="270"/>
        <v>1</v>
      </c>
    </row>
    <row r="668" spans="1:7" ht="15.75" customHeight="1" thickBot="1" x14ac:dyDescent="0.3">
      <c r="A668" t="str">
        <f>B668&amp;"-"&amp;COUNTIF($B$2:B668,B668)</f>
        <v>I. CHAMP. PORCION-6</v>
      </c>
      <c r="B668" s="28" t="s">
        <v>8</v>
      </c>
      <c r="C668">
        <f>VLOOKUP(B668,RECETAS!D667:$E$1700,2,FALSE)</f>
        <v>12</v>
      </c>
      <c r="D668" s="27"/>
      <c r="G668" t="b">
        <f t="shared" si="270"/>
        <v>1</v>
      </c>
    </row>
    <row r="669" spans="1:7" ht="15" customHeight="1" x14ac:dyDescent="0.25">
      <c r="A669" t="str">
        <f>B669&amp;"-"&amp;COUNTIF($B$2:B669,B669)</f>
        <v>I. PAPAS FRITAS-23</v>
      </c>
      <c r="B669" s="26" t="s">
        <v>13</v>
      </c>
      <c r="C669">
        <f>VLOOKUP(B669,RECETAS!D668:$E$1700,2,FALSE)</f>
        <v>800</v>
      </c>
      <c r="D669" s="25" t="s">
        <v>540</v>
      </c>
      <c r="G669" t="b">
        <f t="shared" si="270"/>
        <v>1</v>
      </c>
    </row>
    <row r="670" spans="1:7" ht="15.75" customHeight="1" x14ac:dyDescent="0.25">
      <c r="A670" t="str">
        <f>B670&amp;"-"&amp;COUNTIF($B$2:B670,B670)</f>
        <v>I. QUESO GRANULADO-16</v>
      </c>
      <c r="B670" s="35" t="s">
        <v>9</v>
      </c>
      <c r="C670">
        <f>VLOOKUP(B670,RECETAS!D669:$E$1700,2,FALSE)</f>
        <v>150</v>
      </c>
      <c r="D670" s="34"/>
      <c r="G670" t="b">
        <f t="shared" si="270"/>
        <v>1</v>
      </c>
    </row>
    <row r="671" spans="1:7" ht="15" customHeight="1" x14ac:dyDescent="0.25">
      <c r="A671" t="str">
        <f>B671&amp;"-"&amp;COUNTIF($B$2:B671,B671)</f>
        <v>I. CREMA ESPESA-30</v>
      </c>
      <c r="B671" s="35" t="s">
        <v>16</v>
      </c>
      <c r="C671">
        <f>VLOOKUP(B671,RECETAS!D670:$E$1700,2,FALSE)</f>
        <v>150</v>
      </c>
      <c r="D671" s="34"/>
      <c r="G671" t="b">
        <f t="shared" si="270"/>
        <v>1</v>
      </c>
    </row>
    <row r="672" spans="1:7" ht="15" customHeight="1" x14ac:dyDescent="0.25">
      <c r="A672" t="str">
        <f>B672&amp;"-"&amp;COUNTIF($B$2:B672,B672)</f>
        <v>I. CIBOULET-9</v>
      </c>
      <c r="B672" s="35" t="s">
        <v>23</v>
      </c>
      <c r="C672">
        <f>VLOOKUP(B672,RECETAS!D671:$E$1700,2,FALSE)</f>
        <v>20</v>
      </c>
      <c r="D672" s="34"/>
      <c r="G672" t="b">
        <f t="shared" si="270"/>
        <v>1</v>
      </c>
    </row>
    <row r="673" spans="1:7" ht="15" customHeight="1" thickBot="1" x14ac:dyDescent="0.3">
      <c r="A673" t="str">
        <f>B673&amp;"-"&amp;COUNTIF($B$2:B673,B673)</f>
        <v>I. CAMARON PORCION-6</v>
      </c>
      <c r="B673" s="28" t="s">
        <v>6</v>
      </c>
      <c r="C673">
        <f>VLOOKUP(B673,RECETAS!D672:$E$1700,2,FALSE)</f>
        <v>3</v>
      </c>
      <c r="D673" s="27"/>
      <c r="G673" t="b">
        <f t="shared" si="270"/>
        <v>1</v>
      </c>
    </row>
    <row r="674" spans="1:7" ht="15" customHeight="1" x14ac:dyDescent="0.25">
      <c r="A674" t="str">
        <f>B674&amp;"-"&amp;COUNTIF($B$2:B674,B674)</f>
        <v>I. TORTILLAS GR-6</v>
      </c>
      <c r="B674" s="26" t="s">
        <v>7</v>
      </c>
      <c r="C674">
        <f>VLOOKUP(B674,RECETAS!D673:$E$1700,2,FALSE)</f>
        <v>1</v>
      </c>
      <c r="D674" s="25" t="s">
        <v>533</v>
      </c>
      <c r="G674" t="b">
        <f t="shared" si="270"/>
        <v>1</v>
      </c>
    </row>
    <row r="675" spans="1:7" ht="15.75" customHeight="1" x14ac:dyDescent="0.25">
      <c r="A675" t="str">
        <f>B675&amp;"-"&amp;COUNTIF($B$2:B675,B675)</f>
        <v>I. CHICKEN FINGER-4</v>
      </c>
      <c r="B675" s="35" t="s">
        <v>522</v>
      </c>
      <c r="C675">
        <f>VLOOKUP(B675,RECETAS!D674:$E$1700,2,FALSE)</f>
        <v>1</v>
      </c>
      <c r="D675" s="34"/>
      <c r="G675" t="b">
        <f t="shared" si="270"/>
        <v>1</v>
      </c>
    </row>
    <row r="676" spans="1:7" x14ac:dyDescent="0.25">
      <c r="A676" t="str">
        <f>B676&amp;"-"&amp;COUNTIF($B$2:B676,B676)</f>
        <v>I. MASITAS CASERAS-4</v>
      </c>
      <c r="B676" s="35" t="s">
        <v>2</v>
      </c>
      <c r="C676">
        <f>VLOOKUP(B676,RECETAS!D675:$E$1700,2,FALSE)</f>
        <v>1</v>
      </c>
      <c r="D676" s="34"/>
      <c r="G676" t="b">
        <f t="shared" si="270"/>
        <v>1</v>
      </c>
    </row>
    <row r="677" spans="1:7" x14ac:dyDescent="0.25">
      <c r="A677" t="str">
        <f>B677&amp;"-"&amp;COUNTIF($B$2:B677,B677)</f>
        <v>I. BROCHETA CAMARON-2</v>
      </c>
      <c r="B677" s="36" t="s">
        <v>18</v>
      </c>
      <c r="C677">
        <f>VLOOKUP(B677,RECETAS!D676:$E$1700,2,FALSE)</f>
        <v>4</v>
      </c>
      <c r="D677" s="34"/>
      <c r="G677" t="b">
        <f t="shared" si="270"/>
        <v>1</v>
      </c>
    </row>
    <row r="678" spans="1:7" x14ac:dyDescent="0.25">
      <c r="A678" t="str">
        <f>B678&amp;"-"&amp;COUNTIF($B$2:B678,B678)</f>
        <v>I. EMPANADA PORC-4</v>
      </c>
      <c r="B678" s="35" t="s">
        <v>0</v>
      </c>
      <c r="C678">
        <f>VLOOKUP(B678,RECETAS!D677:$E$1700,2,FALSE)</f>
        <v>1</v>
      </c>
      <c r="D678" s="34"/>
      <c r="G678" t="b">
        <f t="shared" si="270"/>
        <v>1</v>
      </c>
    </row>
    <row r="679" spans="1:7" x14ac:dyDescent="0.25">
      <c r="A679" t="str">
        <f>B679&amp;"-"&amp;COUNTIF($B$2:B679,B679)</f>
        <v>I. PALTA-9</v>
      </c>
      <c r="B679" s="35" t="s">
        <v>35</v>
      </c>
      <c r="C679">
        <f>VLOOKUP(B679,RECETAS!D678:$E$1700,2,FALSE)</f>
        <v>40</v>
      </c>
      <c r="D679" s="34"/>
      <c r="G679" t="b">
        <f t="shared" si="270"/>
        <v>1</v>
      </c>
    </row>
    <row r="680" spans="1:7" x14ac:dyDescent="0.25">
      <c r="A680" t="str">
        <f>B680&amp;"-"&amp;COUNTIF($B$2:B680,B680)</f>
        <v>I. QUESO GRANULADO-17</v>
      </c>
      <c r="B680" s="35" t="s">
        <v>9</v>
      </c>
      <c r="C680">
        <f>VLOOKUP(B680,RECETAS!D679:$E$1700,2,FALSE)</f>
        <v>90</v>
      </c>
      <c r="D680" s="34"/>
      <c r="G680" t="b">
        <f t="shared" si="270"/>
        <v>1</v>
      </c>
    </row>
    <row r="681" spans="1:7" x14ac:dyDescent="0.25">
      <c r="A681" t="str">
        <f>B681&amp;"-"&amp;COUNTIF($B$2:B681,B681)</f>
        <v>I. PALTA-10</v>
      </c>
      <c r="B681" s="35" t="s">
        <v>35</v>
      </c>
      <c r="C681">
        <f>VLOOKUP(B681,RECETAS!D680:$E$1700,2,FALSE)</f>
        <v>50</v>
      </c>
      <c r="D681" s="34"/>
      <c r="G681" t="b">
        <f t="shared" si="270"/>
        <v>1</v>
      </c>
    </row>
    <row r="682" spans="1:7" ht="15.75" thickBot="1" x14ac:dyDescent="0.3">
      <c r="A682" t="str">
        <f>B682&amp;"-"&amp;COUNTIF($B$2:B682,B682)</f>
        <v>I. CREMA ESPESA-31</v>
      </c>
      <c r="B682" s="28" t="s">
        <v>16</v>
      </c>
      <c r="C682">
        <f>VLOOKUP(B682,RECETAS!D681:$E$1700,2,FALSE)</f>
        <v>50</v>
      </c>
      <c r="D682" s="27"/>
      <c r="G682" t="b">
        <f t="shared" si="270"/>
        <v>1</v>
      </c>
    </row>
    <row r="683" spans="1:7" x14ac:dyDescent="0.25">
      <c r="A683" t="str">
        <f>B683&amp;"-"&amp;COUNTIF($B$2:B683,B683)</f>
        <v>I. CHICKEN FINGER-5</v>
      </c>
      <c r="B683" s="26" t="s">
        <v>522</v>
      </c>
      <c r="C683">
        <f>VLOOKUP(B683,RECETAS!D682:$E$1700,2,FALSE)</f>
        <v>2</v>
      </c>
      <c r="D683" s="25" t="s">
        <v>545</v>
      </c>
      <c r="G683" t="b">
        <f t="shared" si="270"/>
        <v>1</v>
      </c>
    </row>
    <row r="684" spans="1:7" x14ac:dyDescent="0.25">
      <c r="A684" t="str">
        <f>B684&amp;"-"&amp;COUNTIF($B$2:B684,B684)</f>
        <v>I. PALOS QUESO-3</v>
      </c>
      <c r="B684" s="35" t="s">
        <v>1</v>
      </c>
      <c r="C684">
        <f>VLOOKUP(B684,RECETAS!D683:$E$1700,2,FALSE)</f>
        <v>2</v>
      </c>
      <c r="D684" s="34"/>
      <c r="G684" t="b">
        <f t="shared" si="270"/>
        <v>1</v>
      </c>
    </row>
    <row r="685" spans="1:7" ht="15" customHeight="1" x14ac:dyDescent="0.25">
      <c r="A685" t="str">
        <f>B685&amp;"-"&amp;COUNTIF($B$2:B685,B685)</f>
        <v>I. MASITAS CASERAS-5</v>
      </c>
      <c r="B685" s="35" t="s">
        <v>2</v>
      </c>
      <c r="C685">
        <f>VLOOKUP(B685,RECETAS!D684:$E$1700,2,FALSE)</f>
        <v>2</v>
      </c>
      <c r="D685" s="34"/>
      <c r="G685" t="b">
        <f t="shared" si="270"/>
        <v>1</v>
      </c>
    </row>
    <row r="686" spans="1:7" ht="15" customHeight="1" x14ac:dyDescent="0.25">
      <c r="A686" t="str">
        <f>B686&amp;"-"&amp;COUNTIF($B$2:B686,B686)</f>
        <v>I. PAPAS FRITAS-24</v>
      </c>
      <c r="B686" s="35" t="s">
        <v>13</v>
      </c>
      <c r="C686">
        <f>VLOOKUP(B686,RECETAS!D685:$E$1700,2,FALSE)</f>
        <v>500</v>
      </c>
      <c r="D686" s="34"/>
      <c r="G686" t="b">
        <f t="shared" si="270"/>
        <v>1</v>
      </c>
    </row>
    <row r="687" spans="1:7" ht="15" customHeight="1" x14ac:dyDescent="0.25">
      <c r="A687" t="str">
        <f>B687&amp;"-"&amp;COUNTIF($B$2:B687,B687)</f>
        <v>I. CAMARON APA-2</v>
      </c>
      <c r="B687" s="35" t="s">
        <v>17</v>
      </c>
      <c r="C687">
        <f>VLOOKUP(B687,RECETAS!D686:$E$1700,2,FALSE)</f>
        <v>4</v>
      </c>
      <c r="D687" s="34"/>
      <c r="G687" t="b">
        <f t="shared" si="270"/>
        <v>1</v>
      </c>
    </row>
    <row r="688" spans="1:7" ht="15" customHeight="1" x14ac:dyDescent="0.25">
      <c r="A688" t="str">
        <f>B688&amp;"-"&amp;COUNTIF($B$2:B688,B688)</f>
        <v>I. EMPANADA PORC-5</v>
      </c>
      <c r="B688" s="35" t="s">
        <v>0</v>
      </c>
      <c r="C688">
        <f>VLOOKUP(B688,RECETAS!D687:$E$1700,2,FALSE)</f>
        <v>2</v>
      </c>
      <c r="D688" s="34"/>
      <c r="G688" t="b">
        <f t="shared" si="270"/>
        <v>1</v>
      </c>
    </row>
    <row r="689" spans="1:7" ht="15" customHeight="1" x14ac:dyDescent="0.25">
      <c r="A689" t="str">
        <f>B689&amp;"-"&amp;COUNTIF($B$2:B689,B689)</f>
        <v>I. PALTA-11</v>
      </c>
      <c r="B689" s="35" t="s">
        <v>35</v>
      </c>
      <c r="C689">
        <f>VLOOKUP(B689,RECETAS!D688:$E$1700,2,FALSE)</f>
        <v>100</v>
      </c>
      <c r="D689" s="34"/>
      <c r="G689" t="b">
        <f t="shared" si="270"/>
        <v>1</v>
      </c>
    </row>
    <row r="690" spans="1:7" ht="15.75" customHeight="1" x14ac:dyDescent="0.25">
      <c r="A690" t="str">
        <f>B690&amp;"-"&amp;COUNTIF($B$2:B690,B690)</f>
        <v>I. CREMA ESPESA-32</v>
      </c>
      <c r="B690" s="35" t="s">
        <v>16</v>
      </c>
      <c r="C690">
        <f>VLOOKUP(B690,RECETAS!D689:$E$1700,2,FALSE)</f>
        <v>100</v>
      </c>
      <c r="D690" s="34"/>
      <c r="G690" t="b">
        <f t="shared" si="270"/>
        <v>1</v>
      </c>
    </row>
    <row r="691" spans="1:7" ht="15" customHeight="1" thickBot="1" x14ac:dyDescent="0.3">
      <c r="A691" t="str">
        <f>B691&amp;"-"&amp;COUNTIF($B$2:B691,B691)</f>
        <v>I. TOCINO-2</v>
      </c>
      <c r="B691" s="28" t="s">
        <v>570</v>
      </c>
      <c r="C691">
        <f>VLOOKUP(B691,RECETAS!D690:$E$1700,2,FALSE)</f>
        <v>40</v>
      </c>
      <c r="D691" s="27"/>
      <c r="G691" t="b">
        <f t="shared" si="270"/>
        <v>1</v>
      </c>
    </row>
    <row r="692" spans="1:7" ht="15.75" customHeight="1" x14ac:dyDescent="0.25">
      <c r="A692" t="str">
        <f>B692&amp;"-"&amp;COUNTIF($B$2:B692,B692)</f>
        <v>I. LOMO 250-7</v>
      </c>
      <c r="B692" s="26" t="s">
        <v>11</v>
      </c>
      <c r="C692">
        <f>VLOOKUP(B692,RECETAS!D691:$E$1700,2,FALSE)</f>
        <v>0</v>
      </c>
      <c r="D692" s="25" t="s">
        <v>542</v>
      </c>
      <c r="G692" t="b">
        <f t="shared" si="270"/>
        <v>1</v>
      </c>
    </row>
    <row r="693" spans="1:7" x14ac:dyDescent="0.25">
      <c r="A693" t="str">
        <f>B693&amp;"-"&amp;COUNTIF($B$2:B693,B693)</f>
        <v>I. FILETILLO POLLO-6</v>
      </c>
      <c r="B693" s="35" t="s">
        <v>5</v>
      </c>
      <c r="C693">
        <f>VLOOKUP(B693,RECETAS!D692:$E$1700,2,FALSE)</f>
        <v>0</v>
      </c>
      <c r="D693" s="34"/>
      <c r="G693" t="b">
        <f t="shared" si="270"/>
        <v>1</v>
      </c>
    </row>
    <row r="694" spans="1:7" x14ac:dyDescent="0.25">
      <c r="A694" t="str">
        <f>B694&amp;"-"&amp;COUNTIF($B$2:B694,B694)</f>
        <v>I. CAMARON PORCION-7</v>
      </c>
      <c r="B694" s="35" t="s">
        <v>6</v>
      </c>
      <c r="C694">
        <f>VLOOKUP(B694,RECETAS!D693:$E$1700,2,FALSE)</f>
        <v>0</v>
      </c>
      <c r="D694" s="34"/>
      <c r="G694" t="b">
        <f t="shared" si="270"/>
        <v>1</v>
      </c>
    </row>
    <row r="695" spans="1:7" ht="15.75" thickBot="1" x14ac:dyDescent="0.3">
      <c r="A695" t="str">
        <f>B695&amp;"-"&amp;COUNTIF($B$2:B695,B695)</f>
        <v>I. BAGUETTE-6</v>
      </c>
      <c r="B695" s="28" t="s">
        <v>311</v>
      </c>
      <c r="C695">
        <f>VLOOKUP(B695,RECETAS!D694:$E$1700,2,FALSE)</f>
        <v>0</v>
      </c>
      <c r="D695" s="27"/>
      <c r="G695" t="b">
        <f t="shared" si="270"/>
        <v>1</v>
      </c>
    </row>
    <row r="696" spans="1:7" x14ac:dyDescent="0.25">
      <c r="A696" t="str">
        <f>B696&amp;"-"&amp;COUNTIF($B$2:B696,B696)</f>
        <v>I. TORTILLAS CH-4</v>
      </c>
      <c r="B696" s="26" t="s">
        <v>4</v>
      </c>
      <c r="C696">
        <f>VLOOKUP(B696,RECETAS!D695:$E$1700,2,FALSE)</f>
        <v>0</v>
      </c>
      <c r="D696" s="25" t="s">
        <v>525</v>
      </c>
      <c r="G696" t="b">
        <f t="shared" si="270"/>
        <v>1</v>
      </c>
    </row>
    <row r="697" spans="1:7" x14ac:dyDescent="0.25">
      <c r="A697" t="str">
        <f>B697&amp;"-"&amp;COUNTIF($B$2:B697,B697)</f>
        <v>I. LOMO 250-8</v>
      </c>
      <c r="B697" s="35" t="s">
        <v>11</v>
      </c>
      <c r="C697">
        <f>VLOOKUP(B697,RECETAS!D696:$E$1700,2,FALSE)</f>
        <v>0</v>
      </c>
      <c r="D697" s="34"/>
      <c r="G697" t="b">
        <f t="shared" si="270"/>
        <v>1</v>
      </c>
    </row>
    <row r="698" spans="1:7" x14ac:dyDescent="0.25">
      <c r="A698" t="str">
        <f>B698&amp;"-"&amp;COUNTIF($B$2:B698,B698)</f>
        <v>I. FILETILLO POLLO-7</v>
      </c>
      <c r="B698" s="35" t="s">
        <v>5</v>
      </c>
      <c r="C698">
        <f>VLOOKUP(B698,RECETAS!D697:$E$1700,2,FALSE)</f>
        <v>0</v>
      </c>
      <c r="D698" s="34"/>
      <c r="G698" t="b">
        <f t="shared" si="270"/>
        <v>1</v>
      </c>
    </row>
    <row r="699" spans="1:7" x14ac:dyDescent="0.25">
      <c r="A699" t="str">
        <f>B699&amp;"-"&amp;COUNTIF($B$2:B699,B699)</f>
        <v>I. CHAMP. PORCION-7</v>
      </c>
      <c r="B699" s="35" t="s">
        <v>8</v>
      </c>
      <c r="C699">
        <f>VLOOKUP(B699,RECETAS!D698:$E$1700,2,FALSE)</f>
        <v>0</v>
      </c>
      <c r="D699" s="34"/>
      <c r="G699" t="b">
        <f t="shared" si="270"/>
        <v>1</v>
      </c>
    </row>
    <row r="700" spans="1:7" x14ac:dyDescent="0.25">
      <c r="A700" t="str">
        <f>B700&amp;"-"&amp;COUNTIF($B$2:B700,B700)</f>
        <v>I. PALTA-12</v>
      </c>
      <c r="B700" s="35" t="s">
        <v>35</v>
      </c>
      <c r="C700">
        <f>VLOOKUP(B700,RECETAS!D699:$E$1700,2,FALSE)</f>
        <v>0</v>
      </c>
      <c r="D700" s="34"/>
      <c r="G700" t="b">
        <f t="shared" si="270"/>
        <v>1</v>
      </c>
    </row>
    <row r="701" spans="1:7" x14ac:dyDescent="0.25">
      <c r="A701" t="str">
        <f>B701&amp;"-"&amp;COUNTIF($B$2:B701,B701)</f>
        <v>I. QUESO GRANULADO-18</v>
      </c>
      <c r="B701" s="35" t="s">
        <v>9</v>
      </c>
      <c r="C701">
        <f>VLOOKUP(B701,RECETAS!D700:$E$1700,2,FALSE)</f>
        <v>0</v>
      </c>
      <c r="D701" s="34"/>
      <c r="G701" t="b">
        <f t="shared" si="270"/>
        <v>1</v>
      </c>
    </row>
    <row r="702" spans="1:7" x14ac:dyDescent="0.25">
      <c r="A702" t="str">
        <f>B702&amp;"-"&amp;COUNTIF($B$2:B702,B702)</f>
        <v>I. TOMATE-4</v>
      </c>
      <c r="B702" s="35" t="s">
        <v>34</v>
      </c>
      <c r="C702">
        <f>VLOOKUP(B702,RECETAS!D701:$E$1700,2,FALSE)</f>
        <v>0</v>
      </c>
      <c r="D702" s="34"/>
      <c r="G702" t="b">
        <f t="shared" si="270"/>
        <v>1</v>
      </c>
    </row>
    <row r="703" spans="1:7" x14ac:dyDescent="0.25">
      <c r="A703" t="str">
        <f>B703&amp;"-"&amp;COUNTIF($B$2:B703,B703)</f>
        <v>I. CAMARON PORCION-8</v>
      </c>
      <c r="B703" s="36" t="s">
        <v>6</v>
      </c>
      <c r="C703">
        <f>VLOOKUP(B703,RECETAS!D702:$E$1700,2,FALSE)</f>
        <v>0</v>
      </c>
      <c r="D703" s="34"/>
      <c r="G703" t="b">
        <f t="shared" si="270"/>
        <v>1</v>
      </c>
    </row>
    <row r="704" spans="1:7" ht="15.75" thickBot="1" x14ac:dyDescent="0.3">
      <c r="A704" t="str">
        <f>B704&amp;"-"&amp;COUNTIF($B$2:B704,B704)</f>
        <v>I. CREMA ESPESA-33</v>
      </c>
      <c r="B704" s="28" t="s">
        <v>16</v>
      </c>
      <c r="C704">
        <f>VLOOKUP(B704,RECETAS!D703:$E$1700,2,FALSE)</f>
        <v>0</v>
      </c>
      <c r="D704" s="27"/>
      <c r="G704" t="b">
        <f t="shared" si="270"/>
        <v>1</v>
      </c>
    </row>
    <row r="705" spans="1:7" x14ac:dyDescent="0.25">
      <c r="A705" t="str">
        <f>B705&amp;"-"&amp;COUNTIF($B$2:B705,B705)</f>
        <v>I. TORTILLAS GR-7</v>
      </c>
      <c r="B705" s="26" t="s">
        <v>7</v>
      </c>
      <c r="C705">
        <f>VLOOKUP(B705,RECETAS!D704:$E$1700,2,FALSE)</f>
        <v>4</v>
      </c>
      <c r="D705" s="115" t="s">
        <v>616</v>
      </c>
      <c r="G705" t="b">
        <f t="shared" si="270"/>
        <v>1</v>
      </c>
    </row>
    <row r="706" spans="1:7" x14ac:dyDescent="0.25">
      <c r="A706" t="str">
        <f>B706&amp;"-"&amp;COUNTIF($B$2:B706,B706)</f>
        <v>I. fil. pollo ques-2</v>
      </c>
      <c r="B706" s="35" t="s">
        <v>74</v>
      </c>
      <c r="C706">
        <f>VLOOKUP(B706,RECETAS!D705:$E$1700,2,FALSE)</f>
        <v>4</v>
      </c>
      <c r="D706" s="34"/>
      <c r="G706" t="b">
        <f t="shared" si="270"/>
        <v>1</v>
      </c>
    </row>
    <row r="707" spans="1:7" x14ac:dyDescent="0.25">
      <c r="A707" t="str">
        <f>B707&amp;"-"&amp;COUNTIF($B$2:B707,B707)</f>
        <v>I. PALTA-13</v>
      </c>
      <c r="B707" s="35" t="s">
        <v>35</v>
      </c>
      <c r="C707">
        <f>VLOOKUP(B707,RECETAS!D706:$E$1700,2,FALSE)</f>
        <v>200</v>
      </c>
      <c r="D707" s="34"/>
      <c r="G707" t="b">
        <f t="shared" ref="G707:G770" si="271">IFERROR(IF(MATCH(B707,I:I,0) &lt;&gt; "", TRUE,""),FALSE)</f>
        <v>1</v>
      </c>
    </row>
    <row r="708" spans="1:7" x14ac:dyDescent="0.25">
      <c r="A708" t="str">
        <f>B708&amp;"-"&amp;COUNTIF($B$2:B708,B708)</f>
        <v>I. CHAMP. PORCION-8</v>
      </c>
      <c r="B708" s="35" t="s">
        <v>8</v>
      </c>
      <c r="C708">
        <f>VLOOKUP(B708,RECETAS!D707:$E$1700,2,FALSE)</f>
        <v>4</v>
      </c>
      <c r="D708" s="34"/>
      <c r="G708" t="b">
        <f t="shared" si="271"/>
        <v>1</v>
      </c>
    </row>
    <row r="709" spans="1:7" x14ac:dyDescent="0.25">
      <c r="A709" t="str">
        <f>B709&amp;"-"&amp;COUNTIF($B$2:B709,B709)</f>
        <v>I. QUESO GRANULADO-19</v>
      </c>
      <c r="B709" s="36" t="s">
        <v>9</v>
      </c>
      <c r="C709">
        <f>VLOOKUP(B709,RECETAS!D708:$E$1700,2,FALSE)</f>
        <v>360</v>
      </c>
      <c r="D709" s="34"/>
      <c r="G709" t="b">
        <f t="shared" si="271"/>
        <v>1</v>
      </c>
    </row>
    <row r="710" spans="1:7" ht="15.75" thickBot="1" x14ac:dyDescent="0.3">
      <c r="A710" t="str">
        <f>B710&amp;"-"&amp;COUNTIF($B$2:B710,B710)</f>
        <v>I. CREMA ESPESA-34</v>
      </c>
      <c r="B710" s="28" t="s">
        <v>16</v>
      </c>
      <c r="C710">
        <f>VLOOKUP(B710,RECETAS!D709:$E$1700,2,FALSE)</f>
        <v>200</v>
      </c>
      <c r="D710" s="27"/>
      <c r="G710" t="b">
        <f t="shared" si="271"/>
        <v>1</v>
      </c>
    </row>
    <row r="711" spans="1:7" x14ac:dyDescent="0.25">
      <c r="A711" t="str">
        <f>B711&amp;"-"&amp;COUNTIF($B$2:B711,B711)</f>
        <v>I. TORTILLAS GR-8</v>
      </c>
      <c r="B711" s="26" t="s">
        <v>7</v>
      </c>
      <c r="C711">
        <f>VLOOKUP(B711,RECETAS!D710:$E$1700,2,FALSE)</f>
        <v>2</v>
      </c>
      <c r="D711" s="25" t="s">
        <v>530</v>
      </c>
      <c r="G711" t="b">
        <f t="shared" si="271"/>
        <v>1</v>
      </c>
    </row>
    <row r="712" spans="1:7" x14ac:dyDescent="0.25">
      <c r="A712" t="str">
        <f>B712&amp;"-"&amp;COUNTIF($B$2:B712,B712)</f>
        <v>I. PALTA-14</v>
      </c>
      <c r="B712" s="35" t="s">
        <v>35</v>
      </c>
      <c r="C712">
        <f>VLOOKUP(B712,RECETAS!D711:$E$1700,2,FALSE)</f>
        <v>100</v>
      </c>
      <c r="D712" s="34"/>
      <c r="G712" t="b">
        <f t="shared" si="271"/>
        <v>1</v>
      </c>
    </row>
    <row r="713" spans="1:7" x14ac:dyDescent="0.25">
      <c r="A713" t="str">
        <f>B713&amp;"-"&amp;COUNTIF($B$2:B713,B713)</f>
        <v>I. CHURRA QUES.-2</v>
      </c>
      <c r="B713" s="35" t="s">
        <v>10</v>
      </c>
      <c r="C713">
        <f>VLOOKUP(B713,RECETAS!D712:$E$1700,2,FALSE)</f>
        <v>2</v>
      </c>
      <c r="D713" s="34"/>
      <c r="G713" t="b">
        <f t="shared" si="271"/>
        <v>1</v>
      </c>
    </row>
    <row r="714" spans="1:7" x14ac:dyDescent="0.25">
      <c r="A714" t="str">
        <f>B714&amp;"-"&amp;COUNTIF($B$2:B714,B714)</f>
        <v>I. QUESO GRANULADO-20</v>
      </c>
      <c r="B714" s="36" t="s">
        <v>9</v>
      </c>
      <c r="C714">
        <f>VLOOKUP(B714,RECETAS!D713:$E$1700,2,FALSE)</f>
        <v>180</v>
      </c>
      <c r="D714" s="34"/>
      <c r="G714" t="b">
        <f t="shared" si="271"/>
        <v>1</v>
      </c>
    </row>
    <row r="715" spans="1:7" ht="15.75" thickBot="1" x14ac:dyDescent="0.3">
      <c r="A715" t="str">
        <f>B715&amp;"-"&amp;COUNTIF($B$2:B715,B715)</f>
        <v>I. CREMA ESPESA-35</v>
      </c>
      <c r="B715" s="28" t="s">
        <v>16</v>
      </c>
      <c r="C715">
        <f>VLOOKUP(B715,RECETAS!D714:$E$1700,2,FALSE)</f>
        <v>100</v>
      </c>
      <c r="D715" s="27"/>
      <c r="G715" t="b">
        <f t="shared" si="271"/>
        <v>1</v>
      </c>
    </row>
    <row r="716" spans="1:7" x14ac:dyDescent="0.25">
      <c r="A716" t="str">
        <f>B716&amp;"-"&amp;COUNTIF($B$2:B716,B716)</f>
        <v>I. TORTILLAS GR-9</v>
      </c>
      <c r="B716" s="26" t="s">
        <v>7</v>
      </c>
      <c r="C716">
        <f>VLOOKUP(B716,RECETAS!D715:$E$1700,2,FALSE)</f>
        <v>2</v>
      </c>
      <c r="D716" s="25" t="s">
        <v>529</v>
      </c>
      <c r="G716" t="b">
        <f t="shared" si="271"/>
        <v>1</v>
      </c>
    </row>
    <row r="717" spans="1:7" x14ac:dyDescent="0.25">
      <c r="A717" t="str">
        <f>B717&amp;"-"&amp;COUNTIF($B$2:B717,B717)</f>
        <v>I. PALTA-15</v>
      </c>
      <c r="B717" s="35" t="s">
        <v>35</v>
      </c>
      <c r="C717">
        <f>VLOOKUP(B717,RECETAS!D716:$E$1700,2,FALSE)</f>
        <v>100</v>
      </c>
      <c r="D717" s="34"/>
      <c r="G717" t="b">
        <f t="shared" si="271"/>
        <v>1</v>
      </c>
    </row>
    <row r="718" spans="1:7" x14ac:dyDescent="0.25">
      <c r="A718" t="str">
        <f>B718&amp;"-"&amp;COUNTIF($B$2:B718,B718)</f>
        <v>I. CAMARON PORCION-9</v>
      </c>
      <c r="B718" s="35" t="s">
        <v>6</v>
      </c>
      <c r="C718">
        <f>VLOOKUP(B718,RECETAS!D717:$E$1700,2,FALSE)</f>
        <v>2</v>
      </c>
      <c r="D718" s="34"/>
      <c r="G718" t="b">
        <f t="shared" si="271"/>
        <v>1</v>
      </c>
    </row>
    <row r="719" spans="1:7" x14ac:dyDescent="0.25">
      <c r="A719" t="str">
        <f>B719&amp;"-"&amp;COUNTIF($B$2:B719,B719)</f>
        <v>I. QUESO GRANULADO-21</v>
      </c>
      <c r="B719" s="36" t="s">
        <v>9</v>
      </c>
      <c r="C719">
        <f>VLOOKUP(B719,RECETAS!D718:$E$1700,2,FALSE)</f>
        <v>180</v>
      </c>
      <c r="D719" s="34"/>
      <c r="G719" t="b">
        <f t="shared" si="271"/>
        <v>1</v>
      </c>
    </row>
    <row r="720" spans="1:7" ht="15.75" thickBot="1" x14ac:dyDescent="0.3">
      <c r="A720" t="str">
        <f>B720&amp;"-"&amp;COUNTIF($B$2:B720,B720)</f>
        <v>I. CREMA ESPESA-36</v>
      </c>
      <c r="B720" s="28" t="s">
        <v>16</v>
      </c>
      <c r="C720">
        <f>VLOOKUP(B720,RECETAS!D719:$E$1700,2,FALSE)</f>
        <v>100</v>
      </c>
      <c r="D720" s="27"/>
      <c r="G720" t="b">
        <f t="shared" si="271"/>
        <v>1</v>
      </c>
    </row>
    <row r="721" spans="1:7" x14ac:dyDescent="0.25">
      <c r="A721" t="str">
        <f>B721&amp;"-"&amp;COUNTIF($B$2:B721,B721)</f>
        <v>I. NACHOS-2</v>
      </c>
      <c r="B721" s="26" t="s">
        <v>3</v>
      </c>
      <c r="C721">
        <f>VLOOKUP(B721,RECETAS!D720:$E$1700,2,FALSE)</f>
        <v>1</v>
      </c>
      <c r="D721" s="25" t="s">
        <v>526</v>
      </c>
      <c r="G721" t="b">
        <f t="shared" si="271"/>
        <v>1</v>
      </c>
    </row>
    <row r="722" spans="1:7" x14ac:dyDescent="0.25">
      <c r="A722" t="str">
        <f>B722&amp;"-"&amp;COUNTIF($B$2:B722,B722)</f>
        <v>I. SALSA CHEDDAR-2</v>
      </c>
      <c r="B722" s="35" t="s">
        <v>521</v>
      </c>
      <c r="C722">
        <f>VLOOKUP(B722,RECETAS!D721:$E$1700,2,FALSE)</f>
        <v>150</v>
      </c>
      <c r="D722" s="34"/>
      <c r="G722" t="b">
        <f t="shared" si="271"/>
        <v>1</v>
      </c>
    </row>
    <row r="723" spans="1:7" ht="15.75" thickBot="1" x14ac:dyDescent="0.3">
      <c r="A723" t="str">
        <f>B723&amp;"-"&amp;COUNTIF($B$2:B723,B723)</f>
        <v>I. PALTA-16</v>
      </c>
      <c r="B723" s="28" t="s">
        <v>35</v>
      </c>
      <c r="C723">
        <f>VLOOKUP(B723,RECETAS!D722:$E$1700,2,FALSE)</f>
        <v>150</v>
      </c>
      <c r="D723" s="27"/>
      <c r="G723" t="b">
        <f t="shared" si="271"/>
        <v>1</v>
      </c>
    </row>
    <row r="724" spans="1:7" x14ac:dyDescent="0.25">
      <c r="A724" t="str">
        <f>B724&amp;"-"&amp;COUNTIF($B$2:B724,B724)</f>
        <v>I. HAMBURGUESA-4</v>
      </c>
      <c r="B724" s="26" t="s">
        <v>26</v>
      </c>
      <c r="C724">
        <f>VLOOKUP(B724,RECETAS!D723:$E$1700,2,FALSE)</f>
        <v>0</v>
      </c>
      <c r="D724" s="116" t="s">
        <v>664</v>
      </c>
      <c r="G724" t="b">
        <f t="shared" si="271"/>
        <v>1</v>
      </c>
    </row>
    <row r="725" spans="1:7" x14ac:dyDescent="0.25">
      <c r="A725" t="str">
        <f>B725&amp;"-"&amp;COUNTIF($B$2:B725,B725)</f>
        <v>I. QUESO CHEDAR-4</v>
      </c>
      <c r="B725" s="35" t="s">
        <v>27</v>
      </c>
      <c r="C725">
        <f>VLOOKUP(B725,RECETAS!D724:$E$1700,2,FALSE)</f>
        <v>0</v>
      </c>
      <c r="D725" s="34"/>
      <c r="G725" t="b">
        <f t="shared" si="271"/>
        <v>1</v>
      </c>
    </row>
    <row r="726" spans="1:7" x14ac:dyDescent="0.25">
      <c r="A726" t="str">
        <f>B726&amp;"-"&amp;COUNTIF($B$2:B726,B726)</f>
        <v>I. PAN FRICA-5</v>
      </c>
      <c r="B726" s="35" t="s">
        <v>28</v>
      </c>
      <c r="C726">
        <f>VLOOKUP(B726,RECETAS!D725:$E$1700,2,FALSE)</f>
        <v>0</v>
      </c>
      <c r="D726" s="34"/>
      <c r="G726" t="b">
        <f t="shared" si="271"/>
        <v>1</v>
      </c>
    </row>
    <row r="727" spans="1:7" x14ac:dyDescent="0.25">
      <c r="A727" t="str">
        <f>B727&amp;"-"&amp;COUNTIF($B$2:B727,B727)</f>
        <v>I. JAMON-2</v>
      </c>
      <c r="B727" s="35" t="s">
        <v>30</v>
      </c>
      <c r="C727">
        <f>VLOOKUP(B727,RECETAS!D726:$E$1700,2,FALSE)</f>
        <v>0</v>
      </c>
      <c r="D727" s="34"/>
      <c r="G727" t="b">
        <f t="shared" si="271"/>
        <v>1</v>
      </c>
    </row>
    <row r="728" spans="1:7" x14ac:dyDescent="0.25">
      <c r="A728" t="str">
        <f>B728&amp;"-"&amp;COUNTIF($B$2:B728,B728)</f>
        <v>I. LECHUGA COSTINA-2</v>
      </c>
      <c r="B728" s="35" t="s">
        <v>573</v>
      </c>
      <c r="C728">
        <f>VLOOKUP(B728,RECETAS!D727:$E$1700,2,FALSE)</f>
        <v>0</v>
      </c>
      <c r="D728" s="34"/>
      <c r="G728" t="b">
        <f t="shared" si="271"/>
        <v>1</v>
      </c>
    </row>
    <row r="729" spans="1:7" x14ac:dyDescent="0.25">
      <c r="A729" t="str">
        <f>B729&amp;"-"&amp;COUNTIF($B$2:B729,B729)</f>
        <v>I. TOMATE-5</v>
      </c>
      <c r="B729" s="35" t="s">
        <v>34</v>
      </c>
      <c r="C729">
        <f>VLOOKUP(B729,RECETAS!D728:$E$1700,2,FALSE)</f>
        <v>0</v>
      </c>
      <c r="D729" s="34"/>
      <c r="G729" t="b">
        <f t="shared" si="271"/>
        <v>1</v>
      </c>
    </row>
    <row r="730" spans="1:7" ht="15.75" thickBot="1" x14ac:dyDescent="0.3">
      <c r="A730" t="str">
        <f>B730&amp;"-"&amp;COUNTIF($B$2:B730,B730)</f>
        <v>I. PAPAS FRITAS-25</v>
      </c>
      <c r="B730" s="28" t="s">
        <v>13</v>
      </c>
      <c r="C730">
        <f>VLOOKUP(B730,RECETAS!D729:$E$1700,2,FALSE)</f>
        <v>0</v>
      </c>
      <c r="D730" s="27"/>
      <c r="G730" t="b">
        <f t="shared" si="271"/>
        <v>1</v>
      </c>
    </row>
    <row r="731" spans="1:7" x14ac:dyDescent="0.25">
      <c r="A731" t="str">
        <f>B731&amp;"-"&amp;COUNTIF($B$2:B731,B731)</f>
        <v>I. HAMBURGUESA-5</v>
      </c>
      <c r="B731" s="26" t="s">
        <v>26</v>
      </c>
      <c r="C731">
        <f>VLOOKUP(B731,RECETAS!D730:$E$1700,2,FALSE)</f>
        <v>2</v>
      </c>
      <c r="D731" s="25" t="s">
        <v>665</v>
      </c>
      <c r="G731" t="b">
        <f t="shared" si="271"/>
        <v>1</v>
      </c>
    </row>
    <row r="732" spans="1:7" x14ac:dyDescent="0.25">
      <c r="A732" t="str">
        <f>B732&amp;"-"&amp;COUNTIF($B$2:B732,B732)</f>
        <v>I. QUESO CHEDAR-5</v>
      </c>
      <c r="B732" s="35" t="s">
        <v>27</v>
      </c>
      <c r="C732">
        <f>VLOOKUP(B732,RECETAS!D731:$E$1700,2,FALSE)</f>
        <v>2</v>
      </c>
      <c r="D732" s="34"/>
      <c r="G732" t="b">
        <f t="shared" si="271"/>
        <v>1</v>
      </c>
    </row>
    <row r="733" spans="1:7" x14ac:dyDescent="0.25">
      <c r="A733" t="str">
        <f>B733&amp;"-"&amp;COUNTIF($B$2:B733,B733)</f>
        <v>I. TOCINO PORCION-3</v>
      </c>
      <c r="B733" s="35" t="s">
        <v>32</v>
      </c>
      <c r="C733">
        <f>VLOOKUP(B733,RECETAS!D732:$E$1700,2,FALSE)</f>
        <v>1</v>
      </c>
      <c r="D733" s="34"/>
      <c r="G733" t="b">
        <f t="shared" si="271"/>
        <v>1</v>
      </c>
    </row>
    <row r="734" spans="1:7" x14ac:dyDescent="0.25">
      <c r="A734" t="str">
        <f>B734&amp;"-"&amp;COUNTIF($B$2:B734,B734)</f>
        <v>I. PAN FRICA-6</v>
      </c>
      <c r="B734" s="35" t="s">
        <v>28</v>
      </c>
      <c r="C734">
        <f>VLOOKUP(B734,RECETAS!D733:$E$1700,2,FALSE)</f>
        <v>1</v>
      </c>
      <c r="D734" s="34"/>
      <c r="G734" t="b">
        <f t="shared" si="271"/>
        <v>1</v>
      </c>
    </row>
    <row r="735" spans="1:7" ht="15.75" thickBot="1" x14ac:dyDescent="0.3">
      <c r="A735" t="str">
        <f>B735&amp;"-"&amp;COUNTIF($B$2:B735,B735)</f>
        <v>I. PAPAS FRITAS-26</v>
      </c>
      <c r="B735" s="28" t="s">
        <v>13</v>
      </c>
      <c r="C735">
        <f>VLOOKUP(B735,RECETAS!D734:$E$1700,2,FALSE)</f>
        <v>100</v>
      </c>
      <c r="D735" s="27"/>
      <c r="G735" t="b">
        <f t="shared" si="271"/>
        <v>1</v>
      </c>
    </row>
    <row r="736" spans="1:7" x14ac:dyDescent="0.25">
      <c r="A736" t="str">
        <f>B736&amp;"-"&amp;COUNTIF($B$2:B736,B736)</f>
        <v>I. MECHADA SAND-2</v>
      </c>
      <c r="B736" s="26" t="s">
        <v>31</v>
      </c>
      <c r="C736">
        <f>VLOOKUP(B736,RECETAS!D735:$E$1700,2,FALSE)</f>
        <v>0</v>
      </c>
      <c r="D736" s="25" t="s">
        <v>569</v>
      </c>
      <c r="G736" t="b">
        <f t="shared" si="271"/>
        <v>1</v>
      </c>
    </row>
    <row r="737" spans="1:7" x14ac:dyDescent="0.25">
      <c r="A737" t="str">
        <f>B737&amp;"-"&amp;COUNTIF($B$2:B737,B737)</f>
        <v>I. TOMATE-6</v>
      </c>
      <c r="B737" s="35" t="s">
        <v>34</v>
      </c>
      <c r="C737">
        <f>VLOOKUP(B737,RECETAS!D736:$E$1700,2,FALSE)</f>
        <v>0</v>
      </c>
      <c r="D737" s="34"/>
      <c r="G737" t="b">
        <f t="shared" si="271"/>
        <v>1</v>
      </c>
    </row>
    <row r="738" spans="1:7" x14ac:dyDescent="0.25">
      <c r="A738" t="str">
        <f>B738&amp;"-"&amp;COUNTIF($B$2:B738,B738)</f>
        <v>I. LECHUGA HIDROPONICA-2</v>
      </c>
      <c r="B738" s="35" t="s">
        <v>571</v>
      </c>
      <c r="C738">
        <f>VLOOKUP(B738,RECETAS!D737:$E$1700,2,FALSE)</f>
        <v>0</v>
      </c>
      <c r="D738" s="34"/>
      <c r="G738" t="b">
        <f t="shared" si="271"/>
        <v>1</v>
      </c>
    </row>
    <row r="739" spans="1:7" x14ac:dyDescent="0.25">
      <c r="A739" t="str">
        <f>B739&amp;"-"&amp;COUNTIF($B$2:B739,B739)</f>
        <v>I. QUESO GRANULADO-22</v>
      </c>
      <c r="B739" s="35" t="s">
        <v>9</v>
      </c>
      <c r="C739">
        <f>VLOOKUP(B739,RECETAS!D738:$E$1700,2,FALSE)</f>
        <v>0</v>
      </c>
      <c r="D739" s="34"/>
      <c r="G739" t="b">
        <f t="shared" si="271"/>
        <v>1</v>
      </c>
    </row>
    <row r="740" spans="1:7" x14ac:dyDescent="0.25">
      <c r="A740" t="str">
        <f>B740&amp;"-"&amp;COUNTIF($B$2:B740,B740)</f>
        <v>I. PAN FRICA-7</v>
      </c>
      <c r="B740" s="35" t="s">
        <v>28</v>
      </c>
      <c r="C740">
        <f>VLOOKUP(B740,RECETAS!D739:$E$1700,2,FALSE)</f>
        <v>0</v>
      </c>
      <c r="D740" s="34"/>
      <c r="G740" t="b">
        <f t="shared" si="271"/>
        <v>1</v>
      </c>
    </row>
    <row r="741" spans="1:7" ht="15.75" thickBot="1" x14ac:dyDescent="0.3">
      <c r="A741" t="str">
        <f>B741&amp;"-"&amp;COUNTIF($B$2:B741,B741)</f>
        <v>I. PAPAS FRITAS-27</v>
      </c>
      <c r="B741" s="28" t="s">
        <v>13</v>
      </c>
      <c r="C741">
        <f>VLOOKUP(B741,RECETAS!D740:$E$1700,2,FALSE)</f>
        <v>0</v>
      </c>
      <c r="D741" s="27"/>
      <c r="G741" t="b">
        <f t="shared" si="271"/>
        <v>1</v>
      </c>
    </row>
    <row r="742" spans="1:7" ht="15.75" thickBot="1" x14ac:dyDescent="0.3">
      <c r="A742" t="str">
        <f>B742&amp;"-"&amp;COUNTIF($B$2:B742,B742)</f>
        <v>I. EMPANADA PORC-6</v>
      </c>
      <c r="B742" s="20" t="s">
        <v>0</v>
      </c>
      <c r="C742">
        <f>VLOOKUP(B742,RECETAS!D741:$E$1700,2,FALSE)</f>
        <v>2</v>
      </c>
      <c r="D742" s="18" t="s">
        <v>527</v>
      </c>
      <c r="G742" t="b">
        <f t="shared" si="271"/>
        <v>1</v>
      </c>
    </row>
    <row r="743" spans="1:7" x14ac:dyDescent="0.25">
      <c r="A743" t="str">
        <f>B743&amp;"-"&amp;COUNTIF($B$2:B743,B743)</f>
        <v>I. MASITAS CASERAS-6</v>
      </c>
      <c r="B743" s="26" t="s">
        <v>2</v>
      </c>
      <c r="C743">
        <f>VLOOKUP(B743,RECETAS!D742:$E$1700,2,FALSE)</f>
        <v>2</v>
      </c>
      <c r="D743" s="25" t="s">
        <v>547</v>
      </c>
      <c r="G743" t="b">
        <f t="shared" si="271"/>
        <v>1</v>
      </c>
    </row>
    <row r="744" spans="1:7" ht="15.75" thickBot="1" x14ac:dyDescent="0.3">
      <c r="A744" t="str">
        <f>B744&amp;"-"&amp;COUNTIF($B$2:B744,B744)</f>
        <v>I. CREMA ESPESA-37</v>
      </c>
      <c r="B744" s="28" t="s">
        <v>16</v>
      </c>
      <c r="C744">
        <f>VLOOKUP(B744,RECETAS!D743:$E$1700,2,FALSE)</f>
        <v>50</v>
      </c>
      <c r="D744" s="27"/>
      <c r="G744" t="b">
        <f t="shared" si="271"/>
        <v>1</v>
      </c>
    </row>
    <row r="745" spans="1:7" ht="15.75" thickBot="1" x14ac:dyDescent="0.3">
      <c r="A745" t="str">
        <f>B745&amp;"-"&amp;COUNTIF($B$2:B745,B745)</f>
        <v>I. CHICKEN FINGER-6</v>
      </c>
      <c r="B745" s="23" t="s">
        <v>522</v>
      </c>
      <c r="C745">
        <f>VLOOKUP(B745,RECETAS!D744:$E$1700,2,FALSE)</f>
        <v>0</v>
      </c>
      <c r="D745" s="22" t="s">
        <v>613</v>
      </c>
      <c r="G745" t="b">
        <f t="shared" si="271"/>
        <v>1</v>
      </c>
    </row>
    <row r="746" spans="1:7" x14ac:dyDescent="0.25">
      <c r="A746" t="str">
        <f>B746&amp;"-"&amp;COUNTIF($B$2:B746,B746)</f>
        <v>I. CREMA ESPESA-38</v>
      </c>
      <c r="B746" s="26" t="s">
        <v>16</v>
      </c>
      <c r="C746">
        <f>VLOOKUP(B746,RECETAS!D745:$E$1700,2,FALSE)</f>
        <v>50</v>
      </c>
      <c r="D746" s="25" t="s">
        <v>544</v>
      </c>
      <c r="G746" t="b">
        <f t="shared" si="271"/>
        <v>1</v>
      </c>
    </row>
    <row r="747" spans="1:7" ht="15.75" thickBot="1" x14ac:dyDescent="0.3">
      <c r="A747" t="str">
        <f>B747&amp;"-"&amp;COUNTIF($B$2:B747,B747)</f>
        <v>I. PALOS QUESO-4</v>
      </c>
      <c r="B747" s="29" t="s">
        <v>1</v>
      </c>
      <c r="C747">
        <f>VLOOKUP(B747,RECETAS!D746:$E$1700,2,FALSE)</f>
        <v>2</v>
      </c>
      <c r="D747" s="27"/>
      <c r="G747" t="b">
        <f t="shared" si="271"/>
        <v>1</v>
      </c>
    </row>
    <row r="748" spans="1:7" x14ac:dyDescent="0.25">
      <c r="A748" t="str">
        <f>B748&amp;"-"&amp;COUNTIF($B$2:B748,B748)</f>
        <v>I. CAMEMBERT-2</v>
      </c>
      <c r="B748" s="26" t="s">
        <v>520</v>
      </c>
      <c r="C748">
        <f>VLOOKUP(B748,RECETAS!D747:$E$1700,2,FALSE)</f>
        <v>0</v>
      </c>
      <c r="D748" s="25" t="s">
        <v>539</v>
      </c>
      <c r="G748" t="b">
        <f t="shared" si="271"/>
        <v>1</v>
      </c>
    </row>
    <row r="749" spans="1:7" x14ac:dyDescent="0.25">
      <c r="A749" t="str">
        <f>B749&amp;"-"&amp;COUNTIF($B$2:B749,B749)</f>
        <v>I. BAGUETTE-7</v>
      </c>
      <c r="B749" s="35" t="s">
        <v>311</v>
      </c>
      <c r="C749">
        <f>VLOOKUP(B749,RECETAS!D748:$E$1700,2,FALSE)</f>
        <v>0</v>
      </c>
      <c r="D749" s="34"/>
      <c r="G749" t="b">
        <f t="shared" si="271"/>
        <v>1</v>
      </c>
    </row>
    <row r="750" spans="1:7" ht="15.75" thickBot="1" x14ac:dyDescent="0.3">
      <c r="A750" t="str">
        <f>B750&amp;"-"&amp;COUNTIF($B$2:B750,B750)</f>
        <v>I. CREMA ESPESA-39</v>
      </c>
      <c r="B750" s="28" t="s">
        <v>16</v>
      </c>
      <c r="C750">
        <f>VLOOKUP(B750,RECETAS!D749:$E$1700,2,FALSE)</f>
        <v>0</v>
      </c>
      <c r="D750" s="27"/>
      <c r="G750" t="b">
        <f t="shared" si="271"/>
        <v>1</v>
      </c>
    </row>
    <row r="751" spans="1:7" x14ac:dyDescent="0.25">
      <c r="A751" t="str">
        <f>B751&amp;"-"&amp;COUNTIF($B$2:B751,B751)</f>
        <v>I. SALMON DE 250-6</v>
      </c>
      <c r="B751" s="31" t="s">
        <v>36</v>
      </c>
      <c r="C751">
        <f>VLOOKUP(B751,RECETAS!D750:$E$1700,2,FALSE)</f>
        <v>0</v>
      </c>
      <c r="D751" s="80" t="s">
        <v>588</v>
      </c>
      <c r="G751" t="b">
        <f t="shared" si="271"/>
        <v>1</v>
      </c>
    </row>
    <row r="752" spans="1:7" x14ac:dyDescent="0.25">
      <c r="A752" t="str">
        <f>B752&amp;"-"&amp;COUNTIF($B$2:B752,B752)</f>
        <v>I. PALTA UNIDAD-3</v>
      </c>
      <c r="B752" s="35" t="s">
        <v>102</v>
      </c>
      <c r="C752">
        <f>VLOOKUP(B752,RECETAS!D751:$E$1700,2,FALSE)</f>
        <v>0</v>
      </c>
      <c r="D752" s="81"/>
      <c r="G752" t="b">
        <f t="shared" si="271"/>
        <v>1</v>
      </c>
    </row>
    <row r="753" spans="1:7" ht="15.75" thickBot="1" x14ac:dyDescent="0.3">
      <c r="A753" t="str">
        <f>B753&amp;"-"&amp;COUNTIF($B$2:B753,B753)</f>
        <v>I. BAGUETTE-8</v>
      </c>
      <c r="B753" s="33" t="s">
        <v>311</v>
      </c>
      <c r="C753">
        <f>VLOOKUP(B753,RECETAS!D752:$E$1700,2,FALSE)</f>
        <v>0</v>
      </c>
      <c r="D753" s="82"/>
      <c r="G753" t="b">
        <f t="shared" si="271"/>
        <v>1</v>
      </c>
    </row>
    <row r="754" spans="1:7" x14ac:dyDescent="0.25">
      <c r="A754" t="str">
        <f>B754&amp;"-"&amp;COUNTIF($B$2:B754,B754)</f>
        <v>I. CRUDO PORC-2</v>
      </c>
      <c r="B754" s="26" t="s">
        <v>14</v>
      </c>
      <c r="C754">
        <f>VLOOKUP(B754,RECETAS!D753:$E$1700,2,FALSE)</f>
        <v>2</v>
      </c>
      <c r="D754" s="25" t="s">
        <v>528</v>
      </c>
      <c r="G754" t="b">
        <f t="shared" si="271"/>
        <v>1</v>
      </c>
    </row>
    <row r="755" spans="1:7" ht="15.75" thickBot="1" x14ac:dyDescent="0.3">
      <c r="A755" t="str">
        <f>B755&amp;"-"&amp;COUNTIF($B$2:B755,B755)</f>
        <v>I. BAGUETTE-9</v>
      </c>
      <c r="B755" s="28" t="s">
        <v>311</v>
      </c>
      <c r="C755">
        <f>VLOOKUP(B755,RECETAS!D754:$E$1700,2,FALSE)</f>
        <v>4</v>
      </c>
      <c r="D755" s="27"/>
      <c r="G755" t="b">
        <f t="shared" si="271"/>
        <v>1</v>
      </c>
    </row>
    <row r="756" spans="1:7" x14ac:dyDescent="0.25">
      <c r="A756" t="str">
        <f>B756&amp;"-"&amp;COUNTIF($B$2:B756,B756)</f>
        <v>I. FILETILLO POLLO-8</v>
      </c>
      <c r="B756" s="26" t="s">
        <v>5</v>
      </c>
      <c r="C756">
        <f>VLOOKUP(B756,RECETAS!D755:$E$1700,2,FALSE)</f>
        <v>0</v>
      </c>
      <c r="D756" s="25" t="s">
        <v>543</v>
      </c>
      <c r="G756" t="b">
        <f t="shared" si="271"/>
        <v>1</v>
      </c>
    </row>
    <row r="757" spans="1:7" x14ac:dyDescent="0.25">
      <c r="A757" t="str">
        <f>B757&amp;"-"&amp;COUNTIF($B$2:B757,B757)</f>
        <v>I. ARROZ PORCION-4</v>
      </c>
      <c r="B757" s="35" t="s">
        <v>12</v>
      </c>
      <c r="C757">
        <f>VLOOKUP(B757,RECETAS!D756:$E$1700,2,FALSE)</f>
        <v>0</v>
      </c>
      <c r="D757" s="34"/>
      <c r="G757" t="b">
        <f t="shared" si="271"/>
        <v>1</v>
      </c>
    </row>
    <row r="758" spans="1:7" x14ac:dyDescent="0.25">
      <c r="A758" t="str">
        <f>B758&amp;"-"&amp;COUNTIF($B$2:B758,B758)</f>
        <v>I. CREMA ESPESA-40</v>
      </c>
      <c r="B758" s="35" t="s">
        <v>16</v>
      </c>
      <c r="C758">
        <f>VLOOKUP(B758,RECETAS!D757:$E$1700,2,FALSE)</f>
        <v>0</v>
      </c>
      <c r="D758" s="34"/>
      <c r="G758" t="b">
        <f t="shared" si="271"/>
        <v>1</v>
      </c>
    </row>
    <row r="759" spans="1:7" ht="15.75" thickBot="1" x14ac:dyDescent="0.3">
      <c r="A759" t="str">
        <f>B759&amp;"-"&amp;COUNTIF($B$2:B759,B759)</f>
        <v>I. PAPAS FRITAS-28</v>
      </c>
      <c r="B759" s="28" t="s">
        <v>13</v>
      </c>
      <c r="C759">
        <f>VLOOKUP(B759,RECETAS!D758:$E$1700,2,FALSE)</f>
        <v>0</v>
      </c>
      <c r="D759" s="27"/>
      <c r="G759" t="b">
        <f t="shared" si="271"/>
        <v>1</v>
      </c>
    </row>
    <row r="760" spans="1:7" x14ac:dyDescent="0.25">
      <c r="A760" t="str">
        <f>B760&amp;"-"&amp;COUNTIF($B$2:B760,B760)</f>
        <v>I. FILETILLO POLLO-9</v>
      </c>
      <c r="B760" s="26" t="s">
        <v>5</v>
      </c>
      <c r="C760">
        <f>VLOOKUP(B760,RECETAS!D759:$E$1700,2,FALSE)</f>
        <v>0</v>
      </c>
      <c r="D760" s="25" t="s">
        <v>568</v>
      </c>
      <c r="G760" t="b">
        <f t="shared" si="271"/>
        <v>1</v>
      </c>
    </row>
    <row r="761" spans="1:7" x14ac:dyDescent="0.25">
      <c r="A761" t="str">
        <f>B761&amp;"-"&amp;COUNTIF($B$2:B761,B761)</f>
        <v>I. ARROZ PORCION-5</v>
      </c>
      <c r="B761" s="35" t="s">
        <v>12</v>
      </c>
      <c r="C761">
        <f>VLOOKUP(B761,RECETAS!D760:$E$1700,2,FALSE)</f>
        <v>0</v>
      </c>
      <c r="D761" s="34"/>
      <c r="G761" t="b">
        <f t="shared" si="271"/>
        <v>1</v>
      </c>
    </row>
    <row r="762" spans="1:7" x14ac:dyDescent="0.25">
      <c r="A762" t="str">
        <f>B762&amp;"-"&amp;COUNTIF($B$2:B762,B762)</f>
        <v>I. PAPAS FRITAS-29</v>
      </c>
      <c r="B762" s="35" t="s">
        <v>13</v>
      </c>
      <c r="C762">
        <f>VLOOKUP(B762,RECETAS!D761:$E$1700,2,FALSE)</f>
        <v>0</v>
      </c>
      <c r="D762" s="34"/>
      <c r="G762" t="b">
        <f t="shared" si="271"/>
        <v>1</v>
      </c>
    </row>
    <row r="763" spans="1:7" ht="15.75" thickBot="1" x14ac:dyDescent="0.3">
      <c r="A763" t="str">
        <f>B763&amp;"-"&amp;COUNTIF($B$2:B763,B763)</f>
        <v>I. CREMA ESPESA-41</v>
      </c>
      <c r="B763" s="28" t="s">
        <v>16</v>
      </c>
      <c r="C763">
        <f>VLOOKUP(B763,RECETAS!D762:$E$1700,2,FALSE)</f>
        <v>0</v>
      </c>
      <c r="D763" s="27"/>
      <c r="G763" t="b">
        <f t="shared" si="271"/>
        <v>1</v>
      </c>
    </row>
    <row r="764" spans="1:7" x14ac:dyDescent="0.25">
      <c r="A764" t="str">
        <f>B764&amp;"-"&amp;COUNTIF($B$2:B764,B764)</f>
        <v>I. ALTO 35-7</v>
      </c>
      <c r="B764" s="26" t="s">
        <v>47</v>
      </c>
      <c r="C764">
        <f>VLOOKUP(B764,RECETAS!D763:$E$1700,2,FALSE)</f>
        <v>0</v>
      </c>
      <c r="D764" s="25" t="s">
        <v>475</v>
      </c>
      <c r="G764" t="b">
        <f t="shared" si="271"/>
        <v>1</v>
      </c>
    </row>
    <row r="765" spans="1:7" x14ac:dyDescent="0.25">
      <c r="A765" t="str">
        <f>B765&amp;"-"&amp;COUNTIF($B$2:B765,B765)</f>
        <v>I. PAPAS FRITAS-30</v>
      </c>
      <c r="B765" s="35" t="s">
        <v>13</v>
      </c>
      <c r="C765">
        <f>VLOOKUP(B765,RECETAS!D764:$E$1700,2,FALSE)</f>
        <v>0</v>
      </c>
      <c r="D765" s="34"/>
      <c r="G765" t="b">
        <f t="shared" si="271"/>
        <v>1</v>
      </c>
    </row>
    <row r="766" spans="1:7" x14ac:dyDescent="0.25">
      <c r="A766" t="str">
        <f>B766&amp;"-"&amp;COUNTIF($B$2:B766,B766)</f>
        <v>I. QUESO GRANULADO-23</v>
      </c>
      <c r="B766" s="35" t="s">
        <v>9</v>
      </c>
      <c r="C766">
        <f>VLOOKUP(B766,RECETAS!D765:$E$1700,2,FALSE)</f>
        <v>0</v>
      </c>
      <c r="D766" s="34"/>
      <c r="G766" t="b">
        <f t="shared" si="271"/>
        <v>1</v>
      </c>
    </row>
    <row r="767" spans="1:7" x14ac:dyDescent="0.25">
      <c r="A767" t="str">
        <f>B767&amp;"-"&amp;COUNTIF($B$2:B767,B767)</f>
        <v>I. CREMA ESPESA-42</v>
      </c>
      <c r="B767" s="35" t="s">
        <v>16</v>
      </c>
      <c r="C767">
        <f>VLOOKUP(B767,RECETAS!D766:$E$1700,2,FALSE)</f>
        <v>0</v>
      </c>
      <c r="D767" s="34"/>
      <c r="G767" t="b">
        <f t="shared" si="271"/>
        <v>1</v>
      </c>
    </row>
    <row r="768" spans="1:7" x14ac:dyDescent="0.25">
      <c r="A768" t="str">
        <f>B768&amp;"-"&amp;COUNTIF($B$2:B768,B768)</f>
        <v>I. CIBOULET-10</v>
      </c>
      <c r="B768" s="35" t="s">
        <v>23</v>
      </c>
      <c r="C768">
        <f>VLOOKUP(B768,RECETAS!D767:$E$1700,2,FALSE)</f>
        <v>0</v>
      </c>
      <c r="D768" s="34"/>
      <c r="G768" t="b">
        <f t="shared" si="271"/>
        <v>1</v>
      </c>
    </row>
    <row r="769" spans="1:7" x14ac:dyDescent="0.25">
      <c r="A769" t="str">
        <f>B769&amp;"-"&amp;COUNTIF($B$2:B769,B769)</f>
        <v>I. CHURRASCO PORCION-3</v>
      </c>
      <c r="B769" s="36" t="s">
        <v>24</v>
      </c>
      <c r="C769">
        <f>VLOOKUP(B769,RECETAS!D768:$E$1700,2,FALSE)</f>
        <v>0</v>
      </c>
      <c r="D769" s="34"/>
      <c r="G769" t="b">
        <f t="shared" si="271"/>
        <v>1</v>
      </c>
    </row>
    <row r="770" spans="1:7" ht="15.75" thickBot="1" x14ac:dyDescent="0.3">
      <c r="A770" t="str">
        <f>B770&amp;"-"&amp;COUNTIF($B$2:B770,B770)</f>
        <v>I. COCA COLA 1,5-1</v>
      </c>
      <c r="B770" s="28" t="s">
        <v>60</v>
      </c>
      <c r="C770">
        <f>VLOOKUP(B770,RECETAS!D769:$E$1700,2,FALSE)</f>
        <v>0</v>
      </c>
      <c r="D770" s="27"/>
      <c r="G770" t="b">
        <f t="shared" si="271"/>
        <v>1</v>
      </c>
    </row>
    <row r="771" spans="1:7" ht="15.75" thickBot="1" x14ac:dyDescent="0.3">
      <c r="A771" t="str">
        <f>B771&amp;"-"&amp;COUNTIF($B$2:B771,B771)</f>
        <v>I. ALTO 35-8</v>
      </c>
      <c r="B771" s="20" t="s">
        <v>47</v>
      </c>
      <c r="C771">
        <f>VLOOKUP(B771,RECETAS!D770:$E$1700,2,FALSE)</f>
        <v>0</v>
      </c>
      <c r="D771" s="18" t="s">
        <v>476</v>
      </c>
      <c r="G771" t="b">
        <f t="shared" ref="G771:G834" si="272">IFERROR(IF(MATCH(B771,I:I,0) &lt;&gt; "", TRUE,""),FALSE)</f>
        <v>1</v>
      </c>
    </row>
    <row r="772" spans="1:7" ht="15.75" thickBot="1" x14ac:dyDescent="0.3">
      <c r="A772" t="str">
        <f>B772&amp;"-"&amp;COUNTIF($B$2:B772,B772)</f>
        <v>I. CORONA-3</v>
      </c>
      <c r="B772" s="20" t="s">
        <v>65</v>
      </c>
      <c r="C772">
        <f>VLOOKUP(B772,RECETAS!D771:$E$1700,2,FALSE)</f>
        <v>0</v>
      </c>
      <c r="D772" s="18" t="s">
        <v>477</v>
      </c>
      <c r="G772" t="b">
        <f t="shared" si="272"/>
        <v>1</v>
      </c>
    </row>
    <row r="773" spans="1:7" x14ac:dyDescent="0.25">
      <c r="A773" t="str">
        <f>B773&amp;"-"&amp;COUNTIF($B$2:B773,B773)</f>
        <v>I. CORONA-4</v>
      </c>
      <c r="B773" s="37" t="s">
        <v>65</v>
      </c>
      <c r="C773">
        <f>VLOOKUP(B773,RECETAS!D772:$E$1700,2,FALSE)</f>
        <v>0</v>
      </c>
      <c r="D773" s="115" t="s">
        <v>666</v>
      </c>
      <c r="G773" t="b">
        <f t="shared" si="272"/>
        <v>1</v>
      </c>
    </row>
    <row r="774" spans="1:7" x14ac:dyDescent="0.25">
      <c r="A774" t="str">
        <f>B774&amp;"-"&amp;COUNTIF($B$2:B774,B774)</f>
        <v>I. PAPAS FRITAS-31</v>
      </c>
      <c r="B774" s="38" t="s">
        <v>13</v>
      </c>
      <c r="C774">
        <f>VLOOKUP(B774,RECETAS!D773:$E$1700,2,FALSE)</f>
        <v>0</v>
      </c>
      <c r="D774" s="34"/>
      <c r="G774" t="b">
        <f t="shared" si="272"/>
        <v>1</v>
      </c>
    </row>
    <row r="775" spans="1:7" x14ac:dyDescent="0.25">
      <c r="A775" t="str">
        <f>B775&amp;"-"&amp;COUNTIF($B$2:B775,B775)</f>
        <v>I. QUESO GRANULADO-24</v>
      </c>
      <c r="B775" s="38" t="s">
        <v>9</v>
      </c>
      <c r="C775">
        <f>VLOOKUP(B775,RECETAS!D774:$E$1700,2,FALSE)</f>
        <v>0</v>
      </c>
      <c r="D775" s="34"/>
      <c r="G775" t="b">
        <f t="shared" si="272"/>
        <v>1</v>
      </c>
    </row>
    <row r="776" spans="1:7" x14ac:dyDescent="0.25">
      <c r="A776" t="str">
        <f>B776&amp;"-"&amp;COUNTIF($B$2:B776,B776)</f>
        <v>I. CREMA ESPESA-43</v>
      </c>
      <c r="B776" s="38" t="s">
        <v>16</v>
      </c>
      <c r="C776">
        <f>VLOOKUP(B776,RECETAS!D775:$E$1700,2,FALSE)</f>
        <v>0</v>
      </c>
      <c r="D776" s="34"/>
      <c r="G776" t="b">
        <f t="shared" si="272"/>
        <v>1</v>
      </c>
    </row>
    <row r="777" spans="1:7" x14ac:dyDescent="0.25">
      <c r="A777" t="str">
        <f>B777&amp;"-"&amp;COUNTIF($B$2:B777,B777)</f>
        <v>I. CIBOULET-11</v>
      </c>
      <c r="B777" s="38" t="s">
        <v>23</v>
      </c>
      <c r="C777">
        <f>VLOOKUP(B777,RECETAS!D776:$E$1700,2,FALSE)</f>
        <v>0</v>
      </c>
      <c r="D777" s="34"/>
      <c r="G777" t="b">
        <f t="shared" si="272"/>
        <v>1</v>
      </c>
    </row>
    <row r="778" spans="1:7" ht="15.75" thickBot="1" x14ac:dyDescent="0.3">
      <c r="A778" t="str">
        <f>B778&amp;"-"&amp;COUNTIF($B$2:B778,B778)</f>
        <v>I. CHURRASCO PORCION-4</v>
      </c>
      <c r="B778" s="41" t="s">
        <v>24</v>
      </c>
      <c r="C778">
        <f>VLOOKUP(B778,RECETAS!D777:$E$1700,2,FALSE)</f>
        <v>0</v>
      </c>
      <c r="D778" s="27"/>
      <c r="G778" t="b">
        <f t="shared" si="272"/>
        <v>1</v>
      </c>
    </row>
    <row r="779" spans="1:7" x14ac:dyDescent="0.25">
      <c r="A779" t="str">
        <f>B779&amp;"-"&amp;COUNTIF($B$2:B779,B779)</f>
        <v>I. CORONA-5</v>
      </c>
      <c r="B779" s="37" t="s">
        <v>65</v>
      </c>
      <c r="C779">
        <f>VLOOKUP(B779,RECETAS!D778:$E$1700,2,FALSE)</f>
        <v>0</v>
      </c>
      <c r="D779" s="25" t="s">
        <v>478</v>
      </c>
      <c r="G779" t="b">
        <f t="shared" si="272"/>
        <v>1</v>
      </c>
    </row>
    <row r="780" spans="1:7" x14ac:dyDescent="0.25">
      <c r="A780" t="str">
        <f>B780&amp;"-"&amp;COUNTIF($B$2:B780,B780)</f>
        <v>I. TORTILLAS CH-5</v>
      </c>
      <c r="B780" s="35" t="s">
        <v>4</v>
      </c>
      <c r="C780">
        <f>VLOOKUP(B780,RECETAS!D779:$E$1700,2,FALSE)</f>
        <v>0</v>
      </c>
      <c r="D780" s="34"/>
      <c r="G780" t="b">
        <f t="shared" si="272"/>
        <v>1</v>
      </c>
    </row>
    <row r="781" spans="1:7" x14ac:dyDescent="0.25">
      <c r="A781" t="str">
        <f>B781&amp;"-"&amp;COUNTIF($B$2:B781,B781)</f>
        <v>I. LOMO 250-9</v>
      </c>
      <c r="B781" s="35" t="s">
        <v>11</v>
      </c>
      <c r="C781">
        <f>VLOOKUP(B781,RECETAS!D780:$E$1700,2,FALSE)</f>
        <v>0</v>
      </c>
      <c r="D781" s="34"/>
      <c r="G781" t="b">
        <f t="shared" si="272"/>
        <v>1</v>
      </c>
    </row>
    <row r="782" spans="1:7" x14ac:dyDescent="0.25">
      <c r="A782" t="str">
        <f>B782&amp;"-"&amp;COUNTIF($B$2:B782,B782)</f>
        <v>I. FILETILLO POLLO-10</v>
      </c>
      <c r="B782" s="35" t="s">
        <v>5</v>
      </c>
      <c r="C782">
        <f>VLOOKUP(B782,RECETAS!D781:$E$1700,2,FALSE)</f>
        <v>0</v>
      </c>
      <c r="D782" s="34"/>
      <c r="G782" t="b">
        <f t="shared" si="272"/>
        <v>1</v>
      </c>
    </row>
    <row r="783" spans="1:7" x14ac:dyDescent="0.25">
      <c r="A783" t="str">
        <f>B783&amp;"-"&amp;COUNTIF($B$2:B783,B783)</f>
        <v>I. CHAMP. PORCION-9</v>
      </c>
      <c r="B783" s="35" t="s">
        <v>8</v>
      </c>
      <c r="C783">
        <f>VLOOKUP(B783,RECETAS!D782:$E$1700,2,FALSE)</f>
        <v>0</v>
      </c>
      <c r="D783" s="34"/>
      <c r="G783" t="b">
        <f t="shared" si="272"/>
        <v>1</v>
      </c>
    </row>
    <row r="784" spans="1:7" x14ac:dyDescent="0.25">
      <c r="A784" t="str">
        <f>B784&amp;"-"&amp;COUNTIF($B$2:B784,B784)</f>
        <v>I. PALTA-17</v>
      </c>
      <c r="B784" s="35" t="s">
        <v>35</v>
      </c>
      <c r="C784">
        <f>VLOOKUP(B784,RECETAS!D783:$E$1700,2,FALSE)</f>
        <v>0</v>
      </c>
      <c r="D784" s="34"/>
      <c r="G784" t="b">
        <f t="shared" si="272"/>
        <v>1</v>
      </c>
    </row>
    <row r="785" spans="1:7" x14ac:dyDescent="0.25">
      <c r="A785" t="str">
        <f>B785&amp;"-"&amp;COUNTIF($B$2:B785,B785)</f>
        <v>I. QUESO GRANULADO-25</v>
      </c>
      <c r="B785" s="35" t="s">
        <v>9</v>
      </c>
      <c r="C785">
        <f>VLOOKUP(B785,RECETAS!D784:$E$1700,2,FALSE)</f>
        <v>0</v>
      </c>
      <c r="D785" s="34"/>
      <c r="G785" t="b">
        <f t="shared" si="272"/>
        <v>1</v>
      </c>
    </row>
    <row r="786" spans="1:7" x14ac:dyDescent="0.25">
      <c r="A786" t="str">
        <f>B786&amp;"-"&amp;COUNTIF($B$2:B786,B786)</f>
        <v>I. TOMATE-7</v>
      </c>
      <c r="B786" s="35" t="s">
        <v>34</v>
      </c>
      <c r="C786">
        <f>VLOOKUP(B786,RECETAS!D785:$E$1700,2,FALSE)</f>
        <v>0</v>
      </c>
      <c r="D786" s="34"/>
      <c r="G786" t="b">
        <f t="shared" si="272"/>
        <v>1</v>
      </c>
    </row>
    <row r="787" spans="1:7" x14ac:dyDescent="0.25">
      <c r="A787" t="str">
        <f>B787&amp;"-"&amp;COUNTIF($B$2:B787,B787)</f>
        <v>I. CAMARON PORCION-10</v>
      </c>
      <c r="B787" s="36" t="s">
        <v>6</v>
      </c>
      <c r="C787">
        <f>VLOOKUP(B787,RECETAS!D786:$E$1700,2,FALSE)</f>
        <v>0</v>
      </c>
      <c r="D787" s="34"/>
      <c r="G787" t="b">
        <f t="shared" si="272"/>
        <v>1</v>
      </c>
    </row>
    <row r="788" spans="1:7" ht="15.75" thickBot="1" x14ac:dyDescent="0.3">
      <c r="A788" t="str">
        <f>B788&amp;"-"&amp;COUNTIF($B$2:B788,B788)</f>
        <v>I. CREMA ESPESA-44</v>
      </c>
      <c r="B788" s="28" t="s">
        <v>16</v>
      </c>
      <c r="C788">
        <f>VLOOKUP(B788,RECETAS!D787:$E$1700,2,FALSE)</f>
        <v>0</v>
      </c>
      <c r="D788" s="27"/>
      <c r="G788" t="b">
        <f t="shared" si="272"/>
        <v>1</v>
      </c>
    </row>
    <row r="789" spans="1:7" x14ac:dyDescent="0.25">
      <c r="A789" t="str">
        <f>B789&amp;"-"&amp;COUNTIF($B$2:B789,B789)</f>
        <v>I. MENTA-16</v>
      </c>
      <c r="B789" s="46" t="s">
        <v>637</v>
      </c>
      <c r="C789">
        <f>VLOOKUP(B789,RECETAS!D788:$E$1700,2,FALSE)</f>
        <v>0</v>
      </c>
      <c r="D789" s="116" t="s">
        <v>667</v>
      </c>
      <c r="G789" t="b">
        <f t="shared" si="272"/>
        <v>1</v>
      </c>
    </row>
    <row r="790" spans="1:7" x14ac:dyDescent="0.25">
      <c r="A790" t="str">
        <f>B790&amp;"-"&amp;COUNTIF($B$2:B790,B790)</f>
        <v>I. LIMON PICA-21</v>
      </c>
      <c r="B790" s="36" t="s">
        <v>636</v>
      </c>
      <c r="C790">
        <f>VLOOKUP(B790,RECETAS!D789:$E$1700,2,FALSE)</f>
        <v>0</v>
      </c>
      <c r="D790" s="34"/>
      <c r="G790" t="b">
        <f t="shared" si="272"/>
        <v>1</v>
      </c>
    </row>
    <row r="791" spans="1:7" x14ac:dyDescent="0.25">
      <c r="A791" t="str">
        <f>B791&amp;"-"&amp;COUNTIF($B$2:B791,B791)</f>
        <v>I. MINERAL1.6LT  C/G-13</v>
      </c>
      <c r="B791" s="36" t="s">
        <v>97</v>
      </c>
      <c r="C791">
        <f>VLOOKUP(B791,RECETAS!D790:$E$1700,2,FALSE)</f>
        <v>0</v>
      </c>
      <c r="D791" s="34"/>
      <c r="G791" t="b">
        <f t="shared" si="272"/>
        <v>1</v>
      </c>
    </row>
    <row r="792" spans="1:7" x14ac:dyDescent="0.25">
      <c r="A792" t="str">
        <f>B792&amp;"-"&amp;COUNTIF($B$2:B792,B792)</f>
        <v>I. AZUCAR FLOR-60</v>
      </c>
      <c r="B792" s="36" t="s">
        <v>51</v>
      </c>
      <c r="C792">
        <f>VLOOKUP(B792,RECETAS!D791:$E$1700,2,FALSE)</f>
        <v>0</v>
      </c>
      <c r="D792" s="34"/>
      <c r="G792" t="b">
        <f t="shared" si="272"/>
        <v>1</v>
      </c>
    </row>
    <row r="793" spans="1:7" x14ac:dyDescent="0.25">
      <c r="A793" t="str">
        <f>B793&amp;"-"&amp;COUNTIF($B$2:B793,B793)</f>
        <v>I. PULPA LIMON-54</v>
      </c>
      <c r="B793" s="36" t="s">
        <v>106</v>
      </c>
      <c r="C793">
        <f>VLOOKUP(B793,RECETAS!D792:$E$1700,2,FALSE)</f>
        <v>0</v>
      </c>
      <c r="D793" s="34"/>
      <c r="G793" t="b">
        <f t="shared" si="272"/>
        <v>1</v>
      </c>
    </row>
    <row r="794" spans="1:7" x14ac:dyDescent="0.25">
      <c r="A794" t="str">
        <f>B794&amp;"-"&amp;COUNTIF($B$2:B794,B794)</f>
        <v>I. RON BLANCO BATALLA-16</v>
      </c>
      <c r="B794" s="36" t="s">
        <v>116</v>
      </c>
      <c r="C794">
        <f>VLOOKUP(B794,RECETAS!D793:$E$1700,2,FALSE)</f>
        <v>0</v>
      </c>
      <c r="D794" s="34"/>
      <c r="G794" t="b">
        <f t="shared" si="272"/>
        <v>1</v>
      </c>
    </row>
    <row r="795" spans="1:7" ht="15.75" thickBot="1" x14ac:dyDescent="0.3">
      <c r="A795" t="str">
        <f>B795&amp;"-"&amp;COUNTIF($B$2:B795,B795)</f>
        <v>I. MINERAL1.6LT  C/G-14</v>
      </c>
      <c r="B795" s="29" t="s">
        <v>97</v>
      </c>
      <c r="C795">
        <f>VLOOKUP(B795,RECETAS!D794:$E$1700,2,FALSE)</f>
        <v>0</v>
      </c>
      <c r="D795" s="27"/>
      <c r="G795" t="b">
        <f t="shared" si="272"/>
        <v>1</v>
      </c>
    </row>
    <row r="796" spans="1:7" x14ac:dyDescent="0.25">
      <c r="A796" t="str">
        <f>B796&amp;"-"&amp;COUNTIF($B$2:B796,B796)</f>
        <v>I. MENTA-17</v>
      </c>
      <c r="B796" s="46" t="s">
        <v>637</v>
      </c>
      <c r="C796">
        <f>VLOOKUP(B796,RECETAS!D795:$E$1700,2,FALSE)</f>
        <v>3</v>
      </c>
      <c r="D796" s="25" t="s">
        <v>479</v>
      </c>
      <c r="G796" t="b">
        <f t="shared" si="272"/>
        <v>1</v>
      </c>
    </row>
    <row r="797" spans="1:7" x14ac:dyDescent="0.25">
      <c r="A797" t="str">
        <f>B797&amp;"-"&amp;COUNTIF($B$2:B797,B797)</f>
        <v>I. AZUCAR FLOR-61</v>
      </c>
      <c r="B797" s="36" t="s">
        <v>51</v>
      </c>
      <c r="C797">
        <f>VLOOKUP(B797,RECETAS!D796:$E$1700,2,FALSE)</f>
        <v>60</v>
      </c>
      <c r="D797" s="34"/>
      <c r="G797" t="b">
        <f t="shared" si="272"/>
        <v>1</v>
      </c>
    </row>
    <row r="798" spans="1:7" x14ac:dyDescent="0.25">
      <c r="A798" t="str">
        <f>B798&amp;"-"&amp;COUNTIF($B$2:B798,B798)</f>
        <v>I. LIMON PICA-22</v>
      </c>
      <c r="B798" s="36" t="s">
        <v>636</v>
      </c>
      <c r="C798">
        <f>VLOOKUP(B798,RECETAS!D797:$E$1700,2,FALSE)</f>
        <v>3</v>
      </c>
      <c r="D798" s="34"/>
      <c r="G798" t="b">
        <f t="shared" si="272"/>
        <v>1</v>
      </c>
    </row>
    <row r="799" spans="1:7" x14ac:dyDescent="0.25">
      <c r="A799" t="str">
        <f>B799&amp;"-"&amp;COUNTIF($B$2:B799,B799)</f>
        <v>I. MINERAL1.6LT  C/G-15</v>
      </c>
      <c r="B799" s="36" t="s">
        <v>97</v>
      </c>
      <c r="C799">
        <f>VLOOKUP(B799,RECETAS!D798:$E$1700,2,FALSE)</f>
        <v>150</v>
      </c>
      <c r="D799" s="34"/>
      <c r="G799" t="b">
        <f t="shared" si="272"/>
        <v>1</v>
      </c>
    </row>
    <row r="800" spans="1:7" x14ac:dyDescent="0.25">
      <c r="A800" t="str">
        <f>B800&amp;"-"&amp;COUNTIF($B$2:B800,B800)</f>
        <v>I. PULPA LIMON-55</v>
      </c>
      <c r="B800" s="36" t="s">
        <v>106</v>
      </c>
      <c r="C800">
        <f>VLOOKUP(B800,RECETAS!D799:$E$1700,2,FALSE)</f>
        <v>60</v>
      </c>
      <c r="D800" s="34"/>
      <c r="G800" t="b">
        <f t="shared" si="272"/>
        <v>1</v>
      </c>
    </row>
    <row r="801" spans="1:7" x14ac:dyDescent="0.25">
      <c r="A801" t="str">
        <f>B801&amp;"-"&amp;COUNTIF($B$2:B801,B801)</f>
        <v>I. RON BLANCO BATALLA-17</v>
      </c>
      <c r="B801" s="36" t="s">
        <v>116</v>
      </c>
      <c r="C801">
        <f>VLOOKUP(B801,RECETAS!D800:$E$1700,2,FALSE)</f>
        <v>225</v>
      </c>
      <c r="D801" s="34"/>
      <c r="G801" t="b">
        <f t="shared" si="272"/>
        <v>1</v>
      </c>
    </row>
    <row r="802" spans="1:7" x14ac:dyDescent="0.25">
      <c r="A802" t="str">
        <f>B802&amp;"-"&amp;COUNTIF($B$2:B802,B802)</f>
        <v>I. MINERAL1.6LT  C/G-16</v>
      </c>
      <c r="B802" s="36" t="s">
        <v>97</v>
      </c>
      <c r="C802">
        <f>VLOOKUP(B802,RECETAS!D801:$E$1700,2,FALSE)</f>
        <v>1</v>
      </c>
      <c r="D802" s="34"/>
      <c r="G802" t="b">
        <f t="shared" si="272"/>
        <v>1</v>
      </c>
    </row>
    <row r="803" spans="1:7" x14ac:dyDescent="0.25">
      <c r="A803" t="str">
        <f>B803&amp;"-"&amp;COUNTIF($B$2:B803,B803)</f>
        <v>I. PAPAS FRITAS-32</v>
      </c>
      <c r="B803" s="35" t="s">
        <v>13</v>
      </c>
      <c r="C803">
        <f>VLOOKUP(B803,RECETAS!D802:$E$1700,2,FALSE)</f>
        <v>800</v>
      </c>
      <c r="D803" s="34"/>
      <c r="G803" t="b">
        <f t="shared" si="272"/>
        <v>1</v>
      </c>
    </row>
    <row r="804" spans="1:7" x14ac:dyDescent="0.25">
      <c r="A804" t="str">
        <f>B804&amp;"-"&amp;COUNTIF($B$2:B804,B804)</f>
        <v>I. QUESO GRANULADO-26</v>
      </c>
      <c r="B804" s="35" t="s">
        <v>9</v>
      </c>
      <c r="C804">
        <f>VLOOKUP(B804,RECETAS!D803:$E$1700,2,FALSE)</f>
        <v>150</v>
      </c>
      <c r="D804" s="34"/>
      <c r="G804" t="b">
        <f t="shared" si="272"/>
        <v>1</v>
      </c>
    </row>
    <row r="805" spans="1:7" x14ac:dyDescent="0.25">
      <c r="A805" t="str">
        <f>B805&amp;"-"&amp;COUNTIF($B$2:B805,B805)</f>
        <v>I. CREMA ESPESA-45</v>
      </c>
      <c r="B805" s="35" t="s">
        <v>16</v>
      </c>
      <c r="C805">
        <f>VLOOKUP(B805,RECETAS!D804:$E$1700,2,FALSE)</f>
        <v>150</v>
      </c>
      <c r="D805" s="34"/>
      <c r="G805" t="b">
        <f t="shared" si="272"/>
        <v>1</v>
      </c>
    </row>
    <row r="806" spans="1:7" x14ac:dyDescent="0.25">
      <c r="A806" t="str">
        <f>B806&amp;"-"&amp;COUNTIF($B$2:B806,B806)</f>
        <v>I. CIBOULET-12</v>
      </c>
      <c r="B806" s="35" t="s">
        <v>23</v>
      </c>
      <c r="C806">
        <f>VLOOKUP(B806,RECETAS!D805:$E$1700,2,FALSE)</f>
        <v>20</v>
      </c>
      <c r="D806" s="34"/>
      <c r="G806" t="b">
        <f t="shared" si="272"/>
        <v>1</v>
      </c>
    </row>
    <row r="807" spans="1:7" ht="15.75" thickBot="1" x14ac:dyDescent="0.3">
      <c r="A807" t="str">
        <f>B807&amp;"-"&amp;COUNTIF($B$2:B807,B807)</f>
        <v>I. CHURRASCO PORCION-5</v>
      </c>
      <c r="B807" s="29" t="s">
        <v>24</v>
      </c>
      <c r="C807">
        <f>VLOOKUP(B807,RECETAS!D806:$E$1700,2,FALSE)</f>
        <v>1</v>
      </c>
      <c r="D807" s="27"/>
      <c r="G807" t="b">
        <f t="shared" si="272"/>
        <v>1</v>
      </c>
    </row>
    <row r="808" spans="1:7" x14ac:dyDescent="0.25">
      <c r="A808" t="str">
        <f>B808&amp;"-"&amp;COUNTIF($B$2:B808,B808)</f>
        <v>I. TORTILLAS GR-10</v>
      </c>
      <c r="B808" s="26" t="s">
        <v>7</v>
      </c>
      <c r="C808">
        <f>VLOOKUP(B808,RECETAS!D807:$E$1700,2,FALSE)</f>
        <v>0</v>
      </c>
      <c r="D808" s="25" t="s">
        <v>480</v>
      </c>
      <c r="G808" t="b">
        <f t="shared" si="272"/>
        <v>1</v>
      </c>
    </row>
    <row r="809" spans="1:7" x14ac:dyDescent="0.25">
      <c r="A809" t="str">
        <f>B809&amp;"-"&amp;COUNTIF($B$2:B809,B809)</f>
        <v>I. fil. pollo ques-3</v>
      </c>
      <c r="B809" s="35" t="s">
        <v>74</v>
      </c>
      <c r="C809">
        <f>VLOOKUP(B809,RECETAS!D808:$E$1700,2,FALSE)</f>
        <v>0</v>
      </c>
      <c r="D809" s="34"/>
      <c r="G809" t="b">
        <f t="shared" si="272"/>
        <v>1</v>
      </c>
    </row>
    <row r="810" spans="1:7" x14ac:dyDescent="0.25">
      <c r="A810" t="str">
        <f>B810&amp;"-"&amp;COUNTIF($B$2:B810,B810)</f>
        <v>I. PALTA-18</v>
      </c>
      <c r="B810" s="35" t="s">
        <v>35</v>
      </c>
      <c r="C810">
        <f>VLOOKUP(B810,RECETAS!D809:$E$1700,2,FALSE)</f>
        <v>0</v>
      </c>
      <c r="D810" s="34"/>
      <c r="G810" t="b">
        <f t="shared" si="272"/>
        <v>1</v>
      </c>
    </row>
    <row r="811" spans="1:7" x14ac:dyDescent="0.25">
      <c r="A811" t="str">
        <f>B811&amp;"-"&amp;COUNTIF($B$2:B811,B811)</f>
        <v>I. CHAMP. PORCION-10</v>
      </c>
      <c r="B811" s="35" t="s">
        <v>8</v>
      </c>
      <c r="C811">
        <f>VLOOKUP(B811,RECETAS!D810:$E$1700,2,FALSE)</f>
        <v>0</v>
      </c>
      <c r="D811" s="34"/>
      <c r="G811" t="b">
        <f t="shared" si="272"/>
        <v>1</v>
      </c>
    </row>
    <row r="812" spans="1:7" x14ac:dyDescent="0.25">
      <c r="A812" t="str">
        <f>B812&amp;"-"&amp;COUNTIF($B$2:B812,B812)</f>
        <v>I. QUESO GRANULADO-27</v>
      </c>
      <c r="B812" s="36" t="s">
        <v>9</v>
      </c>
      <c r="C812">
        <f>VLOOKUP(B812,RECETAS!D811:$E$1700,2,FALSE)</f>
        <v>0</v>
      </c>
      <c r="D812" s="34"/>
      <c r="G812" t="b">
        <f t="shared" si="272"/>
        <v>1</v>
      </c>
    </row>
    <row r="813" spans="1:7" x14ac:dyDescent="0.25">
      <c r="A813" t="str">
        <f>B813&amp;"-"&amp;COUNTIF($B$2:B813,B813)</f>
        <v>I. TORTILLAS GR-11</v>
      </c>
      <c r="B813" s="35" t="s">
        <v>7</v>
      </c>
      <c r="C813">
        <f>VLOOKUP(B813,RECETAS!D812:$E$1700,2,FALSE)</f>
        <v>0</v>
      </c>
      <c r="D813" s="34"/>
      <c r="G813" t="b">
        <f t="shared" si="272"/>
        <v>1</v>
      </c>
    </row>
    <row r="814" spans="1:7" x14ac:dyDescent="0.25">
      <c r="A814" t="str">
        <f>B814&amp;"-"&amp;COUNTIF($B$2:B814,B814)</f>
        <v>I. PALTA-19</v>
      </c>
      <c r="B814" s="35" t="s">
        <v>35</v>
      </c>
      <c r="C814">
        <f>VLOOKUP(B814,RECETAS!D813:$E$1700,2,FALSE)</f>
        <v>0</v>
      </c>
      <c r="D814" s="34"/>
      <c r="G814" t="b">
        <f t="shared" si="272"/>
        <v>1</v>
      </c>
    </row>
    <row r="815" spans="1:7" x14ac:dyDescent="0.25">
      <c r="A815" t="str">
        <f>B815&amp;"-"&amp;COUNTIF($B$2:B815,B815)</f>
        <v>I. CHURRA QUES.-3</v>
      </c>
      <c r="B815" s="35" t="s">
        <v>10</v>
      </c>
      <c r="C815">
        <f>VLOOKUP(B815,RECETAS!D814:$E$1700,2,FALSE)</f>
        <v>0</v>
      </c>
      <c r="D815" s="34"/>
      <c r="G815" t="b">
        <f t="shared" si="272"/>
        <v>1</v>
      </c>
    </row>
    <row r="816" spans="1:7" x14ac:dyDescent="0.25">
      <c r="A816" t="str">
        <f>B816&amp;"-"&amp;COUNTIF($B$2:B816,B816)</f>
        <v>I. QUESO GRANULADO-28</v>
      </c>
      <c r="B816" s="36" t="s">
        <v>9</v>
      </c>
      <c r="C816">
        <f>VLOOKUP(B816,RECETAS!D815:$E$1700,2,FALSE)</f>
        <v>0</v>
      </c>
      <c r="D816" s="34"/>
      <c r="G816" t="b">
        <f t="shared" si="272"/>
        <v>1</v>
      </c>
    </row>
    <row r="817" spans="1:7" x14ac:dyDescent="0.25">
      <c r="A817" t="str">
        <f>B817&amp;"-"&amp;COUNTIF($B$2:B817,B817)</f>
        <v>I. TORTILLAS GR-12</v>
      </c>
      <c r="B817" s="35" t="s">
        <v>7</v>
      </c>
      <c r="C817">
        <f>VLOOKUP(B817,RECETAS!D816:$E$1700,2,FALSE)</f>
        <v>0</v>
      </c>
      <c r="D817" s="34"/>
      <c r="G817" t="b">
        <f t="shared" si="272"/>
        <v>1</v>
      </c>
    </row>
    <row r="818" spans="1:7" x14ac:dyDescent="0.25">
      <c r="A818" t="str">
        <f>B818&amp;"-"&amp;COUNTIF($B$2:B818,B818)</f>
        <v>I. PALTA-20</v>
      </c>
      <c r="B818" s="35" t="s">
        <v>35</v>
      </c>
      <c r="C818">
        <f>VLOOKUP(B818,RECETAS!D817:$E$1700,2,FALSE)</f>
        <v>0</v>
      </c>
      <c r="D818" s="34"/>
      <c r="G818" t="b">
        <f t="shared" si="272"/>
        <v>1</v>
      </c>
    </row>
    <row r="819" spans="1:7" x14ac:dyDescent="0.25">
      <c r="A819" t="str">
        <f>B819&amp;"-"&amp;COUNTIF($B$2:B819,B819)</f>
        <v>I. CAMARON PORCION-11</v>
      </c>
      <c r="B819" s="35" t="s">
        <v>6</v>
      </c>
      <c r="C819">
        <f>VLOOKUP(B819,RECETAS!D818:$E$1700,2,FALSE)</f>
        <v>0</v>
      </c>
      <c r="D819" s="34"/>
      <c r="G819" t="b">
        <f t="shared" si="272"/>
        <v>1</v>
      </c>
    </row>
    <row r="820" spans="1:7" x14ac:dyDescent="0.25">
      <c r="A820" t="str">
        <f>B820&amp;"-"&amp;COUNTIF($B$2:B820,B820)</f>
        <v>I. QUESO GRANULADO-29</v>
      </c>
      <c r="B820" s="36" t="s">
        <v>9</v>
      </c>
      <c r="C820">
        <f>VLOOKUP(B820,RECETAS!D819:$E$1700,2,FALSE)</f>
        <v>0</v>
      </c>
      <c r="D820" s="34"/>
      <c r="G820" t="b">
        <f t="shared" si="272"/>
        <v>1</v>
      </c>
    </row>
    <row r="821" spans="1:7" x14ac:dyDescent="0.25">
      <c r="A821" t="str">
        <f>B821&amp;"-"&amp;COUNTIF($B$2:B821,B821)</f>
        <v>I. LIMON PICA-23</v>
      </c>
      <c r="B821" s="36" t="s">
        <v>636</v>
      </c>
      <c r="C821">
        <f>VLOOKUP(B821,RECETAS!D820:$E$1700,2,FALSE)</f>
        <v>0</v>
      </c>
      <c r="D821" s="34"/>
      <c r="G821" t="b">
        <f t="shared" si="272"/>
        <v>1</v>
      </c>
    </row>
    <row r="822" spans="1:7" x14ac:dyDescent="0.25">
      <c r="A822" t="str">
        <f>B822&amp;"-"&amp;COUNTIF($B$2:B822,B822)</f>
        <v>I. MINERAL1.6LT  C/G-17</v>
      </c>
      <c r="B822" s="36" t="s">
        <v>97</v>
      </c>
      <c r="C822">
        <f>VLOOKUP(B822,RECETAS!D821:$E$1700,2,FALSE)</f>
        <v>0</v>
      </c>
      <c r="D822" s="34"/>
      <c r="G822" t="b">
        <f t="shared" si="272"/>
        <v>1</v>
      </c>
    </row>
    <row r="823" spans="1:7" x14ac:dyDescent="0.25">
      <c r="A823" t="str">
        <f>B823&amp;"-"&amp;COUNTIF($B$2:B823,B823)</f>
        <v>I. MENTA-18</v>
      </c>
      <c r="B823" s="36" t="s">
        <v>637</v>
      </c>
      <c r="C823">
        <f>VLOOKUP(B823,RECETAS!D822:$E$1700,2,FALSE)</f>
        <v>0</v>
      </c>
      <c r="D823" s="34"/>
      <c r="G823" t="b">
        <f t="shared" si="272"/>
        <v>1</v>
      </c>
    </row>
    <row r="824" spans="1:7" x14ac:dyDescent="0.25">
      <c r="A824" t="str">
        <f>B824&amp;"-"&amp;COUNTIF($B$2:B824,B824)</f>
        <v>I. AZUCAR FLOR-62</v>
      </c>
      <c r="B824" s="36" t="s">
        <v>51</v>
      </c>
      <c r="C824">
        <f>VLOOKUP(B824,RECETAS!D823:$E$1700,2,FALSE)</f>
        <v>0</v>
      </c>
      <c r="D824" s="34"/>
      <c r="G824" t="b">
        <f t="shared" si="272"/>
        <v>1</v>
      </c>
    </row>
    <row r="825" spans="1:7" x14ac:dyDescent="0.25">
      <c r="A825" t="str">
        <f>B825&amp;"-"&amp;COUNTIF($B$2:B825,B825)</f>
        <v>I. PULPA LIMON-56</v>
      </c>
      <c r="B825" s="36" t="s">
        <v>106</v>
      </c>
      <c r="C825">
        <f>VLOOKUP(B825,RECETAS!D824:$E$1700,2,FALSE)</f>
        <v>0</v>
      </c>
      <c r="D825" s="34"/>
      <c r="G825" t="b">
        <f t="shared" si="272"/>
        <v>1</v>
      </c>
    </row>
    <row r="826" spans="1:7" ht="15.75" thickBot="1" x14ac:dyDescent="0.3">
      <c r="A826" t="str">
        <f>B826&amp;"-"&amp;COUNTIF($B$2:B826,B826)</f>
        <v>I. RON BLANCO BATALLA-18</v>
      </c>
      <c r="B826" s="29" t="s">
        <v>116</v>
      </c>
      <c r="C826">
        <f>VLOOKUP(B826,RECETAS!D825:$E$1700,2,FALSE)</f>
        <v>0</v>
      </c>
      <c r="D826" s="27"/>
      <c r="G826" t="b">
        <f t="shared" si="272"/>
        <v>1</v>
      </c>
    </row>
    <row r="827" spans="1:7" x14ac:dyDescent="0.25">
      <c r="A827" t="str">
        <f>B827&amp;"-"&amp;COUNTIF($B$2:B827,B827)</f>
        <v>I. APEROL-2</v>
      </c>
      <c r="B827" s="37" t="s">
        <v>49</v>
      </c>
      <c r="C827">
        <f>VLOOKUP(B827,RECETAS!D826:$E$1700,2,FALSE)</f>
        <v>0</v>
      </c>
      <c r="D827" s="25" t="s">
        <v>481</v>
      </c>
      <c r="G827" t="b">
        <f t="shared" si="272"/>
        <v>1</v>
      </c>
    </row>
    <row r="828" spans="1:7" x14ac:dyDescent="0.25">
      <c r="A828" t="str">
        <f>B828&amp;"-"&amp;COUNTIF($B$2:B828,B828)</f>
        <v>I. MINERAL1.6LT  C/G-18</v>
      </c>
      <c r="B828" s="38" t="s">
        <v>97</v>
      </c>
      <c r="C828">
        <f>VLOOKUP(B828,RECETAS!D827:$E$1700,2,FALSE)</f>
        <v>0</v>
      </c>
      <c r="D828" s="34"/>
      <c r="G828" t="b">
        <f t="shared" si="272"/>
        <v>1</v>
      </c>
    </row>
    <row r="829" spans="1:7" ht="15.75" thickBot="1" x14ac:dyDescent="0.3">
      <c r="A829" t="str">
        <f>B829&amp;"-"&amp;COUNTIF($B$2:B829,B829)</f>
        <v>I. CHAMP BRUT 750-6</v>
      </c>
      <c r="B829" s="41" t="s">
        <v>59</v>
      </c>
      <c r="C829">
        <f>VLOOKUP(B829,RECETAS!D828:$E$1700,2,FALSE)</f>
        <v>0</v>
      </c>
      <c r="D829" s="27"/>
      <c r="G829" t="b">
        <f t="shared" si="272"/>
        <v>1</v>
      </c>
    </row>
    <row r="830" spans="1:7" x14ac:dyDescent="0.25">
      <c r="A830" t="str">
        <f>B830&amp;"-"&amp;COUNTIF($B$2:B830,B830)</f>
        <v>I. APEROL-3</v>
      </c>
      <c r="B830" s="26" t="s">
        <v>49</v>
      </c>
      <c r="C830">
        <f>VLOOKUP(B830,RECETAS!D829:$E$1700,2,FALSE)</f>
        <v>0</v>
      </c>
      <c r="D830" s="25" t="s">
        <v>482</v>
      </c>
      <c r="G830" t="b">
        <f t="shared" si="272"/>
        <v>1</v>
      </c>
    </row>
    <row r="831" spans="1:7" x14ac:dyDescent="0.25">
      <c r="A831" t="str">
        <f>B831&amp;"-"&amp;COUNTIF($B$2:B831,B831)</f>
        <v>I. CHAMP BRUT 750-7</v>
      </c>
      <c r="B831" s="35" t="s">
        <v>59</v>
      </c>
      <c r="C831">
        <f>VLOOKUP(B831,RECETAS!D830:$E$1700,2,FALSE)</f>
        <v>0</v>
      </c>
      <c r="D831" s="34"/>
      <c r="G831" t="b">
        <f t="shared" si="272"/>
        <v>1</v>
      </c>
    </row>
    <row r="832" spans="1:7" x14ac:dyDescent="0.25">
      <c r="A832" t="str">
        <f>B832&amp;"-"&amp;COUNTIF($B$2:B832,B832)</f>
        <v>I. MINERAL1.6LT  C/G-19</v>
      </c>
      <c r="B832" s="36" t="s">
        <v>97</v>
      </c>
      <c r="C832">
        <f>VLOOKUP(B832,RECETAS!D831:$E$1700,2,FALSE)</f>
        <v>0</v>
      </c>
      <c r="D832" s="34"/>
      <c r="G832" t="b">
        <f t="shared" si="272"/>
        <v>1</v>
      </c>
    </row>
    <row r="833" spans="1:7" x14ac:dyDescent="0.25">
      <c r="A833" t="str">
        <f>B833&amp;"-"&amp;COUNTIF($B$2:B833,B833)</f>
        <v>I. TORTILLAS GR-13</v>
      </c>
      <c r="B833" s="35" t="s">
        <v>7</v>
      </c>
      <c r="C833">
        <f>VLOOKUP(B833,RECETAS!D832:$E$1700,2,FALSE)</f>
        <v>0</v>
      </c>
      <c r="D833" s="34"/>
      <c r="G833" t="b">
        <f t="shared" si="272"/>
        <v>1</v>
      </c>
    </row>
    <row r="834" spans="1:7" x14ac:dyDescent="0.25">
      <c r="A834" t="str">
        <f>B834&amp;"-"&amp;COUNTIF($B$2:B834,B834)</f>
        <v>I. CHICKEN FINGER-7</v>
      </c>
      <c r="B834" s="35" t="s">
        <v>522</v>
      </c>
      <c r="C834">
        <f>VLOOKUP(B834,RECETAS!D833:$E$1700,2,FALSE)</f>
        <v>0</v>
      </c>
      <c r="D834" s="34"/>
      <c r="G834" t="b">
        <f t="shared" si="272"/>
        <v>1</v>
      </c>
    </row>
    <row r="835" spans="1:7" x14ac:dyDescent="0.25">
      <c r="A835" t="str">
        <f>B835&amp;"-"&amp;COUNTIF($B$2:B835,B835)</f>
        <v>I. MASITAS CASERAS-7</v>
      </c>
      <c r="B835" s="35" t="s">
        <v>2</v>
      </c>
      <c r="C835">
        <f>VLOOKUP(B835,RECETAS!D834:$E$1700,2,FALSE)</f>
        <v>0</v>
      </c>
      <c r="D835" s="34"/>
      <c r="G835" t="b">
        <f t="shared" ref="G835:G898" si="273">IFERROR(IF(MATCH(B835,I:I,0) &lt;&gt; "", TRUE,""),FALSE)</f>
        <v>1</v>
      </c>
    </row>
    <row r="836" spans="1:7" x14ac:dyDescent="0.25">
      <c r="A836" t="str">
        <f>B836&amp;"-"&amp;COUNTIF($B$2:B836,B836)</f>
        <v>I. BROCHETA CAMARON-3</v>
      </c>
      <c r="B836" s="36" t="s">
        <v>18</v>
      </c>
      <c r="C836">
        <f>VLOOKUP(B836,RECETAS!D835:$E$1700,2,FALSE)</f>
        <v>0</v>
      </c>
      <c r="D836" s="34"/>
      <c r="G836" t="b">
        <f t="shared" si="273"/>
        <v>1</v>
      </c>
    </row>
    <row r="837" spans="1:7" x14ac:dyDescent="0.25">
      <c r="A837" t="str">
        <f>B837&amp;"-"&amp;COUNTIF($B$2:B837,B837)</f>
        <v>I. EMPANADA PORC-7</v>
      </c>
      <c r="B837" s="35" t="s">
        <v>0</v>
      </c>
      <c r="C837">
        <f>VLOOKUP(B837,RECETAS!D836:$E$1700,2,FALSE)</f>
        <v>0</v>
      </c>
      <c r="D837" s="34"/>
      <c r="G837" t="b">
        <f t="shared" si="273"/>
        <v>1</v>
      </c>
    </row>
    <row r="838" spans="1:7" x14ac:dyDescent="0.25">
      <c r="A838" t="str">
        <f>B838&amp;"-"&amp;COUNTIF($B$2:B838,B838)</f>
        <v>I. PALTA-21</v>
      </c>
      <c r="B838" s="35" t="s">
        <v>35</v>
      </c>
      <c r="C838">
        <f>VLOOKUP(B838,RECETAS!D837:$E$1700,2,FALSE)</f>
        <v>0</v>
      </c>
      <c r="D838" s="34"/>
      <c r="G838" t="b">
        <f t="shared" si="273"/>
        <v>1</v>
      </c>
    </row>
    <row r="839" spans="1:7" x14ac:dyDescent="0.25">
      <c r="A839" t="str">
        <f>B839&amp;"-"&amp;COUNTIF($B$2:B839,B839)</f>
        <v>I. QUESO GRANULADO-30</v>
      </c>
      <c r="B839" s="35" t="s">
        <v>9</v>
      </c>
      <c r="C839">
        <f>VLOOKUP(B839,RECETAS!D838:$E$1700,2,FALSE)</f>
        <v>0</v>
      </c>
      <c r="D839" s="34"/>
      <c r="G839" t="b">
        <f t="shared" si="273"/>
        <v>1</v>
      </c>
    </row>
    <row r="840" spans="1:7" x14ac:dyDescent="0.25">
      <c r="A840" t="str">
        <f>B840&amp;"-"&amp;COUNTIF($B$2:B840,B840)</f>
        <v>I. PALTA-22</v>
      </c>
      <c r="B840" s="35" t="s">
        <v>35</v>
      </c>
      <c r="C840">
        <f>VLOOKUP(B840,RECETAS!D839:$E$1700,2,FALSE)</f>
        <v>0</v>
      </c>
      <c r="D840" s="34"/>
      <c r="G840" t="b">
        <f t="shared" si="273"/>
        <v>1</v>
      </c>
    </row>
    <row r="841" spans="1:7" ht="15.75" thickBot="1" x14ac:dyDescent="0.3">
      <c r="A841" t="str">
        <f>B841&amp;"-"&amp;COUNTIF($B$2:B841,B841)</f>
        <v>I. CREMA ESPESA-46</v>
      </c>
      <c r="B841" s="28" t="s">
        <v>16</v>
      </c>
      <c r="C841">
        <f>VLOOKUP(B841,RECETAS!D840:$E$1700,2,FALSE)</f>
        <v>0</v>
      </c>
      <c r="D841" s="27"/>
      <c r="G841" t="b">
        <f t="shared" si="273"/>
        <v>1</v>
      </c>
    </row>
    <row r="842" spans="1:7" x14ac:dyDescent="0.25">
      <c r="A842" t="str">
        <f>B842&amp;"-"&amp;COUNTIF($B$2:B842,B842)</f>
        <v>I. MINERAL1.6LT  C/G-20</v>
      </c>
      <c r="B842" s="37" t="s">
        <v>97</v>
      </c>
      <c r="C842">
        <f>VLOOKUP(B842,RECETAS!D841:$E$1700,2,FALSE)</f>
        <v>0</v>
      </c>
      <c r="D842" s="25" t="s">
        <v>483</v>
      </c>
      <c r="G842" t="b">
        <f t="shared" si="273"/>
        <v>1</v>
      </c>
    </row>
    <row r="843" spans="1:7" x14ac:dyDescent="0.25">
      <c r="A843" t="str">
        <f>B843&amp;"-"&amp;COUNTIF($B$2:B843,B843)</f>
        <v>I. CHAMP BRUT 750-8</v>
      </c>
      <c r="B843" s="38" t="s">
        <v>59</v>
      </c>
      <c r="C843">
        <f>VLOOKUP(B843,RECETAS!D842:$E$1700,2,FALSE)</f>
        <v>0</v>
      </c>
      <c r="D843" s="34"/>
      <c r="G843" t="b">
        <f t="shared" si="273"/>
        <v>1</v>
      </c>
    </row>
    <row r="844" spans="1:7" ht="15.75" thickBot="1" x14ac:dyDescent="0.3">
      <c r="A844" t="str">
        <f>B844&amp;"-"&amp;COUNTIF($B$2:B844,B844)</f>
        <v>I. RAMAZZOTTI-3</v>
      </c>
      <c r="B844" s="41" t="s">
        <v>109</v>
      </c>
      <c r="C844">
        <f>VLOOKUP(B844,RECETAS!D843:$E$1700,2,FALSE)</f>
        <v>0</v>
      </c>
      <c r="D844" s="27"/>
      <c r="G844" t="b">
        <f t="shared" si="273"/>
        <v>1</v>
      </c>
    </row>
    <row r="845" spans="1:7" x14ac:dyDescent="0.25">
      <c r="A845" t="str">
        <f>B845&amp;"-"&amp;COUNTIF($B$2:B845,B845)</f>
        <v>I. MINERAL1.6LT  C/G-21</v>
      </c>
      <c r="B845" s="37" t="s">
        <v>97</v>
      </c>
      <c r="C845">
        <f>VLOOKUP(B845,RECETAS!D844:$E$1700,2,FALSE)</f>
        <v>0</v>
      </c>
      <c r="D845" s="25" t="s">
        <v>484</v>
      </c>
      <c r="G845" t="b">
        <f t="shared" si="273"/>
        <v>1</v>
      </c>
    </row>
    <row r="846" spans="1:7" x14ac:dyDescent="0.25">
      <c r="A846" t="str">
        <f>B846&amp;"-"&amp;COUNTIF($B$2:B846,B846)</f>
        <v>I. CHAMP BRUT 750-9</v>
      </c>
      <c r="B846" s="38" t="s">
        <v>59</v>
      </c>
      <c r="C846">
        <f>VLOOKUP(B846,RECETAS!D845:$E$1700,2,FALSE)</f>
        <v>0</v>
      </c>
      <c r="D846" s="34"/>
      <c r="G846" t="b">
        <f t="shared" si="273"/>
        <v>1</v>
      </c>
    </row>
    <row r="847" spans="1:7" x14ac:dyDescent="0.25">
      <c r="A847" t="str">
        <f>B847&amp;"-"&amp;COUNTIF($B$2:B847,B847)</f>
        <v>I. RAMAZZOTTI-4</v>
      </c>
      <c r="B847" s="38" t="s">
        <v>109</v>
      </c>
      <c r="C847">
        <f>VLOOKUP(B847,RECETAS!D846:$E$1700,2,FALSE)</f>
        <v>0</v>
      </c>
      <c r="D847" s="34"/>
      <c r="G847" t="b">
        <f t="shared" si="273"/>
        <v>1</v>
      </c>
    </row>
    <row r="848" spans="1:7" x14ac:dyDescent="0.25">
      <c r="A848" t="str">
        <f>B848&amp;"-"&amp;COUNTIF($B$2:B848,B848)</f>
        <v>I. TORTILLAS GR-14</v>
      </c>
      <c r="B848" s="35" t="s">
        <v>7</v>
      </c>
      <c r="C848">
        <f>VLOOKUP(B848,RECETAS!D847:$E$1700,2,FALSE)</f>
        <v>0</v>
      </c>
      <c r="D848" s="34"/>
      <c r="G848" t="b">
        <f t="shared" si="273"/>
        <v>1</v>
      </c>
    </row>
    <row r="849" spans="1:7" x14ac:dyDescent="0.25">
      <c r="A849" t="str">
        <f>B849&amp;"-"&amp;COUNTIF($B$2:B849,B849)</f>
        <v>I. CHICKEN FINGER-8</v>
      </c>
      <c r="B849" s="35" t="s">
        <v>522</v>
      </c>
      <c r="C849">
        <f>VLOOKUP(B849,RECETAS!D848:$E$1700,2,FALSE)</f>
        <v>0</v>
      </c>
      <c r="D849" s="34"/>
      <c r="G849" t="b">
        <f t="shared" si="273"/>
        <v>1</v>
      </c>
    </row>
    <row r="850" spans="1:7" x14ac:dyDescent="0.25">
      <c r="A850" t="str">
        <f>B850&amp;"-"&amp;COUNTIF($B$2:B850,B850)</f>
        <v>I. MASITAS CASERAS-8</v>
      </c>
      <c r="B850" s="35" t="s">
        <v>2</v>
      </c>
      <c r="C850">
        <f>VLOOKUP(B850,RECETAS!D849:$E$1700,2,FALSE)</f>
        <v>0</v>
      </c>
      <c r="D850" s="34"/>
      <c r="G850" t="b">
        <f t="shared" si="273"/>
        <v>1</v>
      </c>
    </row>
    <row r="851" spans="1:7" x14ac:dyDescent="0.25">
      <c r="A851" t="str">
        <f>B851&amp;"-"&amp;COUNTIF($B$2:B851,B851)</f>
        <v>I. BROCHETA CAMARON-4</v>
      </c>
      <c r="B851" s="36" t="s">
        <v>18</v>
      </c>
      <c r="C851">
        <f>VLOOKUP(B851,RECETAS!D850:$E$1700,2,FALSE)</f>
        <v>0</v>
      </c>
      <c r="D851" s="34"/>
      <c r="G851" t="b">
        <f t="shared" si="273"/>
        <v>1</v>
      </c>
    </row>
    <row r="852" spans="1:7" ht="15" customHeight="1" x14ac:dyDescent="0.25">
      <c r="A852" t="str">
        <f>B852&amp;"-"&amp;COUNTIF($B$2:B852,B852)</f>
        <v>I. EMPANADA PORC-8</v>
      </c>
      <c r="B852" s="35" t="s">
        <v>0</v>
      </c>
      <c r="C852">
        <f>VLOOKUP(B852,RECETAS!D851:$E$1700,2,FALSE)</f>
        <v>0</v>
      </c>
      <c r="D852" s="34"/>
      <c r="G852" t="b">
        <f t="shared" si="273"/>
        <v>1</v>
      </c>
    </row>
    <row r="853" spans="1:7" ht="15.75" customHeight="1" x14ac:dyDescent="0.25">
      <c r="A853" t="str">
        <f>B853&amp;"-"&amp;COUNTIF($B$2:B853,B853)</f>
        <v>I. PALTA-23</v>
      </c>
      <c r="B853" s="35" t="s">
        <v>35</v>
      </c>
      <c r="C853">
        <f>VLOOKUP(B853,RECETAS!D852:$E$1700,2,FALSE)</f>
        <v>0</v>
      </c>
      <c r="D853" s="34"/>
      <c r="G853" t="b">
        <f t="shared" si="273"/>
        <v>1</v>
      </c>
    </row>
    <row r="854" spans="1:7" ht="15" customHeight="1" x14ac:dyDescent="0.25">
      <c r="A854" t="str">
        <f>B854&amp;"-"&amp;COUNTIF($B$2:B854,B854)</f>
        <v>I. QUESO GRANULADO-31</v>
      </c>
      <c r="B854" s="35" t="s">
        <v>9</v>
      </c>
      <c r="C854">
        <f>VLOOKUP(B854,RECETAS!D853:$E$1700,2,FALSE)</f>
        <v>0</v>
      </c>
      <c r="D854" s="34"/>
      <c r="G854" t="b">
        <f t="shared" si="273"/>
        <v>1</v>
      </c>
    </row>
    <row r="855" spans="1:7" ht="15.75" customHeight="1" x14ac:dyDescent="0.25">
      <c r="A855" t="str">
        <f>B855&amp;"-"&amp;COUNTIF($B$2:B855,B855)</f>
        <v>I. PALTA-24</v>
      </c>
      <c r="B855" s="35" t="s">
        <v>35</v>
      </c>
      <c r="C855">
        <f>VLOOKUP(B855,RECETAS!D854:$E$1700,2,FALSE)</f>
        <v>0</v>
      </c>
      <c r="D855" s="34"/>
      <c r="G855" t="b">
        <f t="shared" si="273"/>
        <v>1</v>
      </c>
    </row>
    <row r="856" spans="1:7" ht="15.75" thickBot="1" x14ac:dyDescent="0.3">
      <c r="A856" t="str">
        <f>B856&amp;"-"&amp;COUNTIF($B$2:B856,B856)</f>
        <v>I. CREMA ESPESA-47</v>
      </c>
      <c r="B856" s="28" t="s">
        <v>16</v>
      </c>
      <c r="C856">
        <f>VLOOKUP(B856,RECETAS!D855:$E$1700,2,FALSE)</f>
        <v>0</v>
      </c>
      <c r="D856" s="27"/>
      <c r="G856" t="b">
        <f t="shared" si="273"/>
        <v>1</v>
      </c>
    </row>
    <row r="857" spans="1:7" x14ac:dyDescent="0.25">
      <c r="A857" t="str">
        <f>B857&amp;"-"&amp;COUNTIF($B$2:B857,B857)</f>
        <v>I. RON BLANCO BATALLA-19</v>
      </c>
      <c r="B857" s="26" t="s">
        <v>116</v>
      </c>
      <c r="C857">
        <f>VLOOKUP(B857,RECETAS!D856:$E$1700,2,FALSE)</f>
        <v>0</v>
      </c>
      <c r="D857" s="25" t="s">
        <v>736</v>
      </c>
      <c r="G857" t="b">
        <f t="shared" si="273"/>
        <v>1</v>
      </c>
    </row>
    <row r="858" spans="1:7" x14ac:dyDescent="0.25">
      <c r="A858" t="str">
        <f>B858&amp;"-"&amp;COUNTIF($B$2:B858,B858)</f>
        <v>I. PULPA LIMON-57</v>
      </c>
      <c r="B858" s="35" t="s">
        <v>106</v>
      </c>
      <c r="C858">
        <f>VLOOKUP(B858,RECETAS!D857:$E$1700,2,FALSE)</f>
        <v>0</v>
      </c>
      <c r="D858" s="34"/>
      <c r="G858" t="b">
        <f t="shared" si="273"/>
        <v>1</v>
      </c>
    </row>
    <row r="859" spans="1:7" x14ac:dyDescent="0.25">
      <c r="A859" t="str">
        <f>B859&amp;"-"&amp;COUNTIF($B$2:B859,B859)</f>
        <v>I. AZUCAR FLOR-63</v>
      </c>
      <c r="B859" s="35" t="s">
        <v>51</v>
      </c>
      <c r="C859">
        <f>VLOOKUP(B859,RECETAS!D858:$E$1700,2,FALSE)</f>
        <v>0</v>
      </c>
      <c r="D859" s="34"/>
      <c r="G859" t="b">
        <f t="shared" si="273"/>
        <v>1</v>
      </c>
    </row>
    <row r="860" spans="1:7" ht="15.75" thickBot="1" x14ac:dyDescent="0.3">
      <c r="A860" t="str">
        <f>B860&amp;"-"&amp;COUNTIF($B$2:B860,B860)</f>
        <v>I. PULPA FRAMBUESA-10</v>
      </c>
      <c r="B860" s="28" t="s">
        <v>105</v>
      </c>
      <c r="C860">
        <f>VLOOKUP(B860,RECETAS!D859:$E$1700,2,FALSE)</f>
        <v>0</v>
      </c>
      <c r="D860" s="27"/>
      <c r="G860" t="b">
        <f t="shared" si="273"/>
        <v>1</v>
      </c>
    </row>
    <row r="861" spans="1:7" x14ac:dyDescent="0.25">
      <c r="A861" t="str">
        <f>B861&amp;"-"&amp;COUNTIF($B$2:B861,B861)</f>
        <v>I. PAPAS FRITAS-33</v>
      </c>
      <c r="B861" s="26" t="s">
        <v>13</v>
      </c>
      <c r="C861">
        <f>VLOOKUP(B861,RECETAS!D860:$E$1700,2,FALSE)</f>
        <v>0</v>
      </c>
      <c r="D861" s="25" t="s">
        <v>485</v>
      </c>
      <c r="G861" t="b">
        <f t="shared" si="273"/>
        <v>1</v>
      </c>
    </row>
    <row r="862" spans="1:7" x14ac:dyDescent="0.25">
      <c r="A862" t="str">
        <f>B862&amp;"-"&amp;COUNTIF($B$2:B862,B862)</f>
        <v>I. QUESO GRANULADO-32</v>
      </c>
      <c r="B862" s="35" t="s">
        <v>9</v>
      </c>
      <c r="C862">
        <f>VLOOKUP(B862,RECETAS!D861:$E$1700,2,FALSE)</f>
        <v>0</v>
      </c>
      <c r="D862" s="34"/>
      <c r="G862" t="b">
        <f t="shared" si="273"/>
        <v>1</v>
      </c>
    </row>
    <row r="863" spans="1:7" x14ac:dyDescent="0.25">
      <c r="A863" t="str">
        <f>B863&amp;"-"&amp;COUNTIF($B$2:B863,B863)</f>
        <v>I. CREMA ESPESA-48</v>
      </c>
      <c r="B863" s="35" t="s">
        <v>16</v>
      </c>
      <c r="C863">
        <f>VLOOKUP(B863,RECETAS!D862:$E$1700,2,FALSE)</f>
        <v>0</v>
      </c>
      <c r="D863" s="34"/>
      <c r="G863" t="b">
        <f t="shared" si="273"/>
        <v>1</v>
      </c>
    </row>
    <row r="864" spans="1:7" x14ac:dyDescent="0.25">
      <c r="A864" t="str">
        <f>B864&amp;"-"&amp;COUNTIF($B$2:B864,B864)</f>
        <v>I. CIBOULET-13</v>
      </c>
      <c r="B864" s="35" t="s">
        <v>23</v>
      </c>
      <c r="C864">
        <f>VLOOKUP(B864,RECETAS!D863:$E$1700,2,FALSE)</f>
        <v>0</v>
      </c>
      <c r="D864" s="34"/>
      <c r="G864" t="b">
        <f t="shared" si="273"/>
        <v>1</v>
      </c>
    </row>
    <row r="865" spans="1:7" x14ac:dyDescent="0.25">
      <c r="A865" t="str">
        <f>B865&amp;"-"&amp;COUNTIF($B$2:B865,B865)</f>
        <v>I. CHURRASCO PORCION-6</v>
      </c>
      <c r="B865" s="36" t="s">
        <v>24</v>
      </c>
      <c r="C865">
        <f>VLOOKUP(B865,RECETAS!D864:$E$1700,2,FALSE)</f>
        <v>0</v>
      </c>
      <c r="D865" s="34"/>
      <c r="G865" t="b">
        <f t="shared" si="273"/>
        <v>1</v>
      </c>
    </row>
    <row r="866" spans="1:7" x14ac:dyDescent="0.25">
      <c r="A866" t="str">
        <f>B866&amp;"-"&amp;COUNTIF($B$2:B866,B866)</f>
        <v>I. RON BLANCO BATALLA-20</v>
      </c>
      <c r="B866" s="35" t="s">
        <v>116</v>
      </c>
      <c r="C866">
        <f>VLOOKUP(B866,RECETAS!D865:$E$1700,2,FALSE)</f>
        <v>0</v>
      </c>
      <c r="D866" s="34"/>
      <c r="G866" t="b">
        <f t="shared" si="273"/>
        <v>1</v>
      </c>
    </row>
    <row r="867" spans="1:7" x14ac:dyDescent="0.25">
      <c r="A867" t="str">
        <f>B867&amp;"-"&amp;COUNTIF($B$2:B867,B867)</f>
        <v>I. PULPA LIMON-58</v>
      </c>
      <c r="B867" s="35" t="s">
        <v>106</v>
      </c>
      <c r="C867">
        <f>VLOOKUP(B867,RECETAS!D866:$E$1700,2,FALSE)</f>
        <v>0</v>
      </c>
      <c r="D867" s="34"/>
      <c r="G867" t="b">
        <f t="shared" si="273"/>
        <v>1</v>
      </c>
    </row>
    <row r="868" spans="1:7" x14ac:dyDescent="0.25">
      <c r="A868" t="str">
        <f>B868&amp;"-"&amp;COUNTIF($B$2:B868,B868)</f>
        <v>I. AZUCAR FLOR-64</v>
      </c>
      <c r="B868" s="35" t="s">
        <v>51</v>
      </c>
      <c r="C868">
        <f>VLOOKUP(B868,RECETAS!D867:$E$1700,2,FALSE)</f>
        <v>0</v>
      </c>
      <c r="D868" s="34"/>
      <c r="G868" t="b">
        <f t="shared" si="273"/>
        <v>1</v>
      </c>
    </row>
    <row r="869" spans="1:7" ht="15.75" thickBot="1" x14ac:dyDescent="0.3">
      <c r="A869" t="str">
        <f>B869&amp;"-"&amp;COUNTIF($B$2:B869,B869)</f>
        <v>I. PULPA LIMON-59</v>
      </c>
      <c r="B869" s="28" t="s">
        <v>106</v>
      </c>
      <c r="C869">
        <f>VLOOKUP(B869,RECETAS!D868:$E$1700,2,FALSE)</f>
        <v>0</v>
      </c>
      <c r="D869" s="27"/>
      <c r="G869" t="b">
        <f t="shared" si="273"/>
        <v>1</v>
      </c>
    </row>
    <row r="870" spans="1:7" x14ac:dyDescent="0.25">
      <c r="A870" t="str">
        <f>B870&amp;"-"&amp;COUNTIF($B$2:B870,B870)</f>
        <v>I. JACK DANIELS-6</v>
      </c>
      <c r="B870" s="37" t="s">
        <v>83</v>
      </c>
      <c r="C870">
        <f>VLOOKUP(B870,RECETAS!D869:$E$1700,2,FALSE)</f>
        <v>0</v>
      </c>
      <c r="D870" s="25" t="s">
        <v>486</v>
      </c>
      <c r="G870" t="b">
        <f t="shared" si="273"/>
        <v>1</v>
      </c>
    </row>
    <row r="871" spans="1:7" x14ac:dyDescent="0.25">
      <c r="A871" t="str">
        <f>B871&amp;"-"&amp;COUNTIF($B$2:B871,B871)</f>
        <v>I. COCA COLA 1,5-2</v>
      </c>
      <c r="B871" s="35" t="s">
        <v>60</v>
      </c>
      <c r="C871">
        <f>VLOOKUP(B871,RECETAS!D870:$E$1700,2,FALSE)</f>
        <v>0</v>
      </c>
      <c r="D871" s="34"/>
      <c r="G871" t="b">
        <f t="shared" si="273"/>
        <v>1</v>
      </c>
    </row>
    <row r="872" spans="1:7" ht="15.75" thickBot="1" x14ac:dyDescent="0.3">
      <c r="A872" t="str">
        <f>B872&amp;"-"&amp;COUNTIF($B$2:B872,B872)</f>
        <v>I. RBULL ENERGY DR-4</v>
      </c>
      <c r="B872" s="29" t="s">
        <v>110</v>
      </c>
      <c r="C872">
        <f>VLOOKUP(B872,RECETAS!D871:$E$1700,2,FALSE)</f>
        <v>0</v>
      </c>
      <c r="D872" s="27"/>
      <c r="G872" t="b">
        <f t="shared" si="273"/>
        <v>1</v>
      </c>
    </row>
    <row r="873" spans="1:7" x14ac:dyDescent="0.25">
      <c r="A873" t="str">
        <f>B873&amp;"-"&amp;COUNTIF($B$2:B873,B873)</f>
        <v>I. JACK DANIELS-7</v>
      </c>
      <c r="B873" s="37" t="s">
        <v>83</v>
      </c>
      <c r="C873">
        <f>VLOOKUP(B873,RECETAS!D872:$E$1700,2,FALSE)</f>
        <v>0</v>
      </c>
      <c r="D873" s="25" t="s">
        <v>487</v>
      </c>
      <c r="G873" t="b">
        <f t="shared" si="273"/>
        <v>1</v>
      </c>
    </row>
    <row r="874" spans="1:7" x14ac:dyDescent="0.25">
      <c r="A874" t="str">
        <f>B874&amp;"-"&amp;COUNTIF($B$2:B874,B874)</f>
        <v>I. COCA COLA 1,5-3</v>
      </c>
      <c r="B874" s="35" t="s">
        <v>60</v>
      </c>
      <c r="C874">
        <f>VLOOKUP(B874,RECETAS!D873:$E$1700,2,FALSE)</f>
        <v>0</v>
      </c>
      <c r="D874" s="34"/>
      <c r="G874" t="b">
        <f t="shared" si="273"/>
        <v>1</v>
      </c>
    </row>
    <row r="875" spans="1:7" x14ac:dyDescent="0.25">
      <c r="A875" t="str">
        <f>B875&amp;"-"&amp;COUNTIF($B$2:B875,B875)</f>
        <v>I. RBULL ENERGY DR-5</v>
      </c>
      <c r="B875" s="36" t="s">
        <v>110</v>
      </c>
      <c r="C875">
        <f>VLOOKUP(B875,RECETAS!D874:$E$1700,2,FALSE)</f>
        <v>0</v>
      </c>
      <c r="D875" s="34"/>
      <c r="G875" t="b">
        <f t="shared" si="273"/>
        <v>1</v>
      </c>
    </row>
    <row r="876" spans="1:7" x14ac:dyDescent="0.25">
      <c r="A876" t="str">
        <f>B876&amp;"-"&amp;COUNTIF($B$2:B876,B876)</f>
        <v>I. PAPAS FRITAS-34</v>
      </c>
      <c r="B876" s="35" t="s">
        <v>13</v>
      </c>
      <c r="C876">
        <f>VLOOKUP(B876,RECETAS!D875:$E$1700,2,FALSE)</f>
        <v>0</v>
      </c>
      <c r="D876" s="34"/>
      <c r="G876" t="b">
        <f t="shared" si="273"/>
        <v>1</v>
      </c>
    </row>
    <row r="877" spans="1:7" x14ac:dyDescent="0.25">
      <c r="A877" t="str">
        <f>B877&amp;"-"&amp;COUNTIF($B$2:B877,B877)</f>
        <v>I. QUESO GRANULADO-33</v>
      </c>
      <c r="B877" s="35" t="s">
        <v>9</v>
      </c>
      <c r="C877">
        <f>VLOOKUP(B877,RECETAS!D876:$E$1700,2,FALSE)</f>
        <v>0</v>
      </c>
      <c r="D877" s="34"/>
      <c r="G877" t="b">
        <f t="shared" si="273"/>
        <v>1</v>
      </c>
    </row>
    <row r="878" spans="1:7" x14ac:dyDescent="0.25">
      <c r="A878" t="str">
        <f>B878&amp;"-"&amp;COUNTIF($B$2:B878,B878)</f>
        <v>I. CREMA ESPESA-49</v>
      </c>
      <c r="B878" s="35" t="s">
        <v>16</v>
      </c>
      <c r="C878">
        <f>VLOOKUP(B878,RECETAS!D877:$E$1700,2,FALSE)</f>
        <v>0</v>
      </c>
      <c r="D878" s="34"/>
      <c r="G878" t="b">
        <f t="shared" si="273"/>
        <v>1</v>
      </c>
    </row>
    <row r="879" spans="1:7" x14ac:dyDescent="0.25">
      <c r="A879" t="str">
        <f>B879&amp;"-"&amp;COUNTIF($B$2:B879,B879)</f>
        <v>I. CIBOULET-14</v>
      </c>
      <c r="B879" s="35" t="s">
        <v>23</v>
      </c>
      <c r="C879">
        <f>VLOOKUP(B879,RECETAS!D878:$E$1700,2,FALSE)</f>
        <v>0</v>
      </c>
      <c r="D879" s="34"/>
      <c r="G879" t="b">
        <f t="shared" si="273"/>
        <v>1</v>
      </c>
    </row>
    <row r="880" spans="1:7" ht="15.75" thickBot="1" x14ac:dyDescent="0.3">
      <c r="A880" t="str">
        <f>B880&amp;"-"&amp;COUNTIF($B$2:B880,B880)</f>
        <v>I. CHURRASCO PORCION-7</v>
      </c>
      <c r="B880" s="29" t="s">
        <v>24</v>
      </c>
      <c r="C880">
        <f>VLOOKUP(B880,RECETAS!D879:$E$1700,2,FALSE)</f>
        <v>0</v>
      </c>
      <c r="D880" s="27"/>
      <c r="G880" t="b">
        <f t="shared" si="273"/>
        <v>1</v>
      </c>
    </row>
    <row r="881" spans="1:7" x14ac:dyDescent="0.25">
      <c r="A881" t="str">
        <f>B881&amp;"-"&amp;COUNTIF($B$2:B881,B881)</f>
        <v>I. JAGERMEISTER-6</v>
      </c>
      <c r="B881" s="37" t="s">
        <v>86</v>
      </c>
      <c r="C881">
        <f>VLOOKUP(B881,RECETAS!D880:$E$1700,2,FALSE)</f>
        <v>0</v>
      </c>
      <c r="D881" s="25" t="s">
        <v>488</v>
      </c>
      <c r="G881" t="b">
        <f t="shared" si="273"/>
        <v>1</v>
      </c>
    </row>
    <row r="882" spans="1:7" x14ac:dyDescent="0.25">
      <c r="A882" t="str">
        <f>B882&amp;"-"&amp;COUNTIF($B$2:B882,B882)</f>
        <v>I. HIELO-1</v>
      </c>
      <c r="B882" s="38" t="s">
        <v>286</v>
      </c>
      <c r="C882">
        <f>VLOOKUP(B882,RECETAS!D881:$E$1700,2,FALSE)</f>
        <v>0</v>
      </c>
      <c r="D882" s="34"/>
      <c r="G882" t="b">
        <f t="shared" si="273"/>
        <v>1</v>
      </c>
    </row>
    <row r="883" spans="1:7" ht="15.75" thickBot="1" x14ac:dyDescent="0.3">
      <c r="A883" t="str">
        <f>B883&amp;"-"&amp;COUNTIF($B$2:B883,B883)</f>
        <v>I. RBULL ENERGY DR-6</v>
      </c>
      <c r="B883" s="41" t="s">
        <v>110</v>
      </c>
      <c r="C883">
        <f>VLOOKUP(B883,RECETAS!D882:$E$1700,2,FALSE)</f>
        <v>0</v>
      </c>
      <c r="D883" s="27"/>
      <c r="G883" t="b">
        <f t="shared" si="273"/>
        <v>1</v>
      </c>
    </row>
    <row r="884" spans="1:7" x14ac:dyDescent="0.25">
      <c r="A884" t="str">
        <f>B884&amp;"-"&amp;COUNTIF($B$2:B884,B884)</f>
        <v>I. JAGERMEISTER-7</v>
      </c>
      <c r="B884" s="37" t="s">
        <v>86</v>
      </c>
      <c r="C884">
        <f>VLOOKUP(B884,RECETAS!D883:$E$1700,2,FALSE)</f>
        <v>0</v>
      </c>
      <c r="D884" s="25" t="s">
        <v>489</v>
      </c>
      <c r="G884" t="b">
        <f t="shared" si="273"/>
        <v>1</v>
      </c>
    </row>
    <row r="885" spans="1:7" x14ac:dyDescent="0.25">
      <c r="A885" t="str">
        <f>B885&amp;"-"&amp;COUNTIF($B$2:B885,B885)</f>
        <v>I. HIELO-2</v>
      </c>
      <c r="B885" s="38" t="s">
        <v>286</v>
      </c>
      <c r="C885">
        <f>VLOOKUP(B885,RECETAS!D884:$E$1700,2,FALSE)</f>
        <v>0</v>
      </c>
      <c r="D885" s="34"/>
      <c r="G885" t="b">
        <f t="shared" si="273"/>
        <v>1</v>
      </c>
    </row>
    <row r="886" spans="1:7" x14ac:dyDescent="0.25">
      <c r="A886" t="str">
        <f>B886&amp;"-"&amp;COUNTIF($B$2:B886,B886)</f>
        <v>I. RBULL ENERGY DR-7</v>
      </c>
      <c r="B886" s="38" t="s">
        <v>110</v>
      </c>
      <c r="C886">
        <f>VLOOKUP(B886,RECETAS!D885:$E$1700,2,FALSE)</f>
        <v>0</v>
      </c>
      <c r="D886" s="34"/>
      <c r="G886" t="b">
        <f t="shared" si="273"/>
        <v>1</v>
      </c>
    </row>
    <row r="887" spans="1:7" x14ac:dyDescent="0.25">
      <c r="A887" t="str">
        <f>B887&amp;"-"&amp;COUNTIF($B$2:B887,B887)</f>
        <v>I. PAPAS FRITAS-35</v>
      </c>
      <c r="B887" s="35" t="s">
        <v>13</v>
      </c>
      <c r="C887">
        <f>VLOOKUP(B887,RECETAS!D886:$E$1700,2,FALSE)</f>
        <v>0</v>
      </c>
      <c r="D887" s="34"/>
      <c r="G887" t="b">
        <f t="shared" si="273"/>
        <v>1</v>
      </c>
    </row>
    <row r="888" spans="1:7" x14ac:dyDescent="0.25">
      <c r="A888" t="str">
        <f>B888&amp;"-"&amp;COUNTIF($B$2:B888,B888)</f>
        <v>I. QUESO GRANULADO-34</v>
      </c>
      <c r="B888" s="35" t="s">
        <v>9</v>
      </c>
      <c r="C888">
        <f>VLOOKUP(B888,RECETAS!D887:$E$1700,2,FALSE)</f>
        <v>0</v>
      </c>
      <c r="D888" s="34"/>
      <c r="G888" t="b">
        <f t="shared" si="273"/>
        <v>1</v>
      </c>
    </row>
    <row r="889" spans="1:7" x14ac:dyDescent="0.25">
      <c r="A889" t="str">
        <f>B889&amp;"-"&amp;COUNTIF($B$2:B889,B889)</f>
        <v>I. CREMA ESPESA-50</v>
      </c>
      <c r="B889" s="35" t="s">
        <v>16</v>
      </c>
      <c r="C889">
        <f>VLOOKUP(B889,RECETAS!D888:$E$1700,2,FALSE)</f>
        <v>0</v>
      </c>
      <c r="D889" s="34"/>
      <c r="G889" t="b">
        <f t="shared" si="273"/>
        <v>1</v>
      </c>
    </row>
    <row r="890" spans="1:7" x14ac:dyDescent="0.25">
      <c r="A890" t="str">
        <f>B890&amp;"-"&amp;COUNTIF($B$2:B890,B890)</f>
        <v>I. CIBOULET-15</v>
      </c>
      <c r="B890" s="35" t="s">
        <v>23</v>
      </c>
      <c r="C890">
        <f>VLOOKUP(B890,RECETAS!D889:$E$1700,2,FALSE)</f>
        <v>0</v>
      </c>
      <c r="D890" s="34"/>
      <c r="G890" t="b">
        <f t="shared" si="273"/>
        <v>1</v>
      </c>
    </row>
    <row r="891" spans="1:7" ht="15.75" thickBot="1" x14ac:dyDescent="0.3">
      <c r="A891" t="str">
        <f>B891&amp;"-"&amp;COUNTIF($B$2:B891,B891)</f>
        <v>I. CHURRASCO PORCION-8</v>
      </c>
      <c r="B891" s="29" t="s">
        <v>24</v>
      </c>
      <c r="C891">
        <f>VLOOKUP(B891,RECETAS!D890:$E$1700,2,FALSE)</f>
        <v>0</v>
      </c>
      <c r="D891" s="27"/>
      <c r="G891" t="b">
        <f t="shared" si="273"/>
        <v>1</v>
      </c>
    </row>
    <row r="892" spans="1:7" x14ac:dyDescent="0.25">
      <c r="A892" t="str">
        <f>B892&amp;"-"&amp;COUNTIF($B$2:B892,B892)</f>
        <v>I. TEQUILA BATALLA-12</v>
      </c>
      <c r="B892" s="31" t="s">
        <v>123</v>
      </c>
      <c r="C892">
        <f>VLOOKUP(B892,RECETAS!D891:$E$1700,2,FALSE)</f>
        <v>0</v>
      </c>
      <c r="D892" s="80" t="s">
        <v>490</v>
      </c>
      <c r="G892" t="b">
        <f t="shared" si="273"/>
        <v>1</v>
      </c>
    </row>
    <row r="893" spans="1:7" x14ac:dyDescent="0.25">
      <c r="A893" t="str">
        <f>B893&amp;"-"&amp;COUNTIF($B$2:B893,B893)</f>
        <v>I. PULPA LIMON-60</v>
      </c>
      <c r="B893" s="35" t="s">
        <v>106</v>
      </c>
      <c r="C893">
        <f>VLOOKUP(B893,RECETAS!D892:$E$1700,2,FALSE)</f>
        <v>0</v>
      </c>
      <c r="D893" s="81"/>
      <c r="G893" t="b">
        <f t="shared" si="273"/>
        <v>1</v>
      </c>
    </row>
    <row r="894" spans="1:7" x14ac:dyDescent="0.25">
      <c r="A894" t="str">
        <f>B894&amp;"-"&amp;COUNTIF($B$2:B894,B894)</f>
        <v>I. TRIPLE SEC-22</v>
      </c>
      <c r="B894" s="35" t="s">
        <v>128</v>
      </c>
      <c r="C894">
        <f>VLOOKUP(B894,RECETAS!D893:$E$1700,2,FALSE)</f>
        <v>0</v>
      </c>
      <c r="D894" s="81"/>
      <c r="G894" t="b">
        <f t="shared" si="273"/>
        <v>1</v>
      </c>
    </row>
    <row r="895" spans="1:7" x14ac:dyDescent="0.25">
      <c r="A895" t="str">
        <f>B895&amp;"-"&amp;COUNTIF($B$2:B895,B895)</f>
        <v>I. AZUCAR FLOR-65</v>
      </c>
      <c r="B895" s="35" t="s">
        <v>51</v>
      </c>
      <c r="C895">
        <f>VLOOKUP(B895,RECETAS!D894:$E$1700,2,FALSE)</f>
        <v>0</v>
      </c>
      <c r="D895" s="81"/>
      <c r="G895" t="b">
        <f t="shared" si="273"/>
        <v>1</v>
      </c>
    </row>
    <row r="896" spans="1:7" x14ac:dyDescent="0.25">
      <c r="A896" t="str">
        <f>B896&amp;"-"&amp;COUNTIF($B$2:B896,B896)</f>
        <v>I. TEQUILA BATALLA-13</v>
      </c>
      <c r="B896" s="38" t="s">
        <v>123</v>
      </c>
      <c r="C896">
        <f>VLOOKUP(B896,RECETAS!D895:$E$1700,2,FALSE)</f>
        <v>0</v>
      </c>
      <c r="D896" s="116" t="s">
        <v>615</v>
      </c>
      <c r="G896" t="b">
        <f t="shared" si="273"/>
        <v>1</v>
      </c>
    </row>
    <row r="897" spans="1:7" x14ac:dyDescent="0.25">
      <c r="A897" t="str">
        <f>B897&amp;"-"&amp;COUNTIF($B$2:B897,B897)</f>
        <v>I. PULPA LIMON-61</v>
      </c>
      <c r="B897" s="38" t="s">
        <v>106</v>
      </c>
      <c r="C897">
        <f>VLOOKUP(B897,RECETAS!D896:$E$1700,2,FALSE)</f>
        <v>0</v>
      </c>
      <c r="D897" s="81"/>
      <c r="G897" t="b">
        <f t="shared" si="273"/>
        <v>1</v>
      </c>
    </row>
    <row r="898" spans="1:7" x14ac:dyDescent="0.25">
      <c r="A898" t="str">
        <f>B898&amp;"-"&amp;COUNTIF($B$2:B898,B898)</f>
        <v>I. TRIPLE SEC-23</v>
      </c>
      <c r="B898" s="38" t="s">
        <v>128</v>
      </c>
      <c r="C898">
        <f>VLOOKUP(B898,RECETAS!D897:$E$1700,2,FALSE)</f>
        <v>0</v>
      </c>
      <c r="D898" s="81"/>
      <c r="G898" t="b">
        <f t="shared" si="273"/>
        <v>1</v>
      </c>
    </row>
    <row r="899" spans="1:7" x14ac:dyDescent="0.25">
      <c r="A899" t="str">
        <f>B899&amp;"-"&amp;COUNTIF($B$2:B899,B899)</f>
        <v>I. AZUCAR FLOR-66</v>
      </c>
      <c r="B899" s="38" t="s">
        <v>51</v>
      </c>
      <c r="C899">
        <f>VLOOKUP(B899,RECETAS!D898:$E$1700,2,FALSE)</f>
        <v>0</v>
      </c>
      <c r="D899" s="81"/>
      <c r="G899" t="b">
        <f t="shared" ref="G899:G962" si="274">IFERROR(IF(MATCH(B899,I:I,0) &lt;&gt; "", TRUE,""),FALSE)</f>
        <v>1</v>
      </c>
    </row>
    <row r="900" spans="1:7" x14ac:dyDescent="0.25">
      <c r="A900" t="str">
        <f>B900&amp;"-"&amp;COUNTIF($B$2:B900,B900)</f>
        <v>I. HIELO-3</v>
      </c>
      <c r="B900" s="38" t="s">
        <v>286</v>
      </c>
      <c r="C900">
        <f>VLOOKUP(B900,RECETAS!D899:$E$1700,2,FALSE)</f>
        <v>0</v>
      </c>
      <c r="D900" s="81"/>
      <c r="G900" t="b">
        <f t="shared" si="274"/>
        <v>1</v>
      </c>
    </row>
    <row r="901" spans="1:7" x14ac:dyDescent="0.25">
      <c r="A901" t="str">
        <f>B901&amp;"-"&amp;COUNTIF($B$2:B901,B901)</f>
        <v>I. PAPAS FRITAS-36</v>
      </c>
      <c r="B901" s="38" t="s">
        <v>13</v>
      </c>
      <c r="C901">
        <f>VLOOKUP(B901,RECETAS!D900:$E$1700,2,FALSE)</f>
        <v>0</v>
      </c>
      <c r="D901" s="81"/>
      <c r="G901" t="b">
        <f t="shared" si="274"/>
        <v>1</v>
      </c>
    </row>
    <row r="902" spans="1:7" x14ac:dyDescent="0.25">
      <c r="A902" t="str">
        <f>B902&amp;"-"&amp;COUNTIF($B$2:B902,B902)</f>
        <v>I. QUESO GRANULADO-35</v>
      </c>
      <c r="B902" s="38" t="s">
        <v>9</v>
      </c>
      <c r="C902">
        <f>VLOOKUP(B902,RECETAS!D901:$E$1700,2,FALSE)</f>
        <v>0</v>
      </c>
      <c r="D902" s="81"/>
      <c r="G902" t="b">
        <f t="shared" si="274"/>
        <v>1</v>
      </c>
    </row>
    <row r="903" spans="1:7" x14ac:dyDescent="0.25">
      <c r="A903" t="str">
        <f>B903&amp;"-"&amp;COUNTIF($B$2:B903,B903)</f>
        <v>I. CREMA ESPESA-51</v>
      </c>
      <c r="B903" s="38" t="s">
        <v>16</v>
      </c>
      <c r="C903">
        <f>VLOOKUP(B903,RECETAS!D902:$E$1700,2,FALSE)</f>
        <v>0</v>
      </c>
      <c r="D903" s="81"/>
      <c r="G903" t="b">
        <f t="shared" si="274"/>
        <v>1</v>
      </c>
    </row>
    <row r="904" spans="1:7" x14ac:dyDescent="0.25">
      <c r="A904" t="str">
        <f>B904&amp;"-"&amp;COUNTIF($B$2:B904,B904)</f>
        <v>I. CIBOULET-16</v>
      </c>
      <c r="B904" s="38" t="s">
        <v>23</v>
      </c>
      <c r="C904">
        <f>VLOOKUP(B904,RECETAS!D903:$E$1700,2,FALSE)</f>
        <v>0</v>
      </c>
      <c r="D904" s="81"/>
      <c r="G904" t="b">
        <f t="shared" si="274"/>
        <v>1</v>
      </c>
    </row>
    <row r="905" spans="1:7" ht="15.75" thickBot="1" x14ac:dyDescent="0.3">
      <c r="A905" t="str">
        <f>B905&amp;"-"&amp;COUNTIF($B$2:B905,B905)</f>
        <v>I. CHURRASCO PORCION-9</v>
      </c>
      <c r="B905" s="39" t="s">
        <v>24</v>
      </c>
      <c r="C905">
        <f>VLOOKUP(B905,RECETAS!D904:$E$1700,2,FALSE)</f>
        <v>0</v>
      </c>
      <c r="D905" s="82"/>
      <c r="G905" t="b">
        <f t="shared" si="274"/>
        <v>1</v>
      </c>
    </row>
    <row r="906" spans="1:7" x14ac:dyDescent="0.25">
      <c r="A906" t="str">
        <f>B906&amp;"-"&amp;COUNTIF($B$2:B906,B906)</f>
        <v>I. GIN BATALLA-4</v>
      </c>
      <c r="B906" s="46" t="s">
        <v>75</v>
      </c>
      <c r="C906">
        <f>VLOOKUP(B906,RECETAS!D905:$E$1700,2,FALSE)</f>
        <v>0</v>
      </c>
      <c r="D906" s="25" t="s">
        <v>491</v>
      </c>
      <c r="G906" t="b">
        <f t="shared" si="274"/>
        <v>1</v>
      </c>
    </row>
    <row r="907" spans="1:7" x14ac:dyDescent="0.25">
      <c r="A907" t="str">
        <f>B907&amp;"-"&amp;COUNTIF($B$2:B907,B907)</f>
        <v>I. RON BLANCO BATALLA-21</v>
      </c>
      <c r="B907" s="36" t="s">
        <v>116</v>
      </c>
      <c r="C907">
        <f>VLOOKUP(B907,RECETAS!D906:$E$1700,2,FALSE)</f>
        <v>0</v>
      </c>
      <c r="D907" s="34"/>
      <c r="G907" t="b">
        <f t="shared" si="274"/>
        <v>1</v>
      </c>
    </row>
    <row r="908" spans="1:7" x14ac:dyDescent="0.25">
      <c r="A908" t="str">
        <f>B908&amp;"-"&amp;COUNTIF($B$2:B908,B908)</f>
        <v>I. VODKA BATALLA-14</v>
      </c>
      <c r="B908" s="36" t="s">
        <v>129</v>
      </c>
      <c r="C908">
        <f>VLOOKUP(B908,RECETAS!D907:$E$1700,2,FALSE)</f>
        <v>0</v>
      </c>
      <c r="D908" s="34"/>
      <c r="G908" t="b">
        <f t="shared" si="274"/>
        <v>1</v>
      </c>
    </row>
    <row r="909" spans="1:7" x14ac:dyDescent="0.25">
      <c r="A909" t="str">
        <f>B909&amp;"-"&amp;COUNTIF($B$2:B909,B909)</f>
        <v>I. TEQUILA BATALLA-14</v>
      </c>
      <c r="B909" s="36" t="s">
        <v>123</v>
      </c>
      <c r="C909">
        <f>VLOOKUP(B909,RECETAS!D908:$E$1700,2,FALSE)</f>
        <v>0</v>
      </c>
      <c r="D909" s="34"/>
      <c r="G909" t="b">
        <f t="shared" si="274"/>
        <v>1</v>
      </c>
    </row>
    <row r="910" spans="1:7" ht="15.75" thickBot="1" x14ac:dyDescent="0.3">
      <c r="A910" t="str">
        <f>B910&amp;"-"&amp;COUNTIF($B$2:B910,B910)</f>
        <v>I. CACHAZA-6</v>
      </c>
      <c r="B910" s="29" t="s">
        <v>57</v>
      </c>
      <c r="C910">
        <f>VLOOKUP(B910,RECETAS!D909:$E$1700,2,FALSE)</f>
        <v>0</v>
      </c>
      <c r="D910" s="27"/>
      <c r="G910" t="b">
        <f t="shared" si="274"/>
        <v>1</v>
      </c>
    </row>
    <row r="911" spans="1:7" x14ac:dyDescent="0.25">
      <c r="A911" t="str">
        <f>B911&amp;"-"&amp;COUNTIF($B$2:B911,B911)</f>
        <v>I. GIN BATALLA-5</v>
      </c>
      <c r="B911" s="46" t="s">
        <v>75</v>
      </c>
      <c r="C911">
        <f>VLOOKUP(B911,RECETAS!D910:$E$1700,2,FALSE)</f>
        <v>0</v>
      </c>
      <c r="D911" s="25" t="s">
        <v>492</v>
      </c>
      <c r="G911" t="b">
        <f t="shared" si="274"/>
        <v>1</v>
      </c>
    </row>
    <row r="912" spans="1:7" x14ac:dyDescent="0.25">
      <c r="A912" t="str">
        <f>B912&amp;"-"&amp;COUNTIF($B$2:B912,B912)</f>
        <v>I. RON BLANCO BATALLA-22</v>
      </c>
      <c r="B912" s="36" t="s">
        <v>116</v>
      </c>
      <c r="C912">
        <f>VLOOKUP(B912,RECETAS!D911:$E$1700,2,FALSE)</f>
        <v>0</v>
      </c>
      <c r="D912" s="34"/>
      <c r="G912" t="b">
        <f t="shared" si="274"/>
        <v>1</v>
      </c>
    </row>
    <row r="913" spans="1:7" x14ac:dyDescent="0.25">
      <c r="A913" t="str">
        <f>B913&amp;"-"&amp;COUNTIF($B$2:B913,B913)</f>
        <v>I. VODKA BATALLA-15</v>
      </c>
      <c r="B913" s="36" t="s">
        <v>129</v>
      </c>
      <c r="C913">
        <f>VLOOKUP(B913,RECETAS!D912:$E$1700,2,FALSE)</f>
        <v>0</v>
      </c>
      <c r="D913" s="34"/>
      <c r="G913" t="b">
        <f t="shared" si="274"/>
        <v>1</v>
      </c>
    </row>
    <row r="914" spans="1:7" x14ac:dyDescent="0.25">
      <c r="A914" t="str">
        <f>B914&amp;"-"&amp;COUNTIF($B$2:B914,B914)</f>
        <v>I. TEQUILA BATALLA-15</v>
      </c>
      <c r="B914" s="36" t="s">
        <v>123</v>
      </c>
      <c r="C914">
        <f>VLOOKUP(B914,RECETAS!D913:$E$1700,2,FALSE)</f>
        <v>0</v>
      </c>
      <c r="D914" s="34"/>
      <c r="G914" t="b">
        <f t="shared" si="274"/>
        <v>1</v>
      </c>
    </row>
    <row r="915" spans="1:7" x14ac:dyDescent="0.25">
      <c r="A915" t="str">
        <f>B915&amp;"-"&amp;COUNTIF($B$2:B915,B915)</f>
        <v>I. CACHAZA-7</v>
      </c>
      <c r="B915" s="36" t="s">
        <v>57</v>
      </c>
      <c r="C915">
        <f>VLOOKUP(B915,RECETAS!D914:$E$1700,2,FALSE)</f>
        <v>0</v>
      </c>
      <c r="D915" s="34"/>
      <c r="G915" t="b">
        <f t="shared" si="274"/>
        <v>1</v>
      </c>
    </row>
    <row r="916" spans="1:7" x14ac:dyDescent="0.25">
      <c r="A916" t="str">
        <f>B916&amp;"-"&amp;COUNTIF($B$2:B916,B916)</f>
        <v>I. PAPAS FRITAS-37</v>
      </c>
      <c r="B916" s="38" t="s">
        <v>13</v>
      </c>
      <c r="C916">
        <f>VLOOKUP(B916,RECETAS!D915:$E$1700,2,FALSE)</f>
        <v>0</v>
      </c>
      <c r="D916" s="34"/>
      <c r="G916" t="b">
        <f t="shared" si="274"/>
        <v>1</v>
      </c>
    </row>
    <row r="917" spans="1:7" x14ac:dyDescent="0.25">
      <c r="A917" t="str">
        <f>B917&amp;"-"&amp;COUNTIF($B$2:B917,B917)</f>
        <v>I. QUESO GRANULADO-36</v>
      </c>
      <c r="B917" s="38" t="s">
        <v>9</v>
      </c>
      <c r="C917">
        <f>VLOOKUP(B917,RECETAS!D916:$E$1700,2,FALSE)</f>
        <v>0</v>
      </c>
      <c r="D917" s="34"/>
      <c r="G917" t="b">
        <f t="shared" si="274"/>
        <v>1</v>
      </c>
    </row>
    <row r="918" spans="1:7" x14ac:dyDescent="0.25">
      <c r="A918" t="str">
        <f>B918&amp;"-"&amp;COUNTIF($B$2:B918,B918)</f>
        <v>I. CREMA ESPESA-52</v>
      </c>
      <c r="B918" s="38" t="s">
        <v>16</v>
      </c>
      <c r="C918">
        <f>VLOOKUP(B918,RECETAS!D917:$E$1700,2,FALSE)</f>
        <v>0</v>
      </c>
      <c r="D918" s="34"/>
      <c r="G918" t="b">
        <f t="shared" si="274"/>
        <v>1</v>
      </c>
    </row>
    <row r="919" spans="1:7" x14ac:dyDescent="0.25">
      <c r="A919" t="str">
        <f>B919&amp;"-"&amp;COUNTIF($B$2:B919,B919)</f>
        <v>I. CIBOULET-17</v>
      </c>
      <c r="B919" s="38" t="s">
        <v>23</v>
      </c>
      <c r="C919">
        <f>VLOOKUP(B919,RECETAS!D918:$E$1700,2,FALSE)</f>
        <v>0</v>
      </c>
      <c r="D919" s="34"/>
      <c r="G919" t="b">
        <f t="shared" si="274"/>
        <v>1</v>
      </c>
    </row>
    <row r="920" spans="1:7" ht="15.75" thickBot="1" x14ac:dyDescent="0.3">
      <c r="A920" t="str">
        <f>B920&amp;"-"&amp;COUNTIF($B$2:B920,B920)</f>
        <v>I. CHURRASCO PORCION-10</v>
      </c>
      <c r="B920" s="41" t="s">
        <v>24</v>
      </c>
      <c r="C920">
        <f>VLOOKUP(B920,RECETAS!D919:$E$1700,2,FALSE)</f>
        <v>0</v>
      </c>
      <c r="D920" s="27"/>
      <c r="G920" t="b">
        <f t="shared" si="274"/>
        <v>1</v>
      </c>
    </row>
    <row r="921" spans="1:7" x14ac:dyDescent="0.25">
      <c r="A921" t="str">
        <f>B921&amp;"-"&amp;COUNTIF($B$2:B921,B921)</f>
        <v>I. BRUJAS 35-6</v>
      </c>
      <c r="B921" s="26" t="s">
        <v>270</v>
      </c>
      <c r="C921">
        <f>VLOOKUP(B921,RECETAS!D920:$E$1700,2,FALSE)</f>
        <v>0</v>
      </c>
      <c r="D921" s="116" t="s">
        <v>668</v>
      </c>
      <c r="G921" t="b">
        <f t="shared" si="274"/>
        <v>1</v>
      </c>
    </row>
    <row r="922" spans="1:7" x14ac:dyDescent="0.25">
      <c r="A922" t="str">
        <f>B922&amp;"-"&amp;COUNTIF($B$2:B922,B922)</f>
        <v>I. PULPA LIMON-62</v>
      </c>
      <c r="B922" s="35" t="s">
        <v>106</v>
      </c>
      <c r="C922">
        <f>VLOOKUP(B922,RECETAS!D921:$E$1700,2,FALSE)</f>
        <v>0</v>
      </c>
      <c r="D922" s="34"/>
      <c r="G922" t="b">
        <f t="shared" si="274"/>
        <v>1</v>
      </c>
    </row>
    <row r="923" spans="1:7" x14ac:dyDescent="0.25">
      <c r="A923" t="str">
        <f>B923&amp;"-"&amp;COUNTIF($B$2:B923,B923)</f>
        <v>I. AZUCAR FLOR-67</v>
      </c>
      <c r="B923" s="35" t="s">
        <v>51</v>
      </c>
      <c r="C923">
        <f>VLOOKUP(B923,RECETAS!D922:$E$1700,2,FALSE)</f>
        <v>0</v>
      </c>
      <c r="D923" s="34"/>
      <c r="G923" t="b">
        <f t="shared" si="274"/>
        <v>1</v>
      </c>
    </row>
    <row r="924" spans="1:7" ht="15.75" thickBot="1" x14ac:dyDescent="0.3">
      <c r="A924" t="str">
        <f>B924&amp;"-"&amp;COUNTIF($B$2:B924,B924)</f>
        <v>I. TRIPLE SEC-24</v>
      </c>
      <c r="B924" s="28" t="s">
        <v>128</v>
      </c>
      <c r="C924">
        <f>VLOOKUP(B924,RECETAS!D923:$E$1700,2,FALSE)</f>
        <v>0</v>
      </c>
      <c r="D924" s="27"/>
      <c r="G924" t="b">
        <f t="shared" si="274"/>
        <v>1</v>
      </c>
    </row>
    <row r="925" spans="1:7" x14ac:dyDescent="0.25">
      <c r="A925" t="str">
        <f>B925&amp;"-"&amp;COUNTIF($B$2:B925,B925)</f>
        <v>I. BRUJAS 35-7</v>
      </c>
      <c r="B925" s="26" t="s">
        <v>270</v>
      </c>
      <c r="C925">
        <f>VLOOKUP(B925,RECETAS!D924:$E$1700,2,FALSE)</f>
        <v>0</v>
      </c>
      <c r="D925" s="25" t="s">
        <v>493</v>
      </c>
      <c r="G925" t="b">
        <f t="shared" si="274"/>
        <v>1</v>
      </c>
    </row>
    <row r="926" spans="1:7" x14ac:dyDescent="0.25">
      <c r="A926" t="str">
        <f>B926&amp;"-"&amp;COUNTIF($B$2:B926,B926)</f>
        <v>I. PULPA LIMON-63</v>
      </c>
      <c r="B926" s="35" t="s">
        <v>106</v>
      </c>
      <c r="C926">
        <f>VLOOKUP(B926,RECETAS!D925:$E$1700,2,FALSE)</f>
        <v>0</v>
      </c>
      <c r="D926" s="34"/>
      <c r="G926" t="b">
        <f t="shared" si="274"/>
        <v>1</v>
      </c>
    </row>
    <row r="927" spans="1:7" x14ac:dyDescent="0.25">
      <c r="A927" t="str">
        <f>B927&amp;"-"&amp;COUNTIF($B$2:B927,B927)</f>
        <v>I. AZUCAR FLOR-68</v>
      </c>
      <c r="B927" s="35" t="s">
        <v>51</v>
      </c>
      <c r="C927">
        <f>VLOOKUP(B927,RECETAS!D926:$E$1700,2,FALSE)</f>
        <v>0</v>
      </c>
      <c r="D927" s="34"/>
      <c r="G927" t="b">
        <f t="shared" si="274"/>
        <v>1</v>
      </c>
    </row>
    <row r="928" spans="1:7" x14ac:dyDescent="0.25">
      <c r="A928" t="str">
        <f>B928&amp;"-"&amp;COUNTIF($B$2:B928,B928)</f>
        <v>I. TRIPLE SEC-25</v>
      </c>
      <c r="B928" s="35" t="s">
        <v>128</v>
      </c>
      <c r="C928">
        <f>VLOOKUP(B928,RECETAS!D927:$E$1700,2,FALSE)</f>
        <v>0</v>
      </c>
      <c r="D928" s="34"/>
      <c r="G928" t="b">
        <f t="shared" si="274"/>
        <v>1</v>
      </c>
    </row>
    <row r="929" spans="1:7" x14ac:dyDescent="0.25">
      <c r="A929" t="str">
        <f>B929&amp;"-"&amp;COUNTIF($B$2:B929,B929)</f>
        <v>I. TORTILLAS GR-15</v>
      </c>
      <c r="B929" s="35" t="s">
        <v>7</v>
      </c>
      <c r="C929">
        <f>VLOOKUP(B929,RECETAS!D928:$E$1700,2,FALSE)</f>
        <v>0</v>
      </c>
      <c r="D929" s="34"/>
      <c r="G929" t="b">
        <f t="shared" si="274"/>
        <v>1</v>
      </c>
    </row>
    <row r="930" spans="1:7" x14ac:dyDescent="0.25">
      <c r="A930" t="str">
        <f>B930&amp;"-"&amp;COUNTIF($B$2:B930,B930)</f>
        <v>I. fil. pollo ques-4</v>
      </c>
      <c r="B930" s="35" t="s">
        <v>74</v>
      </c>
      <c r="C930">
        <f>VLOOKUP(B930,RECETAS!D929:$E$1700,2,FALSE)</f>
        <v>0</v>
      </c>
      <c r="D930" s="34"/>
      <c r="G930" t="b">
        <f t="shared" si="274"/>
        <v>1</v>
      </c>
    </row>
    <row r="931" spans="1:7" x14ac:dyDescent="0.25">
      <c r="A931" t="str">
        <f>B931&amp;"-"&amp;COUNTIF($B$2:B931,B931)</f>
        <v>I. PALTA-25</v>
      </c>
      <c r="B931" s="35" t="s">
        <v>35</v>
      </c>
      <c r="C931">
        <f>VLOOKUP(B931,RECETAS!D930:$E$1700,2,FALSE)</f>
        <v>0</v>
      </c>
      <c r="D931" s="34"/>
      <c r="G931" t="b">
        <f t="shared" si="274"/>
        <v>1</v>
      </c>
    </row>
    <row r="932" spans="1:7" x14ac:dyDescent="0.25">
      <c r="A932" t="str">
        <f>B932&amp;"-"&amp;COUNTIF($B$2:B932,B932)</f>
        <v>I. CHAMP. PORCION-11</v>
      </c>
      <c r="B932" s="35" t="s">
        <v>8</v>
      </c>
      <c r="C932">
        <f>VLOOKUP(B932,RECETAS!D931:$E$1700,2,FALSE)</f>
        <v>0</v>
      </c>
      <c r="D932" s="34"/>
      <c r="G932" t="b">
        <f t="shared" si="274"/>
        <v>1</v>
      </c>
    </row>
    <row r="933" spans="1:7" x14ac:dyDescent="0.25">
      <c r="A933" t="str">
        <f>B933&amp;"-"&amp;COUNTIF($B$2:B933,B933)</f>
        <v>I. QUESO GRANULADO-37</v>
      </c>
      <c r="B933" s="36" t="s">
        <v>9</v>
      </c>
      <c r="C933">
        <f>VLOOKUP(B933,RECETAS!D932:$E$1700,2,FALSE)</f>
        <v>0</v>
      </c>
      <c r="D933" s="34"/>
      <c r="G933" t="b">
        <f t="shared" si="274"/>
        <v>1</v>
      </c>
    </row>
    <row r="934" spans="1:7" x14ac:dyDescent="0.25">
      <c r="A934" t="str">
        <f>B934&amp;"-"&amp;COUNTIF($B$2:B934,B934)</f>
        <v>I. TORTILLAS GR-16</v>
      </c>
      <c r="B934" s="35" t="s">
        <v>7</v>
      </c>
      <c r="C934">
        <f>VLOOKUP(B934,RECETAS!D933:$E$1700,2,FALSE)</f>
        <v>0</v>
      </c>
      <c r="D934" s="34"/>
      <c r="G934" t="b">
        <f t="shared" si="274"/>
        <v>1</v>
      </c>
    </row>
    <row r="935" spans="1:7" x14ac:dyDescent="0.25">
      <c r="A935" t="str">
        <f>B935&amp;"-"&amp;COUNTIF($B$2:B935,B935)</f>
        <v>I. PALTA-26</v>
      </c>
      <c r="B935" s="35" t="s">
        <v>35</v>
      </c>
      <c r="C935">
        <f>VLOOKUP(B935,RECETAS!D934:$E$1700,2,FALSE)</f>
        <v>0</v>
      </c>
      <c r="D935" s="34"/>
      <c r="G935" t="b">
        <f t="shared" si="274"/>
        <v>1</v>
      </c>
    </row>
    <row r="936" spans="1:7" x14ac:dyDescent="0.25">
      <c r="A936" t="str">
        <f>B936&amp;"-"&amp;COUNTIF($B$2:B936,B936)</f>
        <v>I. CHURRA QUES.-4</v>
      </c>
      <c r="B936" s="35" t="s">
        <v>10</v>
      </c>
      <c r="C936">
        <f>VLOOKUP(B936,RECETAS!D935:$E$1700,2,FALSE)</f>
        <v>0</v>
      </c>
      <c r="D936" s="34"/>
      <c r="G936" t="b">
        <f t="shared" si="274"/>
        <v>1</v>
      </c>
    </row>
    <row r="937" spans="1:7" x14ac:dyDescent="0.25">
      <c r="A937" t="str">
        <f>B937&amp;"-"&amp;COUNTIF($B$2:B937,B937)</f>
        <v>I. QUESO GRANULADO-38</v>
      </c>
      <c r="B937" s="36" t="s">
        <v>9</v>
      </c>
      <c r="C937">
        <f>VLOOKUP(B937,RECETAS!D936:$E$1700,2,FALSE)</f>
        <v>0</v>
      </c>
      <c r="D937" s="34"/>
      <c r="G937" t="b">
        <f t="shared" si="274"/>
        <v>1</v>
      </c>
    </row>
    <row r="938" spans="1:7" x14ac:dyDescent="0.25">
      <c r="A938" t="str">
        <f>B938&amp;"-"&amp;COUNTIF($B$2:B938,B938)</f>
        <v>I. TORTILLAS GR-17</v>
      </c>
      <c r="B938" s="35" t="s">
        <v>7</v>
      </c>
      <c r="C938">
        <f>VLOOKUP(B938,RECETAS!D937:$E$1700,2,FALSE)</f>
        <v>0</v>
      </c>
      <c r="D938" s="34"/>
      <c r="G938" t="b">
        <f t="shared" si="274"/>
        <v>1</v>
      </c>
    </row>
    <row r="939" spans="1:7" x14ac:dyDescent="0.25">
      <c r="A939" t="str">
        <f>B939&amp;"-"&amp;COUNTIF($B$2:B939,B939)</f>
        <v>I. PALTA-27</v>
      </c>
      <c r="B939" s="35" t="s">
        <v>35</v>
      </c>
      <c r="C939">
        <f>VLOOKUP(B939,RECETAS!D938:$E$1700,2,FALSE)</f>
        <v>0</v>
      </c>
      <c r="D939" s="34"/>
      <c r="G939" t="b">
        <f t="shared" si="274"/>
        <v>1</v>
      </c>
    </row>
    <row r="940" spans="1:7" x14ac:dyDescent="0.25">
      <c r="A940" t="str">
        <f>B940&amp;"-"&amp;COUNTIF($B$2:B940,B940)</f>
        <v>I. CAMARON PORCION-12</v>
      </c>
      <c r="B940" s="35" t="s">
        <v>6</v>
      </c>
      <c r="C940">
        <f>VLOOKUP(B940,RECETAS!D939:$E$1700,2,FALSE)</f>
        <v>0</v>
      </c>
      <c r="D940" s="34"/>
      <c r="G940" t="b">
        <f t="shared" si="274"/>
        <v>1</v>
      </c>
    </row>
    <row r="941" spans="1:7" x14ac:dyDescent="0.25">
      <c r="A941" t="str">
        <f>B941&amp;"-"&amp;COUNTIF($B$2:B941,B941)</f>
        <v>I. QUESO GRANULADO-39</v>
      </c>
      <c r="B941" s="36" t="s">
        <v>9</v>
      </c>
      <c r="C941">
        <f>VLOOKUP(B941,RECETAS!D940:$E$1700,2,FALSE)</f>
        <v>0</v>
      </c>
      <c r="D941" s="34"/>
      <c r="G941" t="b">
        <f t="shared" si="274"/>
        <v>1</v>
      </c>
    </row>
    <row r="942" spans="1:7" ht="15.75" thickBot="1" x14ac:dyDescent="0.3">
      <c r="A942" t="str">
        <f>B942&amp;"-"&amp;COUNTIF($B$2:B942,B942)</f>
        <v>I. CREMA ESPESA-53</v>
      </c>
      <c r="B942" s="40" t="s">
        <v>16</v>
      </c>
      <c r="C942">
        <f>VLOOKUP(B942,RECETAS!D941:$E$1700,2,FALSE)</f>
        <v>0</v>
      </c>
      <c r="D942" s="32"/>
      <c r="G942" t="b">
        <f t="shared" si="274"/>
        <v>1</v>
      </c>
    </row>
    <row r="943" spans="1:7" x14ac:dyDescent="0.25">
      <c r="A943" t="str">
        <f>B943&amp;"-"&amp;COUNTIF($B$2:B943,B943)</f>
        <v>I. BODEGA TINTO-3</v>
      </c>
      <c r="B943" s="37" t="s">
        <v>55</v>
      </c>
      <c r="C943">
        <f>VLOOKUP(B943,RECETAS!D942:$E$1700,2,FALSE)</f>
        <v>700</v>
      </c>
      <c r="D943" s="115" t="s">
        <v>669</v>
      </c>
      <c r="G943" t="b">
        <f t="shared" si="274"/>
        <v>1</v>
      </c>
    </row>
    <row r="944" spans="1:7" ht="15" customHeight="1" x14ac:dyDescent="0.25">
      <c r="A944" t="str">
        <f>B944&amp;"-"&amp;COUNTIF($B$2:B944,B944)</f>
        <v>I. JUGO NARANJA-8</v>
      </c>
      <c r="B944" s="38" t="s">
        <v>89</v>
      </c>
      <c r="C944">
        <f>VLOOKUP(B944,RECETAS!D943:$E$1700,2,FALSE)</f>
        <v>60</v>
      </c>
      <c r="D944" s="34"/>
      <c r="G944" t="b">
        <f t="shared" si="274"/>
        <v>1</v>
      </c>
    </row>
    <row r="945" spans="1:8" ht="15.75" customHeight="1" x14ac:dyDescent="0.25">
      <c r="A945" t="str">
        <f>B945&amp;"-"&amp;COUNTIF($B$2:B945,B945)</f>
        <v>I. GRANADINA-7</v>
      </c>
      <c r="B945" s="38" t="s">
        <v>82</v>
      </c>
      <c r="C945">
        <f>VLOOKUP(B945,RECETAS!D944:$E$1700,2,FALSE)</f>
        <v>30</v>
      </c>
      <c r="D945" s="34"/>
      <c r="G945" t="b">
        <f t="shared" si="274"/>
        <v>1</v>
      </c>
    </row>
    <row r="946" spans="1:8" x14ac:dyDescent="0.25">
      <c r="A946" t="str">
        <f>B946&amp;"-"&amp;COUNTIF($B$2:B946,B946)</f>
        <v>I. COGNAC 3 PALOS-3</v>
      </c>
      <c r="B946" s="38" t="s">
        <v>64</v>
      </c>
      <c r="C946">
        <f>VLOOKUP(B946,RECETAS!D945:$E$1700,2,FALSE)</f>
        <v>10</v>
      </c>
      <c r="D946" s="34"/>
      <c r="G946" t="b">
        <f t="shared" si="274"/>
        <v>1</v>
      </c>
    </row>
    <row r="947" spans="1:8" ht="15.75" thickBot="1" x14ac:dyDescent="0.3">
      <c r="A947" t="str">
        <f>B947&amp;"-"&amp;COUNTIF($B$2:B947,B947)</f>
        <v>I. HIELO-4</v>
      </c>
      <c r="B947" s="41" t="s">
        <v>286</v>
      </c>
      <c r="C947">
        <f>VLOOKUP(B947,RECETAS!D946:$E$1700,2,FALSE)</f>
        <v>1</v>
      </c>
      <c r="D947" s="27"/>
      <c r="G947" t="b">
        <f t="shared" si="274"/>
        <v>1</v>
      </c>
    </row>
    <row r="948" spans="1:8" x14ac:dyDescent="0.25">
      <c r="A948" t="str">
        <f>B948&amp;"-"&amp;COUNTIF($B$2:B948,B948)</f>
        <v>I. BODEGA TINTO-4</v>
      </c>
      <c r="B948" s="26" t="s">
        <v>55</v>
      </c>
      <c r="C948">
        <f>VLOOKUP(B948,RECETAS!D947:$E$1700,2,FALSE)</f>
        <v>0</v>
      </c>
      <c r="D948" s="116" t="s">
        <v>670</v>
      </c>
      <c r="G948" t="b">
        <f t="shared" si="274"/>
        <v>1</v>
      </c>
    </row>
    <row r="949" spans="1:8" x14ac:dyDescent="0.25">
      <c r="A949" t="str">
        <f>B949&amp;"-"&amp;COUNTIF($B$2:B949,B949)</f>
        <v>I. JUGO NARANJA-9</v>
      </c>
      <c r="B949" s="35" t="s">
        <v>89</v>
      </c>
      <c r="C949">
        <f>VLOOKUP(B949,RECETAS!D948:$E$1700,2,FALSE)</f>
        <v>0</v>
      </c>
      <c r="D949" s="34"/>
      <c r="G949" t="b">
        <f t="shared" si="274"/>
        <v>1</v>
      </c>
    </row>
    <row r="950" spans="1:8" x14ac:dyDescent="0.25">
      <c r="A950" t="str">
        <f>B950&amp;"-"&amp;COUNTIF($B$2:B950,B950)</f>
        <v>I. GRANADINA-8</v>
      </c>
      <c r="B950" s="35" t="s">
        <v>82</v>
      </c>
      <c r="C950">
        <f>VLOOKUP(B950,RECETAS!D949:$E$1700,2,FALSE)</f>
        <v>0</v>
      </c>
      <c r="D950" s="34"/>
      <c r="G950" t="b">
        <f t="shared" si="274"/>
        <v>1</v>
      </c>
    </row>
    <row r="951" spans="1:8" x14ac:dyDescent="0.25">
      <c r="A951" t="str">
        <f>B951&amp;"-"&amp;COUNTIF($B$2:B951,B951)</f>
        <v>I. COGNAC 3 PALOS-4</v>
      </c>
      <c r="B951" s="35" t="s">
        <v>64</v>
      </c>
      <c r="C951">
        <f>VLOOKUP(B951,RECETAS!D950:$E$1700,2,FALSE)</f>
        <v>0</v>
      </c>
      <c r="D951" s="34"/>
      <c r="G951" t="b">
        <f t="shared" si="274"/>
        <v>1</v>
      </c>
    </row>
    <row r="952" spans="1:8" x14ac:dyDescent="0.25">
      <c r="A952" t="str">
        <f>B952&amp;"-"&amp;COUNTIF($B$2:B952,B952)</f>
        <v>I. PAPAS FRITAS-38</v>
      </c>
      <c r="B952" s="35" t="s">
        <v>13</v>
      </c>
      <c r="C952">
        <f>VLOOKUP(B952,RECETAS!D951:$E$1700,2,FALSE)</f>
        <v>0</v>
      </c>
      <c r="D952" s="34"/>
      <c r="G952" t="b">
        <f t="shared" si="274"/>
        <v>1</v>
      </c>
    </row>
    <row r="953" spans="1:8" x14ac:dyDescent="0.25">
      <c r="A953" t="str">
        <f>B953&amp;"-"&amp;COUNTIF($B$2:B953,B953)</f>
        <v>I. QUESO GRANULADO-40</v>
      </c>
      <c r="B953" s="35" t="s">
        <v>9</v>
      </c>
      <c r="C953">
        <f>VLOOKUP(B953,RECETAS!D952:$E$1700,2,FALSE)</f>
        <v>0</v>
      </c>
      <c r="D953" s="34"/>
      <c r="G953" t="b">
        <f t="shared" si="274"/>
        <v>1</v>
      </c>
    </row>
    <row r="954" spans="1:8" x14ac:dyDescent="0.25">
      <c r="A954" t="str">
        <f>B954&amp;"-"&amp;COUNTIF($B$2:B954,B954)</f>
        <v>I. CREMA ESPESA-54</v>
      </c>
      <c r="B954" s="35" t="s">
        <v>16</v>
      </c>
      <c r="C954">
        <f>VLOOKUP(B954,RECETAS!D953:$E$1700,2,FALSE)</f>
        <v>0</v>
      </c>
      <c r="D954" s="34"/>
      <c r="G954" t="b">
        <f t="shared" si="274"/>
        <v>1</v>
      </c>
    </row>
    <row r="955" spans="1:8" x14ac:dyDescent="0.25">
      <c r="A955" t="str">
        <f>B955&amp;"-"&amp;COUNTIF($B$2:B955,B955)</f>
        <v>I. CIBOULET-18</v>
      </c>
      <c r="B955" s="35" t="s">
        <v>23</v>
      </c>
      <c r="C955">
        <f>VLOOKUP(B955,RECETAS!D954:$E$1700,2,FALSE)</f>
        <v>0</v>
      </c>
      <c r="D955" s="34"/>
      <c r="G955" t="b">
        <f t="shared" si="274"/>
        <v>1</v>
      </c>
    </row>
    <row r="956" spans="1:8" ht="15.75" thickBot="1" x14ac:dyDescent="0.3">
      <c r="A956" t="str">
        <f>B956&amp;"-"&amp;COUNTIF($B$2:B956,B956)</f>
        <v>I. CHURRASCO PORCION-11</v>
      </c>
      <c r="B956" s="29" t="s">
        <v>24</v>
      </c>
      <c r="C956">
        <f>VLOOKUP(B956,RECETAS!D955:$E$1700,2,FALSE)</f>
        <v>0</v>
      </c>
      <c r="D956" s="27"/>
      <c r="G956" t="b">
        <f t="shared" si="274"/>
        <v>1</v>
      </c>
    </row>
    <row r="957" spans="1:8" x14ac:dyDescent="0.25">
      <c r="A957" t="str">
        <f>B957&amp;"-"&amp;COUNTIF($B$2:B957,B957)</f>
        <v>I. MENTA-19</v>
      </c>
      <c r="B957" s="37" t="s">
        <v>637</v>
      </c>
      <c r="C957">
        <f>VLOOKUP(B957,RECETAS!D956:$E$1700,2,FALSE)</f>
        <v>0</v>
      </c>
      <c r="D957" s="25" t="s">
        <v>494</v>
      </c>
      <c r="G957" t="b">
        <f t="shared" si="274"/>
        <v>1</v>
      </c>
    </row>
    <row r="958" spans="1:8" x14ac:dyDescent="0.25">
      <c r="A958" t="str">
        <f>B958&amp;"-"&amp;COUNTIF($B$2:B958,B958)</f>
        <v>I. LIMON PICA-24</v>
      </c>
      <c r="B958" s="38" t="s">
        <v>636</v>
      </c>
      <c r="C958">
        <f>VLOOKUP(B958,RECETAS!D957:$E$1700,2,FALSE)</f>
        <v>0</v>
      </c>
      <c r="D958" s="34"/>
      <c r="G958" t="b">
        <f t="shared" si="274"/>
        <v>1</v>
      </c>
    </row>
    <row r="959" spans="1:8" x14ac:dyDescent="0.25">
      <c r="A959" t="str">
        <f>B959&amp;"-"&amp;COUNTIF($B$2:B959,B959)</f>
        <v>I. MINERAL1.6LT  C/G-22</v>
      </c>
      <c r="B959" s="38" t="s">
        <v>97</v>
      </c>
      <c r="C959">
        <f>VLOOKUP(B959,RECETAS!D958:$E$1700,2,FALSE)</f>
        <v>0</v>
      </c>
      <c r="D959" s="34"/>
      <c r="G959" t="b">
        <f t="shared" si="274"/>
        <v>1</v>
      </c>
    </row>
    <row r="960" spans="1:8" x14ac:dyDescent="0.25">
      <c r="A960" t="str">
        <f>B960&amp;"-"&amp;COUNTIF($B$2:B960,B960)</f>
        <v>I. AZUCAR FLOR-69</v>
      </c>
      <c r="B960" s="38" t="s">
        <v>51</v>
      </c>
      <c r="C960">
        <f>VLOOKUP(B960,RECETAS!D959:$E$1700,2,FALSE)</f>
        <v>0</v>
      </c>
      <c r="D960" s="34"/>
      <c r="G960" t="b">
        <f t="shared" si="274"/>
        <v>1</v>
      </c>
      <c r="H960" s="7"/>
    </row>
    <row r="961" spans="1:8" x14ac:dyDescent="0.25">
      <c r="A961" t="str">
        <f>B961&amp;"-"&amp;COUNTIF($B$2:B961,B961)</f>
        <v>I. PULPA LIMON-64</v>
      </c>
      <c r="B961" s="38" t="s">
        <v>106</v>
      </c>
      <c r="C961">
        <f>VLOOKUP(B961,RECETAS!D960:$E$1700,2,FALSE)</f>
        <v>0</v>
      </c>
      <c r="D961" s="34"/>
      <c r="G961" t="b">
        <f t="shared" si="274"/>
        <v>1</v>
      </c>
      <c r="H961" s="7"/>
    </row>
    <row r="962" spans="1:8" x14ac:dyDescent="0.25">
      <c r="A962" t="str">
        <f>B962&amp;"-"&amp;COUNTIF($B$2:B962,B962)</f>
        <v>I. RON BLANCO BATALLA-23</v>
      </c>
      <c r="B962" s="38" t="s">
        <v>116</v>
      </c>
      <c r="C962">
        <f>VLOOKUP(B962,RECETAS!D961:$E$1700,2,FALSE)</f>
        <v>0</v>
      </c>
      <c r="D962" s="34"/>
      <c r="G962" t="b">
        <f t="shared" si="274"/>
        <v>1</v>
      </c>
      <c r="H962" s="7"/>
    </row>
    <row r="963" spans="1:8" ht="15.75" thickBot="1" x14ac:dyDescent="0.3">
      <c r="A963" t="str">
        <f>B963&amp;"-"&amp;COUNTIF($B$2:B963,B963)</f>
        <v>I. CORONA-6</v>
      </c>
      <c r="B963" s="41" t="s">
        <v>65</v>
      </c>
      <c r="C963">
        <f>VLOOKUP(B963,RECETAS!D962:$E$1700,2,FALSE)</f>
        <v>0</v>
      </c>
      <c r="D963" s="27"/>
      <c r="G963" t="b">
        <f t="shared" ref="G963:G1026" si="275">IFERROR(IF(MATCH(B963,I:I,0) &lt;&gt; "", TRUE,""),FALSE)</f>
        <v>1</v>
      </c>
      <c r="H963" s="7"/>
    </row>
    <row r="964" spans="1:8" x14ac:dyDescent="0.25">
      <c r="A964" t="str">
        <f>B964&amp;"-"&amp;COUNTIF($B$2:B964,B964)</f>
        <v>I. MENTA-20</v>
      </c>
      <c r="B964" s="46" t="s">
        <v>637</v>
      </c>
      <c r="C964">
        <f>VLOOKUP(B964,RECETAS!D963:$E$1700,2,FALSE)</f>
        <v>0</v>
      </c>
      <c r="D964" s="116" t="s">
        <v>614</v>
      </c>
      <c r="G964" t="b">
        <f t="shared" si="275"/>
        <v>1</v>
      </c>
      <c r="H964" s="7"/>
    </row>
    <row r="965" spans="1:8" x14ac:dyDescent="0.25">
      <c r="A965" t="str">
        <f>B965&amp;"-"&amp;COUNTIF($B$2:B965,B965)</f>
        <v>I. LIMON PICA-25</v>
      </c>
      <c r="B965" s="36" t="s">
        <v>636</v>
      </c>
      <c r="C965">
        <f>VLOOKUP(B965,RECETAS!D964:$E$1700,2,FALSE)</f>
        <v>0</v>
      </c>
      <c r="D965" s="34"/>
      <c r="G965" t="b">
        <f t="shared" si="275"/>
        <v>1</v>
      </c>
      <c r="H965" s="7"/>
    </row>
    <row r="966" spans="1:8" x14ac:dyDescent="0.25">
      <c r="A966" t="str">
        <f>B966&amp;"-"&amp;COUNTIF($B$2:B966,B966)</f>
        <v>I. MINERAL1.6LT  C/G-23</v>
      </c>
      <c r="B966" s="36" t="s">
        <v>97</v>
      </c>
      <c r="C966">
        <f>VLOOKUP(B966,RECETAS!D965:$E$1700,2,FALSE)</f>
        <v>0</v>
      </c>
      <c r="D966" s="34"/>
      <c r="G966" t="b">
        <f t="shared" si="275"/>
        <v>1</v>
      </c>
      <c r="H966" s="7"/>
    </row>
    <row r="967" spans="1:8" x14ac:dyDescent="0.25">
      <c r="A967" t="str">
        <f>B967&amp;"-"&amp;COUNTIF($B$2:B967,B967)</f>
        <v>I. AZUCAR FLOR-70</v>
      </c>
      <c r="B967" s="36" t="s">
        <v>51</v>
      </c>
      <c r="C967">
        <f>VLOOKUP(B967,RECETAS!D966:$E$1700,2,FALSE)</f>
        <v>0</v>
      </c>
      <c r="D967" s="34"/>
      <c r="G967" t="b">
        <f t="shared" si="275"/>
        <v>1</v>
      </c>
      <c r="H967" s="7"/>
    </row>
    <row r="968" spans="1:8" x14ac:dyDescent="0.25">
      <c r="A968" t="str">
        <f>B968&amp;"-"&amp;COUNTIF($B$2:B968,B968)</f>
        <v>I. PULPA LIMON-65</v>
      </c>
      <c r="B968" s="36" t="s">
        <v>106</v>
      </c>
      <c r="C968">
        <f>VLOOKUP(B968,RECETAS!D967:$E$1700,2,FALSE)</f>
        <v>0</v>
      </c>
      <c r="D968" s="34"/>
      <c r="G968" t="b">
        <f t="shared" si="275"/>
        <v>1</v>
      </c>
      <c r="H968" s="7"/>
    </row>
    <row r="969" spans="1:8" x14ac:dyDescent="0.25">
      <c r="A969" t="str">
        <f>B969&amp;"-"&amp;COUNTIF($B$2:B969,B969)</f>
        <v>I. RON BLANCO BATALLA-24</v>
      </c>
      <c r="B969" s="36" t="s">
        <v>116</v>
      </c>
      <c r="C969">
        <f>VLOOKUP(B969,RECETAS!D968:$E$1700,2,FALSE)</f>
        <v>0</v>
      </c>
      <c r="D969" s="34"/>
      <c r="G969" t="b">
        <f t="shared" si="275"/>
        <v>1</v>
      </c>
      <c r="H969" s="7"/>
    </row>
    <row r="970" spans="1:8" x14ac:dyDescent="0.25">
      <c r="A970" t="str">
        <f>B970&amp;"-"&amp;COUNTIF($B$2:B970,B970)</f>
        <v>I. CORONA-7</v>
      </c>
      <c r="B970" s="38" t="s">
        <v>65</v>
      </c>
      <c r="C970">
        <f>VLOOKUP(B970,RECETAS!D969:$E$1700,2,FALSE)</f>
        <v>0</v>
      </c>
      <c r="D970" s="34"/>
      <c r="G970" t="b">
        <f t="shared" si="275"/>
        <v>1</v>
      </c>
      <c r="H970" s="7"/>
    </row>
    <row r="971" spans="1:8" x14ac:dyDescent="0.25">
      <c r="A971" t="str">
        <f>B971&amp;"-"&amp;COUNTIF($B$2:B971,B971)</f>
        <v>I. PAPAS FRITAS-39</v>
      </c>
      <c r="B971" s="35" t="s">
        <v>13</v>
      </c>
      <c r="C971">
        <f>VLOOKUP(B971,RECETAS!D970:$E$1700,2,FALSE)</f>
        <v>0</v>
      </c>
      <c r="D971" s="34"/>
      <c r="G971" t="b">
        <f t="shared" si="275"/>
        <v>1</v>
      </c>
      <c r="H971" s="7"/>
    </row>
    <row r="972" spans="1:8" x14ac:dyDescent="0.25">
      <c r="A972" t="str">
        <f>B972&amp;"-"&amp;COUNTIF($B$2:B972,B972)</f>
        <v>I. QUESO GRANULADO-41</v>
      </c>
      <c r="B972" s="35" t="s">
        <v>9</v>
      </c>
      <c r="C972">
        <f>VLOOKUP(B972,RECETAS!D971:$E$1700,2,FALSE)</f>
        <v>0</v>
      </c>
      <c r="D972" s="34"/>
      <c r="G972" t="b">
        <f t="shared" si="275"/>
        <v>1</v>
      </c>
      <c r="H972" s="7"/>
    </row>
    <row r="973" spans="1:8" x14ac:dyDescent="0.25">
      <c r="A973" t="str">
        <f>B973&amp;"-"&amp;COUNTIF($B$2:B973,B973)</f>
        <v>I. CREMA ESPESA-55</v>
      </c>
      <c r="B973" s="35" t="s">
        <v>16</v>
      </c>
      <c r="C973">
        <f>VLOOKUP(B973,RECETAS!D972:$E$1700,2,FALSE)</f>
        <v>0</v>
      </c>
      <c r="D973" s="34"/>
      <c r="G973" t="b">
        <f t="shared" si="275"/>
        <v>1</v>
      </c>
      <c r="H973" s="7"/>
    </row>
    <row r="974" spans="1:8" x14ac:dyDescent="0.25">
      <c r="A974" t="str">
        <f>B974&amp;"-"&amp;COUNTIF($B$2:B974,B974)</f>
        <v>I. CIBOULET-19</v>
      </c>
      <c r="B974" s="35" t="s">
        <v>23</v>
      </c>
      <c r="C974">
        <f>VLOOKUP(B974,RECETAS!D973:$E$1700,2,FALSE)</f>
        <v>0</v>
      </c>
      <c r="D974" s="34"/>
      <c r="G974" t="b">
        <f t="shared" si="275"/>
        <v>1</v>
      </c>
    </row>
    <row r="975" spans="1:8" ht="15.75" thickBot="1" x14ac:dyDescent="0.3">
      <c r="A975" t="str">
        <f>B975&amp;"-"&amp;COUNTIF($B$2:B975,B975)</f>
        <v>I. CHURRASCO PORCION-12</v>
      </c>
      <c r="B975" s="29" t="s">
        <v>24</v>
      </c>
      <c r="C975">
        <f>VLOOKUP(B975,RECETAS!D974:$E$1700,2,FALSE)</f>
        <v>0</v>
      </c>
      <c r="D975" s="27"/>
      <c r="G975" t="b">
        <f t="shared" si="275"/>
        <v>1</v>
      </c>
    </row>
    <row r="976" spans="1:8" x14ac:dyDescent="0.25">
      <c r="A976" t="str">
        <f>B976&amp;"-"&amp;COUNTIF($B$2:B976,B976)</f>
        <v>I. CACHAZA-8</v>
      </c>
      <c r="B976" s="26" t="s">
        <v>57</v>
      </c>
      <c r="C976">
        <f>VLOOKUP(B976,RECETAS!D975:$E$1700,2,FALSE)</f>
        <v>0</v>
      </c>
      <c r="D976" s="25" t="s">
        <v>546</v>
      </c>
      <c r="G976" t="b">
        <f t="shared" si="275"/>
        <v>1</v>
      </c>
    </row>
    <row r="977" spans="1:7" x14ac:dyDescent="0.25">
      <c r="A977" t="str">
        <f>B977&amp;"-"&amp;COUNTIF($B$2:B977,B977)</f>
        <v>I. LIMON PICA-26</v>
      </c>
      <c r="B977" s="35" t="s">
        <v>636</v>
      </c>
      <c r="C977">
        <f>VLOOKUP(B977,RECETAS!D976:$E$1700,2,FALSE)</f>
        <v>0</v>
      </c>
      <c r="D977" s="34"/>
      <c r="G977" t="b">
        <f t="shared" si="275"/>
        <v>1</v>
      </c>
    </row>
    <row r="978" spans="1:7" x14ac:dyDescent="0.25">
      <c r="A978" t="str">
        <f>B978&amp;"-"&amp;COUNTIF($B$2:B978,B978)</f>
        <v>I. AZUCAR FLOR-71</v>
      </c>
      <c r="B978" s="35" t="s">
        <v>51</v>
      </c>
      <c r="C978">
        <f>VLOOKUP(B978,RECETAS!D977:$E$1700,2,FALSE)</f>
        <v>0</v>
      </c>
      <c r="D978" s="34"/>
      <c r="G978" t="b">
        <f t="shared" si="275"/>
        <v>1</v>
      </c>
    </row>
    <row r="979" spans="1:7" ht="15.75" thickBot="1" x14ac:dyDescent="0.3">
      <c r="A979" t="str">
        <f>B979&amp;"-"&amp;COUNTIF($B$2:B979,B979)</f>
        <v>I. PULPA LIMON-66</v>
      </c>
      <c r="B979" s="28" t="s">
        <v>106</v>
      </c>
      <c r="C979">
        <f>VLOOKUP(B979,RECETAS!D978:$E$1700,2,FALSE)</f>
        <v>0</v>
      </c>
      <c r="D979" s="27"/>
      <c r="G979" t="b">
        <f t="shared" si="275"/>
        <v>1</v>
      </c>
    </row>
    <row r="980" spans="1:7" x14ac:dyDescent="0.25">
      <c r="A980" t="str">
        <f>B980&amp;"-"&amp;COUNTIF($B$2:B980,B980)</f>
        <v>I. CACHAZA-9</v>
      </c>
      <c r="B980" s="26" t="s">
        <v>57</v>
      </c>
      <c r="C980">
        <f>VLOOKUP(B980,RECETAS!D979:$E$1700,2,FALSE)</f>
        <v>0</v>
      </c>
      <c r="D980" s="25" t="s">
        <v>589</v>
      </c>
      <c r="G980" t="b">
        <f t="shared" si="275"/>
        <v>1</v>
      </c>
    </row>
    <row r="981" spans="1:7" x14ac:dyDescent="0.25">
      <c r="A981" t="str">
        <f>B981&amp;"-"&amp;COUNTIF($B$2:B981,B981)</f>
        <v>I. LIMON PICA-27</v>
      </c>
      <c r="B981" s="35" t="s">
        <v>636</v>
      </c>
      <c r="C981">
        <f>VLOOKUP(B981,RECETAS!D980:$E$1700,2,FALSE)</f>
        <v>0</v>
      </c>
      <c r="D981" s="34"/>
      <c r="G981" t="b">
        <f t="shared" si="275"/>
        <v>1</v>
      </c>
    </row>
    <row r="982" spans="1:7" x14ac:dyDescent="0.25">
      <c r="A982" t="str">
        <f>B982&amp;"-"&amp;COUNTIF($B$2:B982,B982)</f>
        <v>I. AZUCAR FLOR-72</v>
      </c>
      <c r="B982" s="35" t="s">
        <v>51</v>
      </c>
      <c r="C982">
        <f>VLOOKUP(B982,RECETAS!D981:$E$1700,2,FALSE)</f>
        <v>0</v>
      </c>
      <c r="D982" s="34"/>
      <c r="G982" t="b">
        <f t="shared" si="275"/>
        <v>1</v>
      </c>
    </row>
    <row r="983" spans="1:7" x14ac:dyDescent="0.25">
      <c r="A983" t="str">
        <f>B983&amp;"-"&amp;COUNTIF($B$2:B983,B983)</f>
        <v>I. PULPA LIMON-67</v>
      </c>
      <c r="B983" s="35" t="s">
        <v>106</v>
      </c>
      <c r="C983">
        <f>VLOOKUP(B983,RECETAS!D982:$E$1700,2,FALSE)</f>
        <v>0</v>
      </c>
      <c r="D983" s="34"/>
      <c r="G983" t="b">
        <f t="shared" si="275"/>
        <v>1</v>
      </c>
    </row>
    <row r="984" spans="1:7" x14ac:dyDescent="0.25">
      <c r="A984" t="str">
        <f>B984&amp;"-"&amp;COUNTIF($B$2:B984,B984)</f>
        <v>I. PAPAS FRITAS-40</v>
      </c>
      <c r="B984" s="35" t="s">
        <v>13</v>
      </c>
      <c r="C984">
        <f>VLOOKUP(B984,RECETAS!D983:$E$1700,2,FALSE)</f>
        <v>0</v>
      </c>
      <c r="D984" s="34"/>
      <c r="G984" t="b">
        <f t="shared" si="275"/>
        <v>1</v>
      </c>
    </row>
    <row r="985" spans="1:7" x14ac:dyDescent="0.25">
      <c r="A985" t="str">
        <f>B985&amp;"-"&amp;COUNTIF($B$2:B985,B985)</f>
        <v>I. QUESO GRANULADO-42</v>
      </c>
      <c r="B985" s="35" t="s">
        <v>9</v>
      </c>
      <c r="C985">
        <f>VLOOKUP(B985,RECETAS!D984:$E$1700,2,FALSE)</f>
        <v>0</v>
      </c>
      <c r="D985" s="34"/>
      <c r="G985" t="b">
        <f t="shared" si="275"/>
        <v>1</v>
      </c>
    </row>
    <row r="986" spans="1:7" x14ac:dyDescent="0.25">
      <c r="A986" t="str">
        <f>B986&amp;"-"&amp;COUNTIF($B$2:B986,B986)</f>
        <v>I. CREMA ESPESA-56</v>
      </c>
      <c r="B986" s="35" t="s">
        <v>16</v>
      </c>
      <c r="C986">
        <f>VLOOKUP(B986,RECETAS!D985:$E$1700,2,FALSE)</f>
        <v>0</v>
      </c>
      <c r="D986" s="34"/>
      <c r="G986" t="b">
        <f t="shared" si="275"/>
        <v>1</v>
      </c>
    </row>
    <row r="987" spans="1:7" x14ac:dyDescent="0.25">
      <c r="A987" t="str">
        <f>B987&amp;"-"&amp;COUNTIF($B$2:B987,B987)</f>
        <v>I. CIBOULET-20</v>
      </c>
      <c r="B987" s="35" t="s">
        <v>23</v>
      </c>
      <c r="C987">
        <f>VLOOKUP(B987,RECETAS!D986:$E$1700,2,FALSE)</f>
        <v>0</v>
      </c>
      <c r="D987" s="34"/>
      <c r="G987" t="b">
        <f t="shared" si="275"/>
        <v>1</v>
      </c>
    </row>
    <row r="988" spans="1:7" ht="15.75" thickBot="1" x14ac:dyDescent="0.3">
      <c r="A988" t="str">
        <f>B988&amp;"-"&amp;COUNTIF($B$2:B988,B988)</f>
        <v>I. CHURRASCO PORCION-13</v>
      </c>
      <c r="B988" s="29" t="s">
        <v>24</v>
      </c>
      <c r="C988">
        <f>VLOOKUP(B988,RECETAS!D987:$E$1700,2,FALSE)</f>
        <v>0</v>
      </c>
      <c r="D988" s="27"/>
      <c r="G988" t="b">
        <f t="shared" si="275"/>
        <v>1</v>
      </c>
    </row>
    <row r="989" spans="1:7" x14ac:dyDescent="0.25">
      <c r="A989" t="str">
        <f>B989&amp;"-"&amp;COUNTIF($B$2:B989,B989)</f>
        <v>I. VODKA BATALLA-16</v>
      </c>
      <c r="B989" s="37" t="s">
        <v>129</v>
      </c>
      <c r="C989">
        <f>VLOOKUP(B989,RECETAS!D988:$E$1700,2,FALSE)</f>
        <v>0</v>
      </c>
      <c r="D989" s="25" t="s">
        <v>495</v>
      </c>
      <c r="G989" t="b">
        <f t="shared" si="275"/>
        <v>1</v>
      </c>
    </row>
    <row r="990" spans="1:7" x14ac:dyDescent="0.25">
      <c r="A990" t="str">
        <f>B990&amp;"-"&amp;COUNTIF($B$2:B990,B990)</f>
        <v>I. LIMON PICA-28</v>
      </c>
      <c r="B990" s="38" t="s">
        <v>636</v>
      </c>
      <c r="C990">
        <f>VLOOKUP(B990,RECETAS!D989:$E$1700,2,FALSE)</f>
        <v>0</v>
      </c>
      <c r="D990" s="34"/>
      <c r="G990" t="b">
        <f t="shared" si="275"/>
        <v>1</v>
      </c>
    </row>
    <row r="991" spans="1:7" x14ac:dyDescent="0.25">
      <c r="A991" t="str">
        <f>B991&amp;"-"&amp;COUNTIF($B$2:B991,B991)</f>
        <v>I. AZUCAR FLOR-73</v>
      </c>
      <c r="B991" s="38" t="s">
        <v>51</v>
      </c>
      <c r="C991">
        <f>VLOOKUP(B991,RECETAS!D990:$E$1700,2,FALSE)</f>
        <v>0</v>
      </c>
      <c r="D991" s="34"/>
      <c r="G991" t="b">
        <f t="shared" si="275"/>
        <v>1</v>
      </c>
    </row>
    <row r="992" spans="1:7" ht="15.75" thickBot="1" x14ac:dyDescent="0.3">
      <c r="A992" t="str">
        <f>B992&amp;"-"&amp;COUNTIF($B$2:B992,B992)</f>
        <v>I. PULPA LIMON-68</v>
      </c>
      <c r="B992" s="41" t="s">
        <v>106</v>
      </c>
      <c r="C992">
        <f>VLOOKUP(B992,RECETAS!D991:$E$1700,2,FALSE)</f>
        <v>0</v>
      </c>
      <c r="D992" s="27"/>
      <c r="G992" t="b">
        <f t="shared" si="275"/>
        <v>1</v>
      </c>
    </row>
    <row r="993" spans="1:7" x14ac:dyDescent="0.25">
      <c r="A993" t="str">
        <f>B993&amp;"-"&amp;COUNTIF($B$2:B993,B993)</f>
        <v>I. VODKA BATALLA-17</v>
      </c>
      <c r="B993" s="37" t="s">
        <v>129</v>
      </c>
      <c r="C993">
        <f>VLOOKUP(B993,RECETAS!D992:$E$1700,2,FALSE)</f>
        <v>0</v>
      </c>
      <c r="D993" s="25" t="s">
        <v>496</v>
      </c>
      <c r="G993" t="b">
        <f t="shared" si="275"/>
        <v>1</v>
      </c>
    </row>
    <row r="994" spans="1:7" x14ac:dyDescent="0.25">
      <c r="A994" t="str">
        <f>B994&amp;"-"&amp;COUNTIF($B$2:B994,B994)</f>
        <v>I. LIMON PICA-29</v>
      </c>
      <c r="B994" s="38" t="s">
        <v>636</v>
      </c>
      <c r="C994">
        <f>VLOOKUP(B994,RECETAS!D993:$E$1700,2,FALSE)</f>
        <v>0</v>
      </c>
      <c r="D994" s="34"/>
      <c r="G994" t="b">
        <f t="shared" si="275"/>
        <v>1</v>
      </c>
    </row>
    <row r="995" spans="1:7" x14ac:dyDescent="0.25">
      <c r="A995" t="str">
        <f>B995&amp;"-"&amp;COUNTIF($B$2:B995,B995)</f>
        <v>I. AZUCAR FLOR-74</v>
      </c>
      <c r="B995" s="38" t="s">
        <v>51</v>
      </c>
      <c r="C995">
        <f>VLOOKUP(B995,RECETAS!D994:$E$1700,2,FALSE)</f>
        <v>0</v>
      </c>
      <c r="D995" s="34"/>
      <c r="G995" t="b">
        <f t="shared" si="275"/>
        <v>1</v>
      </c>
    </row>
    <row r="996" spans="1:7" x14ac:dyDescent="0.25">
      <c r="A996" t="str">
        <f>B996&amp;"-"&amp;COUNTIF($B$2:B996,B996)</f>
        <v>I. PULPA LIMON-69</v>
      </c>
      <c r="B996" s="38" t="s">
        <v>106</v>
      </c>
      <c r="C996">
        <f>VLOOKUP(B996,RECETAS!D995:$E$1700,2,FALSE)</f>
        <v>0</v>
      </c>
      <c r="D996" s="34"/>
      <c r="G996" t="b">
        <f t="shared" si="275"/>
        <v>1</v>
      </c>
    </row>
    <row r="997" spans="1:7" x14ac:dyDescent="0.25">
      <c r="A997" t="str">
        <f>B997&amp;"-"&amp;COUNTIF($B$2:B997,B997)</f>
        <v>I. PAPAS FRITAS-41</v>
      </c>
      <c r="B997" s="38" t="s">
        <v>13</v>
      </c>
      <c r="C997">
        <f>VLOOKUP(B997,RECETAS!D996:$E$1700,2,FALSE)</f>
        <v>0</v>
      </c>
      <c r="D997" s="34"/>
      <c r="G997" t="b">
        <f t="shared" si="275"/>
        <v>1</v>
      </c>
    </row>
    <row r="998" spans="1:7" x14ac:dyDescent="0.25">
      <c r="A998" t="str">
        <f>B998&amp;"-"&amp;COUNTIF($B$2:B998,B998)</f>
        <v>I. QUESO GRANULADO-43</v>
      </c>
      <c r="B998" s="38" t="s">
        <v>9</v>
      </c>
      <c r="C998">
        <f>VLOOKUP(B998,RECETAS!D997:$E$1700,2,FALSE)</f>
        <v>0</v>
      </c>
      <c r="D998" s="34"/>
      <c r="G998" t="b">
        <f t="shared" si="275"/>
        <v>1</v>
      </c>
    </row>
    <row r="999" spans="1:7" x14ac:dyDescent="0.25">
      <c r="A999" t="str">
        <f>B999&amp;"-"&amp;COUNTIF($B$2:B999,B999)</f>
        <v>I. CREMA ESPESA-57</v>
      </c>
      <c r="B999" s="38" t="s">
        <v>16</v>
      </c>
      <c r="C999">
        <f>VLOOKUP(B999,RECETAS!D998:$E$1700,2,FALSE)</f>
        <v>0</v>
      </c>
      <c r="D999" s="34"/>
      <c r="G999" t="b">
        <f t="shared" si="275"/>
        <v>1</v>
      </c>
    </row>
    <row r="1000" spans="1:7" x14ac:dyDescent="0.25">
      <c r="A1000" t="str">
        <f>B1000&amp;"-"&amp;COUNTIF($B$2:B1000,B1000)</f>
        <v>I. CIBOULET-21</v>
      </c>
      <c r="B1000" s="38" t="s">
        <v>23</v>
      </c>
      <c r="C1000">
        <f>VLOOKUP(B1000,RECETAS!D999:$E$1700,2,FALSE)</f>
        <v>0</v>
      </c>
      <c r="D1000" s="34"/>
      <c r="G1000" t="b">
        <f t="shared" si="275"/>
        <v>1</v>
      </c>
    </row>
    <row r="1001" spans="1:7" ht="15.75" thickBot="1" x14ac:dyDescent="0.3">
      <c r="A1001" t="str">
        <f>B1001&amp;"-"&amp;COUNTIF($B$2:B1001,B1001)</f>
        <v>I. CHURRASCO PORCION-14</v>
      </c>
      <c r="B1001" s="41" t="s">
        <v>24</v>
      </c>
      <c r="C1001">
        <f>VLOOKUP(B1001,RECETAS!D1000:$E$1700,2,FALSE)</f>
        <v>0</v>
      </c>
      <c r="D1001" s="27"/>
      <c r="G1001" t="b">
        <f t="shared" si="275"/>
        <v>1</v>
      </c>
    </row>
    <row r="1002" spans="1:7" x14ac:dyDescent="0.25">
      <c r="A1002" t="str">
        <f>B1002&amp;"-"&amp;COUNTIF($B$2:B1002,B1002)</f>
        <v>I. MENTA-21</v>
      </c>
      <c r="B1002" s="37" t="s">
        <v>637</v>
      </c>
      <c r="C1002">
        <f>VLOOKUP(B1002,RECETAS!D1001:$E$1700,2,FALSE)</f>
        <v>0</v>
      </c>
      <c r="D1002" s="25" t="s">
        <v>497</v>
      </c>
      <c r="G1002" t="b">
        <f t="shared" si="275"/>
        <v>1</v>
      </c>
    </row>
    <row r="1003" spans="1:7" x14ac:dyDescent="0.25">
      <c r="A1003" t="str">
        <f>B1003&amp;"-"&amp;COUNTIF($B$2:B1003,B1003)</f>
        <v>I. LIMON PICA-30</v>
      </c>
      <c r="B1003" s="38" t="s">
        <v>636</v>
      </c>
      <c r="C1003">
        <f>VLOOKUP(B1003,RECETAS!D1002:$E$1700,2,FALSE)</f>
        <v>0</v>
      </c>
      <c r="D1003" s="34"/>
      <c r="G1003" t="b">
        <f t="shared" si="275"/>
        <v>1</v>
      </c>
    </row>
    <row r="1004" spans="1:7" x14ac:dyDescent="0.25">
      <c r="A1004" t="str">
        <f>B1004&amp;"-"&amp;COUNTIF($B$2:B1004,B1004)</f>
        <v>I. MINERAL1.6LT  C/G-24</v>
      </c>
      <c r="B1004" s="38" t="s">
        <v>97</v>
      </c>
      <c r="C1004">
        <f>VLOOKUP(B1004,RECETAS!D1003:$E$1700,2,FALSE)</f>
        <v>0</v>
      </c>
      <c r="D1004" s="34"/>
      <c r="G1004" t="b">
        <f t="shared" si="275"/>
        <v>1</v>
      </c>
    </row>
    <row r="1005" spans="1:7" x14ac:dyDescent="0.25">
      <c r="A1005" t="str">
        <f>B1005&amp;"-"&amp;COUNTIF($B$2:B1005,B1005)</f>
        <v>I. AZUCAR FLOR-75</v>
      </c>
      <c r="B1005" s="38" t="s">
        <v>51</v>
      </c>
      <c r="C1005">
        <f>VLOOKUP(B1005,RECETAS!D1004:$E$1700,2,FALSE)</f>
        <v>0</v>
      </c>
      <c r="D1005" s="34"/>
      <c r="G1005" t="b">
        <f t="shared" si="275"/>
        <v>1</v>
      </c>
    </row>
    <row r="1006" spans="1:7" x14ac:dyDescent="0.25">
      <c r="A1006" t="str">
        <f>B1006&amp;"-"&amp;COUNTIF($B$2:B1006,B1006)</f>
        <v>I. PULPA LIMON-70</v>
      </c>
      <c r="B1006" s="38" t="s">
        <v>106</v>
      </c>
      <c r="C1006">
        <f>VLOOKUP(B1006,RECETAS!D1005:$E$1700,2,FALSE)</f>
        <v>0</v>
      </c>
      <c r="D1006" s="34"/>
      <c r="G1006" t="b">
        <f t="shared" si="275"/>
        <v>1</v>
      </c>
    </row>
    <row r="1007" spans="1:7" ht="15.75" thickBot="1" x14ac:dyDescent="0.3">
      <c r="A1007" t="str">
        <f>B1007&amp;"-"&amp;COUNTIF($B$2:B1007,B1007)</f>
        <v>I. ABSOLUT RASPERRI-4</v>
      </c>
      <c r="B1007" s="41" t="s">
        <v>45</v>
      </c>
      <c r="C1007">
        <f>VLOOKUP(B1007,RECETAS!D1006:$E$1700,2,FALSE)</f>
        <v>0</v>
      </c>
      <c r="D1007" s="27"/>
      <c r="G1007" t="b">
        <f t="shared" si="275"/>
        <v>1</v>
      </c>
    </row>
    <row r="1008" spans="1:7" x14ac:dyDescent="0.25">
      <c r="A1008" t="str">
        <f>B1008&amp;"-"&amp;COUNTIF($B$2:B1008,B1008)</f>
        <v>I. MENTA-22</v>
      </c>
      <c r="B1008" s="86" t="s">
        <v>637</v>
      </c>
      <c r="C1008">
        <f>VLOOKUP(B1008,RECETAS!D1007:$E$1700,2,FALSE)</f>
        <v>0</v>
      </c>
      <c r="D1008" s="80" t="s">
        <v>498</v>
      </c>
      <c r="G1008" t="b">
        <f t="shared" si="275"/>
        <v>1</v>
      </c>
    </row>
    <row r="1009" spans="1:7" x14ac:dyDescent="0.25">
      <c r="A1009" t="str">
        <f>B1009&amp;"-"&amp;COUNTIF($B$2:B1009,B1009)</f>
        <v>I. LIMON PICA-31</v>
      </c>
      <c r="B1009" s="38" t="s">
        <v>636</v>
      </c>
      <c r="C1009">
        <f>VLOOKUP(B1009,RECETAS!D1008:$E$1700,2,FALSE)</f>
        <v>0</v>
      </c>
      <c r="D1009" s="81"/>
      <c r="G1009" t="b">
        <f t="shared" si="275"/>
        <v>1</v>
      </c>
    </row>
    <row r="1010" spans="1:7" x14ac:dyDescent="0.25">
      <c r="A1010" t="str">
        <f>B1010&amp;"-"&amp;COUNTIF($B$2:B1010,B1010)</f>
        <v>I. MINERAL1.6LT  C/G-25</v>
      </c>
      <c r="B1010" s="38" t="s">
        <v>97</v>
      </c>
      <c r="C1010">
        <f>VLOOKUP(B1010,RECETAS!D1009:$E$1700,2,FALSE)</f>
        <v>0</v>
      </c>
      <c r="D1010" s="81"/>
      <c r="G1010" t="b">
        <f t="shared" si="275"/>
        <v>1</v>
      </c>
    </row>
    <row r="1011" spans="1:7" x14ac:dyDescent="0.25">
      <c r="A1011" t="str">
        <f>B1011&amp;"-"&amp;COUNTIF($B$2:B1011,B1011)</f>
        <v>I. AZUCAR FLOR-76</v>
      </c>
      <c r="B1011" s="38" t="s">
        <v>51</v>
      </c>
      <c r="C1011">
        <f>VLOOKUP(B1011,RECETAS!D1010:$E$1700,2,FALSE)</f>
        <v>0</v>
      </c>
      <c r="D1011" s="81"/>
      <c r="G1011" t="b">
        <f t="shared" si="275"/>
        <v>1</v>
      </c>
    </row>
    <row r="1012" spans="1:7" x14ac:dyDescent="0.25">
      <c r="A1012" t="str">
        <f>B1012&amp;"-"&amp;COUNTIF($B$2:B1012,B1012)</f>
        <v>I. PULPA LIMON-71</v>
      </c>
      <c r="B1012" s="38" t="s">
        <v>106</v>
      </c>
      <c r="C1012">
        <f>VLOOKUP(B1012,RECETAS!D1011:$E$1700,2,FALSE)</f>
        <v>0</v>
      </c>
      <c r="D1012" s="81"/>
      <c r="G1012" t="b">
        <f t="shared" si="275"/>
        <v>1</v>
      </c>
    </row>
    <row r="1013" spans="1:7" x14ac:dyDescent="0.25">
      <c r="A1013" t="str">
        <f>B1013&amp;"-"&amp;COUNTIF($B$2:B1013,B1013)</f>
        <v>I. ABSOLUT RASPERRI-5</v>
      </c>
      <c r="B1013" s="38" t="s">
        <v>45</v>
      </c>
      <c r="C1013">
        <f>VLOOKUP(B1013,RECETAS!D1012:$E$1700,2,FALSE)</f>
        <v>0</v>
      </c>
      <c r="D1013" s="81"/>
      <c r="G1013" t="b">
        <f t="shared" si="275"/>
        <v>1</v>
      </c>
    </row>
    <row r="1014" spans="1:7" x14ac:dyDescent="0.25">
      <c r="A1014" t="str">
        <f>B1014&amp;"-"&amp;COUNTIF($B$2:B1014,B1014)</f>
        <v>I. PAPAS FRITAS-42</v>
      </c>
      <c r="B1014" s="38" t="s">
        <v>13</v>
      </c>
      <c r="C1014">
        <f>VLOOKUP(B1014,RECETAS!D1013:$E$1700,2,FALSE)</f>
        <v>0</v>
      </c>
      <c r="D1014" s="81"/>
      <c r="G1014" t="b">
        <f t="shared" si="275"/>
        <v>1</v>
      </c>
    </row>
    <row r="1015" spans="1:7" x14ac:dyDescent="0.25">
      <c r="A1015" t="str">
        <f>B1015&amp;"-"&amp;COUNTIF($B$2:B1015,B1015)</f>
        <v>I. QUESO GRANULADO-44</v>
      </c>
      <c r="B1015" s="38" t="s">
        <v>9</v>
      </c>
      <c r="C1015">
        <f>VLOOKUP(B1015,RECETAS!D1014:$E$1700,2,FALSE)</f>
        <v>0</v>
      </c>
      <c r="D1015" s="81"/>
      <c r="G1015" t="b">
        <f t="shared" si="275"/>
        <v>1</v>
      </c>
    </row>
    <row r="1016" spans="1:7" x14ac:dyDescent="0.25">
      <c r="A1016" t="str">
        <f>B1016&amp;"-"&amp;COUNTIF($B$2:B1016,B1016)</f>
        <v>I. CREMA ESPESA-58</v>
      </c>
      <c r="B1016" s="38" t="s">
        <v>16</v>
      </c>
      <c r="C1016">
        <f>VLOOKUP(B1016,RECETAS!D1015:$E$1700,2,FALSE)</f>
        <v>0</v>
      </c>
      <c r="D1016" s="81"/>
      <c r="G1016" t="b">
        <f t="shared" si="275"/>
        <v>1</v>
      </c>
    </row>
    <row r="1017" spans="1:7" x14ac:dyDescent="0.25">
      <c r="A1017" t="str">
        <f>B1017&amp;"-"&amp;COUNTIF($B$2:B1017,B1017)</f>
        <v>I. CIBOULET-22</v>
      </c>
      <c r="B1017" s="38" t="s">
        <v>23</v>
      </c>
      <c r="C1017">
        <f>VLOOKUP(B1017,RECETAS!D1016:$E$1700,2,FALSE)</f>
        <v>0</v>
      </c>
      <c r="D1017" s="81"/>
      <c r="G1017" t="b">
        <f t="shared" si="275"/>
        <v>1</v>
      </c>
    </row>
    <row r="1018" spans="1:7" ht="15.75" thickBot="1" x14ac:dyDescent="0.3">
      <c r="A1018" t="str">
        <f>B1018&amp;"-"&amp;COUNTIF($B$2:B1018,B1018)</f>
        <v>I. CHURRASCO PORCION-15</v>
      </c>
      <c r="B1018" s="39" t="s">
        <v>24</v>
      </c>
      <c r="C1018">
        <f>VLOOKUP(B1018,RECETAS!D1017:$E$1700,2,FALSE)</f>
        <v>0</v>
      </c>
      <c r="D1018" s="82"/>
      <c r="G1018" t="b">
        <f t="shared" si="275"/>
        <v>1</v>
      </c>
    </row>
    <row r="1019" spans="1:7" x14ac:dyDescent="0.25">
      <c r="A1019" t="str">
        <f>B1019&amp;"-"&amp;COUNTIF($B$2:B1019,B1019)</f>
        <v>I. MENTA-23</v>
      </c>
      <c r="B1019" s="37" t="s">
        <v>637</v>
      </c>
      <c r="C1019">
        <f>VLOOKUP(B1019,RECETAS!D1018:$E$1700,2,FALSE)</f>
        <v>0</v>
      </c>
      <c r="D1019" s="25" t="s">
        <v>499</v>
      </c>
      <c r="G1019" t="b">
        <f t="shared" si="275"/>
        <v>1</v>
      </c>
    </row>
    <row r="1020" spans="1:7" x14ac:dyDescent="0.25">
      <c r="A1020" t="str">
        <f>B1020&amp;"-"&amp;COUNTIF($B$2:B1020,B1020)</f>
        <v>I. LIMON PICA-32</v>
      </c>
      <c r="B1020" s="38" t="s">
        <v>636</v>
      </c>
      <c r="C1020">
        <f>VLOOKUP(B1020,RECETAS!D1019:$E$1700,2,FALSE)</f>
        <v>0</v>
      </c>
      <c r="D1020" s="34"/>
      <c r="G1020" t="b">
        <f t="shared" si="275"/>
        <v>1</v>
      </c>
    </row>
    <row r="1021" spans="1:7" x14ac:dyDescent="0.25">
      <c r="A1021" t="str">
        <f>B1021&amp;"-"&amp;COUNTIF($B$2:B1021,B1021)</f>
        <v>I. MINERAL1.6LT  C/G-26</v>
      </c>
      <c r="B1021" s="38" t="s">
        <v>97</v>
      </c>
      <c r="C1021">
        <f>VLOOKUP(B1021,RECETAS!D1020:$E$1700,2,FALSE)</f>
        <v>0</v>
      </c>
      <c r="D1021" s="34"/>
      <c r="G1021" t="b">
        <f t="shared" si="275"/>
        <v>1</v>
      </c>
    </row>
    <row r="1022" spans="1:7" x14ac:dyDescent="0.25">
      <c r="A1022" t="str">
        <f>B1022&amp;"-"&amp;COUNTIF($B$2:B1022,B1022)</f>
        <v>I. AZUCAR FLOR-77</v>
      </c>
      <c r="B1022" s="38" t="s">
        <v>51</v>
      </c>
      <c r="C1022">
        <f>VLOOKUP(B1022,RECETAS!D1021:$E$1700,2,FALSE)</f>
        <v>0</v>
      </c>
      <c r="D1022" s="34"/>
      <c r="G1022" t="b">
        <f t="shared" si="275"/>
        <v>1</v>
      </c>
    </row>
    <row r="1023" spans="1:7" x14ac:dyDescent="0.25">
      <c r="A1023" t="str">
        <f>B1023&amp;"-"&amp;COUNTIF($B$2:B1023,B1023)</f>
        <v>I. PULPA LIMON-72</v>
      </c>
      <c r="B1023" s="38" t="s">
        <v>106</v>
      </c>
      <c r="C1023">
        <f>VLOOKUP(B1023,RECETAS!D1022:$E$1700,2,FALSE)</f>
        <v>0</v>
      </c>
      <c r="D1023" s="34"/>
      <c r="G1023" t="b">
        <f t="shared" si="275"/>
        <v>1</v>
      </c>
    </row>
    <row r="1024" spans="1:7" ht="15.75" thickBot="1" x14ac:dyDescent="0.3">
      <c r="A1024" t="str">
        <f>B1024&amp;"-"&amp;COUNTIF($B$2:B1024,B1024)</f>
        <v>I. STOLICHNAYA 750CC-4</v>
      </c>
      <c r="B1024" s="28" t="s">
        <v>122</v>
      </c>
      <c r="C1024">
        <f>VLOOKUP(B1024,RECETAS!D1023:$E$1700,2,FALSE)</f>
        <v>0</v>
      </c>
      <c r="D1024" s="27"/>
      <c r="G1024" t="b">
        <f t="shared" si="275"/>
        <v>1</v>
      </c>
    </row>
    <row r="1025" spans="1:7" x14ac:dyDescent="0.25">
      <c r="A1025" t="str">
        <f>B1025&amp;"-"&amp;COUNTIF($B$2:B1025,B1025)</f>
        <v>I. PAPAS FRITAS-43</v>
      </c>
      <c r="B1025" s="37" t="s">
        <v>13</v>
      </c>
      <c r="C1025">
        <f>VLOOKUP(B1025,RECETAS!D1024:$E$1700,2,FALSE)</f>
        <v>0</v>
      </c>
      <c r="D1025" s="25" t="s">
        <v>500</v>
      </c>
      <c r="G1025" t="b">
        <f t="shared" si="275"/>
        <v>1</v>
      </c>
    </row>
    <row r="1026" spans="1:7" x14ac:dyDescent="0.25">
      <c r="A1026" t="str">
        <f>B1026&amp;"-"&amp;COUNTIF($B$2:B1026,B1026)</f>
        <v>I. QUESO GRANULADO-45</v>
      </c>
      <c r="B1026" s="38" t="s">
        <v>9</v>
      </c>
      <c r="C1026">
        <f>VLOOKUP(B1026,RECETAS!D1025:$E$1700,2,FALSE)</f>
        <v>0</v>
      </c>
      <c r="D1026" s="34"/>
      <c r="G1026" t="b">
        <f t="shared" si="275"/>
        <v>1</v>
      </c>
    </row>
    <row r="1027" spans="1:7" x14ac:dyDescent="0.25">
      <c r="A1027" t="str">
        <f>B1027&amp;"-"&amp;COUNTIF($B$2:B1027,B1027)</f>
        <v>I. CREMA ESPESA-59</v>
      </c>
      <c r="B1027" s="38" t="s">
        <v>16</v>
      </c>
      <c r="C1027">
        <f>VLOOKUP(B1027,RECETAS!D1026:$E$1700,2,FALSE)</f>
        <v>0</v>
      </c>
      <c r="D1027" s="34"/>
      <c r="G1027" t="b">
        <f t="shared" ref="G1027:G1090" si="276">IFERROR(IF(MATCH(B1027,I:I,0) &lt;&gt; "", TRUE,""),FALSE)</f>
        <v>1</v>
      </c>
    </row>
    <row r="1028" spans="1:7" x14ac:dyDescent="0.25">
      <c r="A1028" t="str">
        <f>B1028&amp;"-"&amp;COUNTIF($B$2:B1028,B1028)</f>
        <v>I. CIBOULET-23</v>
      </c>
      <c r="B1028" s="38" t="s">
        <v>23</v>
      </c>
      <c r="C1028">
        <f>VLOOKUP(B1028,RECETAS!D1027:$E$1700,2,FALSE)</f>
        <v>0</v>
      </c>
      <c r="D1028" s="34"/>
      <c r="G1028" t="b">
        <f t="shared" si="276"/>
        <v>1</v>
      </c>
    </row>
    <row r="1029" spans="1:7" x14ac:dyDescent="0.25">
      <c r="A1029" t="str">
        <f>B1029&amp;"-"&amp;COUNTIF($B$2:B1029,B1029)</f>
        <v>I. CHURRASCO PORCION-16</v>
      </c>
      <c r="B1029" s="38" t="s">
        <v>24</v>
      </c>
      <c r="C1029">
        <f>VLOOKUP(B1029,RECETAS!D1028:$E$1700,2,FALSE)</f>
        <v>0</v>
      </c>
      <c r="D1029" s="34"/>
      <c r="G1029" t="b">
        <f t="shared" si="276"/>
        <v>1</v>
      </c>
    </row>
    <row r="1030" spans="1:7" x14ac:dyDescent="0.25">
      <c r="A1030" t="str">
        <f>B1030&amp;"-"&amp;COUNTIF($B$2:B1030,B1030)</f>
        <v>I. MENTA-24</v>
      </c>
      <c r="B1030" s="38" t="s">
        <v>637</v>
      </c>
      <c r="C1030">
        <f>VLOOKUP(B1030,RECETAS!D1029:$E$1700,2,FALSE)</f>
        <v>0</v>
      </c>
      <c r="D1030" s="34"/>
      <c r="G1030" t="b">
        <f t="shared" si="276"/>
        <v>1</v>
      </c>
    </row>
    <row r="1031" spans="1:7" x14ac:dyDescent="0.25">
      <c r="A1031" t="str">
        <f>B1031&amp;"-"&amp;COUNTIF($B$2:B1031,B1031)</f>
        <v>I. LIMON PICA-33</v>
      </c>
      <c r="B1031" s="38" t="s">
        <v>636</v>
      </c>
      <c r="C1031">
        <f>VLOOKUP(B1031,RECETAS!D1030:$E$1700,2,FALSE)</f>
        <v>0</v>
      </c>
      <c r="D1031" s="34"/>
      <c r="G1031" t="b">
        <f t="shared" si="276"/>
        <v>1</v>
      </c>
    </row>
    <row r="1032" spans="1:7" x14ac:dyDescent="0.25">
      <c r="A1032" t="str">
        <f>B1032&amp;"-"&amp;COUNTIF($B$2:B1032,B1032)</f>
        <v>I. MINERAL1.6LT  C/G-27</v>
      </c>
      <c r="B1032" s="38" t="s">
        <v>97</v>
      </c>
      <c r="C1032">
        <f>VLOOKUP(B1032,RECETAS!D1031:$E$1700,2,FALSE)</f>
        <v>0</v>
      </c>
      <c r="D1032" s="34"/>
      <c r="G1032" t="b">
        <f t="shared" si="276"/>
        <v>1</v>
      </c>
    </row>
    <row r="1033" spans="1:7" x14ac:dyDescent="0.25">
      <c r="A1033" t="str">
        <f>B1033&amp;"-"&amp;COUNTIF($B$2:B1033,B1033)</f>
        <v>I. AZUCAR FLOR-78</v>
      </c>
      <c r="B1033" s="38" t="s">
        <v>51</v>
      </c>
      <c r="C1033">
        <f>VLOOKUP(B1033,RECETAS!D1032:$E$1700,2,FALSE)</f>
        <v>0</v>
      </c>
      <c r="D1033" s="34"/>
      <c r="G1033" t="b">
        <f t="shared" si="276"/>
        <v>1</v>
      </c>
    </row>
    <row r="1034" spans="1:7" x14ac:dyDescent="0.25">
      <c r="A1034" t="str">
        <f>B1034&amp;"-"&amp;COUNTIF($B$2:B1034,B1034)</f>
        <v>I. PULPA LIMON-73</v>
      </c>
      <c r="B1034" s="38" t="s">
        <v>106</v>
      </c>
      <c r="C1034">
        <f>VLOOKUP(B1034,RECETAS!D1033:$E$1700,2,FALSE)</f>
        <v>0</v>
      </c>
      <c r="D1034" s="34"/>
      <c r="G1034" t="b">
        <f t="shared" si="276"/>
        <v>1</v>
      </c>
    </row>
    <row r="1035" spans="1:7" ht="15.75" thickBot="1" x14ac:dyDescent="0.3">
      <c r="A1035" t="str">
        <f>B1035&amp;"-"&amp;COUNTIF($B$2:B1035,B1035)</f>
        <v>I. STOLICHNAYA 750CC-5</v>
      </c>
      <c r="B1035" s="28" t="s">
        <v>122</v>
      </c>
      <c r="C1035">
        <f>VLOOKUP(B1035,RECETAS!D1034:$E$1700,2,FALSE)</f>
        <v>0</v>
      </c>
      <c r="D1035" s="27"/>
      <c r="G1035" t="b">
        <f t="shared" si="276"/>
        <v>1</v>
      </c>
    </row>
    <row r="1036" spans="1:7" x14ac:dyDescent="0.25">
      <c r="A1036" t="str">
        <f>B1036&amp;"-"&amp;COUNTIF($B$2:B1036,B1036)</f>
        <v>I. JAGERMEISTER-8</v>
      </c>
      <c r="B1036" s="37" t="s">
        <v>86</v>
      </c>
      <c r="C1036">
        <f>VLOOKUP(B1036,RECETAS!D1035:$E$1700,2,FALSE)</f>
        <v>0</v>
      </c>
      <c r="D1036" s="25" t="s">
        <v>501</v>
      </c>
      <c r="G1036" t="b">
        <f t="shared" si="276"/>
        <v>1</v>
      </c>
    </row>
    <row r="1037" spans="1:7" ht="15.75" thickBot="1" x14ac:dyDescent="0.3">
      <c r="A1037" t="str">
        <f>B1037&amp;"-"&amp;COUNTIF($B$2:B1037,B1037)</f>
        <v>I. TONICA  FENTIMS-3</v>
      </c>
      <c r="B1037" s="41" t="s">
        <v>125</v>
      </c>
      <c r="C1037">
        <f>VLOOKUP(B1037,RECETAS!D1036:$E$1700,2,FALSE)</f>
        <v>0</v>
      </c>
      <c r="D1037" s="27"/>
      <c r="G1037" t="b">
        <f t="shared" si="276"/>
        <v>1</v>
      </c>
    </row>
    <row r="1038" spans="1:7" x14ac:dyDescent="0.25">
      <c r="A1038" t="str">
        <f>B1038&amp;"-"&amp;COUNTIF($B$2:B1038,B1038)</f>
        <v>I. JAGERMEISTER-9</v>
      </c>
      <c r="B1038" s="37" t="s">
        <v>86</v>
      </c>
      <c r="C1038">
        <f>VLOOKUP(B1038,RECETAS!D1037:$E$1700,2,FALSE)</f>
        <v>0</v>
      </c>
      <c r="D1038" s="25" t="s">
        <v>502</v>
      </c>
      <c r="G1038" t="b">
        <f t="shared" si="276"/>
        <v>1</v>
      </c>
    </row>
    <row r="1039" spans="1:7" x14ac:dyDescent="0.25">
      <c r="A1039" t="str">
        <f>B1039&amp;"-"&amp;COUNTIF($B$2:B1039,B1039)</f>
        <v>I. TONICA  FENTIMS-4</v>
      </c>
      <c r="B1039" s="38" t="s">
        <v>125</v>
      </c>
      <c r="C1039">
        <f>VLOOKUP(B1039,RECETAS!D1038:$E$1700,2,FALSE)</f>
        <v>0</v>
      </c>
      <c r="D1039" s="34"/>
      <c r="G1039" t="b">
        <f t="shared" si="276"/>
        <v>1</v>
      </c>
    </row>
    <row r="1040" spans="1:7" x14ac:dyDescent="0.25">
      <c r="A1040" t="str">
        <f>B1040&amp;"-"&amp;COUNTIF($B$2:B1040,B1040)</f>
        <v>I. PAPAS FRITAS-44</v>
      </c>
      <c r="B1040" s="38" t="s">
        <v>13</v>
      </c>
      <c r="C1040">
        <f>VLOOKUP(B1040,RECETAS!D1039:$E$1700,2,FALSE)</f>
        <v>0</v>
      </c>
      <c r="D1040" s="34"/>
      <c r="G1040" t="b">
        <f t="shared" si="276"/>
        <v>1</v>
      </c>
    </row>
    <row r="1041" spans="1:7" x14ac:dyDescent="0.25">
      <c r="A1041" t="str">
        <f>B1041&amp;"-"&amp;COUNTIF($B$2:B1041,B1041)</f>
        <v>I. QUESO GRANULADO-46</v>
      </c>
      <c r="B1041" s="38" t="s">
        <v>9</v>
      </c>
      <c r="C1041">
        <f>VLOOKUP(B1041,RECETAS!D1040:$E$1700,2,FALSE)</f>
        <v>0</v>
      </c>
      <c r="D1041" s="34"/>
      <c r="G1041" t="b">
        <f t="shared" si="276"/>
        <v>1</v>
      </c>
    </row>
    <row r="1042" spans="1:7" x14ac:dyDescent="0.25">
      <c r="A1042" t="str">
        <f>B1042&amp;"-"&amp;COUNTIF($B$2:B1042,B1042)</f>
        <v>I. CREMA ESPESA-60</v>
      </c>
      <c r="B1042" s="38" t="s">
        <v>16</v>
      </c>
      <c r="C1042">
        <f>VLOOKUP(B1042,RECETAS!D1041:$E$1700,2,FALSE)</f>
        <v>0</v>
      </c>
      <c r="D1042" s="34"/>
      <c r="G1042" t="b">
        <f t="shared" si="276"/>
        <v>1</v>
      </c>
    </row>
    <row r="1043" spans="1:7" x14ac:dyDescent="0.25">
      <c r="A1043" t="str">
        <f>B1043&amp;"-"&amp;COUNTIF($B$2:B1043,B1043)</f>
        <v>I. CIBOULET-24</v>
      </c>
      <c r="B1043" s="38" t="s">
        <v>23</v>
      </c>
      <c r="C1043">
        <f>VLOOKUP(B1043,RECETAS!D1042:$E$1700,2,FALSE)</f>
        <v>0</v>
      </c>
      <c r="D1043" s="34"/>
      <c r="G1043" t="b">
        <f t="shared" si="276"/>
        <v>1</v>
      </c>
    </row>
    <row r="1044" spans="1:7" ht="15.75" thickBot="1" x14ac:dyDescent="0.3">
      <c r="A1044" t="str">
        <f>B1044&amp;"-"&amp;COUNTIF($B$2:B1044,B1044)</f>
        <v>I. CHURRASCO PORCION-17</v>
      </c>
      <c r="B1044" s="41" t="s">
        <v>24</v>
      </c>
      <c r="C1044">
        <f>VLOOKUP(B1044,RECETAS!D1043:$E$1700,2,FALSE)</f>
        <v>0</v>
      </c>
      <c r="D1044" s="27"/>
      <c r="G1044" t="b">
        <f t="shared" si="276"/>
        <v>1</v>
      </c>
    </row>
    <row r="1045" spans="1:7" x14ac:dyDescent="0.25">
      <c r="A1045" t="str">
        <f>B1045&amp;"-"&amp;COUNTIF($B$2:B1045,B1045)</f>
        <v>I. RON BLANCO BATALLA-25</v>
      </c>
      <c r="B1045" s="65" t="s">
        <v>116</v>
      </c>
      <c r="C1045">
        <f>VLOOKUP(B1045,RECETAS!D1044:$E$1700,2,FALSE)</f>
        <v>0</v>
      </c>
      <c r="D1045" s="80" t="s">
        <v>590</v>
      </c>
      <c r="G1045" t="b">
        <f t="shared" si="276"/>
        <v>1</v>
      </c>
    </row>
    <row r="1046" spans="1:7" x14ac:dyDescent="0.25">
      <c r="A1046" t="str">
        <f>B1046&amp;"-"&amp;COUNTIF($B$2:B1046,B1046)</f>
        <v>I. ESENCIA COCO-6</v>
      </c>
      <c r="B1046" s="36" t="s">
        <v>134</v>
      </c>
      <c r="C1046">
        <f>VLOOKUP(B1046,RECETAS!D1045:$E$1700,2,FALSE)</f>
        <v>0</v>
      </c>
      <c r="D1046" s="81"/>
      <c r="G1046" t="b">
        <f t="shared" si="276"/>
        <v>1</v>
      </c>
    </row>
    <row r="1047" spans="1:7" x14ac:dyDescent="0.25">
      <c r="A1047" t="str">
        <f>B1047&amp;"-"&amp;COUNTIF($B$2:B1047,B1047)</f>
        <v>I. JUGO PINA 1 LTS-10</v>
      </c>
      <c r="B1047" s="36" t="s">
        <v>90</v>
      </c>
      <c r="C1047">
        <f>VLOOKUP(B1047,RECETAS!D1046:$E$1700,2,FALSE)</f>
        <v>0</v>
      </c>
      <c r="D1047" s="81"/>
      <c r="G1047" t="b">
        <f t="shared" si="276"/>
        <v>1</v>
      </c>
    </row>
    <row r="1048" spans="1:7" x14ac:dyDescent="0.25">
      <c r="A1048" t="str">
        <f>B1048&amp;"-"&amp;COUNTIF($B$2:B1048,B1048)</f>
        <v>I. AZUCAR FLOR-79</v>
      </c>
      <c r="B1048" s="36" t="s">
        <v>51</v>
      </c>
      <c r="C1048">
        <f>VLOOKUP(B1048,RECETAS!D1047:$E$1700,2,FALSE)</f>
        <v>0</v>
      </c>
      <c r="D1048" s="81"/>
      <c r="G1048" t="b">
        <f t="shared" si="276"/>
        <v>1</v>
      </c>
    </row>
    <row r="1049" spans="1:7" ht="15.75" thickBot="1" x14ac:dyDescent="0.3">
      <c r="A1049" t="str">
        <f>B1049&amp;"-"&amp;COUNTIF($B$2:B1049,B1049)</f>
        <v>I. CREMA ESPESA-61</v>
      </c>
      <c r="B1049" s="40" t="s">
        <v>16</v>
      </c>
      <c r="C1049">
        <f>VLOOKUP(B1049,RECETAS!D1048:$E$1700,2,FALSE)</f>
        <v>0</v>
      </c>
      <c r="D1049" s="82"/>
      <c r="G1049" t="b">
        <f t="shared" si="276"/>
        <v>1</v>
      </c>
    </row>
    <row r="1050" spans="1:7" x14ac:dyDescent="0.25">
      <c r="A1050" t="str">
        <f>B1050&amp;"-"&amp;COUNTIF($B$2:B1050,B1050)</f>
        <v>I. RON BLANCO BATALLA-26</v>
      </c>
      <c r="B1050" s="46" t="s">
        <v>116</v>
      </c>
      <c r="C1050">
        <f>VLOOKUP(B1050,RECETAS!D1049:$E$1700,2,FALSE)</f>
        <v>0</v>
      </c>
      <c r="D1050" s="115" t="s">
        <v>671</v>
      </c>
      <c r="G1050" t="b">
        <f t="shared" si="276"/>
        <v>1</v>
      </c>
    </row>
    <row r="1051" spans="1:7" x14ac:dyDescent="0.25">
      <c r="A1051" t="str">
        <f>B1051&amp;"-"&amp;COUNTIF($B$2:B1051,B1051)</f>
        <v>I. ESENCIA COCO-7</v>
      </c>
      <c r="B1051" s="36" t="s">
        <v>134</v>
      </c>
      <c r="C1051">
        <f>VLOOKUP(B1051,RECETAS!D1050:$E$1700,2,FALSE)</f>
        <v>0</v>
      </c>
      <c r="D1051" s="34"/>
      <c r="G1051" t="b">
        <f t="shared" si="276"/>
        <v>1</v>
      </c>
    </row>
    <row r="1052" spans="1:7" x14ac:dyDescent="0.25">
      <c r="A1052" t="str">
        <f>B1052&amp;"-"&amp;COUNTIF($B$2:B1052,B1052)</f>
        <v>I. JUGO PINA 1 LTS-11</v>
      </c>
      <c r="B1052" s="36" t="s">
        <v>90</v>
      </c>
      <c r="C1052">
        <f>VLOOKUP(B1052,RECETAS!D1051:$E$1700,2,FALSE)</f>
        <v>0</v>
      </c>
      <c r="D1052" s="34"/>
      <c r="G1052" t="b">
        <f t="shared" si="276"/>
        <v>1</v>
      </c>
    </row>
    <row r="1053" spans="1:7" x14ac:dyDescent="0.25">
      <c r="A1053" t="str">
        <f>B1053&amp;"-"&amp;COUNTIF($B$2:B1053,B1053)</f>
        <v>I. AZUCAR FLOR-80</v>
      </c>
      <c r="B1053" s="36" t="s">
        <v>51</v>
      </c>
      <c r="C1053">
        <f>VLOOKUP(B1053,RECETAS!D1052:$E$1700,2,FALSE)</f>
        <v>0</v>
      </c>
      <c r="D1053" s="34"/>
      <c r="G1053" t="b">
        <f t="shared" si="276"/>
        <v>1</v>
      </c>
    </row>
    <row r="1054" spans="1:7" x14ac:dyDescent="0.25">
      <c r="A1054" t="str">
        <f>B1054&amp;"-"&amp;COUNTIF($B$2:B1054,B1054)</f>
        <v>I. CREMA ESPESA-62</v>
      </c>
      <c r="B1054" s="36" t="s">
        <v>16</v>
      </c>
      <c r="C1054">
        <f>VLOOKUP(B1054,RECETAS!D1053:$E$1700,2,FALSE)</f>
        <v>0</v>
      </c>
      <c r="D1054" s="34"/>
      <c r="G1054" t="b">
        <f t="shared" si="276"/>
        <v>1</v>
      </c>
    </row>
    <row r="1055" spans="1:7" x14ac:dyDescent="0.25">
      <c r="A1055" t="str">
        <f>B1055&amp;"-"&amp;COUNTIF($B$2:B1055,B1055)</f>
        <v>I. PAPAS FRITAS-45</v>
      </c>
      <c r="B1055" s="38" t="s">
        <v>13</v>
      </c>
      <c r="C1055">
        <f>VLOOKUP(B1055,RECETAS!D1054:$E$1700,2,FALSE)</f>
        <v>0</v>
      </c>
      <c r="D1055" s="34"/>
      <c r="G1055" t="b">
        <f t="shared" si="276"/>
        <v>1</v>
      </c>
    </row>
    <row r="1056" spans="1:7" x14ac:dyDescent="0.25">
      <c r="A1056" t="str">
        <f>B1056&amp;"-"&amp;COUNTIF($B$2:B1056,B1056)</f>
        <v>I. QUESO GRANULADO-47</v>
      </c>
      <c r="B1056" s="38" t="s">
        <v>9</v>
      </c>
      <c r="C1056">
        <f>VLOOKUP(B1056,RECETAS!D1055:$E$1700,2,FALSE)</f>
        <v>0</v>
      </c>
      <c r="D1056" s="34"/>
      <c r="G1056" t="b">
        <f t="shared" si="276"/>
        <v>1</v>
      </c>
    </row>
    <row r="1057" spans="1:7" x14ac:dyDescent="0.25">
      <c r="A1057" t="str">
        <f>B1057&amp;"-"&amp;COUNTIF($B$2:B1057,B1057)</f>
        <v>I. CREMA ESPESA-63</v>
      </c>
      <c r="B1057" s="38" t="s">
        <v>16</v>
      </c>
      <c r="C1057">
        <f>VLOOKUP(B1057,RECETAS!D1056:$E$1700,2,FALSE)</f>
        <v>0</v>
      </c>
      <c r="D1057" s="34"/>
      <c r="G1057" t="b">
        <f t="shared" si="276"/>
        <v>1</v>
      </c>
    </row>
    <row r="1058" spans="1:7" x14ac:dyDescent="0.25">
      <c r="A1058" t="str">
        <f>B1058&amp;"-"&amp;COUNTIF($B$2:B1058,B1058)</f>
        <v>I. CIBOULET-25</v>
      </c>
      <c r="B1058" s="38" t="s">
        <v>23</v>
      </c>
      <c r="C1058">
        <f>VLOOKUP(B1058,RECETAS!D1057:$E$1700,2,FALSE)</f>
        <v>0</v>
      </c>
      <c r="D1058" s="34"/>
      <c r="G1058" t="b">
        <f t="shared" si="276"/>
        <v>1</v>
      </c>
    </row>
    <row r="1059" spans="1:7" ht="15.75" thickBot="1" x14ac:dyDescent="0.3">
      <c r="A1059" t="str">
        <f>B1059&amp;"-"&amp;COUNTIF($B$2:B1059,B1059)</f>
        <v>I. CHURRASCO PORCION-18</v>
      </c>
      <c r="B1059" s="41" t="s">
        <v>24</v>
      </c>
      <c r="C1059">
        <f>VLOOKUP(B1059,RECETAS!D1058:$E$1700,2,FALSE)</f>
        <v>0</v>
      </c>
      <c r="D1059" s="27"/>
      <c r="G1059" t="b">
        <f t="shared" si="276"/>
        <v>1</v>
      </c>
    </row>
    <row r="1060" spans="1:7" x14ac:dyDescent="0.25">
      <c r="A1060" t="str">
        <f>B1060&amp;"-"&amp;COUNTIF($B$2:B1060,B1060)</f>
        <v>I. MENTA-25</v>
      </c>
      <c r="B1060" s="65" t="s">
        <v>637</v>
      </c>
      <c r="C1060">
        <f>VLOOKUP(B1060,RECETAS!D1059:$E$1700,2,FALSE)</f>
        <v>6</v>
      </c>
      <c r="D1060" s="80" t="s">
        <v>503</v>
      </c>
      <c r="G1060" t="b">
        <f t="shared" si="276"/>
        <v>1</v>
      </c>
    </row>
    <row r="1061" spans="1:7" x14ac:dyDescent="0.25">
      <c r="A1061" t="str">
        <f>B1061&amp;"-"&amp;COUNTIF($B$2:B1061,B1061)</f>
        <v>I. AZUCAR FLOR-81</v>
      </c>
      <c r="B1061" s="36" t="s">
        <v>51</v>
      </c>
      <c r="C1061">
        <f>VLOOKUP(B1061,RECETAS!D1060:$E$1700,2,FALSE)</f>
        <v>120</v>
      </c>
      <c r="D1061" s="81"/>
      <c r="G1061" t="b">
        <f t="shared" si="276"/>
        <v>1</v>
      </c>
    </row>
    <row r="1062" spans="1:7" x14ac:dyDescent="0.25">
      <c r="A1062" t="str">
        <f>B1062&amp;"-"&amp;COUNTIF($B$2:B1062,B1062)</f>
        <v>I. LIMON PICA-34</v>
      </c>
      <c r="B1062" s="36" t="s">
        <v>636</v>
      </c>
      <c r="C1062">
        <f>VLOOKUP(B1062,RECETAS!D1061:$E$1700,2,FALSE)</f>
        <v>6</v>
      </c>
      <c r="D1062" s="81"/>
      <c r="G1062" t="b">
        <f t="shared" si="276"/>
        <v>1</v>
      </c>
    </row>
    <row r="1063" spans="1:7" x14ac:dyDescent="0.25">
      <c r="A1063" t="str">
        <f>B1063&amp;"-"&amp;COUNTIF($B$2:B1063,B1063)</f>
        <v>I. MINERAL1.6LT  C/G-28</v>
      </c>
      <c r="B1063" s="36" t="s">
        <v>97</v>
      </c>
      <c r="C1063">
        <f>VLOOKUP(B1063,RECETAS!D1062:$E$1700,2,FALSE)</f>
        <v>300</v>
      </c>
      <c r="D1063" s="81"/>
      <c r="G1063" t="b">
        <f t="shared" si="276"/>
        <v>1</v>
      </c>
    </row>
    <row r="1064" spans="1:7" x14ac:dyDescent="0.25">
      <c r="A1064" t="str">
        <f>B1064&amp;"-"&amp;COUNTIF($B$2:B1064,B1064)</f>
        <v>I. PULPA LIMON-74</v>
      </c>
      <c r="B1064" s="36" t="s">
        <v>106</v>
      </c>
      <c r="C1064">
        <f>VLOOKUP(B1064,RECETAS!D1063:$E$1700,2,FALSE)</f>
        <v>120</v>
      </c>
      <c r="D1064" s="81"/>
      <c r="G1064" t="b">
        <f t="shared" si="276"/>
        <v>1</v>
      </c>
    </row>
    <row r="1065" spans="1:7" x14ac:dyDescent="0.25">
      <c r="A1065" t="str">
        <f>B1065&amp;"-"&amp;COUNTIF($B$2:B1065,B1065)</f>
        <v>I. RON BLANCO BATALLA-27</v>
      </c>
      <c r="B1065" s="36" t="s">
        <v>116</v>
      </c>
      <c r="C1065">
        <f>VLOOKUP(B1065,RECETAS!D1064:$E$1700,2,FALSE)</f>
        <v>450</v>
      </c>
      <c r="D1065" s="81"/>
      <c r="G1065" t="b">
        <f t="shared" si="276"/>
        <v>1</v>
      </c>
    </row>
    <row r="1066" spans="1:7" ht="15.75" thickBot="1" x14ac:dyDescent="0.3">
      <c r="A1066" t="str">
        <f>B1066&amp;"-"&amp;COUNTIF($B$2:B1066,B1066)</f>
        <v>I. PULPA MARACUYA-2</v>
      </c>
      <c r="B1066" s="40" t="s">
        <v>108</v>
      </c>
      <c r="C1066">
        <f>VLOOKUP(B1066,RECETAS!D1065:$E$1700,2,FALSE)</f>
        <v>450</v>
      </c>
      <c r="D1066" s="82"/>
      <c r="G1066" t="b">
        <f t="shared" si="276"/>
        <v>1</v>
      </c>
    </row>
    <row r="1067" spans="1:7" x14ac:dyDescent="0.25">
      <c r="A1067" t="str">
        <f>B1067&amp;"-"&amp;COUNTIF($B$2:B1067,B1067)</f>
        <v>I. MENTA-26</v>
      </c>
      <c r="B1067" s="46" t="s">
        <v>637</v>
      </c>
      <c r="C1067">
        <f>VLOOKUP(B1067,RECETAS!D1066:$E$1700,2,FALSE)</f>
        <v>3</v>
      </c>
      <c r="D1067" s="25" t="s">
        <v>504</v>
      </c>
      <c r="G1067" t="b">
        <f t="shared" si="276"/>
        <v>1</v>
      </c>
    </row>
    <row r="1068" spans="1:7" x14ac:dyDescent="0.25">
      <c r="A1068" t="str">
        <f>B1068&amp;"-"&amp;COUNTIF($B$2:B1068,B1068)</f>
        <v>I. AZUCAR FLOR-82</v>
      </c>
      <c r="B1068" s="36" t="s">
        <v>51</v>
      </c>
      <c r="C1068">
        <f>VLOOKUP(B1068,RECETAS!D1067:$E$1700,2,FALSE)</f>
        <v>60</v>
      </c>
      <c r="D1068" s="34"/>
      <c r="G1068" t="b">
        <f t="shared" si="276"/>
        <v>1</v>
      </c>
    </row>
    <row r="1069" spans="1:7" x14ac:dyDescent="0.25">
      <c r="A1069" t="str">
        <f>B1069&amp;"-"&amp;COUNTIF($B$2:B1069,B1069)</f>
        <v>I. LIMON PICA-35</v>
      </c>
      <c r="B1069" s="36" t="s">
        <v>636</v>
      </c>
      <c r="C1069">
        <f>VLOOKUP(B1069,RECETAS!D1068:$E$1700,2,FALSE)</f>
        <v>3</v>
      </c>
      <c r="D1069" s="34"/>
      <c r="G1069" t="b">
        <f t="shared" si="276"/>
        <v>1</v>
      </c>
    </row>
    <row r="1070" spans="1:7" x14ac:dyDescent="0.25">
      <c r="A1070" t="str">
        <f>B1070&amp;"-"&amp;COUNTIF($B$2:B1070,B1070)</f>
        <v>I. MINERAL1.6LT  C/G-29</v>
      </c>
      <c r="B1070" s="36" t="s">
        <v>97</v>
      </c>
      <c r="C1070">
        <f>VLOOKUP(B1070,RECETAS!D1069:$E$1700,2,FALSE)</f>
        <v>150</v>
      </c>
      <c r="D1070" s="34"/>
      <c r="G1070" t="b">
        <f t="shared" si="276"/>
        <v>1</v>
      </c>
    </row>
    <row r="1071" spans="1:7" x14ac:dyDescent="0.25">
      <c r="A1071" t="str">
        <f>B1071&amp;"-"&amp;COUNTIF($B$2:B1071,B1071)</f>
        <v>I. PULPA LIMON-75</v>
      </c>
      <c r="B1071" s="36" t="s">
        <v>106</v>
      </c>
      <c r="C1071">
        <f>VLOOKUP(B1071,RECETAS!D1070:$E$1700,2,FALSE)</f>
        <v>60</v>
      </c>
      <c r="D1071" s="34"/>
      <c r="G1071" t="b">
        <f t="shared" si="276"/>
        <v>1</v>
      </c>
    </row>
    <row r="1072" spans="1:7" x14ac:dyDescent="0.25">
      <c r="A1072" t="str">
        <f>B1072&amp;"-"&amp;COUNTIF($B$2:B1072,B1072)</f>
        <v>I. RON BLANCO BATALLA-28</v>
      </c>
      <c r="B1072" s="36" t="s">
        <v>116</v>
      </c>
      <c r="C1072">
        <f>VLOOKUP(B1072,RECETAS!D1071:$E$1700,2,FALSE)</f>
        <v>225</v>
      </c>
      <c r="D1072" s="34"/>
      <c r="G1072" t="b">
        <f t="shared" si="276"/>
        <v>1</v>
      </c>
    </row>
    <row r="1073" spans="1:7" x14ac:dyDescent="0.25">
      <c r="A1073" t="str">
        <f>B1073&amp;"-"&amp;COUNTIF($B$2:B1073,B1073)</f>
        <v>I. PULPA MARACUYA-3</v>
      </c>
      <c r="B1073" s="36" t="s">
        <v>108</v>
      </c>
      <c r="C1073">
        <f>VLOOKUP(B1073,RECETAS!D1072:$E$1700,2,FALSE)</f>
        <v>225</v>
      </c>
      <c r="D1073" s="34"/>
      <c r="G1073" t="b">
        <f t="shared" si="276"/>
        <v>1</v>
      </c>
    </row>
    <row r="1074" spans="1:7" x14ac:dyDescent="0.25">
      <c r="A1074" t="str">
        <f>B1074&amp;"-"&amp;COUNTIF($B$2:B1074,B1074)</f>
        <v>I. PAPAS FRITAS-46</v>
      </c>
      <c r="B1074" s="35" t="s">
        <v>13</v>
      </c>
      <c r="C1074">
        <f>VLOOKUP(B1074,RECETAS!D1073:$E$1700,2,FALSE)</f>
        <v>800</v>
      </c>
      <c r="D1074" s="34"/>
      <c r="G1074" t="b">
        <f t="shared" si="276"/>
        <v>1</v>
      </c>
    </row>
    <row r="1075" spans="1:7" x14ac:dyDescent="0.25">
      <c r="A1075" t="str">
        <f>B1075&amp;"-"&amp;COUNTIF($B$2:B1075,B1075)</f>
        <v>I. QUESO GRANULADO-48</v>
      </c>
      <c r="B1075" s="35" t="s">
        <v>9</v>
      </c>
      <c r="C1075">
        <f>VLOOKUP(B1075,RECETAS!D1074:$E$1700,2,FALSE)</f>
        <v>150</v>
      </c>
      <c r="D1075" s="34"/>
      <c r="G1075" t="b">
        <f t="shared" si="276"/>
        <v>1</v>
      </c>
    </row>
    <row r="1076" spans="1:7" x14ac:dyDescent="0.25">
      <c r="A1076" t="str">
        <f>B1076&amp;"-"&amp;COUNTIF($B$2:B1076,B1076)</f>
        <v>I. CREMA ESPESA-64</v>
      </c>
      <c r="B1076" s="35" t="s">
        <v>16</v>
      </c>
      <c r="C1076">
        <f>VLOOKUP(B1076,RECETAS!D1075:$E$1700,2,FALSE)</f>
        <v>150</v>
      </c>
      <c r="D1076" s="34"/>
      <c r="G1076" t="b">
        <f t="shared" si="276"/>
        <v>1</v>
      </c>
    </row>
    <row r="1077" spans="1:7" x14ac:dyDescent="0.25">
      <c r="A1077" t="str">
        <f>B1077&amp;"-"&amp;COUNTIF($B$2:B1077,B1077)</f>
        <v>I. CIBOULET-26</v>
      </c>
      <c r="B1077" s="35" t="s">
        <v>23</v>
      </c>
      <c r="C1077">
        <f>VLOOKUP(B1077,RECETAS!D1076:$E$1700,2,FALSE)</f>
        <v>20</v>
      </c>
      <c r="D1077" s="34"/>
      <c r="G1077" t="b">
        <f t="shared" si="276"/>
        <v>1</v>
      </c>
    </row>
    <row r="1078" spans="1:7" ht="15.75" thickBot="1" x14ac:dyDescent="0.3">
      <c r="A1078" t="str">
        <f>B1078&amp;"-"&amp;COUNTIF($B$2:B1078,B1078)</f>
        <v>I. CHURRASCO PORCION-19</v>
      </c>
      <c r="B1078" s="29" t="s">
        <v>24</v>
      </c>
      <c r="C1078">
        <f>VLOOKUP(B1078,RECETAS!D1077:$E$1700,2,FALSE)</f>
        <v>1</v>
      </c>
      <c r="D1078" s="27"/>
      <c r="G1078" t="b">
        <f t="shared" si="276"/>
        <v>1</v>
      </c>
    </row>
    <row r="1079" spans="1:7" x14ac:dyDescent="0.25">
      <c r="A1079" t="str">
        <f>B1079&amp;"-"&amp;COUNTIF($B$2:B1079,B1079)</f>
        <v>I. TORTILLAS GR-18</v>
      </c>
      <c r="B1079" s="26" t="s">
        <v>7</v>
      </c>
      <c r="C1079">
        <f>VLOOKUP(B1079,RECETAS!D1078:$E$1700,2,FALSE)</f>
        <v>0</v>
      </c>
      <c r="D1079" s="25" t="s">
        <v>505</v>
      </c>
      <c r="G1079" t="b">
        <f t="shared" si="276"/>
        <v>1</v>
      </c>
    </row>
    <row r="1080" spans="1:7" x14ac:dyDescent="0.25">
      <c r="A1080" t="str">
        <f>B1080&amp;"-"&amp;COUNTIF($B$2:B1080,B1080)</f>
        <v>I. fil. pollo ques-5</v>
      </c>
      <c r="B1080" s="35" t="s">
        <v>74</v>
      </c>
      <c r="C1080">
        <f>VLOOKUP(B1080,RECETAS!D1079:$E$1700,2,FALSE)</f>
        <v>0</v>
      </c>
      <c r="D1080" s="34"/>
      <c r="G1080" t="b">
        <f t="shared" si="276"/>
        <v>1</v>
      </c>
    </row>
    <row r="1081" spans="1:7" x14ac:dyDescent="0.25">
      <c r="A1081" t="str">
        <f>B1081&amp;"-"&amp;COUNTIF($B$2:B1081,B1081)</f>
        <v>I. PALTA-28</v>
      </c>
      <c r="B1081" s="35" t="s">
        <v>35</v>
      </c>
      <c r="C1081">
        <f>VLOOKUP(B1081,RECETAS!D1080:$E$1700,2,FALSE)</f>
        <v>0</v>
      </c>
      <c r="D1081" s="34"/>
      <c r="G1081" t="b">
        <f t="shared" si="276"/>
        <v>1</v>
      </c>
    </row>
    <row r="1082" spans="1:7" x14ac:dyDescent="0.25">
      <c r="A1082" t="str">
        <f>B1082&amp;"-"&amp;COUNTIF($B$2:B1082,B1082)</f>
        <v>I. CHAMP. PORCION-12</v>
      </c>
      <c r="B1082" s="35" t="s">
        <v>8</v>
      </c>
      <c r="C1082">
        <f>VLOOKUP(B1082,RECETAS!D1081:$E$1700,2,FALSE)</f>
        <v>0</v>
      </c>
      <c r="D1082" s="34"/>
      <c r="G1082" t="b">
        <f t="shared" si="276"/>
        <v>1</v>
      </c>
    </row>
    <row r="1083" spans="1:7" x14ac:dyDescent="0.25">
      <c r="A1083" t="str">
        <f>B1083&amp;"-"&amp;COUNTIF($B$2:B1083,B1083)</f>
        <v>I. QUESO GRANULADO-49</v>
      </c>
      <c r="B1083" s="36" t="s">
        <v>9</v>
      </c>
      <c r="C1083">
        <f>VLOOKUP(B1083,RECETAS!D1082:$E$1700,2,FALSE)</f>
        <v>0</v>
      </c>
      <c r="D1083" s="34"/>
      <c r="G1083" t="b">
        <f t="shared" si="276"/>
        <v>1</v>
      </c>
    </row>
    <row r="1084" spans="1:7" x14ac:dyDescent="0.25">
      <c r="A1084" t="str">
        <f>B1084&amp;"-"&amp;COUNTIF($B$2:B1084,B1084)</f>
        <v>I. TORTILLAS GR-19</v>
      </c>
      <c r="B1084" s="35" t="s">
        <v>7</v>
      </c>
      <c r="C1084">
        <f>VLOOKUP(B1084,RECETAS!D1083:$E$1700,2,FALSE)</f>
        <v>0</v>
      </c>
      <c r="D1084" s="34"/>
      <c r="G1084" t="b">
        <f t="shared" si="276"/>
        <v>1</v>
      </c>
    </row>
    <row r="1085" spans="1:7" x14ac:dyDescent="0.25">
      <c r="A1085" t="str">
        <f>B1085&amp;"-"&amp;COUNTIF($B$2:B1085,B1085)</f>
        <v>I. PALTA-29</v>
      </c>
      <c r="B1085" s="35" t="s">
        <v>35</v>
      </c>
      <c r="C1085">
        <f>VLOOKUP(B1085,RECETAS!D1084:$E$1700,2,FALSE)</f>
        <v>0</v>
      </c>
      <c r="D1085" s="34"/>
      <c r="G1085" t="b">
        <f t="shared" si="276"/>
        <v>1</v>
      </c>
    </row>
    <row r="1086" spans="1:7" x14ac:dyDescent="0.25">
      <c r="A1086" t="str">
        <f>B1086&amp;"-"&amp;COUNTIF($B$2:B1086,B1086)</f>
        <v>I. CHURRA QUES.-5</v>
      </c>
      <c r="B1086" s="35" t="s">
        <v>10</v>
      </c>
      <c r="C1086">
        <f>VLOOKUP(B1086,RECETAS!D1085:$E$1700,2,FALSE)</f>
        <v>0</v>
      </c>
      <c r="D1086" s="34"/>
      <c r="G1086" t="b">
        <f t="shared" si="276"/>
        <v>1</v>
      </c>
    </row>
    <row r="1087" spans="1:7" x14ac:dyDescent="0.25">
      <c r="A1087" t="str">
        <f>B1087&amp;"-"&amp;COUNTIF($B$2:B1087,B1087)</f>
        <v>I. QUESO GRANULADO-50</v>
      </c>
      <c r="B1087" s="36" t="s">
        <v>9</v>
      </c>
      <c r="C1087">
        <f>VLOOKUP(B1087,RECETAS!D1086:$E$1700,2,FALSE)</f>
        <v>0</v>
      </c>
      <c r="D1087" s="34"/>
      <c r="G1087" t="b">
        <f t="shared" si="276"/>
        <v>1</v>
      </c>
    </row>
    <row r="1088" spans="1:7" x14ac:dyDescent="0.25">
      <c r="A1088" t="str">
        <f>B1088&amp;"-"&amp;COUNTIF($B$2:B1088,B1088)</f>
        <v>I. TORTILLAS GR-20</v>
      </c>
      <c r="B1088" s="35" t="s">
        <v>7</v>
      </c>
      <c r="C1088">
        <f>VLOOKUP(B1088,RECETAS!D1087:$E$1700,2,FALSE)</f>
        <v>0</v>
      </c>
      <c r="D1088" s="34"/>
      <c r="G1088" t="b">
        <f t="shared" si="276"/>
        <v>1</v>
      </c>
    </row>
    <row r="1089" spans="1:7" x14ac:dyDescent="0.25">
      <c r="A1089" t="str">
        <f>B1089&amp;"-"&amp;COUNTIF($B$2:B1089,B1089)</f>
        <v>I. PALTA-30</v>
      </c>
      <c r="B1089" s="35" t="s">
        <v>35</v>
      </c>
      <c r="C1089">
        <f>VLOOKUP(B1089,RECETAS!D1088:$E$1700,2,FALSE)</f>
        <v>0</v>
      </c>
      <c r="D1089" s="34"/>
      <c r="G1089" t="b">
        <f t="shared" si="276"/>
        <v>1</v>
      </c>
    </row>
    <row r="1090" spans="1:7" x14ac:dyDescent="0.25">
      <c r="A1090" t="str">
        <f>B1090&amp;"-"&amp;COUNTIF($B$2:B1090,B1090)</f>
        <v>I. CAMARON PORCION-13</v>
      </c>
      <c r="B1090" s="35" t="s">
        <v>6</v>
      </c>
      <c r="C1090">
        <f>VLOOKUP(B1090,RECETAS!D1089:$E$1700,2,FALSE)</f>
        <v>0</v>
      </c>
      <c r="D1090" s="34"/>
      <c r="G1090" t="b">
        <f t="shared" si="276"/>
        <v>1</v>
      </c>
    </row>
    <row r="1091" spans="1:7" x14ac:dyDescent="0.25">
      <c r="A1091" t="str">
        <f>B1091&amp;"-"&amp;COUNTIF($B$2:B1091,B1091)</f>
        <v>I. QUESO GRANULADO-51</v>
      </c>
      <c r="B1091" s="36" t="s">
        <v>9</v>
      </c>
      <c r="C1091">
        <f>VLOOKUP(B1091,RECETAS!D1090:$E$1700,2,FALSE)</f>
        <v>0</v>
      </c>
      <c r="D1091" s="34"/>
      <c r="G1091" t="b">
        <f t="shared" ref="G1091:G1154" si="277">IFERROR(IF(MATCH(B1091,I:I,0) &lt;&gt; "", TRUE,""),FALSE)</f>
        <v>1</v>
      </c>
    </row>
    <row r="1092" spans="1:7" x14ac:dyDescent="0.25">
      <c r="A1092" t="str">
        <f>B1092&amp;"-"&amp;COUNTIF($B$2:B1092,B1092)</f>
        <v>I. LIMON PICA-36</v>
      </c>
      <c r="B1092" s="36" t="s">
        <v>636</v>
      </c>
      <c r="C1092">
        <f>VLOOKUP(B1092,RECETAS!D1091:$E$1700,2,FALSE)</f>
        <v>0</v>
      </c>
      <c r="D1092" s="34"/>
      <c r="G1092" t="b">
        <f t="shared" si="277"/>
        <v>1</v>
      </c>
    </row>
    <row r="1093" spans="1:7" x14ac:dyDescent="0.25">
      <c r="A1093" t="str">
        <f>B1093&amp;"-"&amp;COUNTIF($B$2:B1093,B1093)</f>
        <v>I. MINERAL1.6LT  C/G-30</v>
      </c>
      <c r="B1093" s="36" t="s">
        <v>97</v>
      </c>
      <c r="C1093">
        <f>VLOOKUP(B1093,RECETAS!D1092:$E$1700,2,FALSE)</f>
        <v>0</v>
      </c>
      <c r="D1093" s="34"/>
      <c r="G1093" t="b">
        <f t="shared" si="277"/>
        <v>1</v>
      </c>
    </row>
    <row r="1094" spans="1:7" x14ac:dyDescent="0.25">
      <c r="A1094" t="str">
        <f>B1094&amp;"-"&amp;COUNTIF($B$2:B1094,B1094)</f>
        <v>I. MENTA-27</v>
      </c>
      <c r="B1094" s="36" t="s">
        <v>637</v>
      </c>
      <c r="C1094">
        <f>VLOOKUP(B1094,RECETAS!D1093:$E$1700,2,FALSE)</f>
        <v>0</v>
      </c>
      <c r="D1094" s="34"/>
      <c r="G1094" t="b">
        <f t="shared" si="277"/>
        <v>1</v>
      </c>
    </row>
    <row r="1095" spans="1:7" x14ac:dyDescent="0.25">
      <c r="A1095" t="str">
        <f>B1095&amp;"-"&amp;COUNTIF($B$2:B1095,B1095)</f>
        <v>I. AZUCAR FLOR-83</v>
      </c>
      <c r="B1095" s="36" t="s">
        <v>51</v>
      </c>
      <c r="C1095">
        <f>VLOOKUP(B1095,RECETAS!D1094:$E$1700,2,FALSE)</f>
        <v>0</v>
      </c>
      <c r="D1095" s="34"/>
      <c r="G1095" t="b">
        <f t="shared" si="277"/>
        <v>1</v>
      </c>
    </row>
    <row r="1096" spans="1:7" x14ac:dyDescent="0.25">
      <c r="A1096" t="str">
        <f>B1096&amp;"-"&amp;COUNTIF($B$2:B1096,B1096)</f>
        <v>I. PULPA LIMON-76</v>
      </c>
      <c r="B1096" s="36" t="s">
        <v>106</v>
      </c>
      <c r="C1096">
        <f>VLOOKUP(B1096,RECETAS!D1095:$E$1700,2,FALSE)</f>
        <v>0</v>
      </c>
      <c r="D1096" s="34"/>
      <c r="G1096" t="b">
        <f t="shared" si="277"/>
        <v>1</v>
      </c>
    </row>
    <row r="1097" spans="1:7" x14ac:dyDescent="0.25">
      <c r="A1097" t="str">
        <f>B1097&amp;"-"&amp;COUNTIF($B$2:B1097,B1097)</f>
        <v>I. PULPA MARACUYA-4</v>
      </c>
      <c r="B1097" s="36" t="s">
        <v>108</v>
      </c>
      <c r="C1097">
        <f>VLOOKUP(B1097,RECETAS!D1096:$E$1700,2,FALSE)</f>
        <v>0</v>
      </c>
      <c r="D1097" s="34"/>
      <c r="G1097" t="b">
        <f t="shared" si="277"/>
        <v>1</v>
      </c>
    </row>
    <row r="1098" spans="1:7" x14ac:dyDescent="0.25">
      <c r="A1098" t="str">
        <f>B1098&amp;"-"&amp;COUNTIF($B$2:B1098,B1098)</f>
        <v>I. RON BLANCO BATALLA-29</v>
      </c>
      <c r="B1098" s="36" t="s">
        <v>116</v>
      </c>
      <c r="C1098">
        <f>VLOOKUP(B1098,RECETAS!D1097:$E$1700,2,FALSE)</f>
        <v>0</v>
      </c>
      <c r="D1098" s="34"/>
      <c r="G1098" t="b">
        <f t="shared" si="277"/>
        <v>1</v>
      </c>
    </row>
    <row r="1099" spans="1:7" ht="15.75" thickBot="1" x14ac:dyDescent="0.3">
      <c r="A1099" t="str">
        <f>B1099&amp;"-"&amp;COUNTIF($B$2:B1099,B1099)</f>
        <v>I. CREMA ESPESA-65</v>
      </c>
      <c r="B1099" s="29" t="s">
        <v>16</v>
      </c>
      <c r="C1099">
        <f>VLOOKUP(B1099,RECETAS!D1098:$E$1700,2,FALSE)</f>
        <v>0</v>
      </c>
      <c r="D1099" s="27"/>
      <c r="G1099" t="b">
        <f t="shared" si="277"/>
        <v>1</v>
      </c>
    </row>
    <row r="1100" spans="1:7" x14ac:dyDescent="0.25">
      <c r="A1100" t="str">
        <f>B1100&amp;"-"&amp;COUNTIF($B$2:B1100,B1100)</f>
        <v>I. MENTA-28</v>
      </c>
      <c r="B1100" s="65" t="s">
        <v>637</v>
      </c>
      <c r="C1100">
        <f>VLOOKUP(B1100,RECETAS!D1099:$E$1700,2,FALSE)</f>
        <v>3</v>
      </c>
      <c r="D1100" s="15" t="s">
        <v>761</v>
      </c>
      <c r="G1100" t="b">
        <f t="shared" si="277"/>
        <v>1</v>
      </c>
    </row>
    <row r="1101" spans="1:7" x14ac:dyDescent="0.25">
      <c r="A1101" t="str">
        <f>B1101&amp;"-"&amp;COUNTIF($B$2:B1101,B1101)</f>
        <v>I. AZUCAR FLOR-84</v>
      </c>
      <c r="B1101" s="36" t="s">
        <v>51</v>
      </c>
      <c r="C1101">
        <f>VLOOKUP(B1101,RECETAS!D1100:$E$1700,2,FALSE)</f>
        <v>60</v>
      </c>
      <c r="D1101" s="81"/>
      <c r="G1101" t="b">
        <f t="shared" si="277"/>
        <v>1</v>
      </c>
    </row>
    <row r="1102" spans="1:7" x14ac:dyDescent="0.25">
      <c r="A1102" t="str">
        <f>B1102&amp;"-"&amp;COUNTIF($B$2:B1102,B1102)</f>
        <v>I. LIMON PICA-37</v>
      </c>
      <c r="B1102" s="36" t="s">
        <v>636</v>
      </c>
      <c r="C1102">
        <f>VLOOKUP(B1102,RECETAS!D1101:$E$1700,2,FALSE)</f>
        <v>3</v>
      </c>
      <c r="D1102" s="81"/>
      <c r="G1102" t="b">
        <f t="shared" si="277"/>
        <v>1</v>
      </c>
    </row>
    <row r="1103" spans="1:7" x14ac:dyDescent="0.25">
      <c r="A1103" t="str">
        <f>B1103&amp;"-"&amp;COUNTIF($B$2:B1103,B1103)</f>
        <v>I. MINERAL1.6LT  C/G-31</v>
      </c>
      <c r="B1103" s="36" t="s">
        <v>97</v>
      </c>
      <c r="C1103">
        <f>VLOOKUP(B1103,RECETAS!D1102:$E$1700,2,FALSE)</f>
        <v>150</v>
      </c>
      <c r="D1103" s="81"/>
      <c r="G1103" t="b">
        <f t="shared" si="277"/>
        <v>1</v>
      </c>
    </row>
    <row r="1104" spans="1:7" x14ac:dyDescent="0.25">
      <c r="A1104" t="str">
        <f>B1104&amp;"-"&amp;COUNTIF($B$2:B1104,B1104)</f>
        <v>I. PULPA LIMON-77</v>
      </c>
      <c r="B1104" s="36" t="s">
        <v>106</v>
      </c>
      <c r="C1104">
        <f>VLOOKUP(B1104,RECETAS!D1103:$E$1700,2,FALSE)</f>
        <v>60</v>
      </c>
      <c r="D1104" s="81"/>
      <c r="G1104" t="b">
        <f t="shared" si="277"/>
        <v>1</v>
      </c>
    </row>
    <row r="1105" spans="1:7" x14ac:dyDescent="0.25">
      <c r="A1105" t="str">
        <f>B1105&amp;"-"&amp;COUNTIF($B$2:B1105,B1105)</f>
        <v>I. RON BLANCO BATALLA-30</v>
      </c>
      <c r="B1105" s="36" t="s">
        <v>116</v>
      </c>
      <c r="C1105">
        <f>VLOOKUP(B1105,RECETAS!D1104:$E$1700,2,FALSE)</f>
        <v>225</v>
      </c>
      <c r="D1105" s="81"/>
      <c r="G1105" t="b">
        <f t="shared" si="277"/>
        <v>1</v>
      </c>
    </row>
    <row r="1106" spans="1:7" ht="15.75" thickBot="1" x14ac:dyDescent="0.3">
      <c r="A1106" t="str">
        <f>B1106&amp;"-"&amp;COUNTIF($B$2:B1106,B1106)</f>
        <v>I. PULPA FRAMBUESA-11</v>
      </c>
      <c r="B1106" s="40" t="s">
        <v>105</v>
      </c>
      <c r="C1106">
        <f>VLOOKUP(B1106,RECETAS!D1105:$E$1700,2,FALSE)</f>
        <v>225</v>
      </c>
      <c r="D1106" s="82"/>
      <c r="G1106" t="b">
        <f t="shared" si="277"/>
        <v>1</v>
      </c>
    </row>
    <row r="1107" spans="1:7" x14ac:dyDescent="0.25">
      <c r="A1107" t="str">
        <f>B1107&amp;"-"&amp;COUNTIF($B$2:B1107,B1107)</f>
        <v>I. MENTA-29</v>
      </c>
      <c r="B1107" s="46" t="s">
        <v>637</v>
      </c>
      <c r="C1107">
        <f>VLOOKUP(B1107,RECETAS!D1106:$E$1700,2,FALSE)</f>
        <v>6</v>
      </c>
      <c r="D1107" s="25" t="s">
        <v>506</v>
      </c>
      <c r="G1107" t="b">
        <f t="shared" si="277"/>
        <v>1</v>
      </c>
    </row>
    <row r="1108" spans="1:7" x14ac:dyDescent="0.25">
      <c r="A1108" t="str">
        <f>B1108&amp;"-"&amp;COUNTIF($B$2:B1108,B1108)</f>
        <v>I. AZUCAR FLOR-85</v>
      </c>
      <c r="B1108" s="36" t="s">
        <v>51</v>
      </c>
      <c r="C1108">
        <f>VLOOKUP(B1108,RECETAS!D1107:$E$1700,2,FALSE)</f>
        <v>120</v>
      </c>
      <c r="D1108" s="34"/>
      <c r="G1108" t="b">
        <f t="shared" si="277"/>
        <v>1</v>
      </c>
    </row>
    <row r="1109" spans="1:7" x14ac:dyDescent="0.25">
      <c r="A1109" t="str">
        <f>B1109&amp;"-"&amp;COUNTIF($B$2:B1109,B1109)</f>
        <v>I. LIMON PICA-38</v>
      </c>
      <c r="B1109" s="36" t="s">
        <v>636</v>
      </c>
      <c r="C1109">
        <f>VLOOKUP(B1109,RECETAS!D1108:$E$1700,2,FALSE)</f>
        <v>6</v>
      </c>
      <c r="D1109" s="34"/>
      <c r="G1109" t="b">
        <f t="shared" si="277"/>
        <v>1</v>
      </c>
    </row>
    <row r="1110" spans="1:7" x14ac:dyDescent="0.25">
      <c r="A1110" t="str">
        <f>B1110&amp;"-"&amp;COUNTIF($B$2:B1110,B1110)</f>
        <v>I. MINERAL1.6LT  C/G-32</v>
      </c>
      <c r="B1110" s="36" t="s">
        <v>97</v>
      </c>
      <c r="C1110">
        <f>VLOOKUP(B1110,RECETAS!D1109:$E$1700,2,FALSE)</f>
        <v>300</v>
      </c>
      <c r="D1110" s="34"/>
      <c r="G1110" t="b">
        <f t="shared" si="277"/>
        <v>1</v>
      </c>
    </row>
    <row r="1111" spans="1:7" x14ac:dyDescent="0.25">
      <c r="A1111" t="str">
        <f>B1111&amp;"-"&amp;COUNTIF($B$2:B1111,B1111)</f>
        <v>I. PULPA LIMON-78</v>
      </c>
      <c r="B1111" s="36" t="s">
        <v>106</v>
      </c>
      <c r="C1111">
        <f>VLOOKUP(B1111,RECETAS!D1110:$E$1700,2,FALSE)</f>
        <v>120</v>
      </c>
      <c r="D1111" s="34"/>
      <c r="G1111" t="b">
        <f t="shared" si="277"/>
        <v>1</v>
      </c>
    </row>
    <row r="1112" spans="1:7" x14ac:dyDescent="0.25">
      <c r="A1112" t="str">
        <f>B1112&amp;"-"&amp;COUNTIF($B$2:B1112,B1112)</f>
        <v>I. RON BLANCO BATALLA-31</v>
      </c>
      <c r="B1112" s="36" t="s">
        <v>116</v>
      </c>
      <c r="C1112">
        <f>VLOOKUP(B1112,RECETAS!D1111:$E$1700,2,FALSE)</f>
        <v>450</v>
      </c>
      <c r="D1112" s="34"/>
      <c r="G1112" t="b">
        <f t="shared" si="277"/>
        <v>1</v>
      </c>
    </row>
    <row r="1113" spans="1:7" x14ac:dyDescent="0.25">
      <c r="A1113" t="str">
        <f>B1113&amp;"-"&amp;COUNTIF($B$2:B1113,B1113)</f>
        <v>I. PULPA FRAMBUESA-12</v>
      </c>
      <c r="B1113" s="36" t="s">
        <v>105</v>
      </c>
      <c r="C1113">
        <f>VLOOKUP(B1113,RECETAS!D1112:$E$1700,2,FALSE)</f>
        <v>450</v>
      </c>
      <c r="D1113" s="34"/>
      <c r="G1113" t="b">
        <f t="shared" si="277"/>
        <v>1</v>
      </c>
    </row>
    <row r="1114" spans="1:7" x14ac:dyDescent="0.25">
      <c r="A1114" t="str">
        <f>B1114&amp;"-"&amp;COUNTIF($B$2:B1114,B1114)</f>
        <v>I. PAPAS FRITAS-47</v>
      </c>
      <c r="B1114" s="35" t="s">
        <v>13</v>
      </c>
      <c r="C1114">
        <f>VLOOKUP(B1114,RECETAS!D1113:$E$1700,2,FALSE)</f>
        <v>1600</v>
      </c>
      <c r="D1114" s="34"/>
      <c r="G1114" t="b">
        <f t="shared" si="277"/>
        <v>1</v>
      </c>
    </row>
    <row r="1115" spans="1:7" x14ac:dyDescent="0.25">
      <c r="A1115" t="str">
        <f>B1115&amp;"-"&amp;COUNTIF($B$2:B1115,B1115)</f>
        <v>I. QUESO GRANULADO-52</v>
      </c>
      <c r="B1115" s="35" t="s">
        <v>9</v>
      </c>
      <c r="C1115">
        <f>VLOOKUP(B1115,RECETAS!D1114:$E$1700,2,FALSE)</f>
        <v>300</v>
      </c>
      <c r="D1115" s="34"/>
      <c r="G1115" t="b">
        <f t="shared" si="277"/>
        <v>1</v>
      </c>
    </row>
    <row r="1116" spans="1:7" x14ac:dyDescent="0.25">
      <c r="A1116" t="str">
        <f>B1116&amp;"-"&amp;COUNTIF($B$2:B1116,B1116)</f>
        <v>I. CREMA ESPESA-66</v>
      </c>
      <c r="B1116" s="35" t="s">
        <v>16</v>
      </c>
      <c r="C1116">
        <f>VLOOKUP(B1116,RECETAS!D1115:$E$1700,2,FALSE)</f>
        <v>300</v>
      </c>
      <c r="D1116" s="34"/>
      <c r="G1116" t="b">
        <f t="shared" si="277"/>
        <v>1</v>
      </c>
    </row>
    <row r="1117" spans="1:7" x14ac:dyDescent="0.25">
      <c r="A1117" t="str">
        <f>B1117&amp;"-"&amp;COUNTIF($B$2:B1117,B1117)</f>
        <v>I. CIBOULET-27</v>
      </c>
      <c r="B1117" s="35" t="s">
        <v>23</v>
      </c>
      <c r="C1117">
        <f>VLOOKUP(B1117,RECETAS!D1116:$E$1700,2,FALSE)</f>
        <v>40</v>
      </c>
      <c r="D1117" s="34"/>
      <c r="G1117" t="b">
        <f t="shared" si="277"/>
        <v>1</v>
      </c>
    </row>
    <row r="1118" spans="1:7" ht="15.75" thickBot="1" x14ac:dyDescent="0.3">
      <c r="A1118" t="str">
        <f>B1118&amp;"-"&amp;COUNTIF($B$2:B1118,B1118)</f>
        <v>I. CHURRASCO PORCION-20</v>
      </c>
      <c r="B1118" s="29" t="s">
        <v>24</v>
      </c>
      <c r="C1118">
        <f>VLOOKUP(B1118,RECETAS!D1117:$E$1700,2,FALSE)</f>
        <v>2</v>
      </c>
      <c r="D1118" s="27"/>
      <c r="G1118" t="b">
        <f t="shared" si="277"/>
        <v>1</v>
      </c>
    </row>
    <row r="1119" spans="1:7" x14ac:dyDescent="0.25">
      <c r="A1119" t="str">
        <f>B1119&amp;"-"&amp;COUNTIF($B$2:B1119,B1119)</f>
        <v>I. TORTILLAS GR-21</v>
      </c>
      <c r="B1119" s="26" t="s">
        <v>7</v>
      </c>
      <c r="C1119">
        <f>VLOOKUP(B1119,RECETAS!D1118:$E$1700,2,FALSE)</f>
        <v>0</v>
      </c>
      <c r="D1119" s="25" t="s">
        <v>507</v>
      </c>
      <c r="G1119" t="b">
        <f t="shared" si="277"/>
        <v>1</v>
      </c>
    </row>
    <row r="1120" spans="1:7" ht="15" customHeight="1" x14ac:dyDescent="0.25">
      <c r="A1120" t="str">
        <f>B1120&amp;"-"&amp;COUNTIF($B$2:B1120,B1120)</f>
        <v>I. fil. pollo ques-6</v>
      </c>
      <c r="B1120" s="35" t="s">
        <v>74</v>
      </c>
      <c r="C1120">
        <f>VLOOKUP(B1120,RECETAS!D1119:$E$1700,2,FALSE)</f>
        <v>0</v>
      </c>
      <c r="D1120" s="34"/>
      <c r="G1120" t="b">
        <f t="shared" si="277"/>
        <v>1</v>
      </c>
    </row>
    <row r="1121" spans="1:7" ht="15" customHeight="1" x14ac:dyDescent="0.25">
      <c r="A1121" t="str">
        <f>B1121&amp;"-"&amp;COUNTIF($B$2:B1121,B1121)</f>
        <v>I. PALTA-31</v>
      </c>
      <c r="B1121" s="35" t="s">
        <v>35</v>
      </c>
      <c r="C1121">
        <f>VLOOKUP(B1121,RECETAS!D1120:$E$1700,2,FALSE)</f>
        <v>0</v>
      </c>
      <c r="D1121" s="34"/>
      <c r="G1121" t="b">
        <f t="shared" si="277"/>
        <v>1</v>
      </c>
    </row>
    <row r="1122" spans="1:7" ht="15" customHeight="1" x14ac:dyDescent="0.25">
      <c r="A1122" t="str">
        <f>B1122&amp;"-"&amp;COUNTIF($B$2:B1122,B1122)</f>
        <v>I. CHAMP. PORCION-13</v>
      </c>
      <c r="B1122" s="35" t="s">
        <v>8</v>
      </c>
      <c r="C1122">
        <f>VLOOKUP(B1122,RECETAS!D1121:$E$1700,2,FALSE)</f>
        <v>0</v>
      </c>
      <c r="D1122" s="34"/>
      <c r="G1122" t="b">
        <f t="shared" si="277"/>
        <v>1</v>
      </c>
    </row>
    <row r="1123" spans="1:7" ht="15" customHeight="1" x14ac:dyDescent="0.25">
      <c r="A1123" t="str">
        <f>B1123&amp;"-"&amp;COUNTIF($B$2:B1123,B1123)</f>
        <v>I. QUESO GRANULADO-53</v>
      </c>
      <c r="B1123" s="36" t="s">
        <v>9</v>
      </c>
      <c r="C1123">
        <f>VLOOKUP(B1123,RECETAS!D1122:$E$1700,2,FALSE)</f>
        <v>0</v>
      </c>
      <c r="D1123" s="34"/>
      <c r="G1123" t="b">
        <f t="shared" si="277"/>
        <v>1</v>
      </c>
    </row>
    <row r="1124" spans="1:7" ht="15" customHeight="1" x14ac:dyDescent="0.25">
      <c r="A1124" t="str">
        <f>B1124&amp;"-"&amp;COUNTIF($B$2:B1124,B1124)</f>
        <v>I. TORTILLAS GR-22</v>
      </c>
      <c r="B1124" s="35" t="s">
        <v>7</v>
      </c>
      <c r="C1124">
        <f>VLOOKUP(B1124,RECETAS!D1123:$E$1700,2,FALSE)</f>
        <v>0</v>
      </c>
      <c r="D1124" s="34"/>
      <c r="G1124" t="b">
        <f t="shared" si="277"/>
        <v>1</v>
      </c>
    </row>
    <row r="1125" spans="1:7" ht="15.75" customHeight="1" x14ac:dyDescent="0.25">
      <c r="A1125" t="str">
        <f>B1125&amp;"-"&amp;COUNTIF($B$2:B1125,B1125)</f>
        <v>I. PALTA-32</v>
      </c>
      <c r="B1125" s="35" t="s">
        <v>35</v>
      </c>
      <c r="C1125">
        <f>VLOOKUP(B1125,RECETAS!D1124:$E$1700,2,FALSE)</f>
        <v>0</v>
      </c>
      <c r="D1125" s="34"/>
      <c r="G1125" t="b">
        <f t="shared" si="277"/>
        <v>1</v>
      </c>
    </row>
    <row r="1126" spans="1:7" ht="15.75" customHeight="1" x14ac:dyDescent="0.25">
      <c r="A1126" t="str">
        <f>B1126&amp;"-"&amp;COUNTIF($B$2:B1126,B1126)</f>
        <v>I. CHURRA QUES.-6</v>
      </c>
      <c r="B1126" s="35" t="s">
        <v>10</v>
      </c>
      <c r="C1126">
        <f>VLOOKUP(B1126,RECETAS!D1125:$E$1700,2,FALSE)</f>
        <v>0</v>
      </c>
      <c r="D1126" s="34"/>
      <c r="G1126" t="b">
        <f t="shared" si="277"/>
        <v>1</v>
      </c>
    </row>
    <row r="1127" spans="1:7" ht="15.75" customHeight="1" x14ac:dyDescent="0.25">
      <c r="A1127" t="str">
        <f>B1127&amp;"-"&amp;COUNTIF($B$2:B1127,B1127)</f>
        <v>I. QUESO GRANULADO-54</v>
      </c>
      <c r="B1127" s="36" t="s">
        <v>9</v>
      </c>
      <c r="C1127">
        <f>VLOOKUP(B1127,RECETAS!D1126:$E$1700,2,FALSE)</f>
        <v>0</v>
      </c>
      <c r="D1127" s="34"/>
      <c r="G1127" t="b">
        <f t="shared" si="277"/>
        <v>1</v>
      </c>
    </row>
    <row r="1128" spans="1:7" ht="15.75" customHeight="1" x14ac:dyDescent="0.25">
      <c r="A1128" t="str">
        <f>B1128&amp;"-"&amp;COUNTIF($B$2:B1128,B1128)</f>
        <v>I. TORTILLAS GR-23</v>
      </c>
      <c r="B1128" s="35" t="s">
        <v>7</v>
      </c>
      <c r="C1128">
        <f>VLOOKUP(B1128,RECETAS!D1127:$E$1700,2,FALSE)</f>
        <v>0</v>
      </c>
      <c r="D1128" s="34"/>
      <c r="G1128" t="b">
        <f t="shared" si="277"/>
        <v>1</v>
      </c>
    </row>
    <row r="1129" spans="1:7" ht="15.75" customHeight="1" x14ac:dyDescent="0.25">
      <c r="A1129" t="str">
        <f>B1129&amp;"-"&amp;COUNTIF($B$2:B1129,B1129)</f>
        <v>I. PALTA-33</v>
      </c>
      <c r="B1129" s="35" t="s">
        <v>35</v>
      </c>
      <c r="C1129">
        <f>VLOOKUP(B1129,RECETAS!D1128:$E$1700,2,FALSE)</f>
        <v>0</v>
      </c>
      <c r="D1129" s="34"/>
      <c r="G1129" t="b">
        <f t="shared" si="277"/>
        <v>1</v>
      </c>
    </row>
    <row r="1130" spans="1:7" ht="15.75" customHeight="1" x14ac:dyDescent="0.25">
      <c r="A1130" t="str">
        <f>B1130&amp;"-"&amp;COUNTIF($B$2:B1130,B1130)</f>
        <v>I. CAMARON PORCION-14</v>
      </c>
      <c r="B1130" s="35" t="s">
        <v>6</v>
      </c>
      <c r="C1130">
        <f>VLOOKUP(B1130,RECETAS!D1129:$E$1700,2,FALSE)</f>
        <v>0</v>
      </c>
      <c r="D1130" s="34"/>
      <c r="G1130" t="b">
        <f t="shared" si="277"/>
        <v>1</v>
      </c>
    </row>
    <row r="1131" spans="1:7" ht="15" customHeight="1" x14ac:dyDescent="0.25">
      <c r="A1131" t="str">
        <f>B1131&amp;"-"&amp;COUNTIF($B$2:B1131,B1131)</f>
        <v>I. QUESO GRANULADO-55</v>
      </c>
      <c r="B1131" s="36" t="s">
        <v>9</v>
      </c>
      <c r="C1131">
        <f>VLOOKUP(B1131,RECETAS!D1130:$E$1700,2,FALSE)</f>
        <v>0</v>
      </c>
      <c r="D1131" s="34"/>
      <c r="G1131" t="b">
        <f t="shared" si="277"/>
        <v>1</v>
      </c>
    </row>
    <row r="1132" spans="1:7" ht="15" customHeight="1" x14ac:dyDescent="0.25">
      <c r="A1132" t="str">
        <f>B1132&amp;"-"&amp;COUNTIF($B$2:B1132,B1132)</f>
        <v>I. LIMON PICA-39</v>
      </c>
      <c r="B1132" s="36" t="s">
        <v>636</v>
      </c>
      <c r="C1132">
        <f>VLOOKUP(B1132,RECETAS!D1131:$E$1700,2,FALSE)</f>
        <v>0</v>
      </c>
      <c r="D1132" s="34"/>
      <c r="G1132" t="b">
        <f t="shared" si="277"/>
        <v>1</v>
      </c>
    </row>
    <row r="1133" spans="1:7" ht="15" customHeight="1" x14ac:dyDescent="0.25">
      <c r="A1133" t="str">
        <f>B1133&amp;"-"&amp;COUNTIF($B$2:B1133,B1133)</f>
        <v>I. MINERAL1.6LT  C/G-33</v>
      </c>
      <c r="B1133" s="36" t="s">
        <v>97</v>
      </c>
      <c r="C1133">
        <f>VLOOKUP(B1133,RECETAS!D1132:$E$1700,2,FALSE)</f>
        <v>0</v>
      </c>
      <c r="D1133" s="34"/>
      <c r="G1133" t="b">
        <f t="shared" si="277"/>
        <v>1</v>
      </c>
    </row>
    <row r="1134" spans="1:7" ht="15" customHeight="1" x14ac:dyDescent="0.25">
      <c r="A1134" t="str">
        <f>B1134&amp;"-"&amp;COUNTIF($B$2:B1134,B1134)</f>
        <v>I. MENTA-30</v>
      </c>
      <c r="B1134" s="36" t="s">
        <v>637</v>
      </c>
      <c r="C1134">
        <f>VLOOKUP(B1134,RECETAS!D1133:$E$1700,2,FALSE)</f>
        <v>0</v>
      </c>
      <c r="D1134" s="34"/>
      <c r="G1134" t="b">
        <f t="shared" si="277"/>
        <v>1</v>
      </c>
    </row>
    <row r="1135" spans="1:7" ht="15" customHeight="1" x14ac:dyDescent="0.25">
      <c r="A1135" t="str">
        <f>B1135&amp;"-"&amp;COUNTIF($B$2:B1135,B1135)</f>
        <v>I. AZUCAR FLOR-86</v>
      </c>
      <c r="B1135" s="36" t="s">
        <v>51</v>
      </c>
      <c r="C1135">
        <f>VLOOKUP(B1135,RECETAS!D1134:$E$1700,2,FALSE)</f>
        <v>0</v>
      </c>
      <c r="D1135" s="34"/>
      <c r="G1135" t="b">
        <f t="shared" si="277"/>
        <v>1</v>
      </c>
    </row>
    <row r="1136" spans="1:7" ht="15" customHeight="1" x14ac:dyDescent="0.25">
      <c r="A1136" t="str">
        <f>B1136&amp;"-"&amp;COUNTIF($B$2:B1136,B1136)</f>
        <v>I. PULPA LIMON-79</v>
      </c>
      <c r="B1136" s="36" t="s">
        <v>106</v>
      </c>
      <c r="C1136">
        <f>VLOOKUP(B1136,RECETAS!D1135:$E$1700,2,FALSE)</f>
        <v>0</v>
      </c>
      <c r="D1136" s="34"/>
      <c r="G1136" t="b">
        <f t="shared" si="277"/>
        <v>1</v>
      </c>
    </row>
    <row r="1137" spans="1:7" ht="15.75" customHeight="1" x14ac:dyDescent="0.25">
      <c r="A1137" t="str">
        <f>B1137&amp;"-"&amp;COUNTIF($B$2:B1137,B1137)</f>
        <v>I. PULPA FRAMBUESA-13</v>
      </c>
      <c r="B1137" s="36" t="s">
        <v>105</v>
      </c>
      <c r="C1137">
        <f>VLOOKUP(B1137,RECETAS!D1136:$E$1700,2,FALSE)</f>
        <v>0</v>
      </c>
      <c r="D1137" s="34"/>
      <c r="G1137" t="b">
        <f t="shared" si="277"/>
        <v>1</v>
      </c>
    </row>
    <row r="1138" spans="1:7" x14ac:dyDescent="0.25">
      <c r="A1138" t="str">
        <f>B1138&amp;"-"&amp;COUNTIF($B$2:B1138,B1138)</f>
        <v>I. RON BLANCO BATALLA-32</v>
      </c>
      <c r="B1138" s="36" t="s">
        <v>116</v>
      </c>
      <c r="C1138">
        <f>VLOOKUP(B1138,RECETAS!D1137:$E$1700,2,FALSE)</f>
        <v>0</v>
      </c>
      <c r="D1138" s="34"/>
      <c r="G1138" t="b">
        <f t="shared" si="277"/>
        <v>1</v>
      </c>
    </row>
    <row r="1139" spans="1:7" ht="15.75" thickBot="1" x14ac:dyDescent="0.3">
      <c r="A1139" t="str">
        <f>B1139&amp;"-"&amp;COUNTIF($B$2:B1139,B1139)</f>
        <v>I. CREMA ESPESA-67</v>
      </c>
      <c r="B1139" s="29" t="s">
        <v>16</v>
      </c>
      <c r="C1139">
        <f>VLOOKUP(B1139,RECETAS!D1138:$E$1700,2,FALSE)</f>
        <v>0</v>
      </c>
      <c r="D1139" s="27"/>
      <c r="G1139" t="b">
        <f t="shared" si="277"/>
        <v>1</v>
      </c>
    </row>
    <row r="1140" spans="1:7" ht="15.75" thickBot="1" x14ac:dyDescent="0.3">
      <c r="A1140" t="str">
        <f>B1140&amp;"-"&amp;COUNTIF($B$2:B1140,B1140)</f>
        <v>I. RBULL ENERGY DR-8</v>
      </c>
      <c r="B1140" s="48" t="s">
        <v>110</v>
      </c>
      <c r="C1140">
        <f>VLOOKUP(B1140,RECETAS!D1139:$E$1700,2,FALSE)</f>
        <v>0</v>
      </c>
      <c r="D1140" s="18" t="s">
        <v>508</v>
      </c>
      <c r="G1140" t="b">
        <f t="shared" si="277"/>
        <v>1</v>
      </c>
    </row>
    <row r="1141" spans="1:7" ht="15.75" thickBot="1" x14ac:dyDescent="0.3">
      <c r="A1141" t="str">
        <f>B1141&amp;"-"&amp;COUNTIF($B$2:B1141,B1141)</f>
        <v>I. RE BULL YELLOW-2</v>
      </c>
      <c r="B1141" s="55" t="s">
        <v>112</v>
      </c>
      <c r="C1141">
        <f>VLOOKUP(B1141,RECETAS!D1140:$E$1700,2,FALSE)</f>
        <v>0</v>
      </c>
      <c r="D1141" s="72" t="s">
        <v>509</v>
      </c>
      <c r="G1141" t="b">
        <f t="shared" si="277"/>
        <v>1</v>
      </c>
    </row>
    <row r="1142" spans="1:7" ht="15.75" thickBot="1" x14ac:dyDescent="0.3">
      <c r="A1142" t="str">
        <f>B1142&amp;"-"&amp;COUNTIF($B$2:B1142,B1142)</f>
        <v>I. MONSTER-2</v>
      </c>
      <c r="B1142" s="48" t="s">
        <v>100</v>
      </c>
      <c r="C1142">
        <f>VLOOKUP(B1142,RECETAS!D1141:$E$1700,2,FALSE)</f>
        <v>0</v>
      </c>
      <c r="D1142" s="18" t="s">
        <v>510</v>
      </c>
      <c r="G1142" t="b">
        <f t="shared" si="277"/>
        <v>1</v>
      </c>
    </row>
    <row r="1143" spans="1:7" ht="15.75" thickBot="1" x14ac:dyDescent="0.3">
      <c r="A1143" t="str">
        <f>B1143&amp;"-"&amp;COUNTIF($B$2:B1143,B1143)</f>
        <v>I. MONSTER-3</v>
      </c>
      <c r="B1143" s="56" t="s">
        <v>100</v>
      </c>
      <c r="C1143">
        <f>VLOOKUP(B1143,RECETAS!D1142:$E$1700,2,FALSE)</f>
        <v>0</v>
      </c>
      <c r="D1143" s="72" t="s">
        <v>511</v>
      </c>
      <c r="G1143" t="b">
        <f t="shared" si="277"/>
        <v>1</v>
      </c>
    </row>
    <row r="1144" spans="1:7" ht="15.75" thickBot="1" x14ac:dyDescent="0.3">
      <c r="A1144" t="str">
        <f>B1144&amp;"-"&amp;COUNTIF($B$2:B1144,B1144)</f>
        <v>I. COCA COLA 1,5-4</v>
      </c>
      <c r="B1144" s="20" t="s">
        <v>60</v>
      </c>
      <c r="C1144">
        <f>VLOOKUP(B1144,RECETAS!D1143:$E$1700,2,FALSE)</f>
        <v>0</v>
      </c>
      <c r="D1144" s="18" t="s">
        <v>541</v>
      </c>
      <c r="G1144" t="b">
        <f t="shared" si="277"/>
        <v>1</v>
      </c>
    </row>
    <row r="1145" spans="1:7" ht="15.75" thickBot="1" x14ac:dyDescent="0.3">
      <c r="A1145" t="str">
        <f>B1145&amp;"-"&amp;COUNTIF($B$2:B1145,B1145)</f>
        <v>I. COCA ZERO 1,5-1</v>
      </c>
      <c r="B1145" s="54" t="s">
        <v>312</v>
      </c>
      <c r="C1145">
        <f>VLOOKUP(B1145,RECETAS!D1144:$E$1700,2,FALSE)</f>
        <v>4</v>
      </c>
      <c r="D1145" s="72" t="s">
        <v>512</v>
      </c>
      <c r="G1145" t="b">
        <f t="shared" si="277"/>
        <v>1</v>
      </c>
    </row>
    <row r="1146" spans="1:7" ht="15.75" thickBot="1" x14ac:dyDescent="0.3">
      <c r="A1146" t="str">
        <f>B1146&amp;"-"&amp;COUNTIF($B$2:B1146,B1146)</f>
        <v>I. TONICA 1,5 LTS-1</v>
      </c>
      <c r="B1146" s="47" t="s">
        <v>126</v>
      </c>
      <c r="C1146">
        <f>VLOOKUP(B1146,RECETAS!D1145:$E$1700,2,FALSE)</f>
        <v>0</v>
      </c>
      <c r="D1146" s="18" t="s">
        <v>513</v>
      </c>
      <c r="G1146" t="b">
        <f t="shared" si="277"/>
        <v>1</v>
      </c>
    </row>
    <row r="1147" spans="1:7" ht="15.75" thickBot="1" x14ac:dyDescent="0.3">
      <c r="A1147" t="str">
        <f>B1147&amp;"-"&amp;COUNTIF($B$2:B1147,B1147)</f>
        <v>I. GINGER ALE ZERO 1,5-1</v>
      </c>
      <c r="B1147" s="55" t="s">
        <v>313</v>
      </c>
      <c r="C1147">
        <f>VLOOKUP(B1147,RECETAS!D1146:$E$1700,2,FALSE)</f>
        <v>2</v>
      </c>
      <c r="D1147" s="72" t="s">
        <v>514</v>
      </c>
      <c r="G1147" t="b">
        <f t="shared" si="277"/>
        <v>1</v>
      </c>
    </row>
    <row r="1148" spans="1:7" ht="15.75" thickBot="1" x14ac:dyDescent="0.3">
      <c r="A1148" t="str">
        <f>B1148&amp;"-"&amp;COUNTIF($B$2:B1148,B1148)</f>
        <v>I. MINERAL1.6LT  C/G-34</v>
      </c>
      <c r="B1148" s="47" t="s">
        <v>97</v>
      </c>
      <c r="C1148">
        <f>VLOOKUP(B1148,RECETAS!D1147:$E$1700,2,FALSE)</f>
        <v>0</v>
      </c>
      <c r="D1148" s="116" t="s">
        <v>672</v>
      </c>
      <c r="G1148" t="b">
        <f t="shared" si="277"/>
        <v>1</v>
      </c>
    </row>
    <row r="1149" spans="1:7" ht="15.75" thickBot="1" x14ac:dyDescent="0.3">
      <c r="A1149" t="str">
        <f>B1149&amp;"-"&amp;COUNTIF($B$2:B1149,B1149)</f>
        <v>I. COCA ZERO 350-4</v>
      </c>
      <c r="B1149" s="55" t="s">
        <v>63</v>
      </c>
      <c r="C1149">
        <f>VLOOKUP(B1149,RECETAS!D1148:$E$1700,2,FALSE)</f>
        <v>0</v>
      </c>
      <c r="D1149" s="72" t="s">
        <v>515</v>
      </c>
      <c r="G1149" t="b">
        <f t="shared" si="277"/>
        <v>1</v>
      </c>
    </row>
    <row r="1150" spans="1:7" ht="15.75" thickBot="1" x14ac:dyDescent="0.3">
      <c r="A1150" t="str">
        <f>B1150&amp;"-"&amp;COUNTIF($B$2:B1150,B1150)</f>
        <v>I. SPRITE ZERO 350-4</v>
      </c>
      <c r="B1150" s="47" t="s">
        <v>120</v>
      </c>
      <c r="C1150">
        <f>VLOOKUP(B1150,RECETAS!D1149:$E$1700,2,FALSE)</f>
        <v>0</v>
      </c>
      <c r="D1150" s="18" t="s">
        <v>516</v>
      </c>
      <c r="G1150" t="b">
        <f t="shared" si="277"/>
        <v>1</v>
      </c>
    </row>
    <row r="1151" spans="1:7" ht="15.75" thickBot="1" x14ac:dyDescent="0.3">
      <c r="A1151" t="str">
        <f>B1151&amp;"-"&amp;COUNTIF($B$2:B1151,B1151)</f>
        <v>I. COCA COLA 350-4</v>
      </c>
      <c r="B1151" s="55" t="s">
        <v>61</v>
      </c>
      <c r="C1151">
        <f>VLOOKUP(B1151,RECETAS!D1150:$E$1700,2,FALSE)</f>
        <v>0</v>
      </c>
      <c r="D1151" s="72" t="s">
        <v>517</v>
      </c>
      <c r="G1151" t="b">
        <f t="shared" si="277"/>
        <v>1</v>
      </c>
    </row>
    <row r="1152" spans="1:7" ht="15.75" thickBot="1" x14ac:dyDescent="0.3">
      <c r="A1152" t="str">
        <f>B1152&amp;"-"&amp;COUNTIF($B$2:B1152,B1152)</f>
        <v>I. CORONA-8</v>
      </c>
      <c r="B1152" s="47" t="s">
        <v>65</v>
      </c>
      <c r="C1152">
        <f>VLOOKUP(B1152,RECETAS!D1151:$E$1700,2,FALSE)</f>
        <v>2</v>
      </c>
      <c r="D1152" s="18" t="s">
        <v>518</v>
      </c>
      <c r="G1152" t="b">
        <f t="shared" si="277"/>
        <v>1</v>
      </c>
    </row>
    <row r="1153" spans="1:7" ht="15.75" thickBot="1" x14ac:dyDescent="0.3">
      <c r="A1153" t="str">
        <f>B1153&amp;"-"&amp;COUNTIF($B$2:B1153,B1153)</f>
        <v>I. BUDWEISER-2</v>
      </c>
      <c r="B1153" s="55" t="s">
        <v>56</v>
      </c>
      <c r="C1153">
        <f>VLOOKUP(B1153,RECETAS!D1152:$E$1700,2,FALSE)</f>
        <v>0</v>
      </c>
      <c r="D1153" s="72" t="s">
        <v>519</v>
      </c>
      <c r="G1153" t="b">
        <f t="shared" si="277"/>
        <v>1</v>
      </c>
    </row>
    <row r="1154" spans="1:7" x14ac:dyDescent="0.25">
      <c r="A1154" t="str">
        <f>B1154&amp;"-"&amp;COUNTIF($B$2:B1154,B1154)</f>
        <v>I. MENTA-31</v>
      </c>
      <c r="B1154" s="46" t="s">
        <v>637</v>
      </c>
      <c r="C1154">
        <f>VLOOKUP(B1154,RECETAS!D1153:$E$1700,2,FALSE)</f>
        <v>36</v>
      </c>
      <c r="D1154" s="25" t="s">
        <v>321</v>
      </c>
      <c r="G1154" t="b">
        <f t="shared" si="277"/>
        <v>1</v>
      </c>
    </row>
    <row r="1155" spans="1:7" ht="15.75" x14ac:dyDescent="0.25">
      <c r="A1155" t="str">
        <f>B1155&amp;"-"&amp;COUNTIF($B$2:B1155,B1155)</f>
        <v>I. AZUCAR FLOR-87</v>
      </c>
      <c r="B1155" s="36" t="s">
        <v>51</v>
      </c>
      <c r="C1155">
        <f>VLOOKUP(B1155,RECETAS!D1154:$E$1700,2,FALSE)</f>
        <v>720</v>
      </c>
      <c r="D1155" s="87"/>
      <c r="G1155" t="b">
        <f t="shared" ref="G1155:G1218" si="278">IFERROR(IF(MATCH(B1155,I:I,0) &lt;&gt; "", TRUE,""),FALSE)</f>
        <v>1</v>
      </c>
    </row>
    <row r="1156" spans="1:7" ht="15.75" x14ac:dyDescent="0.25">
      <c r="A1156" t="str">
        <f>B1156&amp;"-"&amp;COUNTIF($B$2:B1156,B1156)</f>
        <v>I. LIMON PICA-40</v>
      </c>
      <c r="B1156" s="36" t="s">
        <v>636</v>
      </c>
      <c r="C1156">
        <f>VLOOKUP(B1156,RECETAS!D1155:$E$1700,2,FALSE)</f>
        <v>36</v>
      </c>
      <c r="D1156" s="87"/>
      <c r="G1156" t="b">
        <f t="shared" si="278"/>
        <v>1</v>
      </c>
    </row>
    <row r="1157" spans="1:7" ht="15.75" x14ac:dyDescent="0.25">
      <c r="A1157" t="str">
        <f>B1157&amp;"-"&amp;COUNTIF($B$2:B1157,B1157)</f>
        <v>I. MINERAL1.6LT  C/G-35</v>
      </c>
      <c r="B1157" s="36" t="s">
        <v>97</v>
      </c>
      <c r="C1157">
        <f>VLOOKUP(B1157,RECETAS!D1156:$E$1700,2,FALSE)</f>
        <v>1800</v>
      </c>
      <c r="D1157" s="87"/>
      <c r="G1157" t="b">
        <f t="shared" si="278"/>
        <v>1</v>
      </c>
    </row>
    <row r="1158" spans="1:7" ht="15.75" x14ac:dyDescent="0.25">
      <c r="A1158" t="str">
        <f>B1158&amp;"-"&amp;COUNTIF($B$2:B1158,B1158)</f>
        <v>I. PULPA LIMON-80</v>
      </c>
      <c r="B1158" s="36" t="s">
        <v>106</v>
      </c>
      <c r="C1158">
        <f>VLOOKUP(B1158,RECETAS!D1157:$E$1700,2,FALSE)</f>
        <v>720</v>
      </c>
      <c r="D1158" s="87"/>
      <c r="G1158" t="b">
        <f t="shared" si="278"/>
        <v>1</v>
      </c>
    </row>
    <row r="1159" spans="1:7" ht="15.75" x14ac:dyDescent="0.25">
      <c r="A1159" t="str">
        <f>B1159&amp;"-"&amp;COUNTIF($B$2:B1159,B1159)</f>
        <v>I. RON BLANCO BATALLA-33</v>
      </c>
      <c r="B1159" s="36" t="s">
        <v>116</v>
      </c>
      <c r="C1159">
        <f>VLOOKUP(B1159,RECETAS!D1158:$E$1700,2,FALSE)</f>
        <v>2700</v>
      </c>
      <c r="D1159" s="87"/>
      <c r="G1159" t="b">
        <f t="shared" si="278"/>
        <v>1</v>
      </c>
    </row>
    <row r="1160" spans="1:7" ht="16.5" thickBot="1" x14ac:dyDescent="0.3">
      <c r="A1160" t="str">
        <f>B1160&amp;"-"&amp;COUNTIF($B$2:B1160,B1160)</f>
        <v>I. PULPA MARACUYA-5</v>
      </c>
      <c r="B1160" s="29" t="s">
        <v>108</v>
      </c>
      <c r="C1160">
        <f>VLOOKUP(B1160,RECETAS!D1159:$E$1700,2,FALSE)</f>
        <v>2700</v>
      </c>
      <c r="D1160" s="88"/>
      <c r="G1160" t="b">
        <f t="shared" si="278"/>
        <v>1</v>
      </c>
    </row>
    <row r="1161" spans="1:7" x14ac:dyDescent="0.25">
      <c r="A1161" t="str">
        <f>B1161&amp;"-"&amp;COUNTIF($B$2:B1161,B1161)</f>
        <v>I. CACHAZA-10</v>
      </c>
      <c r="B1161" s="26" t="s">
        <v>57</v>
      </c>
      <c r="C1161">
        <f>VLOOKUP(B1161,RECETAS!D1160:$E$1700,2,FALSE)</f>
        <v>150</v>
      </c>
      <c r="D1161" s="25" t="s">
        <v>591</v>
      </c>
      <c r="G1161" t="b">
        <f t="shared" si="278"/>
        <v>1</v>
      </c>
    </row>
    <row r="1162" spans="1:7" x14ac:dyDescent="0.25">
      <c r="A1162" t="str">
        <f>B1162&amp;"-"&amp;COUNTIF($B$2:B1162,B1162)</f>
        <v>I. LIMON PICA-41</v>
      </c>
      <c r="B1162" s="35" t="s">
        <v>636</v>
      </c>
      <c r="C1162">
        <f>VLOOKUP(B1162,RECETAS!D1161:$E$1700,2,FALSE)</f>
        <v>1</v>
      </c>
      <c r="D1162" s="34"/>
      <c r="G1162" t="b">
        <f t="shared" si="278"/>
        <v>1</v>
      </c>
    </row>
    <row r="1163" spans="1:7" x14ac:dyDescent="0.25">
      <c r="A1163" t="str">
        <f>B1163&amp;"-"&amp;COUNTIF($B$2:B1163,B1163)</f>
        <v>I. AZUCAR FLOR-88</v>
      </c>
      <c r="B1163" s="35" t="s">
        <v>51</v>
      </c>
      <c r="C1163">
        <f>VLOOKUP(B1163,RECETAS!D1162:$E$1700,2,FALSE)</f>
        <v>40</v>
      </c>
      <c r="D1163" s="34"/>
      <c r="G1163" t="b">
        <f t="shared" si="278"/>
        <v>1</v>
      </c>
    </row>
    <row r="1164" spans="1:7" ht="15.75" thickBot="1" x14ac:dyDescent="0.3">
      <c r="A1164" t="str">
        <f>B1164&amp;"-"&amp;COUNTIF($B$2:B1164,B1164)</f>
        <v>I. PULPA LIMON-81</v>
      </c>
      <c r="B1164" s="28" t="s">
        <v>106</v>
      </c>
      <c r="C1164">
        <f>VLOOKUP(B1164,RECETAS!D1163:$E$1700,2,FALSE)</f>
        <v>40</v>
      </c>
      <c r="D1164" s="27"/>
      <c r="G1164" t="b">
        <f t="shared" si="278"/>
        <v>1</v>
      </c>
    </row>
    <row r="1165" spans="1:7" x14ac:dyDescent="0.25">
      <c r="A1165" t="str">
        <f>B1165&amp;"-"&amp;COUNTIF($B$2:B1165,B1165)</f>
        <v>I. CACHAZA-11</v>
      </c>
      <c r="B1165" s="26" t="s">
        <v>57</v>
      </c>
      <c r="C1165">
        <f>VLOOKUP(B1165,RECETAS!D1164:$E$1700,2,FALSE)</f>
        <v>0</v>
      </c>
      <c r="D1165" s="25" t="s">
        <v>592</v>
      </c>
      <c r="G1165" t="b">
        <f t="shared" si="278"/>
        <v>1</v>
      </c>
    </row>
    <row r="1166" spans="1:7" x14ac:dyDescent="0.25">
      <c r="A1166" t="str">
        <f>B1166&amp;"-"&amp;COUNTIF($B$2:B1166,B1166)</f>
        <v>I. LIMON PICA-42</v>
      </c>
      <c r="B1166" s="35" t="s">
        <v>636</v>
      </c>
      <c r="C1166">
        <f>VLOOKUP(B1166,RECETAS!D1165:$E$1700,2,FALSE)</f>
        <v>0</v>
      </c>
      <c r="D1166" s="34"/>
      <c r="G1166" t="b">
        <f t="shared" si="278"/>
        <v>1</v>
      </c>
    </row>
    <row r="1167" spans="1:7" x14ac:dyDescent="0.25">
      <c r="A1167" t="str">
        <f>B1167&amp;"-"&amp;COUNTIF($B$2:B1167,B1167)</f>
        <v>I. AZUCAR FLOR-89</v>
      </c>
      <c r="B1167" s="35" t="s">
        <v>51</v>
      </c>
      <c r="C1167">
        <f>VLOOKUP(B1167,RECETAS!D1166:$E$1700,2,FALSE)</f>
        <v>0</v>
      </c>
      <c r="D1167" s="34"/>
      <c r="G1167" t="b">
        <f t="shared" si="278"/>
        <v>1</v>
      </c>
    </row>
    <row r="1168" spans="1:7" x14ac:dyDescent="0.25">
      <c r="A1168" t="str">
        <f>B1168&amp;"-"&amp;COUNTIF($B$2:B1168,B1168)</f>
        <v>I. PULPA LIMON-82</v>
      </c>
      <c r="B1168" s="35" t="s">
        <v>106</v>
      </c>
      <c r="C1168">
        <f>VLOOKUP(B1168,RECETAS!D1167:$E$1700,2,FALSE)</f>
        <v>0</v>
      </c>
      <c r="D1168" s="34"/>
      <c r="G1168" t="b">
        <f t="shared" si="278"/>
        <v>1</v>
      </c>
    </row>
    <row r="1169" spans="1:7" ht="15.75" thickBot="1" x14ac:dyDescent="0.3">
      <c r="A1169" t="str">
        <f>B1169&amp;"-"&amp;COUNTIF($B$2:B1169,B1169)</f>
        <v>I. PULPA FRAMBUESA-14</v>
      </c>
      <c r="B1169" s="28" t="s">
        <v>105</v>
      </c>
      <c r="C1169">
        <f>VLOOKUP(B1169,RECETAS!D1168:$E$1700,2,FALSE)</f>
        <v>0</v>
      </c>
      <c r="D1169" s="27"/>
      <c r="G1169" t="b">
        <f t="shared" si="278"/>
        <v>1</v>
      </c>
    </row>
    <row r="1170" spans="1:7" x14ac:dyDescent="0.25">
      <c r="A1170" t="str">
        <f>B1170&amp;"-"&amp;COUNTIF($B$2:B1170,B1170)</f>
        <v>I. CACHAZA-12</v>
      </c>
      <c r="B1170" s="26" t="s">
        <v>57</v>
      </c>
      <c r="C1170">
        <f>VLOOKUP(B1170,RECETAS!D1169:$E$1700,2,FALSE)</f>
        <v>75</v>
      </c>
      <c r="D1170" s="25" t="s">
        <v>593</v>
      </c>
      <c r="G1170" t="b">
        <f t="shared" si="278"/>
        <v>1</v>
      </c>
    </row>
    <row r="1171" spans="1:7" x14ac:dyDescent="0.25">
      <c r="A1171" t="str">
        <f>B1171&amp;"-"&amp;COUNTIF($B$2:B1171,B1171)</f>
        <v>I. LIMON PICA-43</v>
      </c>
      <c r="B1171" s="35" t="s">
        <v>636</v>
      </c>
      <c r="C1171">
        <f>VLOOKUP(B1171,RECETAS!D1170:$E$1700,2,FALSE)</f>
        <v>0.5</v>
      </c>
      <c r="D1171" s="34"/>
      <c r="G1171" t="b">
        <f t="shared" si="278"/>
        <v>1</v>
      </c>
    </row>
    <row r="1172" spans="1:7" x14ac:dyDescent="0.25">
      <c r="A1172" t="str">
        <f>B1172&amp;"-"&amp;COUNTIF($B$2:B1172,B1172)</f>
        <v>I. AZUCAR FLOR-90</v>
      </c>
      <c r="B1172" s="35" t="s">
        <v>51</v>
      </c>
      <c r="C1172">
        <f>VLOOKUP(B1172,RECETAS!D1171:$E$1700,2,FALSE)</f>
        <v>20</v>
      </c>
      <c r="D1172" s="34"/>
      <c r="G1172" t="b">
        <f t="shared" si="278"/>
        <v>1</v>
      </c>
    </row>
    <row r="1173" spans="1:7" x14ac:dyDescent="0.25">
      <c r="A1173" t="str">
        <f>B1173&amp;"-"&amp;COUNTIF($B$2:B1173,B1173)</f>
        <v>I. PULPA LIMON-83</v>
      </c>
      <c r="B1173" s="35" t="s">
        <v>106</v>
      </c>
      <c r="C1173">
        <f>VLOOKUP(B1173,RECETAS!D1172:$E$1700,2,FALSE)</f>
        <v>20</v>
      </c>
      <c r="D1173" s="34"/>
      <c r="G1173" t="b">
        <f t="shared" si="278"/>
        <v>1</v>
      </c>
    </row>
    <row r="1174" spans="1:7" ht="15.75" thickBot="1" x14ac:dyDescent="0.3">
      <c r="A1174" t="str">
        <f>B1174&amp;"-"&amp;COUNTIF($B$2:B1174,B1174)</f>
        <v>I. PULPA FRUTILLA-9</v>
      </c>
      <c r="B1174" s="28" t="s">
        <v>582</v>
      </c>
      <c r="C1174">
        <f>VLOOKUP(B1174,RECETAS!D1173:$E$1700,2,FALSE)</f>
        <v>20</v>
      </c>
      <c r="D1174" s="27"/>
      <c r="G1174" t="b">
        <f t="shared" si="278"/>
        <v>1</v>
      </c>
    </row>
    <row r="1175" spans="1:7" x14ac:dyDescent="0.25">
      <c r="A1175" t="str">
        <f>B1175&amp;"-"&amp;COUNTIF($B$2:B1175,B1175)</f>
        <v>I. CACHAZA-13</v>
      </c>
      <c r="B1175" s="31" t="s">
        <v>57</v>
      </c>
      <c r="C1175">
        <f>VLOOKUP(B1175,RECETAS!D1174:$E$1700,2,FALSE)</f>
        <v>0</v>
      </c>
      <c r="D1175" s="80" t="s">
        <v>594</v>
      </c>
      <c r="G1175" t="b">
        <f t="shared" si="278"/>
        <v>1</v>
      </c>
    </row>
    <row r="1176" spans="1:7" x14ac:dyDescent="0.25">
      <c r="A1176" t="str">
        <f>B1176&amp;"-"&amp;COUNTIF($B$2:B1176,B1176)</f>
        <v>I. LIMON PICA-44</v>
      </c>
      <c r="B1176" s="35" t="s">
        <v>636</v>
      </c>
      <c r="C1176">
        <f>VLOOKUP(B1176,RECETAS!D1175:$E$1700,2,FALSE)</f>
        <v>0</v>
      </c>
      <c r="D1176" s="81"/>
      <c r="G1176" t="b">
        <f t="shared" si="278"/>
        <v>1</v>
      </c>
    </row>
    <row r="1177" spans="1:7" x14ac:dyDescent="0.25">
      <c r="A1177" t="str">
        <f>B1177&amp;"-"&amp;COUNTIF($B$2:B1177,B1177)</f>
        <v>I. AZUCAR FLOR-91</v>
      </c>
      <c r="B1177" s="35" t="s">
        <v>51</v>
      </c>
      <c r="C1177">
        <f>VLOOKUP(B1177,RECETAS!D1176:$E$1700,2,FALSE)</f>
        <v>0</v>
      </c>
      <c r="D1177" s="81"/>
      <c r="G1177" t="b">
        <f t="shared" si="278"/>
        <v>1</v>
      </c>
    </row>
    <row r="1178" spans="1:7" x14ac:dyDescent="0.25">
      <c r="A1178" t="str">
        <f>B1178&amp;"-"&amp;COUNTIF($B$2:B1178,B1178)</f>
        <v>I. PULPA LIMON-84</v>
      </c>
      <c r="B1178" s="35" t="s">
        <v>106</v>
      </c>
      <c r="C1178">
        <f>VLOOKUP(B1178,RECETAS!D1177:$E$1700,2,FALSE)</f>
        <v>0</v>
      </c>
      <c r="D1178" s="81"/>
      <c r="G1178" t="b">
        <f t="shared" si="278"/>
        <v>1</v>
      </c>
    </row>
    <row r="1179" spans="1:7" ht="15.75" thickBot="1" x14ac:dyDescent="0.3">
      <c r="A1179" t="str">
        <f>B1179&amp;"-"&amp;COUNTIF($B$2:B1179,B1179)</f>
        <v>I. PULPA MANGO-8</v>
      </c>
      <c r="B1179" s="33" t="s">
        <v>107</v>
      </c>
      <c r="C1179">
        <f>VLOOKUP(B1179,RECETAS!D1178:$E$1700,2,FALSE)</f>
        <v>0</v>
      </c>
      <c r="D1179" s="82"/>
      <c r="G1179" t="b">
        <f t="shared" si="278"/>
        <v>1</v>
      </c>
    </row>
    <row r="1180" spans="1:7" x14ac:dyDescent="0.25">
      <c r="A1180" t="str">
        <f>B1180&amp;"-"&amp;COUNTIF($B$2:B1180,B1180)</f>
        <v>I. PULPA ARAN FRAM-3</v>
      </c>
      <c r="B1180" s="46" t="s">
        <v>104</v>
      </c>
      <c r="C1180">
        <f>VLOOKUP(B1180,RECETAS!D1179:$E$1700,2,FALSE)</f>
        <v>0</v>
      </c>
      <c r="D1180" s="25" t="s">
        <v>595</v>
      </c>
      <c r="G1180" t="b">
        <f t="shared" si="278"/>
        <v>1</v>
      </c>
    </row>
    <row r="1181" spans="1:7" x14ac:dyDescent="0.25">
      <c r="A1181" t="str">
        <f>B1181&amp;"-"&amp;COUNTIF($B$2:B1181,B1181)</f>
        <v>I. VODKA BATALLA-18</v>
      </c>
      <c r="B1181" s="36" t="s">
        <v>129</v>
      </c>
      <c r="C1181">
        <f>VLOOKUP(B1181,RECETAS!D1180:$E$1700,2,FALSE)</f>
        <v>0</v>
      </c>
      <c r="D1181" s="34"/>
      <c r="G1181" t="b">
        <f t="shared" si="278"/>
        <v>1</v>
      </c>
    </row>
    <row r="1182" spans="1:7" x14ac:dyDescent="0.25">
      <c r="A1182" t="str">
        <f>B1182&amp;"-"&amp;COUNTIF($B$2:B1182,B1182)</f>
        <v>I. TRIPLE SEC-26</v>
      </c>
      <c r="B1182" s="36" t="s">
        <v>128</v>
      </c>
      <c r="C1182">
        <f>VLOOKUP(B1182,RECETAS!D1181:$E$1700,2,FALSE)</f>
        <v>0</v>
      </c>
      <c r="D1182" s="34"/>
      <c r="G1182" t="b">
        <f t="shared" si="278"/>
        <v>1</v>
      </c>
    </row>
    <row r="1183" spans="1:7" x14ac:dyDescent="0.25">
      <c r="A1183" t="str">
        <f>B1183&amp;"-"&amp;COUNTIF($B$2:B1183,B1183)</f>
        <v>I. PULPA LIMON-85</v>
      </c>
      <c r="B1183" s="36" t="s">
        <v>106</v>
      </c>
      <c r="C1183">
        <f>VLOOKUP(B1183,RECETAS!D1182:$E$1700,2,FALSE)</f>
        <v>0</v>
      </c>
      <c r="D1183" s="34"/>
      <c r="G1183" t="b">
        <f t="shared" si="278"/>
        <v>1</v>
      </c>
    </row>
    <row r="1184" spans="1:7" ht="15.75" thickBot="1" x14ac:dyDescent="0.3">
      <c r="A1184" t="str">
        <f>B1184&amp;"-"&amp;COUNTIF($B$2:B1184,B1184)</f>
        <v>I. AZUCAR FLOR-92</v>
      </c>
      <c r="B1184" s="29" t="s">
        <v>51</v>
      </c>
      <c r="C1184">
        <f>VLOOKUP(B1184,RECETAS!D1183:$E$1700,2,FALSE)</f>
        <v>0</v>
      </c>
      <c r="D1184" s="27"/>
      <c r="G1184" t="b">
        <f t="shared" si="278"/>
        <v>1</v>
      </c>
    </row>
    <row r="1185" spans="1:7" x14ac:dyDescent="0.25">
      <c r="A1185" t="str">
        <f>B1185&amp;"-"&amp;COUNTIF($B$2:B1185,B1185)</f>
        <v>I. RON BLANCO BATALLA-34</v>
      </c>
      <c r="B1185" s="26" t="s">
        <v>116</v>
      </c>
      <c r="C1185">
        <f>VLOOKUP(B1185,RECETAS!D1184:$E$1700,2,FALSE)</f>
        <v>300</v>
      </c>
      <c r="D1185" s="25" t="s">
        <v>596</v>
      </c>
      <c r="G1185" t="b">
        <f t="shared" si="278"/>
        <v>1</v>
      </c>
    </row>
    <row r="1186" spans="1:7" x14ac:dyDescent="0.25">
      <c r="A1186" t="str">
        <f>B1186&amp;"-"&amp;COUNTIF($B$2:B1186,B1186)</f>
        <v>I. PULPA LIMON-86</v>
      </c>
      <c r="B1186" s="35" t="s">
        <v>106</v>
      </c>
      <c r="C1186">
        <f>VLOOKUP(B1186,RECETAS!D1185:$E$1700,2,FALSE)</f>
        <v>80</v>
      </c>
      <c r="D1186" s="34"/>
      <c r="G1186" t="b">
        <f t="shared" si="278"/>
        <v>1</v>
      </c>
    </row>
    <row r="1187" spans="1:7" x14ac:dyDescent="0.25">
      <c r="A1187" t="str">
        <f>B1187&amp;"-"&amp;COUNTIF($B$2:B1187,B1187)</f>
        <v>I. AZUCAR FLOR-93</v>
      </c>
      <c r="B1187" s="35" t="s">
        <v>51</v>
      </c>
      <c r="C1187">
        <f>VLOOKUP(B1187,RECETAS!D1186:$E$1700,2,FALSE)</f>
        <v>160</v>
      </c>
      <c r="D1187" s="34"/>
      <c r="G1187" t="b">
        <f t="shared" si="278"/>
        <v>1</v>
      </c>
    </row>
    <row r="1188" spans="1:7" x14ac:dyDescent="0.25">
      <c r="A1188" t="str">
        <f>B1188&amp;"-"&amp;COUNTIF($B$2:B1188,B1188)</f>
        <v>I. TRIPLE SEC-27</v>
      </c>
      <c r="B1188" s="35" t="s">
        <v>128</v>
      </c>
      <c r="C1188">
        <f>VLOOKUP(B1188,RECETAS!D1187:$E$1700,2,FALSE)</f>
        <v>40</v>
      </c>
      <c r="D1188" s="34"/>
      <c r="G1188" t="b">
        <f t="shared" si="278"/>
        <v>1</v>
      </c>
    </row>
    <row r="1189" spans="1:7" ht="15.75" thickBot="1" x14ac:dyDescent="0.3">
      <c r="A1189" t="str">
        <f>B1189&amp;"-"&amp;COUNTIF($B$2:B1189,B1189)</f>
        <v>I. PULPA FRAMBUESA-15</v>
      </c>
      <c r="B1189" s="28" t="s">
        <v>105</v>
      </c>
      <c r="C1189">
        <f>VLOOKUP(B1189,RECETAS!D1188:$E$1700,2,FALSE)</f>
        <v>600</v>
      </c>
      <c r="D1189" s="27"/>
      <c r="G1189" t="b">
        <f t="shared" si="278"/>
        <v>1</v>
      </c>
    </row>
    <row r="1190" spans="1:7" x14ac:dyDescent="0.25">
      <c r="A1190" t="str">
        <f>B1190&amp;"-"&amp;COUNTIF($B$2:B1190,B1190)</f>
        <v>I. RON BLANCO BATALLA-35</v>
      </c>
      <c r="B1190" s="31" t="s">
        <v>116</v>
      </c>
      <c r="C1190">
        <f>VLOOKUP(B1190,RECETAS!D1189:$E$1700,2,FALSE)</f>
        <v>525</v>
      </c>
      <c r="D1190" s="80" t="s">
        <v>597</v>
      </c>
      <c r="G1190" t="b">
        <f t="shared" si="278"/>
        <v>1</v>
      </c>
    </row>
    <row r="1191" spans="1:7" x14ac:dyDescent="0.25">
      <c r="A1191" t="str">
        <f>B1191&amp;"-"&amp;COUNTIF($B$2:B1191,B1191)</f>
        <v>I. PULPA LIMON-87</v>
      </c>
      <c r="B1191" s="35" t="s">
        <v>106</v>
      </c>
      <c r="C1191">
        <f>VLOOKUP(B1191,RECETAS!D1190:$E$1700,2,FALSE)</f>
        <v>140</v>
      </c>
      <c r="D1191" s="81"/>
      <c r="G1191" t="b">
        <f t="shared" si="278"/>
        <v>1</v>
      </c>
    </row>
    <row r="1192" spans="1:7" x14ac:dyDescent="0.25">
      <c r="A1192" t="str">
        <f>B1192&amp;"-"&amp;COUNTIF($B$2:B1192,B1192)</f>
        <v>I. AZUCAR FLOR-94</v>
      </c>
      <c r="B1192" s="35" t="s">
        <v>51</v>
      </c>
      <c r="C1192">
        <f>VLOOKUP(B1192,RECETAS!D1191:$E$1700,2,FALSE)</f>
        <v>280</v>
      </c>
      <c r="D1192" s="81"/>
      <c r="G1192" t="b">
        <f t="shared" si="278"/>
        <v>1</v>
      </c>
    </row>
    <row r="1193" spans="1:7" x14ac:dyDescent="0.25">
      <c r="A1193" t="str">
        <f>B1193&amp;"-"&amp;COUNTIF($B$2:B1193,B1193)</f>
        <v>I. TRIPLE SEC-28</v>
      </c>
      <c r="B1193" s="35" t="s">
        <v>128</v>
      </c>
      <c r="C1193">
        <f>VLOOKUP(B1193,RECETAS!D1192:$E$1700,2,FALSE)</f>
        <v>70</v>
      </c>
      <c r="D1193" s="81"/>
      <c r="G1193" t="b">
        <f t="shared" si="278"/>
        <v>1</v>
      </c>
    </row>
    <row r="1194" spans="1:7" ht="15.75" thickBot="1" x14ac:dyDescent="0.3">
      <c r="A1194" t="str">
        <f>B1194&amp;"-"&amp;COUNTIF($B$2:B1194,B1194)</f>
        <v>I. PULPA FRUTILLA-10</v>
      </c>
      <c r="B1194" s="33" t="s">
        <v>582</v>
      </c>
      <c r="C1194">
        <f>VLOOKUP(B1194,RECETAS!D1193:$E$1700,2,FALSE)</f>
        <v>1050</v>
      </c>
      <c r="D1194" s="82"/>
      <c r="G1194" t="b">
        <f t="shared" si="278"/>
        <v>1</v>
      </c>
    </row>
    <row r="1195" spans="1:7" x14ac:dyDescent="0.25">
      <c r="A1195" t="str">
        <f>B1195&amp;"-"&amp;COUNTIF($B$2:B1195,B1195)</f>
        <v>I. RON BLANCO BATALLA-36</v>
      </c>
      <c r="B1195" s="26" t="s">
        <v>116</v>
      </c>
      <c r="C1195">
        <f>VLOOKUP(B1195,RECETAS!D1194:$E$1700,2,FALSE)</f>
        <v>225</v>
      </c>
      <c r="D1195" s="25" t="s">
        <v>598</v>
      </c>
      <c r="G1195" t="b">
        <f t="shared" si="278"/>
        <v>1</v>
      </c>
    </row>
    <row r="1196" spans="1:7" x14ac:dyDescent="0.25">
      <c r="A1196" t="str">
        <f>B1196&amp;"-"&amp;COUNTIF($B$2:B1196,B1196)</f>
        <v>I. PULPA LIMON-88</v>
      </c>
      <c r="B1196" s="35" t="s">
        <v>106</v>
      </c>
      <c r="C1196">
        <f>VLOOKUP(B1196,RECETAS!D1195:$E$1700,2,FALSE)</f>
        <v>60</v>
      </c>
      <c r="D1196" s="34"/>
      <c r="G1196" t="b">
        <f t="shared" si="278"/>
        <v>1</v>
      </c>
    </row>
    <row r="1197" spans="1:7" x14ac:dyDescent="0.25">
      <c r="A1197" t="str">
        <f>B1197&amp;"-"&amp;COUNTIF($B$2:B1197,B1197)</f>
        <v>I. AZUCAR FLOR-95</v>
      </c>
      <c r="B1197" s="35" t="s">
        <v>51</v>
      </c>
      <c r="C1197">
        <f>VLOOKUP(B1197,RECETAS!D1196:$E$1700,2,FALSE)</f>
        <v>120</v>
      </c>
      <c r="D1197" s="34"/>
      <c r="G1197" t="b">
        <f t="shared" si="278"/>
        <v>1</v>
      </c>
    </row>
    <row r="1198" spans="1:7" x14ac:dyDescent="0.25">
      <c r="A1198" t="str">
        <f>B1198&amp;"-"&amp;COUNTIF($B$2:B1198,B1198)</f>
        <v>I. TRIPLE SEC-29</v>
      </c>
      <c r="B1198" s="35" t="s">
        <v>128</v>
      </c>
      <c r="C1198">
        <f>VLOOKUP(B1198,RECETAS!D1197:$E$1700,2,FALSE)</f>
        <v>30</v>
      </c>
      <c r="D1198" s="34"/>
      <c r="G1198" t="b">
        <f t="shared" si="278"/>
        <v>1</v>
      </c>
    </row>
    <row r="1199" spans="1:7" ht="15.75" thickBot="1" x14ac:dyDescent="0.3">
      <c r="A1199" t="str">
        <f>B1199&amp;"-"&amp;COUNTIF($B$2:B1199,B1199)</f>
        <v>I. PULPA MANGO-9</v>
      </c>
      <c r="B1199" s="28" t="s">
        <v>107</v>
      </c>
      <c r="C1199">
        <f>VLOOKUP(B1199,RECETAS!D1198:$E$1700,2,FALSE)</f>
        <v>450</v>
      </c>
      <c r="D1199" s="27"/>
      <c r="G1199" t="b">
        <f t="shared" si="278"/>
        <v>1</v>
      </c>
    </row>
    <row r="1200" spans="1:7" x14ac:dyDescent="0.25">
      <c r="A1200" t="str">
        <f>B1200&amp;"-"&amp;COUNTIF($B$2:B1200,B1200)</f>
        <v>I. TEQUILA BATALLA-16</v>
      </c>
      <c r="B1200" s="26" t="s">
        <v>123</v>
      </c>
      <c r="C1200">
        <f>VLOOKUP(B1200,RECETAS!D1199:$E$1700,2,FALSE)</f>
        <v>300</v>
      </c>
      <c r="D1200" s="25" t="s">
        <v>599</v>
      </c>
      <c r="G1200" t="b">
        <f t="shared" si="278"/>
        <v>1</v>
      </c>
    </row>
    <row r="1201" spans="1:7" x14ac:dyDescent="0.25">
      <c r="A1201" t="str">
        <f>B1201&amp;"-"&amp;COUNTIF($B$2:B1201,B1201)</f>
        <v>I. PULPA LIMON-89</v>
      </c>
      <c r="B1201" s="35" t="s">
        <v>106</v>
      </c>
      <c r="C1201">
        <f>VLOOKUP(B1201,RECETAS!D1200:$E$1700,2,FALSE)</f>
        <v>200</v>
      </c>
      <c r="D1201" s="34"/>
      <c r="G1201" t="b">
        <f t="shared" si="278"/>
        <v>1</v>
      </c>
    </row>
    <row r="1202" spans="1:7" x14ac:dyDescent="0.25">
      <c r="A1202" t="str">
        <f>B1202&amp;"-"&amp;COUNTIF($B$2:B1202,B1202)</f>
        <v>I. TRIPLE SEC-30</v>
      </c>
      <c r="B1202" s="35" t="s">
        <v>128</v>
      </c>
      <c r="C1202">
        <f>VLOOKUP(B1202,RECETAS!D1201:$E$1700,2,FALSE)</f>
        <v>40</v>
      </c>
      <c r="D1202" s="34"/>
      <c r="G1202" t="b">
        <f t="shared" si="278"/>
        <v>1</v>
      </c>
    </row>
    <row r="1203" spans="1:7" ht="15.75" thickBot="1" x14ac:dyDescent="0.3">
      <c r="A1203" t="str">
        <f>B1203&amp;"-"&amp;COUNTIF($B$2:B1203,B1203)</f>
        <v>I. AZUCAR FLOR-96</v>
      </c>
      <c r="B1203" s="28" t="s">
        <v>51</v>
      </c>
      <c r="C1203">
        <f>VLOOKUP(B1203,RECETAS!D1202:$E$1700,2,FALSE)</f>
        <v>160</v>
      </c>
      <c r="D1203" s="27"/>
      <c r="G1203" t="b">
        <f t="shared" si="278"/>
        <v>1</v>
      </c>
    </row>
    <row r="1204" spans="1:7" x14ac:dyDescent="0.25">
      <c r="A1204" t="str">
        <f>B1204&amp;"-"&amp;COUNTIF($B$2:B1204,B1204)</f>
        <v>I. TEQUILA BATALLA-17</v>
      </c>
      <c r="B1204" s="26" t="s">
        <v>123</v>
      </c>
      <c r="C1204">
        <f>VLOOKUP(B1204,RECETAS!D1203:$E$1700,2,FALSE)</f>
        <v>150</v>
      </c>
      <c r="D1204" s="25" t="s">
        <v>600</v>
      </c>
      <c r="G1204" t="b">
        <f t="shared" si="278"/>
        <v>1</v>
      </c>
    </row>
    <row r="1205" spans="1:7" x14ac:dyDescent="0.25">
      <c r="A1205" t="str">
        <f>B1205&amp;"-"&amp;COUNTIF($B$2:B1205,B1205)</f>
        <v>I. PULPA LIMON-90</v>
      </c>
      <c r="B1205" s="35" t="s">
        <v>106</v>
      </c>
      <c r="C1205">
        <f>VLOOKUP(B1205,RECETAS!D1204:$E$1700,2,FALSE)</f>
        <v>60</v>
      </c>
      <c r="D1205" s="34"/>
      <c r="G1205" t="b">
        <f t="shared" si="278"/>
        <v>1</v>
      </c>
    </row>
    <row r="1206" spans="1:7" x14ac:dyDescent="0.25">
      <c r="A1206" t="str">
        <f>B1206&amp;"-"&amp;COUNTIF($B$2:B1206,B1206)</f>
        <v>I. TRIPLE SEC-31</v>
      </c>
      <c r="B1206" s="35" t="s">
        <v>128</v>
      </c>
      <c r="C1206">
        <f>VLOOKUP(B1206,RECETAS!D1205:$E$1700,2,FALSE)</f>
        <v>20</v>
      </c>
      <c r="D1206" s="34"/>
      <c r="G1206" t="b">
        <f t="shared" si="278"/>
        <v>1</v>
      </c>
    </row>
    <row r="1207" spans="1:7" x14ac:dyDescent="0.25">
      <c r="A1207" t="str">
        <f>B1207&amp;"-"&amp;COUNTIF($B$2:B1207,B1207)</f>
        <v>I. AZUCAR FLOR-97</v>
      </c>
      <c r="B1207" s="35" t="s">
        <v>51</v>
      </c>
      <c r="C1207">
        <f>VLOOKUP(B1207,RECETAS!D1206:$E$1700,2,FALSE)</f>
        <v>80</v>
      </c>
      <c r="D1207" s="34"/>
      <c r="G1207" t="b">
        <f t="shared" si="278"/>
        <v>1</v>
      </c>
    </row>
    <row r="1208" spans="1:7" ht="15.75" thickBot="1" x14ac:dyDescent="0.3">
      <c r="A1208" t="str">
        <f>B1208&amp;"-"&amp;COUNTIF($B$2:B1208,B1208)</f>
        <v>I. CURACAO-5</v>
      </c>
      <c r="B1208" s="28" t="s">
        <v>67</v>
      </c>
      <c r="C1208">
        <f>VLOOKUP(B1208,RECETAS!D1207:$E$1700,2,FALSE)</f>
        <v>60</v>
      </c>
      <c r="D1208" s="27"/>
      <c r="G1208" t="b">
        <f t="shared" si="278"/>
        <v>1</v>
      </c>
    </row>
    <row r="1209" spans="1:7" x14ac:dyDescent="0.25">
      <c r="A1209" t="str">
        <f>B1209&amp;"-"&amp;COUNTIF($B$2:B1209,B1209)</f>
        <v>I. TEQUILA BATALLA-18</v>
      </c>
      <c r="B1209" s="26" t="s">
        <v>123</v>
      </c>
      <c r="C1209">
        <f>VLOOKUP(B1209,RECETAS!D1208:$E$1700,2,FALSE)</f>
        <v>75</v>
      </c>
      <c r="D1209" s="25" t="s">
        <v>601</v>
      </c>
      <c r="G1209" t="b">
        <f t="shared" si="278"/>
        <v>1</v>
      </c>
    </row>
    <row r="1210" spans="1:7" x14ac:dyDescent="0.25">
      <c r="A1210" t="str">
        <f>B1210&amp;"-"&amp;COUNTIF($B$2:B1210,B1210)</f>
        <v>I. PULPA LIMON-91</v>
      </c>
      <c r="B1210" s="35" t="s">
        <v>106</v>
      </c>
      <c r="C1210">
        <f>VLOOKUP(B1210,RECETAS!D1209:$E$1700,2,FALSE)</f>
        <v>30</v>
      </c>
      <c r="D1210" s="34"/>
      <c r="G1210" t="b">
        <f t="shared" si="278"/>
        <v>1</v>
      </c>
    </row>
    <row r="1211" spans="1:7" x14ac:dyDescent="0.25">
      <c r="A1211" t="str">
        <f>B1211&amp;"-"&amp;COUNTIF($B$2:B1211,B1211)</f>
        <v>I. TRIPLE SEC-32</v>
      </c>
      <c r="B1211" s="35" t="s">
        <v>128</v>
      </c>
      <c r="C1211">
        <f>VLOOKUP(B1211,RECETAS!D1210:$E$1700,2,FALSE)</f>
        <v>10</v>
      </c>
      <c r="D1211" s="34"/>
      <c r="G1211" t="b">
        <f t="shared" si="278"/>
        <v>1</v>
      </c>
    </row>
    <row r="1212" spans="1:7" x14ac:dyDescent="0.25">
      <c r="A1212" t="str">
        <f>B1212&amp;"-"&amp;COUNTIF($B$2:B1212,B1212)</f>
        <v>I. AZUCAR FLOR-98</v>
      </c>
      <c r="B1212" s="35" t="s">
        <v>51</v>
      </c>
      <c r="C1212">
        <f>VLOOKUP(B1212,RECETAS!D1211:$E$1700,2,FALSE)</f>
        <v>40</v>
      </c>
      <c r="D1212" s="34"/>
      <c r="G1212" t="b">
        <f t="shared" si="278"/>
        <v>1</v>
      </c>
    </row>
    <row r="1213" spans="1:7" ht="15.75" thickBot="1" x14ac:dyDescent="0.3">
      <c r="A1213" t="str">
        <f>B1213&amp;"-"&amp;COUNTIF($B$2:B1213,B1213)</f>
        <v>I. PULPA FRAMBUESA-16</v>
      </c>
      <c r="B1213" s="28" t="s">
        <v>105</v>
      </c>
      <c r="C1213">
        <f>VLOOKUP(B1213,RECETAS!D1212:$E$1700,2,FALSE)</f>
        <v>30</v>
      </c>
      <c r="D1213" s="27"/>
      <c r="G1213" t="b">
        <f t="shared" si="278"/>
        <v>1</v>
      </c>
    </row>
    <row r="1214" spans="1:7" x14ac:dyDescent="0.25">
      <c r="A1214" t="str">
        <f>B1214&amp;"-"&amp;COUNTIF($B$2:B1214,B1214)</f>
        <v>I. TEQUILA BATALLA-19</v>
      </c>
      <c r="B1214" s="86" t="s">
        <v>123</v>
      </c>
      <c r="C1214">
        <f>VLOOKUP(B1214,RECETAS!D1213:$E$1700,2,FALSE)</f>
        <v>0</v>
      </c>
      <c r="D1214" s="80" t="s">
        <v>602</v>
      </c>
      <c r="G1214" t="b">
        <f t="shared" si="278"/>
        <v>1</v>
      </c>
    </row>
    <row r="1215" spans="1:7" x14ac:dyDescent="0.25">
      <c r="A1215" t="str">
        <f>B1215&amp;"-"&amp;COUNTIF($B$2:B1215,B1215)</f>
        <v>I. PULPA LIMON-92</v>
      </c>
      <c r="B1215" s="38" t="s">
        <v>106</v>
      </c>
      <c r="C1215">
        <f>VLOOKUP(B1215,RECETAS!D1214:$E$1700,2,FALSE)</f>
        <v>0</v>
      </c>
      <c r="D1215" s="81"/>
      <c r="G1215" t="b">
        <f t="shared" si="278"/>
        <v>1</v>
      </c>
    </row>
    <row r="1216" spans="1:7" x14ac:dyDescent="0.25">
      <c r="A1216" t="str">
        <f>B1216&amp;"-"&amp;COUNTIF($B$2:B1216,B1216)</f>
        <v>I. TRIPLE SEC-33</v>
      </c>
      <c r="B1216" s="38" t="s">
        <v>128</v>
      </c>
      <c r="C1216">
        <f>VLOOKUP(B1216,RECETAS!D1215:$E$1700,2,FALSE)</f>
        <v>0</v>
      </c>
      <c r="D1216" s="81"/>
      <c r="G1216" t="b">
        <f t="shared" si="278"/>
        <v>1</v>
      </c>
    </row>
    <row r="1217" spans="1:7" x14ac:dyDescent="0.25">
      <c r="A1217" t="str">
        <f>B1217&amp;"-"&amp;COUNTIF($B$2:B1217,B1217)</f>
        <v>I. AZUCAR FLOR-99</v>
      </c>
      <c r="B1217" s="38" t="s">
        <v>51</v>
      </c>
      <c r="C1217">
        <f>VLOOKUP(B1217,RECETAS!D1216:$E$1700,2,FALSE)</f>
        <v>0</v>
      </c>
      <c r="D1217" s="81"/>
      <c r="G1217" t="b">
        <f t="shared" si="278"/>
        <v>1</v>
      </c>
    </row>
    <row r="1218" spans="1:7" ht="15.75" thickBot="1" x14ac:dyDescent="0.3">
      <c r="A1218" t="str">
        <f>B1218&amp;"-"&amp;COUNTIF($B$2:B1218,B1218)</f>
        <v>I. PULPA FRUTILLA-11</v>
      </c>
      <c r="B1218" s="39" t="s">
        <v>582</v>
      </c>
      <c r="C1218">
        <f>VLOOKUP(B1218,RECETAS!D1217:$E$1700,2,FALSE)</f>
        <v>0</v>
      </c>
      <c r="D1218" s="82"/>
      <c r="G1218" t="b">
        <f t="shared" si="278"/>
        <v>1</v>
      </c>
    </row>
    <row r="1219" spans="1:7" x14ac:dyDescent="0.25">
      <c r="A1219" t="str">
        <f>B1219&amp;"-"&amp;COUNTIF($B$2:B1219,B1219)</f>
        <v>I. MENTA-32</v>
      </c>
      <c r="B1219" s="46" t="s">
        <v>637</v>
      </c>
      <c r="C1219">
        <f>VLOOKUP(B1219,RECETAS!D1218:$E$1700,2,FALSE)</f>
        <v>5</v>
      </c>
      <c r="D1219" s="25" t="s">
        <v>317</v>
      </c>
      <c r="G1219" t="b">
        <f t="shared" ref="G1219:G1282" si="279">IFERROR(IF(MATCH(B1219,I:I,0) &lt;&gt; "", TRUE,""),FALSE)</f>
        <v>1</v>
      </c>
    </row>
    <row r="1220" spans="1:7" x14ac:dyDescent="0.25">
      <c r="A1220" t="str">
        <f>B1220&amp;"-"&amp;COUNTIF($B$2:B1220,B1220)</f>
        <v>I. AZUCAR FLOR-100</v>
      </c>
      <c r="B1220" s="36" t="s">
        <v>51</v>
      </c>
      <c r="C1220">
        <f>VLOOKUP(B1220,RECETAS!D1219:$E$1700,2,FALSE)</f>
        <v>100</v>
      </c>
      <c r="D1220" s="34"/>
      <c r="G1220" t="b">
        <f t="shared" si="279"/>
        <v>1</v>
      </c>
    </row>
    <row r="1221" spans="1:7" x14ac:dyDescent="0.25">
      <c r="A1221" t="str">
        <f>B1221&amp;"-"&amp;COUNTIF($B$2:B1221,B1221)</f>
        <v>I. PULPA LIMON-93</v>
      </c>
      <c r="B1221" s="36" t="s">
        <v>106</v>
      </c>
      <c r="C1221">
        <f>VLOOKUP(B1221,RECETAS!D1220:$E$1700,2,FALSE)</f>
        <v>100</v>
      </c>
      <c r="D1221" s="34"/>
      <c r="G1221" t="b">
        <f t="shared" si="279"/>
        <v>1</v>
      </c>
    </row>
    <row r="1222" spans="1:7" x14ac:dyDescent="0.25">
      <c r="A1222" t="str">
        <f>B1222&amp;"-"&amp;COUNTIF($B$2:B1222,B1222)</f>
        <v>I. LIMON PICA-45</v>
      </c>
      <c r="B1222" s="36" t="s">
        <v>636</v>
      </c>
      <c r="C1222">
        <f>VLOOKUP(B1222,RECETAS!D1221:$E$1700,2,FALSE)</f>
        <v>5</v>
      </c>
      <c r="D1222" s="34"/>
      <c r="G1222" t="b">
        <f t="shared" si="279"/>
        <v>1</v>
      </c>
    </row>
    <row r="1223" spans="1:7" x14ac:dyDescent="0.25">
      <c r="A1223" t="str">
        <f>B1223&amp;"-"&amp;COUNTIF($B$2:B1223,B1223)</f>
        <v>I. MINERAL1.6LT  C/G-36</v>
      </c>
      <c r="B1223" s="66" t="s">
        <v>97</v>
      </c>
      <c r="C1223">
        <f>VLOOKUP(B1223,RECETAS!D1222:$E$1700,2,FALSE)</f>
        <v>250</v>
      </c>
      <c r="D1223" s="34"/>
      <c r="G1223" t="b">
        <f t="shared" si="279"/>
        <v>1</v>
      </c>
    </row>
    <row r="1224" spans="1:7" ht="15.75" thickBot="1" x14ac:dyDescent="0.3">
      <c r="A1224" t="str">
        <f>B1224&amp;"-"&amp;COUNTIF($B$2:B1224,B1224)</f>
        <v>I. RON BLANCO BATALLA-37</v>
      </c>
      <c r="B1224" s="29" t="s">
        <v>116</v>
      </c>
      <c r="C1224">
        <f>VLOOKUP(B1224,RECETAS!D1223:$E$1700,2,FALSE)</f>
        <v>375</v>
      </c>
      <c r="D1224" s="27"/>
      <c r="G1224" t="b">
        <f t="shared" si="279"/>
        <v>1</v>
      </c>
    </row>
    <row r="1225" spans="1:7" x14ac:dyDescent="0.25">
      <c r="A1225" t="str">
        <f>B1225&amp;"-"&amp;COUNTIF($B$2:B1225,B1225)</f>
        <v>I. MENTA-33</v>
      </c>
      <c r="B1225" s="46" t="s">
        <v>637</v>
      </c>
      <c r="C1225">
        <f>VLOOKUP(B1225,RECETAS!D1224:$E$1700,2,FALSE)</f>
        <v>7</v>
      </c>
      <c r="D1225" s="25" t="s">
        <v>552</v>
      </c>
      <c r="G1225" t="b">
        <f t="shared" si="279"/>
        <v>1</v>
      </c>
    </row>
    <row r="1226" spans="1:7" x14ac:dyDescent="0.25">
      <c r="A1226" t="str">
        <f>B1226&amp;"-"&amp;COUNTIF($B$2:B1226,B1226)</f>
        <v>I. LIMON PICA-46</v>
      </c>
      <c r="B1226" s="36" t="s">
        <v>636</v>
      </c>
      <c r="C1226">
        <f>VLOOKUP(B1226,RECETAS!D1225:$E$1700,2,FALSE)</f>
        <v>7</v>
      </c>
      <c r="D1226" s="34"/>
      <c r="G1226" t="b">
        <f t="shared" si="279"/>
        <v>1</v>
      </c>
    </row>
    <row r="1227" spans="1:7" x14ac:dyDescent="0.25">
      <c r="A1227" t="str">
        <f>B1227&amp;"-"&amp;COUNTIF($B$2:B1227,B1227)</f>
        <v>I. MINERAL1.6LT  C/G-37</v>
      </c>
      <c r="B1227" s="36" t="s">
        <v>97</v>
      </c>
      <c r="C1227">
        <f>VLOOKUP(B1227,RECETAS!D1226:$E$1700,2,FALSE)</f>
        <v>350</v>
      </c>
      <c r="D1227" s="34"/>
      <c r="G1227" t="b">
        <f t="shared" si="279"/>
        <v>1</v>
      </c>
    </row>
    <row r="1228" spans="1:7" x14ac:dyDescent="0.25">
      <c r="A1228" t="str">
        <f>B1228&amp;"-"&amp;COUNTIF($B$2:B1228,B1228)</f>
        <v>I. AZUCAR FLOR-101</v>
      </c>
      <c r="B1228" s="36" t="s">
        <v>51</v>
      </c>
      <c r="C1228">
        <f>VLOOKUP(B1228,RECETAS!D1227:$E$1700,2,FALSE)</f>
        <v>140</v>
      </c>
      <c r="D1228" s="34"/>
      <c r="G1228" t="b">
        <f t="shared" si="279"/>
        <v>1</v>
      </c>
    </row>
    <row r="1229" spans="1:7" x14ac:dyDescent="0.25">
      <c r="A1229" t="str">
        <f>B1229&amp;"-"&amp;COUNTIF($B$2:B1229,B1229)</f>
        <v>I. PULPA LIMON-94</v>
      </c>
      <c r="B1229" s="36" t="s">
        <v>106</v>
      </c>
      <c r="C1229">
        <f>VLOOKUP(B1229,RECETAS!D1228:$E$1700,2,FALSE)</f>
        <v>140</v>
      </c>
      <c r="D1229" s="34"/>
      <c r="G1229" t="b">
        <f t="shared" si="279"/>
        <v>1</v>
      </c>
    </row>
    <row r="1230" spans="1:7" x14ac:dyDescent="0.25">
      <c r="A1230" t="str">
        <f>B1230&amp;"-"&amp;COUNTIF($B$2:B1230,B1230)</f>
        <v>I. RON BLANCO BATALLA-38</v>
      </c>
      <c r="B1230" s="36" t="s">
        <v>116</v>
      </c>
      <c r="C1230">
        <f>VLOOKUP(B1230,RECETAS!D1229:$E$1700,2,FALSE)</f>
        <v>525</v>
      </c>
      <c r="D1230" s="34"/>
      <c r="G1230" t="b">
        <f t="shared" si="279"/>
        <v>1</v>
      </c>
    </row>
    <row r="1231" spans="1:7" ht="15.75" thickBot="1" x14ac:dyDescent="0.3">
      <c r="A1231" t="str">
        <f>B1231&amp;"-"&amp;COUNTIF($B$2:B1231,B1231)</f>
        <v>I. CORONA-9</v>
      </c>
      <c r="B1231" s="29" t="s">
        <v>65</v>
      </c>
      <c r="C1231">
        <f>VLOOKUP(B1231,RECETAS!D1230:$E$1700,2,FALSE)</f>
        <v>7</v>
      </c>
      <c r="D1231" s="27"/>
      <c r="G1231" t="b">
        <f t="shared" si="279"/>
        <v>1</v>
      </c>
    </row>
    <row r="1232" spans="1:7" x14ac:dyDescent="0.25">
      <c r="A1232" t="str">
        <f>B1232&amp;"-"&amp;COUNTIF($B$2:B1232,B1232)</f>
        <v>I. MENTA-34</v>
      </c>
      <c r="B1232" s="46" t="s">
        <v>637</v>
      </c>
      <c r="C1232">
        <f>VLOOKUP(B1232,RECETAS!D1231:$E$1700,2,FALSE)</f>
        <v>9</v>
      </c>
      <c r="D1232" s="25" t="s">
        <v>318</v>
      </c>
      <c r="G1232" t="b">
        <f t="shared" si="279"/>
        <v>1</v>
      </c>
    </row>
    <row r="1233" spans="1:7" x14ac:dyDescent="0.25">
      <c r="A1233" t="str">
        <f>B1233&amp;"-"&amp;COUNTIF($B$2:B1233,B1233)</f>
        <v>I. AZUCAR FLOR-102</v>
      </c>
      <c r="B1233" s="36" t="s">
        <v>51</v>
      </c>
      <c r="C1233">
        <f>VLOOKUP(B1233,RECETAS!D1232:$E$1700,2,FALSE)</f>
        <v>180</v>
      </c>
      <c r="D1233" s="34"/>
      <c r="G1233" t="b">
        <f t="shared" si="279"/>
        <v>1</v>
      </c>
    </row>
    <row r="1234" spans="1:7" x14ac:dyDescent="0.25">
      <c r="A1234" t="str">
        <f>B1234&amp;"-"&amp;COUNTIF($B$2:B1234,B1234)</f>
        <v>I. LIMON PICA-47</v>
      </c>
      <c r="B1234" s="36" t="s">
        <v>636</v>
      </c>
      <c r="C1234">
        <f>VLOOKUP(B1234,RECETAS!D1233:$E$1700,2,FALSE)</f>
        <v>9</v>
      </c>
      <c r="D1234" s="34"/>
      <c r="G1234" t="b">
        <f t="shared" si="279"/>
        <v>1</v>
      </c>
    </row>
    <row r="1235" spans="1:7" x14ac:dyDescent="0.25">
      <c r="A1235" t="str">
        <f>B1235&amp;"-"&amp;COUNTIF($B$2:B1235,B1235)</f>
        <v>I. MINERAL1.6LT  C/G-38</v>
      </c>
      <c r="B1235" s="36" t="s">
        <v>97</v>
      </c>
      <c r="C1235">
        <f>VLOOKUP(B1235,RECETAS!D1234:$E$1700,2,FALSE)</f>
        <v>450</v>
      </c>
      <c r="D1235" s="34"/>
      <c r="G1235" t="b">
        <f t="shared" si="279"/>
        <v>1</v>
      </c>
    </row>
    <row r="1236" spans="1:7" x14ac:dyDescent="0.25">
      <c r="A1236" t="str">
        <f>B1236&amp;"-"&amp;COUNTIF($B$2:B1236,B1236)</f>
        <v>I. PULPA LIMON-95</v>
      </c>
      <c r="B1236" s="36" t="s">
        <v>106</v>
      </c>
      <c r="C1236">
        <f>VLOOKUP(B1236,RECETAS!D1235:$E$1700,2,FALSE)</f>
        <v>180</v>
      </c>
      <c r="D1236" s="34"/>
      <c r="G1236" t="b">
        <f t="shared" si="279"/>
        <v>1</v>
      </c>
    </row>
    <row r="1237" spans="1:7" x14ac:dyDescent="0.25">
      <c r="A1237" t="str">
        <f>B1237&amp;"-"&amp;COUNTIF($B$2:B1237,B1237)</f>
        <v>I. RON BLANCO BATALLA-39</v>
      </c>
      <c r="B1237" s="36" t="s">
        <v>116</v>
      </c>
      <c r="C1237">
        <f>VLOOKUP(B1237,RECETAS!D1236:$E$1700,2,FALSE)</f>
        <v>675</v>
      </c>
      <c r="D1237" s="34"/>
      <c r="G1237" t="b">
        <f t="shared" si="279"/>
        <v>1</v>
      </c>
    </row>
    <row r="1238" spans="1:7" ht="15.75" thickBot="1" x14ac:dyDescent="0.3">
      <c r="A1238" t="str">
        <f>B1238&amp;"-"&amp;COUNTIF($B$2:B1238,B1238)</f>
        <v>I. PULPA MARACUYA-6</v>
      </c>
      <c r="B1238" s="29" t="s">
        <v>108</v>
      </c>
      <c r="C1238">
        <f>VLOOKUP(B1238,RECETAS!D1237:$E$1700,2,FALSE)</f>
        <v>675</v>
      </c>
      <c r="D1238" s="27"/>
      <c r="G1238" t="b">
        <f t="shared" si="279"/>
        <v>1</v>
      </c>
    </row>
    <row r="1239" spans="1:7" x14ac:dyDescent="0.25">
      <c r="A1239" t="str">
        <f>B1239&amp;"-"&amp;COUNTIF($B$2:B1239,B1239)</f>
        <v>I. BRUJAS 35-8</v>
      </c>
      <c r="B1239" s="31" t="s">
        <v>270</v>
      </c>
      <c r="C1239">
        <f>VLOOKUP(B1239,RECETAS!D1238:$E$1700,2,FALSE)</f>
        <v>300</v>
      </c>
      <c r="D1239" s="80" t="s">
        <v>603</v>
      </c>
      <c r="G1239" t="b">
        <f t="shared" si="279"/>
        <v>1</v>
      </c>
    </row>
    <row r="1240" spans="1:7" x14ac:dyDescent="0.25">
      <c r="A1240" t="str">
        <f>B1240&amp;"-"&amp;COUNTIF($B$2:B1240,B1240)</f>
        <v>I. PULPA LIMON-96</v>
      </c>
      <c r="B1240" s="35" t="s">
        <v>106</v>
      </c>
      <c r="C1240">
        <f>VLOOKUP(B1240,RECETAS!D1239:$E$1700,2,FALSE)</f>
        <v>80</v>
      </c>
      <c r="D1240" s="81"/>
      <c r="G1240" t="b">
        <f t="shared" si="279"/>
        <v>1</v>
      </c>
    </row>
    <row r="1241" spans="1:7" x14ac:dyDescent="0.25">
      <c r="A1241" t="str">
        <f>B1241&amp;"-"&amp;COUNTIF($B$2:B1241,B1241)</f>
        <v>I. AZUCAR FLOR-103</v>
      </c>
      <c r="B1241" s="35" t="s">
        <v>51</v>
      </c>
      <c r="C1241">
        <f>VLOOKUP(B1241,RECETAS!D1240:$E$1700,2,FALSE)</f>
        <v>80</v>
      </c>
      <c r="D1241" s="81"/>
      <c r="G1241" t="b">
        <f t="shared" si="279"/>
        <v>1</v>
      </c>
    </row>
    <row r="1242" spans="1:7" ht="15.75" thickBot="1" x14ac:dyDescent="0.3">
      <c r="A1242" t="str">
        <f>B1242&amp;"-"&amp;COUNTIF($B$2:B1242,B1242)</f>
        <v>I. TRIPLE SEC-34</v>
      </c>
      <c r="B1242" s="33" t="s">
        <v>128</v>
      </c>
      <c r="C1242">
        <f>VLOOKUP(B1242,RECETAS!D1241:$E$1700,2,FALSE)</f>
        <v>40</v>
      </c>
      <c r="D1242" s="82"/>
      <c r="G1242" t="b">
        <f t="shared" si="279"/>
        <v>1</v>
      </c>
    </row>
    <row r="1243" spans="1:7" x14ac:dyDescent="0.25">
      <c r="A1243" t="str">
        <f>B1243&amp;"-"&amp;COUNTIF($B$2:B1243,B1243)</f>
        <v>I. RAMAZZOTTI-5</v>
      </c>
      <c r="B1243" s="26" t="s">
        <v>109</v>
      </c>
      <c r="C1243">
        <f>VLOOKUP(B1243,RECETAS!D1242:$E$1700,2,FALSE)</f>
        <v>0</v>
      </c>
      <c r="D1243" s="25" t="s">
        <v>223</v>
      </c>
      <c r="G1243" t="b">
        <f t="shared" si="279"/>
        <v>1</v>
      </c>
    </row>
    <row r="1244" spans="1:7" ht="16.5" thickBot="1" x14ac:dyDescent="0.3">
      <c r="A1244" t="str">
        <f>B1244&amp;"-"&amp;COUNTIF($B$2:B1244,B1244)</f>
        <v>I. CHAMP BRUT 750-10</v>
      </c>
      <c r="B1244" s="28" t="s">
        <v>59</v>
      </c>
      <c r="C1244">
        <f>VLOOKUP(B1244,RECETAS!D1243:$E$1700,2,FALSE)</f>
        <v>0</v>
      </c>
      <c r="D1244" s="88"/>
      <c r="G1244" t="b">
        <f t="shared" si="279"/>
        <v>1</v>
      </c>
    </row>
    <row r="1245" spans="1:7" x14ac:dyDescent="0.25">
      <c r="A1245" t="str">
        <f>B1245&amp;"-"&amp;COUNTIF($B$2:B1245,B1245)</f>
        <v>I. HAMBURGUESA-6</v>
      </c>
      <c r="B1245" s="26" t="s">
        <v>26</v>
      </c>
      <c r="C1245">
        <f>VLOOKUP(B1245,RECETAS!D1244:$E$1700,2,FALSE)</f>
        <v>0</v>
      </c>
      <c r="D1245" s="25" t="s">
        <v>607</v>
      </c>
      <c r="G1245" t="b">
        <f t="shared" si="279"/>
        <v>1</v>
      </c>
    </row>
    <row r="1246" spans="1:7" x14ac:dyDescent="0.25">
      <c r="A1246" t="str">
        <f>B1246&amp;"-"&amp;COUNTIF($B$2:B1246,B1246)</f>
        <v>I. QUESO GRANULADO-56</v>
      </c>
      <c r="B1246" s="35" t="s">
        <v>9</v>
      </c>
      <c r="C1246">
        <f>VLOOKUP(B1246,RECETAS!D1245:$E$1700,2,FALSE)</f>
        <v>0</v>
      </c>
      <c r="D1246" s="34"/>
      <c r="G1246" t="b">
        <f t="shared" si="279"/>
        <v>1</v>
      </c>
    </row>
    <row r="1247" spans="1:7" x14ac:dyDescent="0.25">
      <c r="A1247" t="str">
        <f>B1247&amp;"-"&amp;COUNTIF($B$2:B1247,B1247)</f>
        <v>I. PALTA UNIDAD-4</v>
      </c>
      <c r="B1247" s="35" t="s">
        <v>102</v>
      </c>
      <c r="C1247">
        <f>VLOOKUP(B1247,RECETAS!D1246:$E$1700,2,FALSE)</f>
        <v>0</v>
      </c>
      <c r="D1247" s="34"/>
      <c r="G1247" t="b">
        <f t="shared" si="279"/>
        <v>1</v>
      </c>
    </row>
    <row r="1248" spans="1:7" x14ac:dyDescent="0.25">
      <c r="A1248" t="str">
        <f>B1248&amp;"-"&amp;COUNTIF($B$2:B1248,B1248)</f>
        <v>I. PAN FRICA-8</v>
      </c>
      <c r="B1248" s="35" t="s">
        <v>28</v>
      </c>
      <c r="C1248">
        <f>VLOOKUP(B1248,RECETAS!D1247:$E$1700,2,FALSE)</f>
        <v>0</v>
      </c>
      <c r="D1248" s="34"/>
      <c r="G1248" t="b">
        <f t="shared" si="279"/>
        <v>1</v>
      </c>
    </row>
    <row r="1249" spans="1:7" ht="15.75" thickBot="1" x14ac:dyDescent="0.3">
      <c r="A1249" t="str">
        <f>B1249&amp;"-"&amp;COUNTIF($B$2:B1249,B1249)</f>
        <v>I. PAPAS FRITAS-48</v>
      </c>
      <c r="B1249" s="33" t="s">
        <v>13</v>
      </c>
      <c r="C1249">
        <f>VLOOKUP(B1249,RECETAS!D1248:$E$1700,2,FALSE)</f>
        <v>0</v>
      </c>
      <c r="D1249" s="32"/>
      <c r="G1249" t="b">
        <f t="shared" si="279"/>
        <v>1</v>
      </c>
    </row>
    <row r="1250" spans="1:7" x14ac:dyDescent="0.25">
      <c r="A1250" t="str">
        <f>B1250&amp;"-"&amp;COUNTIF($B$2:B1250,B1250)</f>
        <v>I. FILETILLO POLLO-11</v>
      </c>
      <c r="B1250" s="26" t="s">
        <v>5</v>
      </c>
      <c r="C1250">
        <f>VLOOKUP(B1250,RECETAS!D1249:$E$1700,2,FALSE)</f>
        <v>0</v>
      </c>
      <c r="D1250" s="25" t="s">
        <v>628</v>
      </c>
      <c r="G1250" t="b">
        <f t="shared" si="279"/>
        <v>1</v>
      </c>
    </row>
    <row r="1251" spans="1:7" x14ac:dyDescent="0.25">
      <c r="A1251" t="str">
        <f>B1251&amp;"-"&amp;COUNTIF($B$2:B1251,B1251)</f>
        <v>I. QUESO GRANULADO-57</v>
      </c>
      <c r="B1251" s="35" t="s">
        <v>9</v>
      </c>
      <c r="C1251">
        <f>VLOOKUP(B1251,RECETAS!D1250:$E$1700,2,FALSE)</f>
        <v>0</v>
      </c>
      <c r="D1251" s="34"/>
      <c r="G1251" t="b">
        <f t="shared" si="279"/>
        <v>1</v>
      </c>
    </row>
    <row r="1252" spans="1:7" x14ac:dyDescent="0.25">
      <c r="A1252" t="str">
        <f>B1252&amp;"-"&amp;COUNTIF($B$2:B1252,B1252)</f>
        <v>I. CHAMP. PORCION-14</v>
      </c>
      <c r="B1252" s="35" t="s">
        <v>8</v>
      </c>
      <c r="C1252">
        <f>VLOOKUP(B1252,RECETAS!D1251:$E$1700,2,FALSE)</f>
        <v>0</v>
      </c>
      <c r="D1252" s="34"/>
      <c r="G1252" t="b">
        <f t="shared" si="279"/>
        <v>1</v>
      </c>
    </row>
    <row r="1253" spans="1:7" x14ac:dyDescent="0.25">
      <c r="A1253" t="str">
        <f>B1253&amp;"-"&amp;COUNTIF($B$2:B1253,B1253)</f>
        <v>I. PAPAS FRITAS-49</v>
      </c>
      <c r="B1253" s="33" t="s">
        <v>13</v>
      </c>
      <c r="C1253">
        <f>VLOOKUP(B1253,RECETAS!D1252:$E$1700,2,FALSE)</f>
        <v>0</v>
      </c>
      <c r="D1253" s="32"/>
      <c r="G1253" t="b">
        <f t="shared" si="279"/>
        <v>1</v>
      </c>
    </row>
    <row r="1254" spans="1:7" ht="15.75" thickBot="1" x14ac:dyDescent="0.3">
      <c r="A1254" t="str">
        <f>B1254&amp;"-"&amp;COUNTIF($B$2:B1254,B1254)</f>
        <v>I. PAN FRICA-9</v>
      </c>
      <c r="B1254" s="35" t="s">
        <v>28</v>
      </c>
      <c r="C1254">
        <f>VLOOKUP(B1254,RECETAS!D1253:$E$1700,2,FALSE)</f>
        <v>0</v>
      </c>
      <c r="D1254" s="34"/>
      <c r="G1254" t="b">
        <f t="shared" si="279"/>
        <v>1</v>
      </c>
    </row>
    <row r="1255" spans="1:7" x14ac:dyDescent="0.25">
      <c r="A1255" t="str">
        <f>B1255&amp;"-"&amp;COUNTIF($B$2:B1255,B1255)</f>
        <v>I. NOT HAMBURGUESA-1</v>
      </c>
      <c r="B1255" s="26" t="s">
        <v>674</v>
      </c>
      <c r="C1255">
        <f>VLOOKUP(B1255,RECETAS!D1254:$E$1700,2,FALSE)</f>
        <v>8</v>
      </c>
      <c r="D1255" s="25" t="s">
        <v>673</v>
      </c>
      <c r="G1255" t="b">
        <f t="shared" si="279"/>
        <v>1</v>
      </c>
    </row>
    <row r="1256" spans="1:7" x14ac:dyDescent="0.25">
      <c r="A1256" t="str">
        <f>B1256&amp;"-"&amp;COUNTIF($B$2:B1256,B1256)</f>
        <v>I. QUESO CHEDAR-6</v>
      </c>
      <c r="B1256" s="35" t="s">
        <v>27</v>
      </c>
      <c r="C1256">
        <f>VLOOKUP(B1256,RECETAS!D1255:$E$1700,2,FALSE)</f>
        <v>4</v>
      </c>
      <c r="D1256" s="34"/>
      <c r="G1256" t="b">
        <f t="shared" si="279"/>
        <v>1</v>
      </c>
    </row>
    <row r="1257" spans="1:7" x14ac:dyDescent="0.25">
      <c r="A1257" t="str">
        <f>B1257&amp;"-"&amp;COUNTIF($B$2:B1257,B1257)</f>
        <v>I. TOCINO PORCION-4</v>
      </c>
      <c r="B1257" s="35" t="s">
        <v>32</v>
      </c>
      <c r="C1257">
        <f>VLOOKUP(B1257,RECETAS!D1256:$E$1700,2,FALSE)</f>
        <v>4</v>
      </c>
      <c r="D1257" s="34"/>
      <c r="G1257" t="b">
        <f t="shared" si="279"/>
        <v>1</v>
      </c>
    </row>
    <row r="1258" spans="1:7" x14ac:dyDescent="0.25">
      <c r="A1258" t="str">
        <f>B1258&amp;"-"&amp;COUNTIF($B$2:B1258,B1258)</f>
        <v>I. PAPAS FRITAS-50</v>
      </c>
      <c r="B1258" s="33" t="s">
        <v>13</v>
      </c>
      <c r="C1258">
        <f>VLOOKUP(B1258,RECETAS!D1257:$E$1700,2,FALSE)</f>
        <v>400</v>
      </c>
      <c r="D1258" s="32"/>
      <c r="G1258" t="b">
        <f t="shared" si="279"/>
        <v>1</v>
      </c>
    </row>
    <row r="1259" spans="1:7" ht="15.75" thickBot="1" x14ac:dyDescent="0.3">
      <c r="A1259" t="str">
        <f>B1259&amp;"-"&amp;COUNTIF($B$2:B1259,B1259)</f>
        <v>I. PAN FRICA-10</v>
      </c>
      <c r="B1259" s="35" t="s">
        <v>28</v>
      </c>
      <c r="C1259">
        <f>VLOOKUP(B1259,RECETAS!D1258:$E$1700,2,FALSE)</f>
        <v>4</v>
      </c>
      <c r="D1259" s="34"/>
      <c r="G1259" t="b">
        <f t="shared" si="279"/>
        <v>1</v>
      </c>
    </row>
    <row r="1260" spans="1:7" x14ac:dyDescent="0.25">
      <c r="A1260" t="str">
        <f>B1260&amp;"-"&amp;COUNTIF($B$2:B1260,B1260)</f>
        <v>I. NOT HAMBURGUESA-2</v>
      </c>
      <c r="B1260" s="26" t="s">
        <v>674</v>
      </c>
      <c r="C1260">
        <f>VLOOKUP(B1260,RECETAS!D1259:$E$1700,2,FALSE)</f>
        <v>0</v>
      </c>
      <c r="D1260" s="25" t="s">
        <v>675</v>
      </c>
      <c r="G1260" t="b">
        <f t="shared" si="279"/>
        <v>1</v>
      </c>
    </row>
    <row r="1261" spans="1:7" x14ac:dyDescent="0.25">
      <c r="A1261" t="str">
        <f>B1261&amp;"-"&amp;COUNTIF($B$2:B1261,B1261)</f>
        <v>I. QUESO CHEDAR-7</v>
      </c>
      <c r="B1261" s="35" t="s">
        <v>27</v>
      </c>
      <c r="C1261">
        <f>VLOOKUP(B1261,RECETAS!D1260:$E$1700,2,FALSE)</f>
        <v>0</v>
      </c>
      <c r="D1261" s="34"/>
      <c r="G1261" t="b">
        <f t="shared" si="279"/>
        <v>1</v>
      </c>
    </row>
    <row r="1262" spans="1:7" x14ac:dyDescent="0.25">
      <c r="A1262" t="str">
        <f>B1262&amp;"-"&amp;COUNTIF($B$2:B1262,B1262)</f>
        <v>I. PAN FRICA-11</v>
      </c>
      <c r="B1262" s="35" t="s">
        <v>28</v>
      </c>
      <c r="C1262">
        <f>VLOOKUP(B1262,RECETAS!D1261:$E$1700,2,FALSE)</f>
        <v>0</v>
      </c>
      <c r="D1262" s="34"/>
      <c r="G1262" t="b">
        <f t="shared" si="279"/>
        <v>1</v>
      </c>
    </row>
    <row r="1263" spans="1:7" x14ac:dyDescent="0.25">
      <c r="A1263" t="str">
        <f>B1263&amp;"-"&amp;COUNTIF($B$2:B1263,B1263)</f>
        <v>I. JAMON-3</v>
      </c>
      <c r="B1263" s="35" t="s">
        <v>30</v>
      </c>
      <c r="C1263">
        <f>VLOOKUP(B1263,RECETAS!D1262:$E$1700,2,FALSE)</f>
        <v>0</v>
      </c>
      <c r="D1263" s="34"/>
      <c r="G1263" t="b">
        <f t="shared" si="279"/>
        <v>1</v>
      </c>
    </row>
    <row r="1264" spans="1:7" x14ac:dyDescent="0.25">
      <c r="A1264" t="str">
        <f>B1264&amp;"-"&amp;COUNTIF($B$2:B1264,B1264)</f>
        <v>I. LECHUGA COSTINA-3</v>
      </c>
      <c r="B1264" s="35" t="s">
        <v>573</v>
      </c>
      <c r="C1264">
        <f>VLOOKUP(B1264,RECETAS!D1263:$E$1700,2,FALSE)</f>
        <v>0</v>
      </c>
      <c r="D1264" s="34"/>
      <c r="G1264" t="b">
        <f t="shared" si="279"/>
        <v>1</v>
      </c>
    </row>
    <row r="1265" spans="1:7" x14ac:dyDescent="0.25">
      <c r="A1265" t="str">
        <f>B1265&amp;"-"&amp;COUNTIF($B$2:B1265,B1265)</f>
        <v>I. TOMATE-8</v>
      </c>
      <c r="B1265" s="35" t="s">
        <v>34</v>
      </c>
      <c r="C1265">
        <f>VLOOKUP(B1265,RECETAS!D1264:$E$1700,2,FALSE)</f>
        <v>0</v>
      </c>
      <c r="D1265" s="34"/>
      <c r="G1265" t="b">
        <f t="shared" si="279"/>
        <v>1</v>
      </c>
    </row>
    <row r="1266" spans="1:7" ht="15.75" thickBot="1" x14ac:dyDescent="0.3">
      <c r="A1266" t="str">
        <f>B1266&amp;"-"&amp;COUNTIF($B$2:B1266,B1266)</f>
        <v>I. PAPAS FRITAS-51</v>
      </c>
      <c r="B1266" s="33" t="s">
        <v>13</v>
      </c>
      <c r="C1266">
        <f>VLOOKUP(B1266,RECETAS!D1265:$E$1700,2,FALSE)</f>
        <v>0</v>
      </c>
      <c r="D1266" s="32"/>
      <c r="G1266" t="b">
        <f t="shared" si="279"/>
        <v>1</v>
      </c>
    </row>
    <row r="1267" spans="1:7" x14ac:dyDescent="0.25">
      <c r="A1267" t="str">
        <f>B1267&amp;"-"&amp;COUNTIF($B$2:B1267,B1267)</f>
        <v>I. SALMON DE 250-7</v>
      </c>
      <c r="B1267" s="45" t="s">
        <v>36</v>
      </c>
      <c r="C1267">
        <f>VLOOKUP(B1267,RECETAS!D1266:$E$1700,2,FALSE)</f>
        <v>17</v>
      </c>
      <c r="D1267" s="112" t="s">
        <v>609</v>
      </c>
      <c r="G1267" t="b">
        <f t="shared" si="279"/>
        <v>1</v>
      </c>
    </row>
    <row r="1268" spans="1:7" x14ac:dyDescent="0.25">
      <c r="A1268" t="str">
        <f>B1268&amp;"-"&amp;COUNTIF($B$2:B1268,B1268)</f>
        <v>I. CEBOLLA MORADA-2</v>
      </c>
      <c r="B1268" s="35" t="s">
        <v>40</v>
      </c>
      <c r="C1268">
        <f>VLOOKUP(B1268,RECETAS!D1267:$E$1700,2,FALSE)</f>
        <v>8.5</v>
      </c>
      <c r="D1268" s="34"/>
      <c r="G1268" t="b">
        <f t="shared" si="279"/>
        <v>1</v>
      </c>
    </row>
    <row r="1269" spans="1:7" x14ac:dyDescent="0.25">
      <c r="A1269" t="str">
        <f>B1269&amp;"-"&amp;COUNTIF($B$2:B1269,B1269)</f>
        <v>I. CHOCLO PERUANO PORCION-2</v>
      </c>
      <c r="B1269" s="36" t="s">
        <v>41</v>
      </c>
      <c r="C1269">
        <f>VLOOKUP(B1269,RECETAS!D1268:$E$1700,2,FALSE)</f>
        <v>17</v>
      </c>
      <c r="D1269" s="34"/>
      <c r="G1269" t="b">
        <f t="shared" si="279"/>
        <v>1</v>
      </c>
    </row>
    <row r="1270" spans="1:7" x14ac:dyDescent="0.25">
      <c r="A1270" t="str">
        <f>B1270&amp;"-"&amp;COUNTIF($B$2:B1270,B1270)</f>
        <v>I. BAGUETTE-10</v>
      </c>
      <c r="B1270" s="35" t="s">
        <v>311</v>
      </c>
      <c r="C1270">
        <f>VLOOKUP(B1270,RECETAS!D1269:$E$1700,2,FALSE)</f>
        <v>17</v>
      </c>
      <c r="D1270" s="34"/>
      <c r="G1270" t="b">
        <f t="shared" si="279"/>
        <v>1</v>
      </c>
    </row>
    <row r="1271" spans="1:7" ht="15.75" thickBot="1" x14ac:dyDescent="0.3">
      <c r="A1271" t="str">
        <f>B1271&amp;"-"&amp;COUNTIF($B$2:B1271,B1271)</f>
        <v>I. CAMARON PORCION-15</v>
      </c>
      <c r="B1271" s="28" t="s">
        <v>6</v>
      </c>
      <c r="C1271">
        <f>VLOOKUP(B1271,RECETAS!D1270:$E$1700,2,FALSE)</f>
        <v>17</v>
      </c>
      <c r="D1271" s="27"/>
      <c r="G1271" t="b">
        <f t="shared" si="279"/>
        <v>1</v>
      </c>
    </row>
    <row r="1272" spans="1:7" x14ac:dyDescent="0.25">
      <c r="A1272" t="str">
        <f>B1272&amp;"-"&amp;COUNTIF($B$2:B1272,B1272)</f>
        <v>I. HAMBURGUESA-7</v>
      </c>
      <c r="B1272" s="26" t="s">
        <v>26</v>
      </c>
      <c r="C1272">
        <f>VLOOKUP(B1272,RECETAS!D1271:$E$1700,2,FALSE)</f>
        <v>20</v>
      </c>
      <c r="D1272" s="25" t="s">
        <v>29</v>
      </c>
      <c r="G1272" t="b">
        <f t="shared" si="279"/>
        <v>1</v>
      </c>
    </row>
    <row r="1273" spans="1:7" x14ac:dyDescent="0.25">
      <c r="A1273" t="str">
        <f>B1273&amp;"-"&amp;COUNTIF($B$2:B1273,B1273)</f>
        <v>I. QUESO CHEDAR-8</v>
      </c>
      <c r="B1273" s="35" t="s">
        <v>27</v>
      </c>
      <c r="C1273">
        <f>VLOOKUP(B1273,RECETAS!D1272:$E$1700,2,FALSE)</f>
        <v>0</v>
      </c>
      <c r="D1273" s="34"/>
      <c r="G1273" t="b">
        <f t="shared" si="279"/>
        <v>1</v>
      </c>
    </row>
    <row r="1274" spans="1:7" x14ac:dyDescent="0.25">
      <c r="A1274" t="str">
        <f>B1274&amp;"-"&amp;COUNTIF($B$2:B1274,B1274)</f>
        <v>I. PAN FRICA-12</v>
      </c>
      <c r="B1274" s="35" t="s">
        <v>28</v>
      </c>
      <c r="C1274">
        <f>VLOOKUP(B1274,RECETAS!D1273:$E$1700,2,FALSE)</f>
        <v>20</v>
      </c>
      <c r="D1274" s="34"/>
      <c r="G1274" t="b">
        <f t="shared" si="279"/>
        <v>1</v>
      </c>
    </row>
    <row r="1275" spans="1:7" x14ac:dyDescent="0.25">
      <c r="A1275" t="str">
        <f>B1275&amp;"-"&amp;COUNTIF($B$2:B1275,B1275)</f>
        <v>I. JAMON-4</v>
      </c>
      <c r="B1275" s="35" t="s">
        <v>30</v>
      </c>
      <c r="C1275">
        <f>VLOOKUP(B1275,RECETAS!D1274:$E$1700,2,FALSE)</f>
        <v>4</v>
      </c>
      <c r="D1275" s="34"/>
      <c r="G1275" t="b">
        <f t="shared" si="279"/>
        <v>1</v>
      </c>
    </row>
    <row r="1276" spans="1:7" x14ac:dyDescent="0.25">
      <c r="A1276" t="str">
        <f>B1276&amp;"-"&amp;COUNTIF($B$2:B1276,B1276)</f>
        <v>I. LECHUGA COSTINA-4</v>
      </c>
      <c r="B1276" s="35" t="s">
        <v>573</v>
      </c>
      <c r="C1276">
        <f>VLOOKUP(B1276,RECETAS!D1275:$E$1700,2,FALSE)</f>
        <v>10</v>
      </c>
      <c r="D1276" s="34"/>
      <c r="G1276" t="b">
        <f t="shared" si="279"/>
        <v>1</v>
      </c>
    </row>
    <row r="1277" spans="1:7" x14ac:dyDescent="0.25">
      <c r="A1277" t="str">
        <f>B1277&amp;"-"&amp;COUNTIF($B$2:B1277,B1277)</f>
        <v>I. TOMATE-9</v>
      </c>
      <c r="B1277" s="35" t="s">
        <v>34</v>
      </c>
      <c r="C1277">
        <f>VLOOKUP(B1277,RECETAS!D1276:$E$1700,2,FALSE)</f>
        <v>4</v>
      </c>
      <c r="D1277" s="34"/>
      <c r="G1277" t="b">
        <f t="shared" si="279"/>
        <v>1</v>
      </c>
    </row>
    <row r="1278" spans="1:7" ht="15.75" thickBot="1" x14ac:dyDescent="0.3">
      <c r="A1278" t="str">
        <f>B1278&amp;"-"&amp;COUNTIF($B$2:B1278,B1278)</f>
        <v>I. PAPAS FRITAS-52</v>
      </c>
      <c r="B1278" s="33" t="s">
        <v>13</v>
      </c>
      <c r="C1278">
        <f>VLOOKUP(B1278,RECETAS!D1277:$E$1700,2,FALSE)</f>
        <v>2000</v>
      </c>
      <c r="D1278" s="32"/>
      <c r="G1278" t="b">
        <f t="shared" si="279"/>
        <v>1</v>
      </c>
    </row>
    <row r="1279" spans="1:7" x14ac:dyDescent="0.25">
      <c r="A1279" t="str">
        <f>B1279&amp;"-"&amp;COUNTIF($B$2:B1279,B1279)</f>
        <v>I. GIN GABRI-1</v>
      </c>
      <c r="B1279" s="119" t="s">
        <v>676</v>
      </c>
      <c r="C1279">
        <f>VLOOKUP(B1279,RECETAS!D1278:$E$1700,2,FALSE)</f>
        <v>0</v>
      </c>
      <c r="D1279" s="118" t="s">
        <v>728</v>
      </c>
      <c r="G1279" t="b">
        <f t="shared" si="279"/>
        <v>1</v>
      </c>
    </row>
    <row r="1280" spans="1:7" ht="15.75" thickBot="1" x14ac:dyDescent="0.3">
      <c r="A1280" t="str">
        <f>B1280&amp;"-"&amp;COUNTIF($B$2:B1280,B1280)</f>
        <v>I. COCA COLA 237CC-2</v>
      </c>
      <c r="B1280" s="51" t="s">
        <v>584</v>
      </c>
      <c r="C1280">
        <f>VLOOKUP(B1280,RECETAS!D1279:$E$1700,2,FALSE)</f>
        <v>0</v>
      </c>
      <c r="D1280" s="120"/>
      <c r="G1280" t="b">
        <f t="shared" si="279"/>
        <v>1</v>
      </c>
    </row>
    <row r="1281" spans="1:7" x14ac:dyDescent="0.25">
      <c r="A1281" t="str">
        <f>B1281&amp;"-"&amp;COUNTIF($B$2:B1281,B1281)</f>
        <v>I. BULLEIT-1</v>
      </c>
      <c r="B1281" s="119" t="s">
        <v>678</v>
      </c>
      <c r="C1281">
        <f>VLOOKUP(B1281,RECETAS!D1280:$E$1700,2,FALSE)</f>
        <v>0</v>
      </c>
      <c r="D1281" s="118" t="s">
        <v>677</v>
      </c>
      <c r="G1281" t="b">
        <f t="shared" si="279"/>
        <v>1</v>
      </c>
    </row>
    <row r="1282" spans="1:7" ht="15.75" thickBot="1" x14ac:dyDescent="0.3">
      <c r="A1282" t="str">
        <f>B1282&amp;"-"&amp;COUNTIF($B$2:B1282,B1282)</f>
        <v>I. COCA COLA 237CC-3</v>
      </c>
      <c r="B1282" s="51" t="s">
        <v>584</v>
      </c>
      <c r="C1282">
        <f>VLOOKUP(B1282,RECETAS!D1281:$E$1700,2,FALSE)</f>
        <v>0</v>
      </c>
      <c r="D1282" s="120"/>
      <c r="G1282" t="b">
        <f t="shared" si="279"/>
        <v>1</v>
      </c>
    </row>
    <row r="1283" spans="1:7" x14ac:dyDescent="0.25">
      <c r="A1283" t="str">
        <f>B1283&amp;"-"&amp;COUNTIF($B$2:B1283,B1283)</f>
        <v>I. JW BLONDE-1</v>
      </c>
      <c r="B1283" s="119" t="s">
        <v>680</v>
      </c>
      <c r="C1283">
        <f>VLOOKUP(B1283,RECETAS!D1282:$E$1700,2,FALSE)</f>
        <v>0</v>
      </c>
      <c r="D1283" s="118" t="s">
        <v>679</v>
      </c>
      <c r="G1283" t="b">
        <f t="shared" ref="G1283:G1346" si="280">IFERROR(IF(MATCH(B1283,I:I,0) &lt;&gt; "", TRUE,""),FALSE)</f>
        <v>1</v>
      </c>
    </row>
    <row r="1284" spans="1:7" ht="15.75" thickBot="1" x14ac:dyDescent="0.3">
      <c r="A1284" t="str">
        <f>B1284&amp;"-"&amp;COUNTIF($B$2:B1284,B1284)</f>
        <v>I. COCA COLA 237CC-4</v>
      </c>
      <c r="B1284" s="55" t="s">
        <v>584</v>
      </c>
      <c r="C1284">
        <f>VLOOKUP(B1284,RECETAS!D1283:$E$1700,2,FALSE)</f>
        <v>0</v>
      </c>
      <c r="D1284" s="121"/>
      <c r="G1284" t="b">
        <f t="shared" si="280"/>
        <v>1</v>
      </c>
    </row>
    <row r="1285" spans="1:7" x14ac:dyDescent="0.25">
      <c r="A1285" t="str">
        <f>B1285&amp;"-"&amp;COUNTIF($B$2:B1285,B1285)</f>
        <v>I. MENTA-35</v>
      </c>
      <c r="B1285" s="46" t="s">
        <v>637</v>
      </c>
      <c r="C1285">
        <f>VLOOKUP(B1285,RECETAS!D1284:$E$1700,2,FALSE)</f>
        <v>23</v>
      </c>
      <c r="D1285" s="25" t="s">
        <v>681</v>
      </c>
      <c r="G1285" t="b">
        <f t="shared" si="280"/>
        <v>1</v>
      </c>
    </row>
    <row r="1286" spans="1:7" x14ac:dyDescent="0.25">
      <c r="A1286" t="str">
        <f>B1286&amp;"-"&amp;COUNTIF($B$2:B1286,B1286)</f>
        <v>I. AZUCAR FLOR-104</v>
      </c>
      <c r="B1286" s="36" t="s">
        <v>51</v>
      </c>
      <c r="C1286">
        <f>VLOOKUP(B1286,RECETAS!D1285:$E$1700,2,FALSE)</f>
        <v>460</v>
      </c>
      <c r="D1286" s="34"/>
      <c r="G1286" t="b">
        <f t="shared" si="280"/>
        <v>1</v>
      </c>
    </row>
    <row r="1287" spans="1:7" x14ac:dyDescent="0.25">
      <c r="A1287" t="str">
        <f>B1287&amp;"-"&amp;COUNTIF($B$2:B1287,B1287)</f>
        <v>I. PULPA LIMON-97</v>
      </c>
      <c r="B1287" s="36" t="s">
        <v>106</v>
      </c>
      <c r="C1287">
        <f>VLOOKUP(B1287,RECETAS!D1286:$E$1700,2,FALSE)</f>
        <v>460</v>
      </c>
      <c r="D1287" s="34"/>
      <c r="G1287" t="b">
        <f t="shared" si="280"/>
        <v>1</v>
      </c>
    </row>
    <row r="1288" spans="1:7" x14ac:dyDescent="0.25">
      <c r="A1288" t="str">
        <f>B1288&amp;"-"&amp;COUNTIF($B$2:B1288,B1288)</f>
        <v>I. LIMON PICA-48</v>
      </c>
      <c r="B1288" s="36" t="s">
        <v>636</v>
      </c>
      <c r="C1288">
        <f>VLOOKUP(B1288,RECETAS!D1287:$E$1700,2,FALSE)</f>
        <v>23</v>
      </c>
      <c r="D1288" s="34"/>
      <c r="G1288" t="b">
        <f t="shared" si="280"/>
        <v>1</v>
      </c>
    </row>
    <row r="1289" spans="1:7" x14ac:dyDescent="0.25">
      <c r="A1289" t="str">
        <f>B1289&amp;"-"&amp;COUNTIF($B$2:B1289,B1289)</f>
        <v>I. MINERAL1.6LT  C/G-39</v>
      </c>
      <c r="B1289" s="66" t="s">
        <v>97</v>
      </c>
      <c r="C1289">
        <f>VLOOKUP(B1289,RECETAS!D1288:$E$1700,2,FALSE)</f>
        <v>1150</v>
      </c>
      <c r="D1289" s="34"/>
      <c r="G1289" t="b">
        <f t="shared" si="280"/>
        <v>1</v>
      </c>
    </row>
    <row r="1290" spans="1:7" x14ac:dyDescent="0.25">
      <c r="A1290" t="str">
        <f>B1290&amp;"-"&amp;COUNTIF($B$2:B1290,B1290)</f>
        <v>I. RON BLANCO BATALLA-40</v>
      </c>
      <c r="B1290" s="40" t="s">
        <v>116</v>
      </c>
      <c r="C1290">
        <f>VLOOKUP(B1290,RECETAS!D1289:$E$1700,2,FALSE)</f>
        <v>1725</v>
      </c>
      <c r="D1290" s="34"/>
      <c r="G1290" t="b">
        <f t="shared" si="280"/>
        <v>1</v>
      </c>
    </row>
    <row r="1291" spans="1:7" ht="15.75" thickBot="1" x14ac:dyDescent="0.3">
      <c r="A1291" t="str">
        <f>B1291&amp;"-"&amp;COUNTIF($B$2:B1291,B1291)</f>
        <v>I. PULPA MANGO-10</v>
      </c>
      <c r="B1291" s="29" t="s">
        <v>107</v>
      </c>
      <c r="C1291">
        <f>VLOOKUP(B1291,RECETAS!D1290:$E$1700,2,FALSE)</f>
        <v>0</v>
      </c>
      <c r="D1291" s="27"/>
      <c r="G1291" t="b">
        <f t="shared" si="280"/>
        <v>1</v>
      </c>
    </row>
    <row r="1292" spans="1:7" x14ac:dyDescent="0.25">
      <c r="A1292" t="str">
        <f>B1292&amp;"-"&amp;COUNTIF($B$2:B1292,B1292)</f>
        <v>I. MENTA-36</v>
      </c>
      <c r="B1292" s="46" t="s">
        <v>637</v>
      </c>
      <c r="C1292">
        <f>VLOOKUP(B1292,RECETAS!D1291:$E$1700,2,FALSE)</f>
        <v>21</v>
      </c>
      <c r="D1292" s="30" t="s">
        <v>682</v>
      </c>
      <c r="G1292" t="b">
        <f t="shared" si="280"/>
        <v>1</v>
      </c>
    </row>
    <row r="1293" spans="1:7" x14ac:dyDescent="0.25">
      <c r="A1293" t="str">
        <f>B1293&amp;"-"&amp;COUNTIF($B$2:B1293,B1293)</f>
        <v>I. AZUCAR FLOR-105</v>
      </c>
      <c r="B1293" s="36" t="s">
        <v>51</v>
      </c>
      <c r="C1293">
        <f>VLOOKUP(B1293,RECETAS!D1292:$E$1700,2,FALSE)</f>
        <v>420</v>
      </c>
      <c r="D1293" s="34"/>
      <c r="G1293" t="b">
        <f t="shared" si="280"/>
        <v>1</v>
      </c>
    </row>
    <row r="1294" spans="1:7" x14ac:dyDescent="0.25">
      <c r="A1294" t="str">
        <f>B1294&amp;"-"&amp;COUNTIF($B$2:B1294,B1294)</f>
        <v>I. PULPA LIMON-98</v>
      </c>
      <c r="B1294" s="36" t="s">
        <v>106</v>
      </c>
      <c r="C1294">
        <f>VLOOKUP(B1294,RECETAS!D1293:$E$1700,2,FALSE)</f>
        <v>420</v>
      </c>
      <c r="D1294" s="34"/>
      <c r="G1294" t="b">
        <f t="shared" si="280"/>
        <v>1</v>
      </c>
    </row>
    <row r="1295" spans="1:7" x14ac:dyDescent="0.25">
      <c r="A1295" t="str">
        <f>B1295&amp;"-"&amp;COUNTIF($B$2:B1295,B1295)</f>
        <v>I. LIMON PICA-49</v>
      </c>
      <c r="B1295" s="36" t="s">
        <v>636</v>
      </c>
      <c r="C1295">
        <f>VLOOKUP(B1295,RECETAS!D1294:$E$1700,2,FALSE)</f>
        <v>21</v>
      </c>
      <c r="D1295" s="34"/>
      <c r="G1295" t="b">
        <f t="shared" si="280"/>
        <v>1</v>
      </c>
    </row>
    <row r="1296" spans="1:7" x14ac:dyDescent="0.25">
      <c r="A1296" t="str">
        <f>B1296&amp;"-"&amp;COUNTIF($B$2:B1296,B1296)</f>
        <v>I. MINERAL1.6LT  C/G-40</v>
      </c>
      <c r="B1296" s="66" t="s">
        <v>97</v>
      </c>
      <c r="C1296">
        <f>VLOOKUP(B1296,RECETAS!D1295:$E$1700,2,FALSE)</f>
        <v>1050</v>
      </c>
      <c r="D1296" s="34"/>
      <c r="G1296" t="b">
        <f t="shared" si="280"/>
        <v>1</v>
      </c>
    </row>
    <row r="1297" spans="1:7" x14ac:dyDescent="0.25">
      <c r="A1297" t="str">
        <f>B1297&amp;"-"&amp;COUNTIF($B$2:B1297,B1297)</f>
        <v>I. RON BLANCO BATALLA-41</v>
      </c>
      <c r="B1297" s="40" t="s">
        <v>116</v>
      </c>
      <c r="C1297">
        <f>VLOOKUP(B1297,RECETAS!D1296:$E$1700,2,FALSE)</f>
        <v>1575</v>
      </c>
      <c r="D1297" s="34"/>
      <c r="G1297" t="b">
        <f t="shared" si="280"/>
        <v>1</v>
      </c>
    </row>
    <row r="1298" spans="1:7" ht="15.75" thickBot="1" x14ac:dyDescent="0.3">
      <c r="A1298" t="str">
        <f>B1298&amp;"-"&amp;COUNTIF($B$2:B1298,B1298)</f>
        <v>I. PULPA ARAN FRAM-4</v>
      </c>
      <c r="B1298" s="122" t="s">
        <v>104</v>
      </c>
      <c r="C1298">
        <f>VLOOKUP(B1298,RECETAS!D1297:$E$1700,2,FALSE)</f>
        <v>0</v>
      </c>
      <c r="D1298" s="27"/>
      <c r="G1298" t="b">
        <f t="shared" si="280"/>
        <v>1</v>
      </c>
    </row>
    <row r="1299" spans="1:7" x14ac:dyDescent="0.25">
      <c r="A1299" t="str">
        <f>B1299&amp;"-"&amp;COUNTIF($B$2:B1299,B1299)</f>
        <v>I. MENTA-37</v>
      </c>
      <c r="B1299" s="46" t="s">
        <v>637</v>
      </c>
      <c r="C1299">
        <f>VLOOKUP(B1299,RECETAS!D1298:$E$1700,2,FALSE)</f>
        <v>168</v>
      </c>
      <c r="D1299" s="30" t="s">
        <v>683</v>
      </c>
      <c r="G1299" t="b">
        <f t="shared" si="280"/>
        <v>1</v>
      </c>
    </row>
    <row r="1300" spans="1:7" x14ac:dyDescent="0.25">
      <c r="A1300" t="str">
        <f>B1300&amp;"-"&amp;COUNTIF($B$2:B1300,B1300)</f>
        <v>I. AZUCAR FLOR-106</v>
      </c>
      <c r="B1300" s="36" t="s">
        <v>51</v>
      </c>
      <c r="C1300">
        <f>VLOOKUP(B1300,RECETAS!D1299:$E$1700,2,FALSE)</f>
        <v>3360</v>
      </c>
      <c r="D1300" s="34"/>
      <c r="G1300" t="b">
        <f t="shared" si="280"/>
        <v>1</v>
      </c>
    </row>
    <row r="1301" spans="1:7" x14ac:dyDescent="0.25">
      <c r="A1301" t="str">
        <f>B1301&amp;"-"&amp;COUNTIF($B$2:B1301,B1301)</f>
        <v>I. PULPA LIMON-99</v>
      </c>
      <c r="B1301" s="36" t="s">
        <v>106</v>
      </c>
      <c r="C1301">
        <f>VLOOKUP(B1301,RECETAS!D1300:$E$1700,2,FALSE)</f>
        <v>3360</v>
      </c>
      <c r="D1301" s="34"/>
      <c r="G1301" t="b">
        <f t="shared" si="280"/>
        <v>1</v>
      </c>
    </row>
    <row r="1302" spans="1:7" x14ac:dyDescent="0.25">
      <c r="A1302" t="str">
        <f>B1302&amp;"-"&amp;COUNTIF($B$2:B1302,B1302)</f>
        <v>I. LIMON PICA-50</v>
      </c>
      <c r="B1302" s="36" t="s">
        <v>636</v>
      </c>
      <c r="C1302">
        <f>VLOOKUP(B1302,RECETAS!D1301:$E$1700,2,FALSE)</f>
        <v>168</v>
      </c>
      <c r="D1302" s="34"/>
      <c r="G1302" t="b">
        <f t="shared" si="280"/>
        <v>1</v>
      </c>
    </row>
    <row r="1303" spans="1:7" x14ac:dyDescent="0.25">
      <c r="A1303" t="str">
        <f>B1303&amp;"-"&amp;COUNTIF($B$2:B1303,B1303)</f>
        <v>I. MINERAL1.6LT  C/G-41</v>
      </c>
      <c r="B1303" s="66" t="s">
        <v>97</v>
      </c>
      <c r="C1303">
        <f>VLOOKUP(B1303,RECETAS!D1302:$E$1700,2,FALSE)</f>
        <v>8400</v>
      </c>
      <c r="D1303" s="34"/>
      <c r="G1303" t="b">
        <f t="shared" si="280"/>
        <v>1</v>
      </c>
    </row>
    <row r="1304" spans="1:7" x14ac:dyDescent="0.25">
      <c r="A1304" t="str">
        <f>B1304&amp;"-"&amp;COUNTIF($B$2:B1304,B1304)</f>
        <v>I. RON BLANCO BATALLA-42</v>
      </c>
      <c r="B1304" s="40" t="s">
        <v>116</v>
      </c>
      <c r="C1304">
        <f>VLOOKUP(B1304,RECETAS!D1303:$E$1700,2,FALSE)</f>
        <v>12600</v>
      </c>
      <c r="D1304" s="34"/>
      <c r="G1304" t="b">
        <f t="shared" si="280"/>
        <v>1</v>
      </c>
    </row>
    <row r="1305" spans="1:7" ht="15.75" thickBot="1" x14ac:dyDescent="0.3">
      <c r="A1305" t="str">
        <f>B1305&amp;"-"&amp;COUNTIF($B$2:B1305,B1305)</f>
        <v>I. PULPA FRUTILLA-12</v>
      </c>
      <c r="B1305" s="40" t="s">
        <v>582</v>
      </c>
      <c r="C1305">
        <f>VLOOKUP(B1305,RECETAS!D1304:$E$1700,2,FALSE)</f>
        <v>0</v>
      </c>
      <c r="D1305" s="32"/>
      <c r="G1305" t="b">
        <f t="shared" si="280"/>
        <v>1</v>
      </c>
    </row>
    <row r="1306" spans="1:7" ht="15.75" thickBot="1" x14ac:dyDescent="0.3">
      <c r="A1306" t="str">
        <f>B1306&amp;"-"&amp;COUNTIF($B$2:B1306,B1306)</f>
        <v>I. BARRIL KM 24.7 IPA-1</v>
      </c>
      <c r="B1306" s="124" t="s">
        <v>684</v>
      </c>
      <c r="C1306">
        <f>VLOOKUP(B1306,RECETAS!D1305:$E$1700,2,FALSE)</f>
        <v>0</v>
      </c>
      <c r="D1306" s="15" t="s">
        <v>745</v>
      </c>
      <c r="G1306" t="b">
        <f t="shared" si="280"/>
        <v>1</v>
      </c>
    </row>
    <row r="1307" spans="1:7" ht="15.75" thickBot="1" x14ac:dyDescent="0.3">
      <c r="A1307" t="str">
        <f>B1307&amp;"-"&amp;COUNTIF($B$2:B1307,B1307)</f>
        <v>I. BARRIL KM 24.7-1</v>
      </c>
      <c r="B1307" s="124" t="s">
        <v>686</v>
      </c>
      <c r="C1307">
        <f>VLOOKUP(B1307,RECETAS!D1306:$E$1700,2,FALSE)</f>
        <v>0</v>
      </c>
      <c r="D1307" s="17" t="s">
        <v>744</v>
      </c>
      <c r="G1307" t="b">
        <f t="shared" si="280"/>
        <v>1</v>
      </c>
    </row>
    <row r="1308" spans="1:7" x14ac:dyDescent="0.25">
      <c r="A1308" t="str">
        <f>B1308&amp;"-"&amp;COUNTIF($B$2:B1308,B1308)</f>
        <v>I. MENTA-38</v>
      </c>
      <c r="B1308" s="46" t="s">
        <v>637</v>
      </c>
      <c r="C1308">
        <f>VLOOKUP(B1308,RECETAS!D1307:$E$1700,2,FALSE)</f>
        <v>3</v>
      </c>
      <c r="D1308" s="25" t="s">
        <v>687</v>
      </c>
      <c r="G1308" t="b">
        <f t="shared" si="280"/>
        <v>1</v>
      </c>
    </row>
    <row r="1309" spans="1:7" x14ac:dyDescent="0.25">
      <c r="A1309" t="str">
        <f>B1309&amp;"-"&amp;COUNTIF($B$2:B1309,B1309)</f>
        <v>I. AZUCAR FLOR-107</v>
      </c>
      <c r="B1309" s="36" t="s">
        <v>51</v>
      </c>
      <c r="C1309">
        <f>VLOOKUP(B1309,RECETAS!D1308:$E$1700,2,FALSE)</f>
        <v>60</v>
      </c>
      <c r="D1309" s="34"/>
      <c r="G1309" t="b">
        <f t="shared" si="280"/>
        <v>1</v>
      </c>
    </row>
    <row r="1310" spans="1:7" x14ac:dyDescent="0.25">
      <c r="A1310" t="str">
        <f>B1310&amp;"-"&amp;COUNTIF($B$2:B1310,B1310)</f>
        <v>I. PULPA LIMON-100</v>
      </c>
      <c r="B1310" s="36" t="s">
        <v>106</v>
      </c>
      <c r="C1310">
        <f>VLOOKUP(B1310,RECETAS!D1309:$E$1700,2,FALSE)</f>
        <v>60</v>
      </c>
      <c r="D1310" s="34"/>
      <c r="G1310" t="b">
        <f t="shared" si="280"/>
        <v>1</v>
      </c>
    </row>
    <row r="1311" spans="1:7" x14ac:dyDescent="0.25">
      <c r="A1311" t="str">
        <f>B1311&amp;"-"&amp;COUNTIF($B$2:B1311,B1311)</f>
        <v>I. LIMON PICA-51</v>
      </c>
      <c r="B1311" s="36" t="s">
        <v>636</v>
      </c>
      <c r="C1311">
        <f>VLOOKUP(B1311,RECETAS!D1310:$E$1700,2,FALSE)</f>
        <v>3</v>
      </c>
      <c r="D1311" s="34"/>
      <c r="G1311" t="b">
        <f t="shared" si="280"/>
        <v>1</v>
      </c>
    </row>
    <row r="1312" spans="1:7" x14ac:dyDescent="0.25">
      <c r="A1312" t="str">
        <f>B1312&amp;"-"&amp;COUNTIF($B$2:B1312,B1312)</f>
        <v>I. MINERAL1.6LT  C/G-42</v>
      </c>
      <c r="B1312" s="66" t="s">
        <v>97</v>
      </c>
      <c r="C1312">
        <f>VLOOKUP(B1312,RECETAS!D1311:$E$1700,2,FALSE)</f>
        <v>150</v>
      </c>
      <c r="D1312" s="34"/>
      <c r="G1312" t="b">
        <f t="shared" si="280"/>
        <v>1</v>
      </c>
    </row>
    <row r="1313" spans="1:7" x14ac:dyDescent="0.25">
      <c r="A1313" t="str">
        <f>B1313&amp;"-"&amp;COUNTIF($B$2:B1313,B1313)</f>
        <v>I. RON BLANCO BATALLA-43</v>
      </c>
      <c r="B1313" s="40" t="s">
        <v>116</v>
      </c>
      <c r="C1313">
        <f>VLOOKUP(B1313,RECETAS!D1312:$E$1700,2,FALSE)</f>
        <v>225</v>
      </c>
      <c r="D1313" s="34"/>
      <c r="G1313" t="b">
        <f t="shared" si="280"/>
        <v>1</v>
      </c>
    </row>
    <row r="1314" spans="1:7" ht="15.75" thickBot="1" x14ac:dyDescent="0.3">
      <c r="A1314" t="str">
        <f>B1314&amp;"-"&amp;COUNTIF($B$2:B1314,B1314)</f>
        <v>I. PULPA MANGO-11</v>
      </c>
      <c r="B1314" s="29" t="s">
        <v>107</v>
      </c>
      <c r="C1314">
        <f>VLOOKUP(B1314,RECETAS!D1313:$E$1700,2,FALSE)</f>
        <v>0</v>
      </c>
      <c r="D1314" s="27"/>
      <c r="G1314" t="b">
        <f t="shared" si="280"/>
        <v>1</v>
      </c>
    </row>
    <row r="1315" spans="1:7" x14ac:dyDescent="0.25">
      <c r="A1315" t="str">
        <f>B1315&amp;"-"&amp;COUNTIF($B$2:B1315,B1315)</f>
        <v>I. MENTA-39</v>
      </c>
      <c r="B1315" s="46" t="s">
        <v>637</v>
      </c>
      <c r="C1315">
        <f>VLOOKUP(B1315,RECETAS!D1314:$E$1700,2,FALSE)</f>
        <v>5</v>
      </c>
      <c r="D1315" s="30" t="s">
        <v>688</v>
      </c>
      <c r="G1315" t="b">
        <f t="shared" si="280"/>
        <v>1</v>
      </c>
    </row>
    <row r="1316" spans="1:7" x14ac:dyDescent="0.25">
      <c r="A1316" t="str">
        <f>B1316&amp;"-"&amp;COUNTIF($B$2:B1316,B1316)</f>
        <v>I. AZUCAR FLOR-108</v>
      </c>
      <c r="B1316" s="36" t="s">
        <v>51</v>
      </c>
      <c r="C1316">
        <f>VLOOKUP(B1316,RECETAS!D1315:$E$1700,2,FALSE)</f>
        <v>100</v>
      </c>
      <c r="D1316" s="34"/>
      <c r="G1316" t="b">
        <f t="shared" si="280"/>
        <v>1</v>
      </c>
    </row>
    <row r="1317" spans="1:7" x14ac:dyDescent="0.25">
      <c r="A1317" t="str">
        <f>B1317&amp;"-"&amp;COUNTIF($B$2:B1317,B1317)</f>
        <v>I. PULPA LIMON-101</v>
      </c>
      <c r="B1317" s="36" t="s">
        <v>106</v>
      </c>
      <c r="C1317">
        <f>VLOOKUP(B1317,RECETAS!D1316:$E$1700,2,FALSE)</f>
        <v>100</v>
      </c>
      <c r="D1317" s="34"/>
      <c r="G1317" t="b">
        <f t="shared" si="280"/>
        <v>1</v>
      </c>
    </row>
    <row r="1318" spans="1:7" x14ac:dyDescent="0.25">
      <c r="A1318" t="str">
        <f>B1318&amp;"-"&amp;COUNTIF($B$2:B1318,B1318)</f>
        <v>I. LIMON PICA-52</v>
      </c>
      <c r="B1318" s="36" t="s">
        <v>636</v>
      </c>
      <c r="C1318">
        <f>VLOOKUP(B1318,RECETAS!D1317:$E$1700,2,FALSE)</f>
        <v>5</v>
      </c>
      <c r="D1318" s="34"/>
      <c r="G1318" t="b">
        <f t="shared" si="280"/>
        <v>1</v>
      </c>
    </row>
    <row r="1319" spans="1:7" x14ac:dyDescent="0.25">
      <c r="A1319" t="str">
        <f>B1319&amp;"-"&amp;COUNTIF($B$2:B1319,B1319)</f>
        <v>I. MINERAL1.6LT  C/G-43</v>
      </c>
      <c r="B1319" s="66" t="s">
        <v>97</v>
      </c>
      <c r="C1319">
        <f>VLOOKUP(B1319,RECETAS!D1318:$E$1700,2,FALSE)</f>
        <v>250</v>
      </c>
      <c r="D1319" s="34"/>
      <c r="G1319" t="b">
        <f t="shared" si="280"/>
        <v>1</v>
      </c>
    </row>
    <row r="1320" spans="1:7" x14ac:dyDescent="0.25">
      <c r="A1320" t="str">
        <f>B1320&amp;"-"&amp;COUNTIF($B$2:B1320,B1320)</f>
        <v>I. RON BLANCO BATALLA-44</v>
      </c>
      <c r="B1320" s="40" t="s">
        <v>116</v>
      </c>
      <c r="C1320">
        <f>VLOOKUP(B1320,RECETAS!D1319:$E$1700,2,FALSE)</f>
        <v>375</v>
      </c>
      <c r="D1320" s="34"/>
      <c r="G1320" t="b">
        <f t="shared" si="280"/>
        <v>1</v>
      </c>
    </row>
    <row r="1321" spans="1:7" ht="15.75" thickBot="1" x14ac:dyDescent="0.3">
      <c r="A1321" t="str">
        <f>B1321&amp;"-"&amp;COUNTIF($B$2:B1321,B1321)</f>
        <v>I. PULPA ARAN FRAM-5</v>
      </c>
      <c r="B1321" s="122" t="s">
        <v>104</v>
      </c>
      <c r="C1321">
        <f>VLOOKUP(B1321,RECETAS!D1320:$E$1700,2,FALSE)</f>
        <v>0</v>
      </c>
      <c r="D1321" s="27"/>
      <c r="G1321" t="b">
        <f t="shared" si="280"/>
        <v>1</v>
      </c>
    </row>
    <row r="1322" spans="1:7" x14ac:dyDescent="0.25">
      <c r="A1322" t="str">
        <f>B1322&amp;"-"&amp;COUNTIF($B$2:B1322,B1322)</f>
        <v>I. MENTA-40</v>
      </c>
      <c r="B1322" s="46" t="s">
        <v>637</v>
      </c>
      <c r="C1322">
        <f>VLOOKUP(B1322,RECETAS!D1321:$E$1700,2,FALSE)</f>
        <v>4</v>
      </c>
      <c r="D1322" s="30" t="s">
        <v>689</v>
      </c>
      <c r="G1322" t="b">
        <f t="shared" si="280"/>
        <v>1</v>
      </c>
    </row>
    <row r="1323" spans="1:7" x14ac:dyDescent="0.25">
      <c r="A1323" t="str">
        <f>B1323&amp;"-"&amp;COUNTIF($B$2:B1323,B1323)</f>
        <v>I. AZUCAR FLOR-109</v>
      </c>
      <c r="B1323" s="36" t="s">
        <v>51</v>
      </c>
      <c r="C1323">
        <f>VLOOKUP(B1323,RECETAS!D1322:$E$1700,2,FALSE)</f>
        <v>80</v>
      </c>
      <c r="D1323" s="34"/>
      <c r="G1323" t="b">
        <f t="shared" si="280"/>
        <v>1</v>
      </c>
    </row>
    <row r="1324" spans="1:7" x14ac:dyDescent="0.25">
      <c r="A1324" t="str">
        <f>B1324&amp;"-"&amp;COUNTIF($B$2:B1324,B1324)</f>
        <v>I. PULPA LIMON-102</v>
      </c>
      <c r="B1324" s="36" t="s">
        <v>106</v>
      </c>
      <c r="C1324">
        <f>VLOOKUP(B1324,RECETAS!D1323:$E$1700,2,FALSE)</f>
        <v>80</v>
      </c>
      <c r="D1324" s="34"/>
      <c r="G1324" t="b">
        <f t="shared" si="280"/>
        <v>1</v>
      </c>
    </row>
    <row r="1325" spans="1:7" x14ac:dyDescent="0.25">
      <c r="A1325" t="str">
        <f>B1325&amp;"-"&amp;COUNTIF($B$2:B1325,B1325)</f>
        <v>I. LIMON PICA-53</v>
      </c>
      <c r="B1325" s="36" t="s">
        <v>636</v>
      </c>
      <c r="C1325">
        <f>VLOOKUP(B1325,RECETAS!D1324:$E$1700,2,FALSE)</f>
        <v>4</v>
      </c>
      <c r="D1325" s="34"/>
      <c r="G1325" t="b">
        <f t="shared" si="280"/>
        <v>1</v>
      </c>
    </row>
    <row r="1326" spans="1:7" x14ac:dyDescent="0.25">
      <c r="A1326" t="str">
        <f>B1326&amp;"-"&amp;COUNTIF($B$2:B1326,B1326)</f>
        <v>I. MINERAL1.6LT  C/G-44</v>
      </c>
      <c r="B1326" s="66" t="s">
        <v>97</v>
      </c>
      <c r="C1326">
        <f>VLOOKUP(B1326,RECETAS!D1325:$E$1700,2,FALSE)</f>
        <v>200</v>
      </c>
      <c r="D1326" s="34"/>
      <c r="G1326" t="b">
        <f t="shared" si="280"/>
        <v>1</v>
      </c>
    </row>
    <row r="1327" spans="1:7" x14ac:dyDescent="0.25">
      <c r="A1327" t="str">
        <f>B1327&amp;"-"&amp;COUNTIF($B$2:B1327,B1327)</f>
        <v>I. RON BLANCO BATALLA-45</v>
      </c>
      <c r="B1327" s="40" t="s">
        <v>116</v>
      </c>
      <c r="C1327">
        <f>VLOOKUP(B1327,RECETAS!D1326:$E$1700,2,FALSE)</f>
        <v>300</v>
      </c>
      <c r="D1327" s="34"/>
      <c r="G1327" t="b">
        <f t="shared" si="280"/>
        <v>1</v>
      </c>
    </row>
    <row r="1328" spans="1:7" ht="15.75" thickBot="1" x14ac:dyDescent="0.3">
      <c r="A1328" t="str">
        <f>B1328&amp;"-"&amp;COUNTIF($B$2:B1328,B1328)</f>
        <v>I. PULPA FRUTILLA-13</v>
      </c>
      <c r="B1328" s="40" t="s">
        <v>582</v>
      </c>
      <c r="C1328">
        <f>VLOOKUP(B1328,RECETAS!D1327:$E$1700,2,FALSE)</f>
        <v>0</v>
      </c>
      <c r="D1328" s="32"/>
      <c r="G1328" t="b">
        <f t="shared" si="280"/>
        <v>1</v>
      </c>
    </row>
    <row r="1329" spans="1:7" ht="15.75" thickBot="1" x14ac:dyDescent="0.3">
      <c r="A1329" t="str">
        <f>B1329&amp;"-"&amp;COUNTIF($B$2:B1329,B1329)</f>
        <v>I. LEFFE-1</v>
      </c>
      <c r="B1329" s="48" t="s">
        <v>690</v>
      </c>
      <c r="C1329">
        <f>VLOOKUP(B1329,RECETAS!D1328:$E$1700,2,FALSE)</f>
        <v>0</v>
      </c>
      <c r="D1329" s="125" t="s">
        <v>632</v>
      </c>
      <c r="G1329" t="b">
        <f t="shared" si="280"/>
        <v>1</v>
      </c>
    </row>
    <row r="1330" spans="1:7" x14ac:dyDescent="0.25">
      <c r="A1330" t="str">
        <f>B1330&amp;"-"&amp;COUNTIF($B$2:B1330,B1330)</f>
        <v>I. TONICA 350-2</v>
      </c>
      <c r="B1330" s="56" t="s">
        <v>127</v>
      </c>
      <c r="C1330">
        <f>VLOOKUP(B1330,RECETAS!D1329:$E$1700,2,FALSE)</f>
        <v>0</v>
      </c>
      <c r="D1330" s="121" t="s">
        <v>691</v>
      </c>
      <c r="G1330" t="b">
        <f t="shared" si="280"/>
        <v>1</v>
      </c>
    </row>
    <row r="1331" spans="1:7" x14ac:dyDescent="0.25">
      <c r="A1331" t="str">
        <f>B1331&amp;"-"&amp;COUNTIF($B$2:B1331,B1331)</f>
        <v>I. BARRIL BECKER-2</v>
      </c>
      <c r="B1331" s="36" t="s">
        <v>220</v>
      </c>
      <c r="C1331">
        <f>VLOOKUP(B1331,RECETAS!D1330:$E$1700,2,FALSE)</f>
        <v>0</v>
      </c>
      <c r="D1331" s="81" t="s">
        <v>692</v>
      </c>
      <c r="G1331" t="b">
        <f t="shared" si="280"/>
        <v>1</v>
      </c>
    </row>
    <row r="1332" spans="1:7" x14ac:dyDescent="0.25">
      <c r="A1332" t="str">
        <f>B1332&amp;"-"&amp;COUNTIF($B$2:B1332,B1332)</f>
        <v>I. PULPA LIMON-103</v>
      </c>
      <c r="B1332" s="36" t="s">
        <v>106</v>
      </c>
      <c r="C1332">
        <f>VLOOKUP(B1332,RECETAS!D1331:$E$1700,2,FALSE)</f>
        <v>0</v>
      </c>
      <c r="D1332" s="81"/>
      <c r="G1332" t="b">
        <f t="shared" si="280"/>
        <v>1</v>
      </c>
    </row>
    <row r="1333" spans="1:7" ht="15.75" thickBot="1" x14ac:dyDescent="0.3">
      <c r="A1333" t="str">
        <f>B1333&amp;"-"&amp;COUNTIF($B$2:B1333,B1333)</f>
        <v>I. BARRIL BECKER-3</v>
      </c>
      <c r="B1333" s="36" t="s">
        <v>220</v>
      </c>
      <c r="C1333">
        <f>VLOOKUP(B1333,RECETAS!D1332:$E$1700,2,FALSE)</f>
        <v>0</v>
      </c>
      <c r="D1333" s="81" t="s">
        <v>693</v>
      </c>
      <c r="G1333" t="b">
        <f t="shared" si="280"/>
        <v>1</v>
      </c>
    </row>
    <row r="1334" spans="1:7" x14ac:dyDescent="0.25">
      <c r="A1334" t="str">
        <f>B1334&amp;"-"&amp;COUNTIF($B$2:B1334,B1334)</f>
        <v>I. PAPAS FRITAS-53</v>
      </c>
      <c r="B1334" s="26" t="s">
        <v>13</v>
      </c>
      <c r="C1334">
        <f>VLOOKUP(B1334,RECETAS!D1333:$E$1700,2,FALSE)</f>
        <v>3200</v>
      </c>
      <c r="D1334" s="25" t="s">
        <v>612</v>
      </c>
      <c r="G1334" t="b">
        <f t="shared" si="280"/>
        <v>1</v>
      </c>
    </row>
    <row r="1335" spans="1:7" x14ac:dyDescent="0.25">
      <c r="A1335" t="str">
        <f>B1335&amp;"-"&amp;COUNTIF($B$2:B1335,B1335)</f>
        <v>I. QUESO GRANULADO-58</v>
      </c>
      <c r="B1335" s="35" t="s">
        <v>9</v>
      </c>
      <c r="C1335">
        <f>VLOOKUP(B1335,RECETAS!D1334:$E$1700,2,FALSE)</f>
        <v>600</v>
      </c>
      <c r="D1335" s="34"/>
      <c r="G1335" t="b">
        <f t="shared" si="280"/>
        <v>1</v>
      </c>
    </row>
    <row r="1336" spans="1:7" x14ac:dyDescent="0.25">
      <c r="A1336" t="str">
        <f>B1336&amp;"-"&amp;COUNTIF($B$2:B1336,B1336)</f>
        <v>I. CREMA ESPESA-68</v>
      </c>
      <c r="B1336" s="35" t="s">
        <v>16</v>
      </c>
      <c r="C1336">
        <f>VLOOKUP(B1336,RECETAS!D1335:$E$1700,2,FALSE)</f>
        <v>600</v>
      </c>
      <c r="D1336" s="34"/>
      <c r="G1336" t="b">
        <f t="shared" si="280"/>
        <v>1</v>
      </c>
    </row>
    <row r="1337" spans="1:7" x14ac:dyDescent="0.25">
      <c r="A1337" t="str">
        <f>B1337&amp;"-"&amp;COUNTIF($B$2:B1337,B1337)</f>
        <v>I. CIBOULET-28</v>
      </c>
      <c r="B1337" s="35" t="s">
        <v>23</v>
      </c>
      <c r="C1337">
        <f>VLOOKUP(B1337,RECETAS!D1336:$E$1700,2,FALSE)</f>
        <v>80</v>
      </c>
      <c r="D1337" s="34"/>
      <c r="G1337" t="b">
        <f t="shared" si="280"/>
        <v>1</v>
      </c>
    </row>
    <row r="1338" spans="1:7" ht="15.75" thickBot="1" x14ac:dyDescent="0.3">
      <c r="A1338" t="str">
        <f>B1338&amp;"-"&amp;COUNTIF($B$2:B1338,B1338)</f>
        <v>I. MECHADA SAND-3</v>
      </c>
      <c r="B1338" s="28" t="s">
        <v>31</v>
      </c>
      <c r="C1338">
        <f>VLOOKUP(B1338,RECETAS!D1337:$E$1700,2,FALSE)</f>
        <v>4</v>
      </c>
      <c r="D1338" s="27"/>
      <c r="G1338" t="b">
        <f t="shared" si="280"/>
        <v>1</v>
      </c>
    </row>
    <row r="1339" spans="1:7" x14ac:dyDescent="0.25">
      <c r="A1339" t="str">
        <f>B1339&amp;"-"&amp;COUNTIF($B$2:B1339,B1339)</f>
        <v>I. LOMO 250-10</v>
      </c>
      <c r="B1339" s="37" t="s">
        <v>11</v>
      </c>
      <c r="C1339">
        <f>VLOOKUP(B1339,RECETAS!D1338:$E$1700,2,FALSE)</f>
        <v>0</v>
      </c>
      <c r="D1339" s="25" t="s">
        <v>694</v>
      </c>
      <c r="G1339" t="b">
        <f t="shared" si="280"/>
        <v>1</v>
      </c>
    </row>
    <row r="1340" spans="1:7" x14ac:dyDescent="0.25">
      <c r="A1340" t="str">
        <f>B1340&amp;"-"&amp;COUNTIF($B$2:B1340,B1340)</f>
        <v>I. PAPAS FRITAS-54</v>
      </c>
      <c r="B1340" s="38" t="s">
        <v>13</v>
      </c>
      <c r="C1340">
        <f>VLOOKUP(B1340,RECETAS!D1339:$E$1700,2,FALSE)</f>
        <v>0</v>
      </c>
      <c r="D1340" s="34"/>
      <c r="G1340" t="b">
        <f t="shared" si="280"/>
        <v>1</v>
      </c>
    </row>
    <row r="1341" spans="1:7" ht="15.75" thickBot="1" x14ac:dyDescent="0.3">
      <c r="A1341" t="str">
        <f>B1341&amp;"-"&amp;COUNTIF($B$2:B1341,B1341)</f>
        <v>I. HUEVOS-5</v>
      </c>
      <c r="B1341" s="39" t="s">
        <v>209</v>
      </c>
      <c r="C1341">
        <f>VLOOKUP(B1341,RECETAS!D1340:$E$1700,2,FALSE)</f>
        <v>0</v>
      </c>
      <c r="D1341" s="32"/>
      <c r="G1341" t="b">
        <f t="shared" si="280"/>
        <v>1</v>
      </c>
    </row>
    <row r="1342" spans="1:7" x14ac:dyDescent="0.25">
      <c r="A1342" t="str">
        <f>B1342&amp;"-"&amp;COUNTIF($B$2:B1342,B1342)</f>
        <v>I. CHAMP. PORCION-15</v>
      </c>
      <c r="B1342" s="26" t="s">
        <v>8</v>
      </c>
      <c r="C1342">
        <f>VLOOKUP(B1342,RECETAS!D1341:$E$1700,2,FALSE)</f>
        <v>0</v>
      </c>
      <c r="D1342" s="25" t="s">
        <v>695</v>
      </c>
      <c r="G1342" t="b">
        <f t="shared" si="280"/>
        <v>1</v>
      </c>
    </row>
    <row r="1343" spans="1:7" x14ac:dyDescent="0.25">
      <c r="A1343" t="str">
        <f>B1343&amp;"-"&amp;COUNTIF($B$2:B1343,B1343)</f>
        <v>I. PALMITO-2</v>
      </c>
      <c r="B1343" s="35" t="s">
        <v>634</v>
      </c>
      <c r="C1343">
        <f>VLOOKUP(B1343,RECETAS!D1342:$E$1700,2,FALSE)</f>
        <v>0</v>
      </c>
      <c r="D1343" s="34"/>
      <c r="G1343" t="b">
        <f t="shared" si="280"/>
        <v>1</v>
      </c>
    </row>
    <row r="1344" spans="1:7" x14ac:dyDescent="0.25">
      <c r="A1344" t="str">
        <f>B1344&amp;"-"&amp;COUNTIF($B$2:B1344,B1344)</f>
        <v>I. PALTA UNIDAD-5</v>
      </c>
      <c r="B1344" s="35" t="s">
        <v>102</v>
      </c>
      <c r="C1344">
        <f>VLOOKUP(B1344,RECETAS!D1343:$E$1700,2,FALSE)</f>
        <v>0</v>
      </c>
      <c r="D1344" s="34"/>
      <c r="G1344" t="b">
        <f t="shared" si="280"/>
        <v>1</v>
      </c>
    </row>
    <row r="1345" spans="1:7" ht="15.75" thickBot="1" x14ac:dyDescent="0.3">
      <c r="A1345" t="str">
        <f>B1345&amp;"-"&amp;COUNTIF($B$2:B1345,B1345)</f>
        <v>I. PAPAS FRITAS-55</v>
      </c>
      <c r="B1345" s="33" t="s">
        <v>13</v>
      </c>
      <c r="C1345">
        <f>VLOOKUP(B1345,RECETAS!D1344:$E$1700,2,FALSE)</f>
        <v>0</v>
      </c>
      <c r="D1345" s="32"/>
      <c r="G1345" t="b">
        <f t="shared" si="280"/>
        <v>1</v>
      </c>
    </row>
    <row r="1346" spans="1:7" x14ac:dyDescent="0.25">
      <c r="A1346" t="str">
        <f>B1346&amp;"-"&amp;COUNTIF($B$2:B1346,B1346)</f>
        <v>I. HAMBURGUESA-8</v>
      </c>
      <c r="B1346" s="26" t="s">
        <v>26</v>
      </c>
      <c r="C1346">
        <f>VLOOKUP(B1346,RECETAS!D1345:$E$1700,2,FALSE)</f>
        <v>0</v>
      </c>
      <c r="D1346" s="25" t="s">
        <v>696</v>
      </c>
      <c r="G1346" t="b">
        <f t="shared" si="280"/>
        <v>1</v>
      </c>
    </row>
    <row r="1347" spans="1:7" x14ac:dyDescent="0.25">
      <c r="A1347" t="str">
        <f>B1347&amp;"-"&amp;COUNTIF($B$2:B1347,B1347)</f>
        <v>I. QUESO GRANULADO-59</v>
      </c>
      <c r="B1347" s="35" t="s">
        <v>9</v>
      </c>
      <c r="C1347">
        <f>VLOOKUP(B1347,RECETAS!D1346:$E$1700,2,FALSE)</f>
        <v>0</v>
      </c>
      <c r="D1347" s="34"/>
      <c r="G1347" t="b">
        <f t="shared" ref="G1347:G1410" si="281">IFERROR(IF(MATCH(B1347,I:I,0) &lt;&gt; "", TRUE,""),FALSE)</f>
        <v>1</v>
      </c>
    </row>
    <row r="1348" spans="1:7" x14ac:dyDescent="0.25">
      <c r="A1348" t="str">
        <f>B1348&amp;"-"&amp;COUNTIF($B$2:B1348,B1348)</f>
        <v>I. PALTA UNIDAD-6</v>
      </c>
      <c r="B1348" s="35" t="s">
        <v>102</v>
      </c>
      <c r="C1348">
        <f>VLOOKUP(B1348,RECETAS!D1347:$E$1700,2,FALSE)</f>
        <v>0</v>
      </c>
      <c r="D1348" s="34"/>
      <c r="G1348" t="b">
        <f t="shared" si="281"/>
        <v>1</v>
      </c>
    </row>
    <row r="1349" spans="1:7" x14ac:dyDescent="0.25">
      <c r="A1349" t="str">
        <f>B1349&amp;"-"&amp;COUNTIF($B$2:B1349,B1349)</f>
        <v>I. PAN FRICA-13</v>
      </c>
      <c r="B1349" s="35" t="s">
        <v>28</v>
      </c>
      <c r="C1349">
        <f>VLOOKUP(B1349,RECETAS!D1348:$E$1700,2,FALSE)</f>
        <v>0</v>
      </c>
      <c r="D1349" s="34"/>
      <c r="G1349" t="b">
        <f t="shared" si="281"/>
        <v>1</v>
      </c>
    </row>
    <row r="1350" spans="1:7" x14ac:dyDescent="0.25">
      <c r="A1350" t="str">
        <f>B1350&amp;"-"&amp;COUNTIF($B$2:B1350,B1350)</f>
        <v>I. PAPAS FRITAS-56</v>
      </c>
      <c r="B1350" s="33" t="s">
        <v>13</v>
      </c>
      <c r="C1350">
        <f>VLOOKUP(B1350,RECETAS!D1349:$E$1700,2,FALSE)</f>
        <v>0</v>
      </c>
      <c r="D1350" s="32"/>
      <c r="G1350" t="b">
        <f t="shared" si="281"/>
        <v>1</v>
      </c>
    </row>
    <row r="1351" spans="1:7" x14ac:dyDescent="0.25">
      <c r="A1351" t="str">
        <f>B1351&amp;"-"&amp;COUNTIF($B$2:B1351,B1351)</f>
        <v>I. CAMEMBERT-3</v>
      </c>
      <c r="B1351" s="31" t="s">
        <v>520</v>
      </c>
      <c r="C1351">
        <f>VLOOKUP(B1351,RECETAS!D1350:$E$1700,2,FALSE)</f>
        <v>0</v>
      </c>
      <c r="D1351" s="116" t="s">
        <v>697</v>
      </c>
      <c r="G1351" t="b">
        <f t="shared" si="281"/>
        <v>1</v>
      </c>
    </row>
    <row r="1352" spans="1:7" x14ac:dyDescent="0.25">
      <c r="A1352" t="str">
        <f>B1352&amp;"-"&amp;COUNTIF($B$2:B1352,B1352)</f>
        <v>I. BAGUETTE-11</v>
      </c>
      <c r="B1352" s="35" t="s">
        <v>311</v>
      </c>
      <c r="C1352">
        <f>VLOOKUP(B1352,RECETAS!D1351:$E$1700,2,FALSE)</f>
        <v>0</v>
      </c>
      <c r="D1352" s="34"/>
      <c r="G1352" t="b">
        <f t="shared" si="281"/>
        <v>1</v>
      </c>
    </row>
    <row r="1353" spans="1:7" ht="15.75" thickBot="1" x14ac:dyDescent="0.3">
      <c r="A1353" t="str">
        <f>B1353&amp;"-"&amp;COUNTIF($B$2:B1353,B1353)</f>
        <v>I. CREMA ESPESA-69</v>
      </c>
      <c r="B1353" s="28" t="s">
        <v>16</v>
      </c>
      <c r="C1353">
        <f>VLOOKUP(B1353,RECETAS!D1352:$E$1700,2,FALSE)</f>
        <v>0</v>
      </c>
      <c r="D1353" s="32"/>
      <c r="G1353" t="b">
        <f t="shared" si="281"/>
        <v>1</v>
      </c>
    </row>
    <row r="1354" spans="1:7" x14ac:dyDescent="0.25">
      <c r="A1354" t="str">
        <f>B1354&amp;"-"&amp;COUNTIF($B$2:B1354,B1354)</f>
        <v>I. BROWNIE-2</v>
      </c>
      <c r="B1354" s="26" t="s">
        <v>19</v>
      </c>
      <c r="C1354">
        <f>VLOOKUP(B1354,RECETAS!D1353:$E$1700,2,FALSE)</f>
        <v>9</v>
      </c>
      <c r="D1354" s="25" t="s">
        <v>606</v>
      </c>
      <c r="G1354" t="b">
        <f t="shared" si="281"/>
        <v>1</v>
      </c>
    </row>
    <row r="1355" spans="1:7" ht="15.75" thickBot="1" x14ac:dyDescent="0.3">
      <c r="A1355" t="str">
        <f>B1355&amp;"-"&amp;COUNTIF($B$2:B1355,B1355)</f>
        <v>I. CHEESECAKE-3</v>
      </c>
      <c r="B1355" s="28" t="s">
        <v>583</v>
      </c>
      <c r="C1355">
        <f>VLOOKUP(B1355,RECETAS!D1354:$E$1700,2,FALSE)</f>
        <v>0</v>
      </c>
      <c r="D1355" s="27" t="s">
        <v>611</v>
      </c>
      <c r="G1355" t="b">
        <f t="shared" si="281"/>
        <v>1</v>
      </c>
    </row>
    <row r="1356" spans="1:7" ht="15.75" thickBot="1" x14ac:dyDescent="0.3">
      <c r="A1356" t="str">
        <f>B1356&amp;"-"&amp;COUNTIF($B$2:B1356,B1356)</f>
        <v>I. CALITERRA SAUVN-1</v>
      </c>
      <c r="B1356" s="20" t="s">
        <v>698</v>
      </c>
      <c r="C1356">
        <f>VLOOKUP(B1356,RECETAS!D1355:$E$1700,2,FALSE)</f>
        <v>0</v>
      </c>
      <c r="D1356" s="18" t="s">
        <v>538</v>
      </c>
      <c r="G1356" t="b">
        <f t="shared" si="281"/>
        <v>1</v>
      </c>
    </row>
    <row r="1357" spans="1:7" ht="15.75" thickBot="1" x14ac:dyDescent="0.3">
      <c r="A1357" t="str">
        <f>B1357&amp;"-"&amp;COUNTIF($B$2:B1357,B1357)</f>
        <v>I. CALITERRA CHARN-1</v>
      </c>
      <c r="B1357" s="50" t="s">
        <v>699</v>
      </c>
      <c r="C1357">
        <f>VLOOKUP(B1357,RECETAS!D1356:$E$1700,2,FALSE)</f>
        <v>0</v>
      </c>
      <c r="D1357" s="49" t="s">
        <v>366</v>
      </c>
      <c r="G1357" t="b">
        <f t="shared" si="281"/>
        <v>1</v>
      </c>
    </row>
    <row r="1358" spans="1:7" ht="15.75" thickBot="1" x14ac:dyDescent="0.3">
      <c r="A1358" t="str">
        <f>B1358&amp;"-"&amp;COUNTIF($B$2:B1358,B1358)</f>
        <v>I. ERRAZ ESTATE RESERVA SAUVIGNON BLANC-3</v>
      </c>
      <c r="B1358" s="47" t="s">
        <v>69</v>
      </c>
      <c r="C1358">
        <f>VLOOKUP(B1358,RECETAS!D1357:$E$1700,2,FALSE)</f>
        <v>0</v>
      </c>
      <c r="D1358" s="18" t="s">
        <v>574</v>
      </c>
      <c r="G1358" t="b">
        <f t="shared" si="281"/>
        <v>1</v>
      </c>
    </row>
    <row r="1359" spans="1:7" ht="15.75" thickBot="1" x14ac:dyDescent="0.3">
      <c r="A1359" t="str">
        <f>B1359&amp;"-"&amp;COUNTIF($B$2:B1359,B1359)</f>
        <v>I. CALITERRA CABER-1</v>
      </c>
      <c r="B1359" s="20" t="s">
        <v>700</v>
      </c>
      <c r="C1359">
        <f>VLOOKUP(B1359,RECETAS!D1358:$E$1700,2,FALSE)</f>
        <v>0</v>
      </c>
      <c r="D1359" s="18" t="s">
        <v>537</v>
      </c>
      <c r="G1359" t="b">
        <f t="shared" si="281"/>
        <v>1</v>
      </c>
    </row>
    <row r="1360" spans="1:7" ht="15.75" thickBot="1" x14ac:dyDescent="0.3">
      <c r="A1360" t="str">
        <f>B1360&amp;"-"&amp;COUNTIF($B$2:B1360,B1360)</f>
        <v>I. CALITERRA CARME-1</v>
      </c>
      <c r="B1360" s="20" t="s">
        <v>701</v>
      </c>
      <c r="C1360">
        <f>VLOOKUP(B1360,RECETAS!D1359:$E$1700,2,FALSE)</f>
        <v>0</v>
      </c>
      <c r="D1360" s="18" t="s">
        <v>737</v>
      </c>
      <c r="G1360" t="b">
        <f t="shared" si="281"/>
        <v>1</v>
      </c>
    </row>
    <row r="1361" spans="1:7" ht="15.75" thickBot="1" x14ac:dyDescent="0.3">
      <c r="A1361" t="str">
        <f>B1361&amp;"-"&amp;COUNTIF($B$2:B1361,B1361)</f>
        <v>I. CALITERRA MERLT-1</v>
      </c>
      <c r="B1361" s="20" t="s">
        <v>702</v>
      </c>
      <c r="C1361">
        <f>VLOOKUP(B1361,RECETAS!D1360:$E$1700,2,FALSE)</f>
        <v>0</v>
      </c>
      <c r="D1361" s="18" t="s">
        <v>575</v>
      </c>
      <c r="G1361" t="b">
        <f t="shared" si="281"/>
        <v>1</v>
      </c>
    </row>
    <row r="1362" spans="1:7" ht="15.75" thickBot="1" x14ac:dyDescent="0.3">
      <c r="A1362" t="str">
        <f>B1362&amp;"-"&amp;COUNTIF($B$2:B1362,B1362)</f>
        <v>I. MORANDE CARMENERE-1</v>
      </c>
      <c r="B1362" s="48" t="s">
        <v>703</v>
      </c>
      <c r="C1362">
        <f>VLOOKUP(B1362,RECETAS!D1361:$E$1700,2,FALSE)</f>
        <v>0</v>
      </c>
      <c r="D1362" s="18" t="s">
        <v>562</v>
      </c>
      <c r="G1362" t="b">
        <f t="shared" si="281"/>
        <v>1</v>
      </c>
    </row>
    <row r="1363" spans="1:7" ht="15.75" thickBot="1" x14ac:dyDescent="0.3">
      <c r="A1363" t="str">
        <f>B1363&amp;"-"&amp;COUNTIF($B$2:B1363,B1363)</f>
        <v>I. MORANDE CAB SAV-1</v>
      </c>
      <c r="B1363" s="20" t="s">
        <v>704</v>
      </c>
      <c r="C1363">
        <f>VLOOKUP(B1363,RECETAS!D1362:$E$1700,2,FALSE)</f>
        <v>0</v>
      </c>
      <c r="D1363" s="18" t="s">
        <v>561</v>
      </c>
      <c r="G1363" t="b">
        <f t="shared" si="281"/>
        <v>1</v>
      </c>
    </row>
    <row r="1364" spans="1:7" x14ac:dyDescent="0.25">
      <c r="A1364" t="str">
        <f>B1364&amp;"-"&amp;COUNTIF($B$2:B1364,B1364)</f>
        <v>I. ERRAZURIZ ESTATE RESERVA CABERNET SAUVIGNON-2</v>
      </c>
      <c r="B1364" s="105" t="s">
        <v>70</v>
      </c>
      <c r="C1364">
        <f>VLOOKUP(B1364,RECETAS!D1363:$E$1700,2,FALSE)</f>
        <v>0</v>
      </c>
      <c r="D1364" s="53" t="s">
        <v>550</v>
      </c>
      <c r="G1364" t="b">
        <f t="shared" si="281"/>
        <v>1</v>
      </c>
    </row>
    <row r="1365" spans="1:7" x14ac:dyDescent="0.25">
      <c r="A1365" t="str">
        <f>B1365&amp;"-"&amp;COUNTIF($B$2:B1365,B1365)</f>
        <v>I. BARRIL BUDWEISER-1</v>
      </c>
      <c r="B1365" s="36" t="s">
        <v>706</v>
      </c>
      <c r="C1365">
        <f>VLOOKUP(B1365,RECETAS!D1364:$E$1700,2,FALSE)</f>
        <v>0</v>
      </c>
      <c r="D1365" s="128" t="s">
        <v>705</v>
      </c>
      <c r="G1365" t="b">
        <f t="shared" si="281"/>
        <v>1</v>
      </c>
    </row>
    <row r="1366" spans="1:7" x14ac:dyDescent="0.25">
      <c r="A1366" t="str">
        <f>B1366&amp;"-"&amp;COUNTIF($B$2:B1366,B1366)</f>
        <v>I. MONSTER-4</v>
      </c>
      <c r="B1366" s="38" t="s">
        <v>100</v>
      </c>
      <c r="C1366">
        <f>VLOOKUP(B1366,RECETAS!D1365:$E$1700,2,FALSE)</f>
        <v>0</v>
      </c>
      <c r="D1366" s="128" t="s">
        <v>627</v>
      </c>
      <c r="G1366" t="b">
        <f t="shared" si="281"/>
        <v>1</v>
      </c>
    </row>
    <row r="1367" spans="1:7" x14ac:dyDescent="0.25">
      <c r="A1367" t="str">
        <f>B1367&amp;"-"&amp;COUNTIF($B$2:B1367,B1367)</f>
        <v>I. CAMARON PORCION-16</v>
      </c>
      <c r="B1367" s="38" t="s">
        <v>6</v>
      </c>
      <c r="C1367">
        <f>VLOOKUP(B1367,RECETAS!D1366:$E$1700,2,FALSE)</f>
        <v>2</v>
      </c>
      <c r="D1367" s="128" t="s">
        <v>707</v>
      </c>
      <c r="G1367" t="b">
        <f t="shared" si="281"/>
        <v>1</v>
      </c>
    </row>
    <row r="1368" spans="1:7" x14ac:dyDescent="0.25">
      <c r="A1368" t="str">
        <f>B1368&amp;"-"&amp;COUNTIF($B$2:B1368,B1368)</f>
        <v>I. CHAMP. PORCION-16</v>
      </c>
      <c r="B1368" s="35" t="s">
        <v>8</v>
      </c>
      <c r="C1368">
        <f>VLOOKUP(B1368,RECETAS!D1367:$E$1700,2,FALSE)</f>
        <v>1</v>
      </c>
      <c r="D1368" s="129" t="s">
        <v>708</v>
      </c>
      <c r="G1368" t="b">
        <f t="shared" si="281"/>
        <v>1</v>
      </c>
    </row>
    <row r="1369" spans="1:7" x14ac:dyDescent="0.25">
      <c r="A1369" t="str">
        <f>B1369&amp;"-"&amp;COUNTIF($B$2:B1369,B1369)</f>
        <v>I. PALTA UNIDAD-7</v>
      </c>
      <c r="B1369" s="38" t="s">
        <v>102</v>
      </c>
      <c r="C1369">
        <f>VLOOKUP(B1369,RECETAS!D1368:$E$1700,2,FALSE)</f>
        <v>100</v>
      </c>
      <c r="D1369" s="128" t="s">
        <v>620</v>
      </c>
      <c r="G1369" t="b">
        <f t="shared" si="281"/>
        <v>1</v>
      </c>
    </row>
    <row r="1370" spans="1:7" x14ac:dyDescent="0.25">
      <c r="A1370" t="str">
        <f>B1370&amp;"-"&amp;COUNTIF($B$2:B1370,B1370)</f>
        <v>I. CHURRASCO PORCION-21</v>
      </c>
      <c r="B1370" s="38" t="s">
        <v>24</v>
      </c>
      <c r="C1370">
        <f>VLOOKUP(B1370,RECETAS!D1369:$E$1700,2,FALSE)</f>
        <v>200</v>
      </c>
      <c r="D1370" s="129" t="s">
        <v>621</v>
      </c>
      <c r="G1370" t="b">
        <f t="shared" si="281"/>
        <v>1</v>
      </c>
    </row>
    <row r="1371" spans="1:7" x14ac:dyDescent="0.25">
      <c r="A1371" t="str">
        <f>B1371&amp;"-"&amp;COUNTIF($B$2:B1371,B1371)</f>
        <v>I. CREMA ESPESA-70</v>
      </c>
      <c r="B1371" s="38" t="s">
        <v>16</v>
      </c>
      <c r="C1371">
        <f>VLOOKUP(B1371,RECETAS!D1370:$E$1700,2,FALSE)</f>
        <v>7</v>
      </c>
      <c r="D1371" s="128" t="s">
        <v>709</v>
      </c>
      <c r="G1371" t="b">
        <f t="shared" si="281"/>
        <v>1</v>
      </c>
    </row>
    <row r="1372" spans="1:7" x14ac:dyDescent="0.25">
      <c r="A1372" t="str">
        <f>B1372&amp;"-"&amp;COUNTIF($B$2:B1372,B1372)</f>
        <v>I. PALTA-34</v>
      </c>
      <c r="B1372" s="38" t="s">
        <v>35</v>
      </c>
      <c r="C1372">
        <f>VLOOKUP(B1372,RECETAS!D1371:$E$1700,2,FALSE)</f>
        <v>2</v>
      </c>
      <c r="D1372" s="129" t="s">
        <v>710</v>
      </c>
      <c r="G1372" t="b">
        <f t="shared" si="281"/>
        <v>1</v>
      </c>
    </row>
    <row r="1373" spans="1:7" x14ac:dyDescent="0.25">
      <c r="A1373" t="str">
        <f>B1373&amp;"-"&amp;COUNTIF($B$2:B1373,B1373)</f>
        <v>-0</v>
      </c>
      <c r="B1373" s="38"/>
      <c r="C1373" t="e">
        <f>VLOOKUP(B1373,RECETAS!D1372:$E$1700,2,FALSE)</f>
        <v>#N/A</v>
      </c>
      <c r="D1373" s="128" t="s">
        <v>740</v>
      </c>
      <c r="G1373" t="b">
        <f t="shared" si="281"/>
        <v>0</v>
      </c>
    </row>
    <row r="1374" spans="1:7" x14ac:dyDescent="0.25">
      <c r="A1374" t="str">
        <f>B1374&amp;"-"&amp;COUNTIF($B$2:B1374,B1374)</f>
        <v>I. TOCINO PORCION-5</v>
      </c>
      <c r="B1374" s="38" t="s">
        <v>32</v>
      </c>
      <c r="C1374">
        <f>VLOOKUP(B1374,RECETAS!D1373:$E$1700,2,FALSE)</f>
        <v>2</v>
      </c>
      <c r="D1374" s="129" t="s">
        <v>711</v>
      </c>
      <c r="G1374" t="b">
        <f t="shared" si="281"/>
        <v>1</v>
      </c>
    </row>
    <row r="1375" spans="1:7" x14ac:dyDescent="0.25">
      <c r="A1375" t="str">
        <f>B1375&amp;"-"&amp;COUNTIF($B$2:B1375,B1375)</f>
        <v>I. TORTILLAS CH-6</v>
      </c>
      <c r="B1375" s="35" t="s">
        <v>4</v>
      </c>
      <c r="C1375">
        <f>VLOOKUP(B1375,RECETAS!D1374:$E$1700,2,FALSE)</f>
        <v>2</v>
      </c>
      <c r="D1375" s="128" t="s">
        <v>712</v>
      </c>
      <c r="G1375" t="b">
        <f t="shared" si="281"/>
        <v>1</v>
      </c>
    </row>
    <row r="1376" spans="1:7" x14ac:dyDescent="0.25">
      <c r="A1376" t="str">
        <f>B1376&amp;"-"&amp;COUNTIF($B$2:B1376,B1376)</f>
        <v>I. BAGUETTE-12</v>
      </c>
      <c r="B1376" s="55" t="s">
        <v>311</v>
      </c>
      <c r="C1376">
        <f>VLOOKUP(B1376,RECETAS!D1375:$E$1700,2,FALSE)</f>
        <v>3</v>
      </c>
      <c r="D1376" s="130" t="s">
        <v>619</v>
      </c>
      <c r="G1376" t="b">
        <f t="shared" si="281"/>
        <v>1</v>
      </c>
    </row>
    <row r="1377" spans="1:7" x14ac:dyDescent="0.25">
      <c r="A1377" t="str">
        <f>B1377&amp;"-"&amp;COUNTIF($B$2:B1377,B1377)</f>
        <v>I. CAFÉ-1</v>
      </c>
      <c r="B1377" s="55" t="s">
        <v>714</v>
      </c>
      <c r="C1377">
        <f>VLOOKUP(B1377,RECETAS!D1376:$E$1700,2,FALSE)</f>
        <v>0</v>
      </c>
      <c r="D1377" s="130" t="s">
        <v>713</v>
      </c>
      <c r="G1377" t="b">
        <f t="shared" si="281"/>
        <v>1</v>
      </c>
    </row>
    <row r="1378" spans="1:7" ht="15.75" thickBot="1" x14ac:dyDescent="0.3">
      <c r="A1378" t="str">
        <f>B1378&amp;"-"&amp;COUNTIF($B$2:B1378,B1378)</f>
        <v>I. CAFÉ-2</v>
      </c>
      <c r="B1378" s="55" t="s">
        <v>714</v>
      </c>
      <c r="C1378">
        <f>VLOOKUP(B1378,RECETAS!D1377:$E$1700,2,FALSE)</f>
        <v>1</v>
      </c>
      <c r="D1378" s="131" t="s">
        <v>715</v>
      </c>
      <c r="G1378" t="b">
        <f t="shared" si="281"/>
        <v>1</v>
      </c>
    </row>
    <row r="1379" spans="1:7" ht="15.75" thickBot="1" x14ac:dyDescent="0.3">
      <c r="A1379" t="str">
        <f>B1379&amp;"-"&amp;COUNTIF($B$2:B1379,B1379)</f>
        <v>I. GINGER 0 350-3</v>
      </c>
      <c r="B1379" s="108" t="s">
        <v>77</v>
      </c>
      <c r="C1379">
        <f>VLOOKUP(B1379,RECETAS!D1378:$E$1700,2,FALSE)</f>
        <v>7</v>
      </c>
      <c r="D1379" s="132" t="s">
        <v>633</v>
      </c>
      <c r="G1379" t="b">
        <f t="shared" si="281"/>
        <v>1</v>
      </c>
    </row>
    <row r="1380" spans="1:7" x14ac:dyDescent="0.25">
      <c r="A1380" t="str">
        <f>B1380&amp;"-"&amp;COUNTIF($B$2:B1380,B1380)</f>
        <v>I. CRUDO PORC-3</v>
      </c>
      <c r="B1380" s="26" t="s">
        <v>14</v>
      </c>
      <c r="C1380">
        <f>VLOOKUP(B1380,RECETAS!D1379:$E$1700,2,FALSE)</f>
        <v>2</v>
      </c>
      <c r="D1380" s="133" t="s">
        <v>716</v>
      </c>
      <c r="G1380" t="b">
        <f t="shared" si="281"/>
        <v>1</v>
      </c>
    </row>
    <row r="1381" spans="1:7" x14ac:dyDescent="0.25">
      <c r="A1381" t="str">
        <f>B1381&amp;"-"&amp;COUNTIF($B$2:B1381,B1381)</f>
        <v>I. BAGUETTE-13</v>
      </c>
      <c r="B1381" s="35" t="s">
        <v>311</v>
      </c>
      <c r="C1381">
        <f>VLOOKUP(B1381,RECETAS!D1380:$E$1700,2,FALSE)</f>
        <v>4</v>
      </c>
      <c r="D1381" s="134"/>
      <c r="G1381" t="b">
        <f t="shared" si="281"/>
        <v>1</v>
      </c>
    </row>
    <row r="1382" spans="1:7" x14ac:dyDescent="0.25">
      <c r="A1382" t="str">
        <f>B1382&amp;"-"&amp;COUNTIF($B$2:B1382,B1382)</f>
        <v>I. PALTA-35</v>
      </c>
      <c r="B1382" s="38" t="s">
        <v>35</v>
      </c>
      <c r="C1382">
        <f>VLOOKUP(B1382,RECETAS!D1381:$E$1700,2,FALSE)</f>
        <v>0</v>
      </c>
      <c r="D1382" s="130" t="s">
        <v>717</v>
      </c>
      <c r="G1382" t="b">
        <f t="shared" si="281"/>
        <v>1</v>
      </c>
    </row>
    <row r="1383" spans="1:7" x14ac:dyDescent="0.25">
      <c r="A1383" t="str">
        <f>B1383&amp;"-"&amp;COUNTIF($B$2:B1383,B1383)</f>
        <v>I. PALTA-36</v>
      </c>
      <c r="B1383" s="38" t="s">
        <v>35</v>
      </c>
      <c r="C1383">
        <f>VLOOKUP(B1383,RECETAS!D1382:$E$1700,2,FALSE)</f>
        <v>2</v>
      </c>
      <c r="D1383" s="131" t="s">
        <v>618</v>
      </c>
      <c r="G1383" t="b">
        <f t="shared" si="281"/>
        <v>1</v>
      </c>
    </row>
    <row r="1384" spans="1:7" x14ac:dyDescent="0.25">
      <c r="A1384" t="str">
        <f>B1384&amp;"-"&amp;COUNTIF($B$2:B1384,B1384)</f>
        <v>I. FILETILLO POLLO-12</v>
      </c>
      <c r="B1384" s="35" t="s">
        <v>5</v>
      </c>
      <c r="C1384">
        <f>VLOOKUP(B1384,RECETAS!D1383:$E$1700,2,FALSE)</f>
        <v>1</v>
      </c>
      <c r="D1384" s="130" t="s">
        <v>718</v>
      </c>
      <c r="G1384" t="b">
        <f t="shared" si="281"/>
        <v>1</v>
      </c>
    </row>
    <row r="1385" spans="1:7" x14ac:dyDescent="0.25">
      <c r="A1385" t="str">
        <f>B1385&amp;"-"&amp;COUNTIF($B$2:B1385,B1385)</f>
        <v>I. HAMBURGUESA-9</v>
      </c>
      <c r="B1385" s="38" t="s">
        <v>26</v>
      </c>
      <c r="C1385">
        <f>VLOOKUP(B1385,RECETAS!D1384:$E$1700,2,FALSE)</f>
        <v>0</v>
      </c>
      <c r="D1385" s="131" t="s">
        <v>719</v>
      </c>
      <c r="G1385" t="b">
        <f t="shared" si="281"/>
        <v>1</v>
      </c>
    </row>
    <row r="1386" spans="1:7" x14ac:dyDescent="0.25">
      <c r="A1386" t="str">
        <f>B1386&amp;"-"&amp;COUNTIF($B$2:B1386,B1386)</f>
        <v>I. CREMA ESPESA-71</v>
      </c>
      <c r="B1386" s="38" t="s">
        <v>16</v>
      </c>
      <c r="C1386">
        <f>VLOOKUP(B1386,RECETAS!D1385:$E$1700,2,FALSE)</f>
        <v>0</v>
      </c>
      <c r="D1386" s="116" t="s">
        <v>720</v>
      </c>
      <c r="G1386" t="b">
        <f t="shared" si="281"/>
        <v>1</v>
      </c>
    </row>
    <row r="1387" spans="1:7" ht="15.75" thickBot="1" x14ac:dyDescent="0.3">
      <c r="A1387" t="str">
        <f>B1387&amp;"-"&amp;COUNTIF($B$2:B1387,B1387)</f>
        <v>I. NOT HAMBURGUESA-3</v>
      </c>
      <c r="B1387" s="38" t="s">
        <v>674</v>
      </c>
      <c r="C1387">
        <f>VLOOKUP(B1387,RECETAS!D1386:$E$1700,2,FALSE)</f>
        <v>0</v>
      </c>
      <c r="D1387" s="115" t="s">
        <v>721</v>
      </c>
      <c r="G1387" t="b">
        <f t="shared" si="281"/>
        <v>1</v>
      </c>
    </row>
    <row r="1388" spans="1:7" x14ac:dyDescent="0.25">
      <c r="A1388" t="str">
        <f>B1388&amp;"-"&amp;COUNTIF($B$2:B1388,B1388)</f>
        <v>I. FILETILLO POLLO-13</v>
      </c>
      <c r="B1388" s="26" t="s">
        <v>5</v>
      </c>
      <c r="C1388">
        <f>VLOOKUP(B1388,RECETAS!D1387:$E$1700,2,FALSE)</f>
        <v>0</v>
      </c>
      <c r="D1388" s="115" t="s">
        <v>722</v>
      </c>
      <c r="G1388" t="b">
        <f t="shared" si="281"/>
        <v>1</v>
      </c>
    </row>
    <row r="1389" spans="1:7" x14ac:dyDescent="0.25">
      <c r="A1389" t="str">
        <f>B1389&amp;"-"&amp;COUNTIF($B$2:B1389,B1389)</f>
        <v>I. QUESO GRANULADO-60</v>
      </c>
      <c r="B1389" s="35" t="s">
        <v>9</v>
      </c>
      <c r="C1389">
        <f>VLOOKUP(B1389,RECETAS!D1388:$E$1700,2,FALSE)</f>
        <v>0</v>
      </c>
      <c r="D1389" s="34"/>
      <c r="G1389" t="b">
        <f t="shared" si="281"/>
        <v>1</v>
      </c>
    </row>
    <row r="1390" spans="1:7" x14ac:dyDescent="0.25">
      <c r="A1390" t="str">
        <f>B1390&amp;"-"&amp;COUNTIF($B$2:B1390,B1390)</f>
        <v>I. CHAMP. PORCION-17</v>
      </c>
      <c r="B1390" s="35" t="s">
        <v>8</v>
      </c>
      <c r="C1390">
        <f>VLOOKUP(B1390,RECETAS!D1389:$E$1700,2,FALSE)</f>
        <v>0</v>
      </c>
      <c r="D1390" s="34"/>
      <c r="G1390" t="b">
        <f t="shared" si="281"/>
        <v>1</v>
      </c>
    </row>
    <row r="1391" spans="1:7" ht="15.75" thickBot="1" x14ac:dyDescent="0.3">
      <c r="A1391" t="str">
        <f>B1391&amp;"-"&amp;COUNTIF($B$2:B1391,B1391)</f>
        <v>I. PAN FRICA-14</v>
      </c>
      <c r="B1391" s="33" t="s">
        <v>28</v>
      </c>
      <c r="C1391">
        <f>VLOOKUP(B1391,RECETAS!D1390:$E$1700,2,FALSE)</f>
        <v>0</v>
      </c>
      <c r="D1391" s="32"/>
      <c r="G1391" t="b">
        <f t="shared" si="281"/>
        <v>1</v>
      </c>
    </row>
    <row r="1392" spans="1:7" x14ac:dyDescent="0.25">
      <c r="A1392" t="str">
        <f>B1392&amp;"-"&amp;COUNTIF($B$2:B1392,B1392)</f>
        <v>I. RAMAZZOTTI VIOLETTO-1</v>
      </c>
      <c r="B1392" s="26" t="s">
        <v>738</v>
      </c>
      <c r="C1392">
        <f>VLOOKUP(B1392,RECETAS!D1391:$E$1700,2,FALSE)</f>
        <v>0</v>
      </c>
      <c r="D1392" s="25" t="s">
        <v>729</v>
      </c>
      <c r="G1392" t="b">
        <f t="shared" si="281"/>
        <v>1</v>
      </c>
    </row>
    <row r="1393" spans="1:7" ht="15.75" thickBot="1" x14ac:dyDescent="0.3">
      <c r="A1393" t="str">
        <f>B1393&amp;"-"&amp;COUNTIF($B$2:B1393,B1393)</f>
        <v>I. CHAMP BRUT 750-11</v>
      </c>
      <c r="B1393" s="33" t="s">
        <v>59</v>
      </c>
      <c r="C1393">
        <f>VLOOKUP(B1393,RECETAS!D1392:$E$1700,2,FALSE)</f>
        <v>0</v>
      </c>
      <c r="D1393" s="32"/>
      <c r="G1393" t="b">
        <f t="shared" si="281"/>
        <v>1</v>
      </c>
    </row>
    <row r="1394" spans="1:7" x14ac:dyDescent="0.25">
      <c r="A1394" t="str">
        <f>B1394&amp;"-"&amp;COUNTIF($B$2:B1394,B1394)</f>
        <v>I. JOHNNIE ROJO-3</v>
      </c>
      <c r="B1394" s="26" t="s">
        <v>88</v>
      </c>
      <c r="C1394">
        <f>VLOOKUP(B1394,RECETAS!D1393:$E$1700,2,FALSE)</f>
        <v>0</v>
      </c>
      <c r="D1394" s="25" t="s">
        <v>731</v>
      </c>
      <c r="G1394" t="b">
        <f t="shared" si="281"/>
        <v>1</v>
      </c>
    </row>
    <row r="1395" spans="1:7" ht="15.75" thickBot="1" x14ac:dyDescent="0.3">
      <c r="A1395" t="str">
        <f>B1395&amp;"-"&amp;COUNTIF($B$2:B1395,B1395)</f>
        <v>I. GINGER ALE ZERO 1,5-2</v>
      </c>
      <c r="B1395" s="39" t="s">
        <v>313</v>
      </c>
      <c r="C1395">
        <f>VLOOKUP(B1395,RECETAS!D1394:$E$1700,2,FALSE)</f>
        <v>0</v>
      </c>
      <c r="D1395" s="32"/>
      <c r="G1395" t="b">
        <f t="shared" si="281"/>
        <v>1</v>
      </c>
    </row>
    <row r="1396" spans="1:7" x14ac:dyDescent="0.25">
      <c r="A1396" t="str">
        <f>B1396&amp;"-"&amp;COUNTIF($B$2:B1396,B1396)</f>
        <v>I. JOHNNIE NEGRO-2</v>
      </c>
      <c r="B1396" s="26" t="s">
        <v>87</v>
      </c>
      <c r="C1396">
        <f>VLOOKUP(B1396,RECETAS!D1395:$E$1700,2,FALSE)</f>
        <v>0</v>
      </c>
      <c r="D1396" s="25" t="s">
        <v>730</v>
      </c>
      <c r="G1396" t="b">
        <f t="shared" si="281"/>
        <v>1</v>
      </c>
    </row>
    <row r="1397" spans="1:7" x14ac:dyDescent="0.25">
      <c r="A1397" t="str">
        <f>B1397&amp;"-"&amp;COUNTIF($B$2:B1397,B1397)</f>
        <v>I. PULPA LIMON-104</v>
      </c>
      <c r="B1397" s="35" t="s">
        <v>106</v>
      </c>
      <c r="C1397">
        <f>VLOOKUP(B1397,RECETAS!D1396:$E$1700,2,FALSE)</f>
        <v>0</v>
      </c>
      <c r="D1397" s="34"/>
      <c r="G1397" t="b">
        <f t="shared" si="281"/>
        <v>1</v>
      </c>
    </row>
    <row r="1398" spans="1:7" x14ac:dyDescent="0.25">
      <c r="A1398" t="str">
        <f>B1398&amp;"-"&amp;COUNTIF($B$2:B1398,B1398)</f>
        <v>I. GINGER ALE ZERO 1,5-3</v>
      </c>
      <c r="B1398" s="38" t="s">
        <v>313</v>
      </c>
      <c r="C1398">
        <f>VLOOKUP(B1398,RECETAS!D1397:$E$1700,2,FALSE)</f>
        <v>0</v>
      </c>
      <c r="D1398" s="34"/>
      <c r="G1398" t="b">
        <f t="shared" si="281"/>
        <v>1</v>
      </c>
    </row>
    <row r="1399" spans="1:7" ht="15.75" thickBot="1" x14ac:dyDescent="0.3">
      <c r="A1399" t="str">
        <f>B1399&amp;"-"&amp;COUNTIF($B$2:B1399,B1399)</f>
        <v>I. PULPA ARAN FRAM-6</v>
      </c>
      <c r="B1399" s="33" t="s">
        <v>104</v>
      </c>
      <c r="C1399">
        <f>VLOOKUP(B1399,RECETAS!D1398:$E$1700,2,FALSE)</f>
        <v>0</v>
      </c>
      <c r="D1399" s="32"/>
      <c r="G1399" t="b">
        <f t="shared" si="281"/>
        <v>1</v>
      </c>
    </row>
    <row r="1400" spans="1:7" x14ac:dyDescent="0.25">
      <c r="A1400" t="str">
        <f>B1400&amp;"-"&amp;COUNTIF($B$2:B1400,B1400)</f>
        <v>I. BULLEIT-2</v>
      </c>
      <c r="B1400" s="136" t="s">
        <v>678</v>
      </c>
      <c r="C1400">
        <f>VLOOKUP(B1400,RECETAS!D1399:$E$1700,2,FALSE)</f>
        <v>0</v>
      </c>
      <c r="D1400" s="94" t="s">
        <v>725</v>
      </c>
      <c r="G1400" t="b">
        <f t="shared" si="281"/>
        <v>1</v>
      </c>
    </row>
    <row r="1401" spans="1:7" x14ac:dyDescent="0.25">
      <c r="A1401" t="str">
        <f>B1401&amp;"-"&amp;COUNTIF($B$2:B1401,B1401)</f>
        <v>I. TONICA 350-3</v>
      </c>
      <c r="B1401" s="122" t="s">
        <v>127</v>
      </c>
      <c r="C1401">
        <f>VLOOKUP(B1401,RECETAS!D1400:$E$1700,2,FALSE)</f>
        <v>0</v>
      </c>
      <c r="D1401" s="90"/>
      <c r="G1401" t="b">
        <f t="shared" si="281"/>
        <v>1</v>
      </c>
    </row>
    <row r="1402" spans="1:7" x14ac:dyDescent="0.25">
      <c r="A1402" t="str">
        <f>B1402&amp;"-"&amp;COUNTIF($B$2:B1402,B1402)</f>
        <v>-0</v>
      </c>
      <c r="B1402" s="68"/>
      <c r="C1402" t="e">
        <f>VLOOKUP(B1402,RECETAS!D1401:$E$1700,2,FALSE)</f>
        <v>#N/A</v>
      </c>
      <c r="D1402" s="90"/>
      <c r="G1402" t="b">
        <f t="shared" si="281"/>
        <v>0</v>
      </c>
    </row>
    <row r="1403" spans="1:7" ht="15.75" thickBot="1" x14ac:dyDescent="0.3">
      <c r="A1403" t="str">
        <f>B1403&amp;"-"&amp;COUNTIF($B$2:B1403,B1403)</f>
        <v>-0</v>
      </c>
      <c r="B1403" s="77"/>
      <c r="C1403" t="e">
        <f>VLOOKUP(B1403,RECETAS!D1402:$E$1700,2,FALSE)</f>
        <v>#N/A</v>
      </c>
      <c r="D1403" s="92"/>
      <c r="G1403" t="b">
        <f t="shared" si="281"/>
        <v>0</v>
      </c>
    </row>
    <row r="1404" spans="1:7" x14ac:dyDescent="0.25">
      <c r="A1404" t="str">
        <f>B1404&amp;"-"&amp;COUNTIF($B$2:B1404,B1404)</f>
        <v>I. PAPAS FRITAS-57</v>
      </c>
      <c r="B1404" s="26" t="s">
        <v>13</v>
      </c>
      <c r="C1404">
        <f>VLOOKUP(B1404,RECETAS!D1403:$E$1700,2,FALSE)</f>
        <v>0</v>
      </c>
      <c r="D1404" s="17" t="s">
        <v>741</v>
      </c>
      <c r="G1404" t="b">
        <f t="shared" si="281"/>
        <v>1</v>
      </c>
    </row>
    <row r="1405" spans="1:7" x14ac:dyDescent="0.25">
      <c r="A1405" t="str">
        <f>B1405&amp;"-"&amp;COUNTIF($B$2:B1405,B1405)</f>
        <v>I. QUESO GRANULADO-61</v>
      </c>
      <c r="B1405" s="35" t="s">
        <v>9</v>
      </c>
      <c r="C1405">
        <f>VLOOKUP(B1405,RECETAS!D1404:$E$1700,2,FALSE)</f>
        <v>0</v>
      </c>
      <c r="G1405" t="b">
        <f t="shared" si="281"/>
        <v>1</v>
      </c>
    </row>
    <row r="1406" spans="1:7" x14ac:dyDescent="0.25">
      <c r="A1406" t="str">
        <f>B1406&amp;"-"&amp;COUNTIF($B$2:B1406,B1406)</f>
        <v>I. CREMA ESPESA-72</v>
      </c>
      <c r="B1406" s="35" t="s">
        <v>16</v>
      </c>
      <c r="C1406">
        <f>VLOOKUP(B1406,RECETAS!D1405:$E$1700,2,FALSE)</f>
        <v>0</v>
      </c>
      <c r="G1406" t="b">
        <f t="shared" si="281"/>
        <v>1</v>
      </c>
    </row>
    <row r="1407" spans="1:7" x14ac:dyDescent="0.25">
      <c r="A1407" t="str">
        <f>B1407&amp;"-"&amp;COUNTIF($B$2:B1407,B1407)</f>
        <v>I. CIBOULET-29</v>
      </c>
      <c r="B1407" s="35" t="s">
        <v>23</v>
      </c>
      <c r="C1407">
        <f>VLOOKUP(B1407,RECETAS!D1406:$E$1700,2,FALSE)</f>
        <v>0</v>
      </c>
      <c r="G1407" t="b">
        <f t="shared" si="281"/>
        <v>1</v>
      </c>
    </row>
    <row r="1408" spans="1:7" ht="15.75" thickBot="1" x14ac:dyDescent="0.3">
      <c r="A1408" t="str">
        <f>B1408&amp;"-"&amp;COUNTIF($B$2:B1408,B1408)</f>
        <v>I. SALSA CHEDDAR-3</v>
      </c>
      <c r="B1408" s="40" t="s">
        <v>521</v>
      </c>
      <c r="C1408">
        <f>VLOOKUP(B1408,RECETAS!D1407:$E$1700,2,FALSE)</f>
        <v>0</v>
      </c>
      <c r="G1408" t="b">
        <f t="shared" si="281"/>
        <v>1</v>
      </c>
    </row>
    <row r="1409" spans="1:7" x14ac:dyDescent="0.25">
      <c r="A1409" t="str">
        <f>B1409&amp;"-"&amp;COUNTIF($B$2:B1409,B1409)</f>
        <v>I. PAPAS FRITAS-58</v>
      </c>
      <c r="B1409" s="26" t="s">
        <v>13</v>
      </c>
      <c r="C1409">
        <f>VLOOKUP(B1409,RECETAS!D1408:$E$1700,2,FALSE)</f>
        <v>0</v>
      </c>
      <c r="D1409" s="17" t="s">
        <v>726</v>
      </c>
      <c r="G1409" t="b">
        <f t="shared" si="281"/>
        <v>1</v>
      </c>
    </row>
    <row r="1410" spans="1:7" x14ac:dyDescent="0.25">
      <c r="A1410" t="str">
        <f>B1410&amp;"-"&amp;COUNTIF($B$2:B1410,B1410)</f>
        <v>I. QUESO GRANULADO-62</v>
      </c>
      <c r="B1410" s="35" t="s">
        <v>9</v>
      </c>
      <c r="C1410">
        <f>VLOOKUP(B1410,RECETAS!D1409:$E$1700,2,FALSE)</f>
        <v>0</v>
      </c>
      <c r="G1410" t="b">
        <f t="shared" si="281"/>
        <v>1</v>
      </c>
    </row>
    <row r="1411" spans="1:7" x14ac:dyDescent="0.25">
      <c r="A1411" t="str">
        <f>B1411&amp;"-"&amp;COUNTIF($B$2:B1411,B1411)</f>
        <v>I. CREMA ESPESA-73</v>
      </c>
      <c r="B1411" s="35" t="s">
        <v>16</v>
      </c>
      <c r="C1411">
        <f>VLOOKUP(B1411,RECETAS!D1410:$E$1700,2,FALSE)</f>
        <v>0</v>
      </c>
      <c r="G1411" t="b">
        <f t="shared" ref="G1411:G1469" si="282">IFERROR(IF(MATCH(B1411,I:I,0) &lt;&gt; "", TRUE,""),FALSE)</f>
        <v>1</v>
      </c>
    </row>
    <row r="1412" spans="1:7" x14ac:dyDescent="0.25">
      <c r="A1412" t="str">
        <f>B1412&amp;"-"&amp;COUNTIF($B$2:B1412,B1412)</f>
        <v>I. CIBOULET-30</v>
      </c>
      <c r="B1412" s="35" t="s">
        <v>23</v>
      </c>
      <c r="C1412">
        <f>VLOOKUP(B1412,RECETAS!D1411:$E$1700,2,FALSE)</f>
        <v>0</v>
      </c>
      <c r="G1412" t="b">
        <f t="shared" si="282"/>
        <v>1</v>
      </c>
    </row>
    <row r="1413" spans="1:7" ht="15.75" thickBot="1" x14ac:dyDescent="0.3">
      <c r="A1413" t="str">
        <f>B1413&amp;"-"&amp;COUNTIF($B$2:B1413,B1413)</f>
        <v>I. SALSA CHEDDAR-4</v>
      </c>
      <c r="B1413" s="40" t="s">
        <v>521</v>
      </c>
      <c r="C1413">
        <f>VLOOKUP(B1413,RECETAS!D1412:$E$1700,2,FALSE)</f>
        <v>0</v>
      </c>
      <c r="G1413" t="b">
        <f t="shared" si="282"/>
        <v>1</v>
      </c>
    </row>
    <row r="1414" spans="1:7" x14ac:dyDescent="0.25">
      <c r="A1414" t="str">
        <f>B1414&amp;"-"&amp;COUNTIF($B$2:B1414,B1414)</f>
        <v>I. PAPAS FRITAS-59</v>
      </c>
      <c r="B1414" s="26" t="s">
        <v>13</v>
      </c>
      <c r="C1414">
        <f>VLOOKUP(B1414,RECETAS!D1413:$E$1700,2,FALSE)</f>
        <v>0</v>
      </c>
      <c r="D1414" s="15" t="s">
        <v>727</v>
      </c>
      <c r="G1414" t="b">
        <f t="shared" si="282"/>
        <v>1</v>
      </c>
    </row>
    <row r="1415" spans="1:7" x14ac:dyDescent="0.25">
      <c r="A1415" t="str">
        <f>B1415&amp;"-"&amp;COUNTIF($B$2:B1415,B1415)</f>
        <v>I. QUESO GRANULADO-63</v>
      </c>
      <c r="B1415" s="35" t="s">
        <v>9</v>
      </c>
      <c r="C1415">
        <f>VLOOKUP(B1415,RECETAS!D1414:$E$1700,2,FALSE)</f>
        <v>0</v>
      </c>
      <c r="D1415" s="34"/>
      <c r="G1415" t="b">
        <f t="shared" si="282"/>
        <v>1</v>
      </c>
    </row>
    <row r="1416" spans="1:7" x14ac:dyDescent="0.25">
      <c r="A1416" t="str">
        <f>B1416&amp;"-"&amp;COUNTIF($B$2:B1416,B1416)</f>
        <v>I. CREMA ESPESA-74</v>
      </c>
      <c r="B1416" s="35" t="s">
        <v>16</v>
      </c>
      <c r="C1416">
        <f>VLOOKUP(B1416,RECETAS!D1415:$E$1700,2,FALSE)</f>
        <v>0</v>
      </c>
      <c r="D1416" s="34"/>
      <c r="G1416" t="b">
        <f t="shared" si="282"/>
        <v>1</v>
      </c>
    </row>
    <row r="1417" spans="1:7" ht="15.75" thickBot="1" x14ac:dyDescent="0.3">
      <c r="A1417" t="str">
        <f>B1417&amp;"-"&amp;COUNTIF($B$2:B1417,B1417)</f>
        <v>I. CIBOULET-31</v>
      </c>
      <c r="B1417" s="33" t="s">
        <v>23</v>
      </c>
      <c r="C1417">
        <f>VLOOKUP(B1417,RECETAS!D1416:$E$1700,2,FALSE)</f>
        <v>0</v>
      </c>
      <c r="D1417" s="32"/>
      <c r="G1417" t="b">
        <f t="shared" si="282"/>
        <v>1</v>
      </c>
    </row>
    <row r="1418" spans="1:7" x14ac:dyDescent="0.25">
      <c r="A1418" t="str">
        <f>B1418&amp;"-"&amp;COUNTIF($B$2:B1418,B1418)</f>
        <v>I. MENTA-41</v>
      </c>
      <c r="B1418" s="46" t="s">
        <v>637</v>
      </c>
      <c r="C1418">
        <f>VLOOKUP(B1418,RECETAS!D1417:$E$1700,2,FALSE)</f>
        <v>3</v>
      </c>
      <c r="D1418" s="15" t="s">
        <v>742</v>
      </c>
      <c r="G1418" t="b">
        <f t="shared" si="282"/>
        <v>1</v>
      </c>
    </row>
    <row r="1419" spans="1:7" x14ac:dyDescent="0.25">
      <c r="A1419" t="str">
        <f>B1419&amp;"-"&amp;COUNTIF($B$2:B1419,B1419)</f>
        <v>I. LIMON PICA-54</v>
      </c>
      <c r="B1419" s="36" t="s">
        <v>636</v>
      </c>
      <c r="C1419">
        <f>VLOOKUP(B1419,RECETAS!D1418:$E$1700,2,FALSE)</f>
        <v>3</v>
      </c>
      <c r="D1419" s="34"/>
      <c r="G1419" t="b">
        <f t="shared" si="282"/>
        <v>1</v>
      </c>
    </row>
    <row r="1420" spans="1:7" x14ac:dyDescent="0.25">
      <c r="A1420" t="str">
        <f>B1420&amp;"-"&amp;COUNTIF($B$2:B1420,B1420)</f>
        <v>I. MINERAL1.6LT  C/G-45</v>
      </c>
      <c r="B1420" s="36" t="s">
        <v>97</v>
      </c>
      <c r="C1420">
        <f>VLOOKUP(B1420,RECETAS!D1419:$E$1700,2,FALSE)</f>
        <v>150</v>
      </c>
      <c r="D1420" s="34"/>
      <c r="G1420" t="b">
        <f t="shared" si="282"/>
        <v>1</v>
      </c>
    </row>
    <row r="1421" spans="1:7" x14ac:dyDescent="0.25">
      <c r="A1421" t="str">
        <f>B1421&amp;"-"&amp;COUNTIF($B$2:B1421,B1421)</f>
        <v>I. AZUCAR FLOR-110</v>
      </c>
      <c r="B1421" s="36" t="s">
        <v>51</v>
      </c>
      <c r="C1421">
        <f>VLOOKUP(B1421,RECETAS!D1420:$E$1700,2,FALSE)</f>
        <v>60</v>
      </c>
      <c r="D1421" s="34"/>
      <c r="G1421" t="b">
        <f t="shared" si="282"/>
        <v>1</v>
      </c>
    </row>
    <row r="1422" spans="1:7" x14ac:dyDescent="0.25">
      <c r="A1422" t="str">
        <f>B1422&amp;"-"&amp;COUNTIF($B$2:B1422,B1422)</f>
        <v>I. PULPA LIMON-105</v>
      </c>
      <c r="B1422" s="36" t="s">
        <v>106</v>
      </c>
      <c r="C1422">
        <f>VLOOKUP(B1422,RECETAS!D1421:$E$1700,2,FALSE)</f>
        <v>60</v>
      </c>
      <c r="D1422" s="34"/>
      <c r="G1422" t="b">
        <f t="shared" si="282"/>
        <v>1</v>
      </c>
    </row>
    <row r="1423" spans="1:7" ht="15.75" thickBot="1" x14ac:dyDescent="0.3">
      <c r="A1423" t="str">
        <f>B1423&amp;"-"&amp;COUNTIF($B$2:B1423,B1423)</f>
        <v>I. JAGERMEISTER-10</v>
      </c>
      <c r="B1423" s="29" t="s">
        <v>86</v>
      </c>
      <c r="C1423">
        <f>VLOOKUP(B1423,RECETAS!D1422:$E$1700,2,FALSE)</f>
        <v>225</v>
      </c>
      <c r="D1423" s="27"/>
      <c r="G1423" t="b">
        <f t="shared" si="282"/>
        <v>1</v>
      </c>
    </row>
    <row r="1424" spans="1:7" x14ac:dyDescent="0.25">
      <c r="A1424" t="str">
        <f>B1424&amp;"-"&amp;COUNTIF($B$2:B1424,B1424)</f>
        <v>I. SALMON DE 250-8</v>
      </c>
      <c r="B1424" s="45" t="s">
        <v>36</v>
      </c>
      <c r="C1424">
        <f>VLOOKUP(B1424,RECETAS!D1423:$E$1700,2,FALSE)</f>
        <v>1</v>
      </c>
      <c r="D1424" s="15" t="s">
        <v>743</v>
      </c>
      <c r="G1424" t="b">
        <f t="shared" si="282"/>
        <v>1</v>
      </c>
    </row>
    <row r="1425" spans="1:7" x14ac:dyDescent="0.25">
      <c r="A1425" t="str">
        <f>B1425&amp;"-"&amp;COUNTIF($B$2:B1425,B1425)</f>
        <v>I. CEBOLLA MORADA-3</v>
      </c>
      <c r="B1425" s="35" t="s">
        <v>40</v>
      </c>
      <c r="C1425">
        <f>VLOOKUP(B1425,RECETAS!D1424:$E$1700,2,FALSE)</f>
        <v>4</v>
      </c>
      <c r="D1425" s="34"/>
      <c r="G1425" t="b">
        <f t="shared" si="282"/>
        <v>1</v>
      </c>
    </row>
    <row r="1426" spans="1:7" x14ac:dyDescent="0.25">
      <c r="A1426" t="str">
        <f>B1426&amp;"-"&amp;COUNTIF($B$2:B1426,B1426)</f>
        <v>I. CHOCLO PERUANO PORCION-3</v>
      </c>
      <c r="B1426" s="36" t="s">
        <v>41</v>
      </c>
      <c r="C1426">
        <f>VLOOKUP(B1426,RECETAS!D1425:$E$1700,2,FALSE)</f>
        <v>1</v>
      </c>
      <c r="D1426" s="34"/>
      <c r="G1426" t="b">
        <f t="shared" si="282"/>
        <v>1</v>
      </c>
    </row>
    <row r="1427" spans="1:7" x14ac:dyDescent="0.25">
      <c r="A1427" t="str">
        <f>B1427&amp;"-"&amp;COUNTIF($B$2:B1427,B1427)</f>
        <v>I. BAGUETTE-14</v>
      </c>
      <c r="B1427" s="35" t="s">
        <v>311</v>
      </c>
      <c r="C1427">
        <f>VLOOKUP(B1427,RECETAS!D1426:$E$1700,2,FALSE)</f>
        <v>1</v>
      </c>
      <c r="D1427" s="34"/>
      <c r="G1427" t="b">
        <f t="shared" si="282"/>
        <v>1</v>
      </c>
    </row>
    <row r="1428" spans="1:7" ht="15.75" thickBot="1" x14ac:dyDescent="0.3">
      <c r="A1428" t="str">
        <f>B1428&amp;"-"&amp;COUNTIF($B$2:B1428,B1428)</f>
        <v>I. CAMARON PORCION-17</v>
      </c>
      <c r="B1428" s="33" t="s">
        <v>6</v>
      </c>
      <c r="C1428">
        <f>VLOOKUP(B1428,RECETAS!D1427:$E$1700,2,FALSE)</f>
        <v>1</v>
      </c>
      <c r="D1428" s="32"/>
      <c r="G1428" t="b">
        <f t="shared" si="282"/>
        <v>1</v>
      </c>
    </row>
    <row r="1429" spans="1:7" x14ac:dyDescent="0.25">
      <c r="A1429" t="str">
        <f>B1429&amp;"-"&amp;COUNTIF($B$2:B1429,B1429)</f>
        <v>I. MENTA-42</v>
      </c>
      <c r="B1429" s="97" t="s">
        <v>637</v>
      </c>
      <c r="C1429">
        <f>VLOOKUP(B1429,RECETAS!D1428:$E$1700,2,FALSE)</f>
        <v>0</v>
      </c>
      <c r="D1429" s="89" t="s">
        <v>762</v>
      </c>
      <c r="G1429" t="b">
        <f t="shared" si="282"/>
        <v>1</v>
      </c>
    </row>
    <row r="1430" spans="1:7" ht="15.75" x14ac:dyDescent="0.25">
      <c r="A1430" t="str">
        <f>B1430&amp;"-"&amp;COUNTIF($B$2:B1430,B1430)</f>
        <v>I. LIMON PICA-55</v>
      </c>
      <c r="B1430" s="91" t="s">
        <v>636</v>
      </c>
      <c r="C1430">
        <f>VLOOKUP(B1430,RECETAS!D1429:$E$1700,2,FALSE)</f>
        <v>0</v>
      </c>
      <c r="D1430" s="140"/>
      <c r="G1430" t="b">
        <f t="shared" si="282"/>
        <v>1</v>
      </c>
    </row>
    <row r="1431" spans="1:7" ht="15.75" x14ac:dyDescent="0.25">
      <c r="A1431" t="str">
        <f>B1431&amp;"-"&amp;COUNTIF($B$2:B1431,B1431)</f>
        <v>I. MINERAL1.6LT  C/G-46</v>
      </c>
      <c r="B1431" s="91" t="s">
        <v>97</v>
      </c>
      <c r="C1431">
        <f>VLOOKUP(B1431,RECETAS!D1430:$E$1700,2,FALSE)</f>
        <v>0</v>
      </c>
      <c r="D1431" s="140"/>
      <c r="G1431" t="b">
        <f t="shared" si="282"/>
        <v>1</v>
      </c>
    </row>
    <row r="1432" spans="1:7" ht="15.75" x14ac:dyDescent="0.25">
      <c r="A1432" t="str">
        <f>B1432&amp;"-"&amp;COUNTIF($B$2:B1432,B1432)</f>
        <v>I. AZUCAR FLOR-111</v>
      </c>
      <c r="B1432" s="91" t="s">
        <v>51</v>
      </c>
      <c r="C1432">
        <f>VLOOKUP(B1432,RECETAS!D1431:$E$1700,2,FALSE)</f>
        <v>0</v>
      </c>
      <c r="D1432" s="140"/>
      <c r="G1432" t="b">
        <f t="shared" si="282"/>
        <v>1</v>
      </c>
    </row>
    <row r="1433" spans="1:7" ht="16.5" thickBot="1" x14ac:dyDescent="0.3">
      <c r="A1433" t="str">
        <f>B1433&amp;"-"&amp;COUNTIF($B$2:B1433,B1433)</f>
        <v>I. PULPA LIMON-106</v>
      </c>
      <c r="B1433" s="91" t="s">
        <v>106</v>
      </c>
      <c r="C1433">
        <f>VLOOKUP(B1433,RECETAS!D1432:$E$1700,2,FALSE)</f>
        <v>0</v>
      </c>
      <c r="D1433" s="140"/>
      <c r="G1433" t="b">
        <f t="shared" si="282"/>
        <v>1</v>
      </c>
    </row>
    <row r="1434" spans="1:7" ht="16.5" thickBot="1" x14ac:dyDescent="0.3">
      <c r="A1434" t="str">
        <f>B1434&amp;"-"&amp;COUNTIF($B$2:B1434,B1434)</f>
        <v>I. CHAMP BRUT 750-12</v>
      </c>
      <c r="B1434" s="74" t="s">
        <v>59</v>
      </c>
      <c r="C1434">
        <f>VLOOKUP(B1434,RECETAS!D1433:$E$1700,2,FALSE)</f>
        <v>0</v>
      </c>
      <c r="D1434" s="142"/>
      <c r="G1434" t="b">
        <f t="shared" si="282"/>
        <v>1</v>
      </c>
    </row>
    <row r="1435" spans="1:7" ht="15.75" thickBot="1" x14ac:dyDescent="0.3">
      <c r="A1435" t="str">
        <f>B1435&amp;"-"&amp;COUNTIF($B$2:B1435,B1435)</f>
        <v>I. RBULL ENERGY DR-9</v>
      </c>
      <c r="B1435" s="145" t="s">
        <v>110</v>
      </c>
      <c r="C1435">
        <f>VLOOKUP(B1435,RECETAS!D1434:$E$1700,2,FALSE)</f>
        <v>17</v>
      </c>
      <c r="D1435" s="84" t="s">
        <v>604</v>
      </c>
      <c r="G1435" t="b">
        <f t="shared" si="282"/>
        <v>1</v>
      </c>
    </row>
    <row r="1436" spans="1:7" x14ac:dyDescent="0.25">
      <c r="A1436" t="str">
        <f>B1436&amp;"-"&amp;COUNTIF($B$2:B1436,B1436)</f>
        <v>I. PAPAS FRITAS-60</v>
      </c>
      <c r="B1436" s="26" t="s">
        <v>13</v>
      </c>
      <c r="C1436">
        <f>VLOOKUP(B1436,RECETAS!D1435:$E$1700,2,FALSE)</f>
        <v>0</v>
      </c>
      <c r="D1436" s="17" t="s">
        <v>763</v>
      </c>
      <c r="G1436" t="b">
        <f t="shared" si="282"/>
        <v>1</v>
      </c>
    </row>
    <row r="1437" spans="1:7" x14ac:dyDescent="0.25">
      <c r="A1437" t="str">
        <f>B1437&amp;"-"&amp;COUNTIF($B$2:B1437,B1437)</f>
        <v>I. QUESO GRANULADO-64</v>
      </c>
      <c r="B1437" s="35" t="s">
        <v>9</v>
      </c>
      <c r="C1437">
        <f>VLOOKUP(B1437,RECETAS!D1436:$E$1700,2,FALSE)</f>
        <v>0</v>
      </c>
      <c r="G1437" t="b">
        <f t="shared" si="282"/>
        <v>1</v>
      </c>
    </row>
    <row r="1438" spans="1:7" x14ac:dyDescent="0.25">
      <c r="A1438" t="str">
        <f>B1438&amp;"-"&amp;COUNTIF($B$2:B1438,B1438)</f>
        <v>I. CREMA ESPESA-75</v>
      </c>
      <c r="B1438" s="35" t="s">
        <v>16</v>
      </c>
      <c r="C1438">
        <f>VLOOKUP(B1438,RECETAS!D1437:$E$1700,2,FALSE)</f>
        <v>0</v>
      </c>
      <c r="G1438" t="b">
        <f t="shared" si="282"/>
        <v>1</v>
      </c>
    </row>
    <row r="1439" spans="1:7" x14ac:dyDescent="0.25">
      <c r="A1439" t="str">
        <f>B1439&amp;"-"&amp;COUNTIF($B$2:B1439,B1439)</f>
        <v>I. CIBOULET-32</v>
      </c>
      <c r="B1439" s="35" t="s">
        <v>23</v>
      </c>
      <c r="C1439">
        <f>VLOOKUP(B1439,RECETAS!D1438:$E$1700,2,FALSE)</f>
        <v>0</v>
      </c>
      <c r="G1439" t="b">
        <f t="shared" si="282"/>
        <v>1</v>
      </c>
    </row>
    <row r="1440" spans="1:7" ht="15.75" thickBot="1" x14ac:dyDescent="0.3">
      <c r="A1440" t="str">
        <f>B1440&amp;"-"&amp;COUNTIF($B$2:B1440,B1440)</f>
        <v>I. SALSA CHEDDAR-5</v>
      </c>
      <c r="B1440" s="40" t="s">
        <v>521</v>
      </c>
      <c r="C1440">
        <f>VLOOKUP(B1440,RECETAS!D1439:$E$1700,2,FALSE)</f>
        <v>0</v>
      </c>
      <c r="G1440" t="b">
        <f t="shared" si="282"/>
        <v>1</v>
      </c>
    </row>
    <row r="1441" spans="1:7" ht="15.75" thickBot="1" x14ac:dyDescent="0.3">
      <c r="A1441" t="str">
        <f>B1441&amp;"-"&amp;COUNTIF($B$2:B1441,B1441)</f>
        <v>I. CHAMP BRUT 750-13</v>
      </c>
      <c r="B1441" s="48" t="s">
        <v>59</v>
      </c>
      <c r="C1441">
        <f>VLOOKUP(B1441,RECETAS!D1440:$E$1700,2,FALSE)</f>
        <v>0</v>
      </c>
      <c r="D1441" s="15" t="s">
        <v>764</v>
      </c>
      <c r="G1441" t="b">
        <f t="shared" si="282"/>
        <v>1</v>
      </c>
    </row>
    <row r="1442" spans="1:7" x14ac:dyDescent="0.25">
      <c r="A1442" t="str">
        <f>B1442&amp;"-"&amp;COUNTIF($B$2:B1442,B1442)</f>
        <v>I. MENTA-43</v>
      </c>
      <c r="B1442" s="161" t="s">
        <v>637</v>
      </c>
      <c r="C1442">
        <f>VLOOKUP(B1442,RECETAS!D1441:$E$1700,2,FALSE)</f>
        <v>0</v>
      </c>
      <c r="D1442" s="160" t="s">
        <v>766</v>
      </c>
      <c r="G1442" t="b">
        <f t="shared" si="282"/>
        <v>1</v>
      </c>
    </row>
    <row r="1443" spans="1:7" x14ac:dyDescent="0.25">
      <c r="A1443" t="str">
        <f>B1443&amp;"-"&amp;COUNTIF($B$2:B1443,B1443)</f>
        <v>I. AZUCAR FLOR-112</v>
      </c>
      <c r="B1443" s="36" t="s">
        <v>51</v>
      </c>
      <c r="C1443">
        <f>VLOOKUP(B1443,RECETAS!D1442:$E$1700,2,FALSE)</f>
        <v>0</v>
      </c>
      <c r="D1443" s="162"/>
      <c r="G1443" t="b">
        <f t="shared" si="282"/>
        <v>1</v>
      </c>
    </row>
    <row r="1444" spans="1:7" x14ac:dyDescent="0.25">
      <c r="A1444" t="str">
        <f>B1444&amp;"-"&amp;COUNTIF($B$2:B1444,B1444)</f>
        <v>I. PULPA LIMON-107</v>
      </c>
      <c r="B1444" s="36" t="s">
        <v>106</v>
      </c>
      <c r="C1444">
        <f>VLOOKUP(B1444,RECETAS!D1443:$E$1700,2,FALSE)</f>
        <v>0</v>
      </c>
      <c r="D1444" s="162"/>
      <c r="G1444" t="b">
        <f t="shared" si="282"/>
        <v>1</v>
      </c>
    </row>
    <row r="1445" spans="1:7" x14ac:dyDescent="0.25">
      <c r="A1445" t="str">
        <f>B1445&amp;"-"&amp;COUNTIF($B$2:B1445,B1445)</f>
        <v>I. LIMON PICA-56</v>
      </c>
      <c r="B1445" s="36" t="s">
        <v>636</v>
      </c>
      <c r="C1445">
        <f>VLOOKUP(B1445,RECETAS!D1444:$E$1700,2,FALSE)</f>
        <v>0</v>
      </c>
      <c r="D1445" s="162"/>
      <c r="G1445" t="b">
        <f t="shared" si="282"/>
        <v>1</v>
      </c>
    </row>
    <row r="1446" spans="1:7" x14ac:dyDescent="0.25">
      <c r="A1446" t="str">
        <f>B1446&amp;"-"&amp;COUNTIF($B$2:B1446,B1446)</f>
        <v>I. MINERAL1.6LT  C/G-47</v>
      </c>
      <c r="B1446" s="66" t="s">
        <v>97</v>
      </c>
      <c r="C1446">
        <f>VLOOKUP(B1446,RECETAS!D1445:$E$1700,2,FALSE)</f>
        <v>0</v>
      </c>
      <c r="D1446" s="162"/>
      <c r="G1446" t="b">
        <f t="shared" si="282"/>
        <v>1</v>
      </c>
    </row>
    <row r="1447" spans="1:7" x14ac:dyDescent="0.25">
      <c r="A1447" t="str">
        <f>B1447&amp;"-"&amp;COUNTIF($B$2:B1447,B1447)</f>
        <v>I. RON BLANCO BATALLA-46</v>
      </c>
      <c r="B1447" s="40" t="s">
        <v>116</v>
      </c>
      <c r="C1447">
        <f>VLOOKUP(B1447,RECETAS!D1446:$E$1700,2,FALSE)</f>
        <v>0</v>
      </c>
      <c r="D1447" s="162"/>
      <c r="G1447" t="b">
        <f t="shared" si="282"/>
        <v>1</v>
      </c>
    </row>
    <row r="1448" spans="1:7" ht="15.75" thickBot="1" x14ac:dyDescent="0.3">
      <c r="A1448" t="str">
        <f>B1448&amp;"-"&amp;COUNTIF($B$2:B1448,B1448)</f>
        <v>I. PULPA ARAN FRAM-7</v>
      </c>
      <c r="B1448" s="166" t="s">
        <v>104</v>
      </c>
      <c r="C1448">
        <f>VLOOKUP(B1448,RECETAS!D1447:$E$1700,2,FALSE)</f>
        <v>0</v>
      </c>
      <c r="D1448" s="164"/>
      <c r="G1448" t="b">
        <f t="shared" si="282"/>
        <v>1</v>
      </c>
    </row>
    <row r="1449" spans="1:7" x14ac:dyDescent="0.25">
      <c r="A1449" t="str">
        <f>B1449&amp;"-"&amp;COUNTIF($B$2:B1449,B1449)</f>
        <v>I. MENTA-44</v>
      </c>
      <c r="B1449" s="46" t="s">
        <v>637</v>
      </c>
      <c r="C1449">
        <f>VLOOKUP(B1449,RECETAS!D1448:$E$1700,2,FALSE)</f>
        <v>0</v>
      </c>
      <c r="D1449" s="159" t="s">
        <v>767</v>
      </c>
      <c r="G1449" t="b">
        <f t="shared" si="282"/>
        <v>1</v>
      </c>
    </row>
    <row r="1450" spans="1:7" x14ac:dyDescent="0.25">
      <c r="A1450" t="str">
        <f>B1450&amp;"-"&amp;COUNTIF($B$2:B1450,B1450)</f>
        <v>I. AZUCAR FLOR-113</v>
      </c>
      <c r="B1450" s="36" t="s">
        <v>51</v>
      </c>
      <c r="C1450">
        <f>VLOOKUP(B1450,RECETAS!D1449:$E$1700,2,FALSE)</f>
        <v>0</v>
      </c>
      <c r="D1450" s="17"/>
      <c r="G1450" t="b">
        <f t="shared" si="282"/>
        <v>1</v>
      </c>
    </row>
    <row r="1451" spans="1:7" x14ac:dyDescent="0.25">
      <c r="A1451" t="str">
        <f>B1451&amp;"-"&amp;COUNTIF($B$2:B1451,B1451)</f>
        <v>I. PULPA LIMON-108</v>
      </c>
      <c r="B1451" s="36" t="s">
        <v>106</v>
      </c>
      <c r="C1451">
        <f>VLOOKUP(B1451,RECETAS!D1450:$E$1700,2,FALSE)</f>
        <v>0</v>
      </c>
      <c r="D1451" s="17"/>
      <c r="G1451" t="b">
        <f t="shared" si="282"/>
        <v>1</v>
      </c>
    </row>
    <row r="1452" spans="1:7" x14ac:dyDescent="0.25">
      <c r="A1452" t="str">
        <f>B1452&amp;"-"&amp;COUNTIF($B$2:B1452,B1452)</f>
        <v>I. LIMON PICA-57</v>
      </c>
      <c r="B1452" s="36" t="s">
        <v>636</v>
      </c>
      <c r="C1452">
        <f>VLOOKUP(B1452,RECETAS!D1451:$E$1700,2,FALSE)</f>
        <v>0</v>
      </c>
      <c r="D1452" s="17"/>
      <c r="G1452" t="b">
        <f t="shared" si="282"/>
        <v>1</v>
      </c>
    </row>
    <row r="1453" spans="1:7" x14ac:dyDescent="0.25">
      <c r="A1453" t="str">
        <f>B1453&amp;"-"&amp;COUNTIF($B$2:B1453,B1453)</f>
        <v>I. MINERAL1.6LT  C/G-48</v>
      </c>
      <c r="B1453" s="66" t="s">
        <v>97</v>
      </c>
      <c r="C1453">
        <f>VLOOKUP(B1453,RECETAS!D1452:$E$1700,2,FALSE)</f>
        <v>0</v>
      </c>
      <c r="D1453" s="17"/>
      <c r="G1453" t="b">
        <f t="shared" si="282"/>
        <v>1</v>
      </c>
    </row>
    <row r="1454" spans="1:7" ht="15.75" thickBot="1" x14ac:dyDescent="0.3">
      <c r="A1454" t="str">
        <f>B1454&amp;"-"&amp;COUNTIF($B$2:B1454,B1454)</f>
        <v>I. RON BLANCO BATALLA-47</v>
      </c>
      <c r="B1454" s="40" t="s">
        <v>116</v>
      </c>
      <c r="C1454">
        <f>VLOOKUP(B1454,RECETAS!D1453:$E$1700,2,FALSE)</f>
        <v>0</v>
      </c>
      <c r="D1454" s="170"/>
      <c r="G1454" t="b">
        <f t="shared" si="282"/>
        <v>1</v>
      </c>
    </row>
    <row r="1455" spans="1:7" x14ac:dyDescent="0.25">
      <c r="A1455" t="str">
        <f>B1455&amp;"-"&amp;COUNTIF($B$2:B1455,B1455)</f>
        <v>I. MENTA-45</v>
      </c>
      <c r="B1455" s="161" t="s">
        <v>637</v>
      </c>
      <c r="C1455">
        <f>VLOOKUP(B1455,RECETAS!D1454:$E$1700,2,FALSE)</f>
        <v>0</v>
      </c>
      <c r="D1455" s="160" t="s">
        <v>768</v>
      </c>
      <c r="G1455" t="b">
        <f t="shared" si="282"/>
        <v>1</v>
      </c>
    </row>
    <row r="1456" spans="1:7" x14ac:dyDescent="0.25">
      <c r="A1456" t="str">
        <f>B1456&amp;"-"&amp;COUNTIF($B$2:B1456,B1456)</f>
        <v>I. AZUCAR FLOR-114</v>
      </c>
      <c r="B1456" s="36" t="s">
        <v>51</v>
      </c>
      <c r="C1456">
        <f>VLOOKUP(B1456,RECETAS!D1455:$E$1700,2,FALSE)</f>
        <v>0</v>
      </c>
      <c r="D1456" s="162"/>
      <c r="G1456" t="b">
        <f t="shared" si="282"/>
        <v>1</v>
      </c>
    </row>
    <row r="1457" spans="1:9" x14ac:dyDescent="0.25">
      <c r="A1457" t="str">
        <f>B1457&amp;"-"&amp;COUNTIF($B$2:B1457,B1457)</f>
        <v>I. PULPA LIMON-109</v>
      </c>
      <c r="B1457" s="36" t="s">
        <v>106</v>
      </c>
      <c r="C1457">
        <f>VLOOKUP(B1457,RECETAS!D1456:$E$1700,2,FALSE)</f>
        <v>0</v>
      </c>
      <c r="D1457" s="162"/>
      <c r="G1457" t="b">
        <f t="shared" si="282"/>
        <v>1</v>
      </c>
    </row>
    <row r="1458" spans="1:9" x14ac:dyDescent="0.25">
      <c r="A1458" t="str">
        <f>B1458&amp;"-"&amp;COUNTIF($B$2:B1458,B1458)</f>
        <v>I. LIMON PICA-58</v>
      </c>
      <c r="B1458" s="36" t="s">
        <v>636</v>
      </c>
      <c r="C1458">
        <f>VLOOKUP(B1458,RECETAS!D1457:$E$1700,2,FALSE)</f>
        <v>0</v>
      </c>
      <c r="D1458" s="162"/>
      <c r="G1458" t="b">
        <f t="shared" si="282"/>
        <v>1</v>
      </c>
    </row>
    <row r="1459" spans="1:9" x14ac:dyDescent="0.25">
      <c r="A1459" t="str">
        <f>B1459&amp;"-"&amp;COUNTIF($B$2:B1459,B1459)</f>
        <v>I. MINERAL1.6LT  C/G-49</v>
      </c>
      <c r="B1459" s="66" t="s">
        <v>97</v>
      </c>
      <c r="C1459">
        <f>VLOOKUP(B1459,RECETAS!D1458:$E$1700,2,FALSE)</f>
        <v>0</v>
      </c>
      <c r="D1459" s="162"/>
      <c r="G1459" t="b">
        <f t="shared" si="282"/>
        <v>1</v>
      </c>
    </row>
    <row r="1460" spans="1:9" x14ac:dyDescent="0.25">
      <c r="A1460" t="str">
        <f>B1460&amp;"-"&amp;COUNTIF($B$2:B1460,B1460)</f>
        <v>I. RON BLANCO BATALLA-48</v>
      </c>
      <c r="B1460" s="40" t="s">
        <v>116</v>
      </c>
      <c r="C1460">
        <f>VLOOKUP(B1460,RECETAS!D1459:$E$1700,2,FALSE)</f>
        <v>0</v>
      </c>
      <c r="D1460" s="162"/>
      <c r="G1460" t="b">
        <f t="shared" si="282"/>
        <v>1</v>
      </c>
    </row>
    <row r="1461" spans="1:9" ht="15.75" thickBot="1" x14ac:dyDescent="0.3">
      <c r="A1461" t="str">
        <f>B1461&amp;"-"&amp;COUNTIF($B$2:B1461,B1461)</f>
        <v>I. PULPA MANGO-12</v>
      </c>
      <c r="B1461" s="154" t="s">
        <v>107</v>
      </c>
      <c r="C1461">
        <f>VLOOKUP(B1461,RECETAS!D1460:$E$1700,2,FALSE)</f>
        <v>0</v>
      </c>
      <c r="D1461" s="164"/>
      <c r="G1461" t="b">
        <f t="shared" si="282"/>
        <v>1</v>
      </c>
    </row>
    <row r="1462" spans="1:9" x14ac:dyDescent="0.25">
      <c r="A1462" t="str">
        <f>B1462&amp;"-"&amp;COUNTIF($B$2:B1462,B1462)</f>
        <v>I. MENTA-46</v>
      </c>
      <c r="B1462" s="161" t="s">
        <v>637</v>
      </c>
      <c r="C1462">
        <f>VLOOKUP(B1462,RECETAS!D1461:$E$1700,2,FALSE)</f>
        <v>0</v>
      </c>
      <c r="D1462" s="147" t="s">
        <v>769</v>
      </c>
      <c r="G1462" t="b">
        <f t="shared" si="282"/>
        <v>1</v>
      </c>
    </row>
    <row r="1463" spans="1:9" ht="15.75" x14ac:dyDescent="0.25">
      <c r="A1463" t="str">
        <f>B1463&amp;"-"&amp;COUNTIF($B$2:B1463,B1463)</f>
        <v>I. AZUCAR FLOR-115</v>
      </c>
      <c r="B1463" s="36" t="s">
        <v>51</v>
      </c>
      <c r="C1463">
        <f>VLOOKUP(B1463,RECETAS!D1462:$E$1700,2,FALSE)</f>
        <v>0</v>
      </c>
      <c r="D1463" s="168"/>
      <c r="G1463" t="b">
        <f t="shared" si="282"/>
        <v>1</v>
      </c>
    </row>
    <row r="1464" spans="1:9" ht="15.75" x14ac:dyDescent="0.25">
      <c r="A1464" t="str">
        <f>B1464&amp;"-"&amp;COUNTIF($B$2:B1464,B1464)</f>
        <v>I. LIMON PICA-59</v>
      </c>
      <c r="B1464" s="36" t="s">
        <v>636</v>
      </c>
      <c r="C1464">
        <f>VLOOKUP(B1464,RECETAS!D1463:$E$1700,2,FALSE)</f>
        <v>0</v>
      </c>
      <c r="D1464" s="168"/>
      <c r="G1464" t="b">
        <f t="shared" si="282"/>
        <v>1</v>
      </c>
    </row>
    <row r="1465" spans="1:9" ht="15.75" x14ac:dyDescent="0.25">
      <c r="A1465" t="str">
        <f>B1465&amp;"-"&amp;COUNTIF($B$2:B1465,B1465)</f>
        <v>I. MINERAL1.6LT  C/G-50</v>
      </c>
      <c r="B1465" s="36" t="s">
        <v>97</v>
      </c>
      <c r="C1465">
        <f>VLOOKUP(B1465,RECETAS!D1464:$E$1700,2,FALSE)</f>
        <v>0</v>
      </c>
      <c r="D1465" s="168"/>
      <c r="G1465" t="b">
        <f t="shared" si="282"/>
        <v>1</v>
      </c>
    </row>
    <row r="1466" spans="1:9" ht="15.75" x14ac:dyDescent="0.25">
      <c r="A1466" t="str">
        <f>B1466&amp;"-"&amp;COUNTIF($B$2:B1466,B1466)</f>
        <v>I. PULPA LIMON-110</v>
      </c>
      <c r="B1466" s="36" t="s">
        <v>106</v>
      </c>
      <c r="C1466">
        <f>VLOOKUP(B1466,RECETAS!D1465:$E$1700,2,FALSE)</f>
        <v>0</v>
      </c>
      <c r="D1466" s="168"/>
      <c r="G1466" t="b">
        <f t="shared" si="282"/>
        <v>1</v>
      </c>
    </row>
    <row r="1467" spans="1:9" ht="15.75" x14ac:dyDescent="0.25">
      <c r="A1467" t="str">
        <f>B1467&amp;"-"&amp;COUNTIF($B$2:B1467,B1467)</f>
        <v>I. RON BLANCO BATALLA-49</v>
      </c>
      <c r="B1467" s="36" t="s">
        <v>116</v>
      </c>
      <c r="C1467">
        <f>VLOOKUP(B1467,RECETAS!D1466:$E$1700,2,FALSE)</f>
        <v>0</v>
      </c>
      <c r="D1467" s="168"/>
      <c r="G1467" t="b">
        <f t="shared" si="282"/>
        <v>1</v>
      </c>
    </row>
    <row r="1468" spans="1:9" ht="16.5" thickBot="1" x14ac:dyDescent="0.3">
      <c r="A1468" t="str">
        <f>B1468&amp;"-"&amp;COUNTIF($B$2:B1468,B1468)</f>
        <v>I. PULPA MARACUYA-7</v>
      </c>
      <c r="B1468" s="154" t="s">
        <v>108</v>
      </c>
      <c r="C1468">
        <f>VLOOKUP(B1468,RECETAS!D1467:$E$1700,2,FALSE)</f>
        <v>0</v>
      </c>
      <c r="D1468" s="169"/>
      <c r="G1468" t="b">
        <f t="shared" si="282"/>
        <v>1</v>
      </c>
    </row>
    <row r="1469" spans="1:9" ht="15.75" thickBot="1" x14ac:dyDescent="0.3">
      <c r="A1469" t="str">
        <f>B1469&amp;"-"&amp;COUNTIF($B$2:B1469,B1469)</f>
        <v>I. SALMON DE 250-9</v>
      </c>
      <c r="B1469" s="26" t="s">
        <v>36</v>
      </c>
      <c r="C1469">
        <f>VLOOKUP(B1469,RECETAS!D1468:$E$1700,2,FALSE)</f>
        <v>0</v>
      </c>
      <c r="D1469" s="17" t="s">
        <v>765</v>
      </c>
      <c r="G1469" t="b">
        <f t="shared" si="282"/>
        <v>1</v>
      </c>
      <c r="I1469"/>
    </row>
    <row r="1470" spans="1:9" x14ac:dyDescent="0.25">
      <c r="A1470" t="str">
        <f>B1470&amp;"-"&amp;COUNTIF($B$2:B1470,B1470)</f>
        <v>I. PAPAS FRITAS-61</v>
      </c>
      <c r="B1470" s="26" t="s">
        <v>13</v>
      </c>
      <c r="C1470">
        <f>VLOOKUP(B1470,RECETAS!D1469:$E$1700,2,FALSE)</f>
        <v>0</v>
      </c>
      <c r="D1470" s="17" t="s">
        <v>770</v>
      </c>
      <c r="G1470" t="b">
        <f t="shared" ref="G1470:G1533" si="283">IFERROR(IF(MATCH(B1470,I:I,0) &lt;&gt; "", TRUE,""),FALSE)</f>
        <v>1</v>
      </c>
      <c r="I1470"/>
    </row>
    <row r="1471" spans="1:9" ht="15.75" x14ac:dyDescent="0.25">
      <c r="A1471" t="str">
        <f>B1471&amp;"-"&amp;COUNTIF($B$2:B1471,B1471)</f>
        <v>I. QUESO GRANULADO-65</v>
      </c>
      <c r="B1471" s="35" t="s">
        <v>9</v>
      </c>
      <c r="C1471">
        <f>VLOOKUP(B1471,RECETAS!D1470:$E$1700,2,FALSE)</f>
        <v>0</v>
      </c>
      <c r="D1471" s="11"/>
      <c r="G1471" t="b">
        <f t="shared" si="283"/>
        <v>1</v>
      </c>
      <c r="I1471"/>
    </row>
    <row r="1472" spans="1:9" ht="15.75" x14ac:dyDescent="0.25">
      <c r="A1472" t="str">
        <f>B1472&amp;"-"&amp;COUNTIF($B$2:B1472,B1472)</f>
        <v>I. CREMA ESPESA-76</v>
      </c>
      <c r="B1472" s="35" t="s">
        <v>16</v>
      </c>
      <c r="C1472">
        <f>VLOOKUP(B1472,RECETAS!D1471:$E$1700,2,FALSE)</f>
        <v>0</v>
      </c>
      <c r="D1472" s="11"/>
      <c r="G1472" t="b">
        <f t="shared" si="283"/>
        <v>1</v>
      </c>
      <c r="I1472"/>
    </row>
    <row r="1473" spans="1:9" ht="15.75" x14ac:dyDescent="0.25">
      <c r="A1473" t="str">
        <f>B1473&amp;"-"&amp;COUNTIF($B$2:B1473,B1473)</f>
        <v>I. CIBOULET-33</v>
      </c>
      <c r="B1473" s="35" t="s">
        <v>23</v>
      </c>
      <c r="C1473">
        <f>VLOOKUP(B1473,RECETAS!D1472:$E$1700,2,FALSE)</f>
        <v>0</v>
      </c>
      <c r="D1473" s="11"/>
      <c r="G1473" t="b">
        <f t="shared" si="283"/>
        <v>1</v>
      </c>
      <c r="I1473"/>
    </row>
    <row r="1474" spans="1:9" ht="16.5" thickBot="1" x14ac:dyDescent="0.3">
      <c r="A1474" t="str">
        <f>B1474&amp;"-"&amp;COUNTIF($B$2:B1474,B1474)</f>
        <v>I. SALSA CHEDDAR-6</v>
      </c>
      <c r="B1474" s="40" t="s">
        <v>521</v>
      </c>
      <c r="C1474">
        <f>VLOOKUP(B1474,RECETAS!D1473:$E$1700,2,FALSE)</f>
        <v>0</v>
      </c>
      <c r="D1474" s="11"/>
      <c r="G1474" t="b">
        <f t="shared" si="283"/>
        <v>1</v>
      </c>
      <c r="I1474"/>
    </row>
    <row r="1475" spans="1:9" ht="15.75" thickBot="1" x14ac:dyDescent="0.3">
      <c r="A1475" t="str">
        <f>B1475&amp;"-"&amp;COUNTIF($B$2:B1475,B1475)</f>
        <v>I. MECHADA MENU-3</v>
      </c>
      <c r="B1475" s="26" t="s">
        <v>39</v>
      </c>
      <c r="C1475">
        <f>VLOOKUP(B1475,RECETAS!D1474:$E$1700,2,FALSE)</f>
        <v>0</v>
      </c>
      <c r="D1475" s="17" t="s">
        <v>771</v>
      </c>
      <c r="G1475" t="b">
        <f t="shared" si="283"/>
        <v>1</v>
      </c>
      <c r="I1475"/>
    </row>
    <row r="1476" spans="1:9" x14ac:dyDescent="0.25">
      <c r="A1476" t="str">
        <f>B1476&amp;"-"&amp;COUNTIF($B$2:B1476,B1476)</f>
        <v>I. PAPAS FRITAS-62</v>
      </c>
      <c r="B1476" s="26" t="s">
        <v>13</v>
      </c>
      <c r="C1476">
        <f>VLOOKUP(B1476,RECETAS!D1475:$E$1700,2,FALSE)</f>
        <v>0</v>
      </c>
      <c r="D1476" s="15" t="s">
        <v>772</v>
      </c>
      <c r="G1476" t="b">
        <f t="shared" si="283"/>
        <v>1</v>
      </c>
      <c r="I1476"/>
    </row>
    <row r="1477" spans="1:9" x14ac:dyDescent="0.25">
      <c r="A1477" t="str">
        <f>B1477&amp;"-"&amp;COUNTIF($B$2:B1477,B1477)</f>
        <v>I. FILETILLO POLLO-14</v>
      </c>
      <c r="B1477" s="35" t="s">
        <v>5</v>
      </c>
      <c r="C1477">
        <f>VLOOKUP(B1477,RECETAS!D1476:$E$1700,2,FALSE)</f>
        <v>0</v>
      </c>
      <c r="D1477" s="17" t="s">
        <v>773</v>
      </c>
      <c r="G1477" t="b">
        <f t="shared" si="283"/>
        <v>1</v>
      </c>
      <c r="I1477"/>
    </row>
    <row r="1478" spans="1:9" x14ac:dyDescent="0.25">
      <c r="A1478" t="str">
        <f>B1478&amp;"-"&amp;COUNTIF($B$2:B1478,B1478)</f>
        <v>I. FILETILLO POLLO-15</v>
      </c>
      <c r="B1478" s="35" t="s">
        <v>5</v>
      </c>
      <c r="C1478">
        <f>VLOOKUP(B1478,RECETAS!D1477:$E$1700,2,FALSE)</f>
        <v>0</v>
      </c>
      <c r="D1478" s="15" t="s">
        <v>774</v>
      </c>
      <c r="G1478" t="b">
        <f t="shared" si="283"/>
        <v>1</v>
      </c>
      <c r="I1478"/>
    </row>
    <row r="1479" spans="1:9" x14ac:dyDescent="0.25">
      <c r="A1479" t="str">
        <f>B1479&amp;"-"&amp;COUNTIF($B$2:B1479,B1479)</f>
        <v>I. FILETILLO POLLO-16</v>
      </c>
      <c r="B1479" s="35" t="s">
        <v>5</v>
      </c>
      <c r="C1479">
        <f>VLOOKUP(B1479,RECETAS!D1478:$E$1700,2,FALSE)</f>
        <v>0</v>
      </c>
      <c r="D1479" s="17" t="s">
        <v>775</v>
      </c>
      <c r="G1479" t="b">
        <f t="shared" si="283"/>
        <v>1</v>
      </c>
      <c r="I1479"/>
    </row>
    <row r="1480" spans="1:9" ht="15.75" thickBot="1" x14ac:dyDescent="0.3">
      <c r="A1480" t="str">
        <f>B1480&amp;"-"&amp;COUNTIF($B$2:B1480,B1480)</f>
        <v>I. FILETILLO POLLO-17</v>
      </c>
      <c r="B1480" s="35" t="s">
        <v>5</v>
      </c>
      <c r="C1480">
        <f>VLOOKUP(B1480,RECETAS!D1479:$E$1700,2,FALSE)</f>
        <v>0</v>
      </c>
      <c r="D1480" s="15" t="s">
        <v>776</v>
      </c>
      <c r="G1480" t="b">
        <f t="shared" si="283"/>
        <v>1</v>
      </c>
      <c r="I1480"/>
    </row>
    <row r="1481" spans="1:9" ht="15.75" thickBot="1" x14ac:dyDescent="0.3">
      <c r="A1481" t="str">
        <f>B1481&amp;"-"&amp;COUNTIF($B$2:B1481,B1481)</f>
        <v>I. EMPANADA PORC-9</v>
      </c>
      <c r="B1481" s="23" t="s">
        <v>0</v>
      </c>
      <c r="C1481">
        <f>VLOOKUP(B1481,RECETAS!D1480:$E$1700,2,FALSE)</f>
        <v>0</v>
      </c>
      <c r="D1481" s="15" t="s">
        <v>777</v>
      </c>
      <c r="G1481" t="b">
        <f t="shared" si="283"/>
        <v>1</v>
      </c>
      <c r="I1481"/>
    </row>
    <row r="1482" spans="1:9" ht="15.75" thickBot="1" x14ac:dyDescent="0.3">
      <c r="A1482" t="str">
        <f>B1482&amp;"-"&amp;COUNTIF($B$2:B1482,B1482)</f>
        <v>I. SALMON DE 250-10</v>
      </c>
      <c r="B1482" s="26" t="s">
        <v>36</v>
      </c>
      <c r="C1482">
        <f>VLOOKUP(B1482,RECETAS!D1481:$E$1700,2,FALSE)</f>
        <v>0</v>
      </c>
      <c r="D1482" s="15" t="s">
        <v>778</v>
      </c>
      <c r="G1482" t="b">
        <f t="shared" si="283"/>
        <v>1</v>
      </c>
      <c r="I1482"/>
    </row>
    <row r="1483" spans="1:9" x14ac:dyDescent="0.25">
      <c r="A1483" t="str">
        <f>B1483&amp;"-"&amp;COUNTIF($B$2:B1483,B1483)</f>
        <v>I. MENTA-47</v>
      </c>
      <c r="B1483" s="161" t="s">
        <v>637</v>
      </c>
      <c r="C1483">
        <f>VLOOKUP(B1483,RECETAS!D1482:$E$1700,2,FALSE)</f>
        <v>0</v>
      </c>
      <c r="D1483" s="15" t="s">
        <v>779</v>
      </c>
      <c r="G1483" t="b">
        <f t="shared" si="283"/>
        <v>1</v>
      </c>
      <c r="I1483"/>
    </row>
    <row r="1484" spans="1:9" x14ac:dyDescent="0.25">
      <c r="A1484" t="str">
        <f>B1484&amp;"-"&amp;COUNTIF($B$2:B1484,B1484)</f>
        <v>I. AZUCAR FLOR-116</v>
      </c>
      <c r="B1484" s="36" t="s">
        <v>51</v>
      </c>
      <c r="C1484">
        <f>VLOOKUP(B1484,RECETAS!D1483:$E$1700,2,FALSE)</f>
        <v>0</v>
      </c>
      <c r="D1484" s="15"/>
      <c r="G1484" t="b">
        <f t="shared" si="283"/>
        <v>1</v>
      </c>
      <c r="I1484"/>
    </row>
    <row r="1485" spans="1:9" x14ac:dyDescent="0.25">
      <c r="A1485" t="str">
        <f>B1485&amp;"-"&amp;COUNTIF($B$2:B1485,B1485)</f>
        <v>I. PULPA LIMON-111</v>
      </c>
      <c r="B1485" s="36" t="s">
        <v>106</v>
      </c>
      <c r="C1485">
        <f>VLOOKUP(B1485,RECETAS!D1484:$E$1700,2,FALSE)</f>
        <v>0</v>
      </c>
      <c r="D1485" s="15"/>
      <c r="G1485" t="b">
        <f t="shared" si="283"/>
        <v>1</v>
      </c>
      <c r="I1485"/>
    </row>
    <row r="1486" spans="1:9" x14ac:dyDescent="0.25">
      <c r="A1486" t="str">
        <f>B1486&amp;"-"&amp;COUNTIF($B$2:B1486,B1486)</f>
        <v>I. LIMON PICA-60</v>
      </c>
      <c r="B1486" s="36" t="s">
        <v>636</v>
      </c>
      <c r="C1486">
        <f>VLOOKUP(B1486,RECETAS!D1485:$E$1700,2,FALSE)</f>
        <v>0</v>
      </c>
      <c r="D1486" s="15"/>
      <c r="G1486" t="b">
        <f t="shared" si="283"/>
        <v>1</v>
      </c>
      <c r="I1486"/>
    </row>
    <row r="1487" spans="1:9" x14ac:dyDescent="0.25">
      <c r="A1487" t="str">
        <f>B1487&amp;"-"&amp;COUNTIF($B$2:B1487,B1487)</f>
        <v>I. MINERAL1.6LT  C/G-51</v>
      </c>
      <c r="B1487" s="66" t="s">
        <v>97</v>
      </c>
      <c r="C1487">
        <f>VLOOKUP(B1487,RECETAS!D1486:$E$1700,2,FALSE)</f>
        <v>0</v>
      </c>
      <c r="D1487" s="15"/>
      <c r="G1487" t="b">
        <f t="shared" si="283"/>
        <v>1</v>
      </c>
      <c r="I1487"/>
    </row>
    <row r="1488" spans="1:9" x14ac:dyDescent="0.25">
      <c r="A1488" t="str">
        <f>B1488&amp;"-"&amp;COUNTIF($B$2:B1488,B1488)</f>
        <v>I. RON BLANCO BATALLA-50</v>
      </c>
      <c r="B1488" s="40" t="s">
        <v>116</v>
      </c>
      <c r="C1488">
        <f>VLOOKUP(B1488,RECETAS!D1487:$E$1700,2,FALSE)</f>
        <v>0</v>
      </c>
      <c r="D1488" s="15"/>
      <c r="G1488" t="b">
        <f t="shared" si="283"/>
        <v>1</v>
      </c>
      <c r="I1488"/>
    </row>
    <row r="1489" spans="1:9" ht="15.75" thickBot="1" x14ac:dyDescent="0.3">
      <c r="A1489" t="str">
        <f>B1489&amp;"-"&amp;COUNTIF($B$2:B1489,B1489)</f>
        <v>I. PULPA ARAN FRAM-8</v>
      </c>
      <c r="B1489" s="166" t="s">
        <v>104</v>
      </c>
      <c r="C1489">
        <f>VLOOKUP(B1489,RECETAS!D1488:$E$1700,2,FALSE)</f>
        <v>0</v>
      </c>
      <c r="D1489" s="15"/>
      <c r="G1489" t="b">
        <f t="shared" si="283"/>
        <v>1</v>
      </c>
      <c r="I1489"/>
    </row>
    <row r="1490" spans="1:9" ht="15.75" thickBot="1" x14ac:dyDescent="0.3">
      <c r="A1490" t="str">
        <f>B1490&amp;"-"&amp;COUNTIF($B$2:B1490,B1490)</f>
        <v>I. BARRIL KM 24.7 IPA-2</v>
      </c>
      <c r="B1490" s="124" t="s">
        <v>684</v>
      </c>
      <c r="C1490">
        <f>VLOOKUP(B1490,RECETAS!D1489:$E$1700,2,FALSE)</f>
        <v>0</v>
      </c>
      <c r="D1490" s="15" t="s">
        <v>780</v>
      </c>
      <c r="G1490" t="b">
        <f t="shared" si="283"/>
        <v>1</v>
      </c>
      <c r="I1490"/>
    </row>
    <row r="1491" spans="1:9" x14ac:dyDescent="0.25">
      <c r="A1491" t="str">
        <f>B1491&amp;"-"&amp;COUNTIF($B$2:B1491,B1491)</f>
        <v>I. PAPAS FRITAS-63</v>
      </c>
      <c r="B1491" s="26" t="s">
        <v>13</v>
      </c>
      <c r="C1491">
        <f>VLOOKUP(B1491,RECETAS!D1490:$E$1700,2,FALSE)</f>
        <v>0</v>
      </c>
      <c r="D1491" s="15" t="s">
        <v>781</v>
      </c>
      <c r="G1491" t="b">
        <f t="shared" si="283"/>
        <v>1</v>
      </c>
      <c r="I1491"/>
    </row>
    <row r="1492" spans="1:9" ht="15.75" x14ac:dyDescent="0.25">
      <c r="A1492" t="str">
        <f>B1492&amp;"-"&amp;COUNTIF($B$2:B1492,B1492)</f>
        <v>I. QUESO GRANULADO-66</v>
      </c>
      <c r="B1492" s="35" t="s">
        <v>9</v>
      </c>
      <c r="C1492">
        <f>VLOOKUP(B1492,RECETAS!D1491:$E$1700,2,FALSE)</f>
        <v>0</v>
      </c>
      <c r="D1492" s="11"/>
      <c r="G1492" t="b">
        <f t="shared" si="283"/>
        <v>1</v>
      </c>
      <c r="I1492"/>
    </row>
    <row r="1493" spans="1:9" ht="15.75" x14ac:dyDescent="0.25">
      <c r="A1493" t="str">
        <f>B1493&amp;"-"&amp;COUNTIF($B$2:B1493,B1493)</f>
        <v>I. CREMA ESPESA-77</v>
      </c>
      <c r="B1493" s="35" t="s">
        <v>16</v>
      </c>
      <c r="C1493">
        <f>VLOOKUP(B1493,RECETAS!D1492:$E$1700,2,FALSE)</f>
        <v>0</v>
      </c>
      <c r="D1493" s="11"/>
      <c r="G1493" t="b">
        <f t="shared" si="283"/>
        <v>1</v>
      </c>
      <c r="I1493"/>
    </row>
    <row r="1494" spans="1:9" ht="15.75" x14ac:dyDescent="0.25">
      <c r="A1494" t="str">
        <f>B1494&amp;"-"&amp;COUNTIF($B$2:B1494,B1494)</f>
        <v>I. CIBOULET-34</v>
      </c>
      <c r="B1494" s="35" t="s">
        <v>23</v>
      </c>
      <c r="C1494">
        <f>VLOOKUP(B1494,RECETAS!D1493:$E$1700,2,FALSE)</f>
        <v>0</v>
      </c>
      <c r="D1494" s="11"/>
      <c r="G1494" t="b">
        <f t="shared" si="283"/>
        <v>1</v>
      </c>
      <c r="I1494"/>
    </row>
    <row r="1495" spans="1:9" ht="16.5" thickBot="1" x14ac:dyDescent="0.3">
      <c r="A1495" t="str">
        <f>B1495&amp;"-"&amp;COUNTIF($B$2:B1495,B1495)</f>
        <v>I. SALSA CHEDDAR-7</v>
      </c>
      <c r="B1495" s="40" t="s">
        <v>521</v>
      </c>
      <c r="C1495">
        <f>VLOOKUP(B1495,RECETAS!D1494:$E$1700,2,FALSE)</f>
        <v>0</v>
      </c>
      <c r="D1495" s="11"/>
      <c r="G1495" t="b">
        <f t="shared" si="283"/>
        <v>1</v>
      </c>
      <c r="I1495"/>
    </row>
    <row r="1496" spans="1:9" x14ac:dyDescent="0.25">
      <c r="A1496" t="str">
        <f>B1496&amp;"-"&amp;COUNTIF($B$2:B1496,B1496)</f>
        <v>I. MENTA-48</v>
      </c>
      <c r="B1496" s="46" t="s">
        <v>637</v>
      </c>
      <c r="C1496">
        <f>VLOOKUP(B1496,RECETAS!D1495:$E$1700,2,FALSE)</f>
        <v>0</v>
      </c>
      <c r="D1496" s="15" t="s">
        <v>782</v>
      </c>
      <c r="G1496" t="b">
        <f t="shared" si="283"/>
        <v>1</v>
      </c>
      <c r="I1496"/>
    </row>
    <row r="1497" spans="1:9" ht="15.75" x14ac:dyDescent="0.25">
      <c r="A1497" t="str">
        <f>B1497&amp;"-"&amp;COUNTIF($B$2:B1497,B1497)</f>
        <v>I. AZUCAR FLOR-117</v>
      </c>
      <c r="B1497" s="36" t="s">
        <v>51</v>
      </c>
      <c r="C1497">
        <f>VLOOKUP(B1497,RECETAS!D1496:$E$1700,2,FALSE)</f>
        <v>0</v>
      </c>
      <c r="D1497" s="11"/>
      <c r="G1497" t="b">
        <f t="shared" si="283"/>
        <v>1</v>
      </c>
      <c r="I1497"/>
    </row>
    <row r="1498" spans="1:9" ht="15.75" x14ac:dyDescent="0.25">
      <c r="A1498" t="str">
        <f>B1498&amp;"-"&amp;COUNTIF($B$2:B1498,B1498)</f>
        <v>I. PULPA LIMON-112</v>
      </c>
      <c r="B1498" s="36" t="s">
        <v>106</v>
      </c>
      <c r="C1498">
        <f>VLOOKUP(B1498,RECETAS!D1497:$E$1700,2,FALSE)</f>
        <v>0</v>
      </c>
      <c r="D1498" s="11"/>
      <c r="G1498" t="b">
        <f t="shared" si="283"/>
        <v>1</v>
      </c>
      <c r="I1498"/>
    </row>
    <row r="1499" spans="1:9" ht="15.75" x14ac:dyDescent="0.25">
      <c r="A1499" t="str">
        <f>B1499&amp;"-"&amp;COUNTIF($B$2:B1499,B1499)</f>
        <v>I. LIMON PICA-61</v>
      </c>
      <c r="B1499" s="36" t="s">
        <v>636</v>
      </c>
      <c r="C1499">
        <f>VLOOKUP(B1499,RECETAS!D1498:$E$1700,2,FALSE)</f>
        <v>0</v>
      </c>
      <c r="D1499" s="11"/>
      <c r="G1499" t="b">
        <f t="shared" si="283"/>
        <v>1</v>
      </c>
      <c r="I1499"/>
    </row>
    <row r="1500" spans="1:9" ht="15.75" x14ac:dyDescent="0.25">
      <c r="A1500" t="str">
        <f>B1500&amp;"-"&amp;COUNTIF($B$2:B1500,B1500)</f>
        <v>I. MINERAL1.6LT  C/G-52</v>
      </c>
      <c r="B1500" s="66" t="s">
        <v>97</v>
      </c>
      <c r="C1500">
        <f>VLOOKUP(B1500,RECETAS!D1499:$E$1700,2,FALSE)</f>
        <v>0</v>
      </c>
      <c r="D1500" s="11"/>
      <c r="G1500" t="b">
        <f t="shared" si="283"/>
        <v>1</v>
      </c>
      <c r="I1500"/>
    </row>
    <row r="1501" spans="1:9" ht="15.75" x14ac:dyDescent="0.25">
      <c r="A1501" t="str">
        <f>B1501&amp;"-"&amp;COUNTIF($B$2:B1501,B1501)</f>
        <v>I. RON BLANCO BATALLA-51</v>
      </c>
      <c r="B1501" s="40" t="s">
        <v>116</v>
      </c>
      <c r="C1501">
        <f>VLOOKUP(B1501,RECETAS!D1500:$E$1700,2,FALSE)</f>
        <v>0</v>
      </c>
      <c r="D1501" s="11"/>
      <c r="G1501" t="b">
        <f t="shared" si="283"/>
        <v>1</v>
      </c>
      <c r="I1501"/>
    </row>
    <row r="1502" spans="1:9" ht="16.5" thickBot="1" x14ac:dyDescent="0.3">
      <c r="A1502" t="str">
        <f>B1502&amp;"-"&amp;COUNTIF($B$2:B1502,B1502)</f>
        <v>I. PULPA FRUTILLA-14</v>
      </c>
      <c r="B1502" s="40" t="s">
        <v>582</v>
      </c>
      <c r="C1502">
        <f>VLOOKUP(B1502,RECETAS!D1501:$E$1700,2,FALSE)</f>
        <v>0</v>
      </c>
      <c r="D1502" s="11"/>
      <c r="G1502" t="b">
        <f t="shared" si="283"/>
        <v>1</v>
      </c>
      <c r="I1502"/>
    </row>
    <row r="1503" spans="1:9" ht="15.75" thickBot="1" x14ac:dyDescent="0.3">
      <c r="A1503" t="str">
        <f>B1503&amp;"-"&amp;COUNTIF($B$2:B1503,B1503)</f>
        <v>I. TONICA  FENTIMS-5</v>
      </c>
      <c r="B1503" s="47" t="s">
        <v>125</v>
      </c>
      <c r="C1503">
        <f>VLOOKUP(B1503,RECETAS!D1502:$E$1700,2,FALSE)</f>
        <v>0</v>
      </c>
      <c r="D1503" s="15" t="s">
        <v>631</v>
      </c>
      <c r="G1503" t="b">
        <f t="shared" si="283"/>
        <v>1</v>
      </c>
      <c r="I1503"/>
    </row>
    <row r="1504" spans="1:9" ht="15.75" thickBot="1" x14ac:dyDescent="0.3">
      <c r="A1504" t="str">
        <f>B1504&amp;"-"&amp;COUNTIF($B$2:B1504,B1504)</f>
        <v>I. RICCADONNA BRUT-2</v>
      </c>
      <c r="B1504" s="48" t="s">
        <v>115</v>
      </c>
      <c r="C1504">
        <f>VLOOKUP(B1504,RECETAS!D1503:$E$1700,2,FALSE)</f>
        <v>0</v>
      </c>
      <c r="D1504" s="17" t="s">
        <v>783</v>
      </c>
      <c r="G1504" t="b">
        <f t="shared" si="283"/>
        <v>1</v>
      </c>
      <c r="I1504"/>
    </row>
    <row r="1505" spans="1:9" ht="15.75" thickBot="1" x14ac:dyDescent="0.3">
      <c r="A1505" t="str">
        <f>B1505&amp;"-"&amp;COUNTIF($B$2:B1505,B1505)</f>
        <v>I. RESERVA CAB SAV-2</v>
      </c>
      <c r="B1505" s="113" t="s">
        <v>644</v>
      </c>
      <c r="C1505">
        <f>VLOOKUP(B1505,RECETAS!D1504:$E$1700,2,FALSE)</f>
        <v>0</v>
      </c>
      <c r="D1505" s="15" t="s">
        <v>784</v>
      </c>
      <c r="G1505" t="b">
        <f t="shared" si="283"/>
        <v>1</v>
      </c>
      <c r="I1505"/>
    </row>
    <row r="1506" spans="1:9" ht="15.75" thickBot="1" x14ac:dyDescent="0.3">
      <c r="A1506" t="str">
        <f>B1506&amp;"-"&amp;COUNTIF($B$2:B1506,B1506)</f>
        <v>I. BARRIL KM 24.7-2</v>
      </c>
      <c r="B1506" s="124" t="s">
        <v>686</v>
      </c>
      <c r="C1506">
        <f>VLOOKUP(B1506,RECETAS!D1505:$E$1700,2,FALSE)</f>
        <v>0</v>
      </c>
      <c r="D1506" s="15" t="s">
        <v>685</v>
      </c>
      <c r="G1506" t="b">
        <f t="shared" si="283"/>
        <v>1</v>
      </c>
      <c r="I1506"/>
    </row>
    <row r="1507" spans="1:9" x14ac:dyDescent="0.25">
      <c r="A1507" t="str">
        <f>B1507&amp;"-"&amp;COUNTIF($B$2:B1507,B1507)</f>
        <v>I. SALMON DE 250-11</v>
      </c>
      <c r="B1507" s="26" t="s">
        <v>36</v>
      </c>
      <c r="C1507">
        <f>VLOOKUP(B1507,RECETAS!D1506:$E$1700,2,FALSE)</f>
        <v>0</v>
      </c>
      <c r="D1507" s="17" t="s">
        <v>785</v>
      </c>
      <c r="G1507" t="b">
        <f t="shared" si="283"/>
        <v>1</v>
      </c>
      <c r="I1507"/>
    </row>
    <row r="1508" spans="1:9" ht="15.75" x14ac:dyDescent="0.25">
      <c r="A1508" t="str">
        <f>B1508&amp;"-"&amp;COUNTIF($B$2:B1508,B1508)</f>
        <v>I. PALTA UNIDAD-8</v>
      </c>
      <c r="B1508" s="35" t="s">
        <v>102</v>
      </c>
      <c r="C1508">
        <f>VLOOKUP(B1508,RECETAS!D1507:$E$1700,2,FALSE)</f>
        <v>0</v>
      </c>
      <c r="D1508" s="11"/>
      <c r="G1508" t="b">
        <f t="shared" si="283"/>
        <v>1</v>
      </c>
      <c r="I1508"/>
    </row>
    <row r="1509" spans="1:9" ht="15.75" x14ac:dyDescent="0.25">
      <c r="A1509" t="str">
        <f>B1509&amp;"-"&amp;COUNTIF($B$2:B1509,B1509)</f>
        <v>I. BAGUETTE-15</v>
      </c>
      <c r="B1509" s="33" t="s">
        <v>311</v>
      </c>
      <c r="C1509">
        <f>VLOOKUP(B1509,RECETAS!D1508:$E$1700,2,FALSE)</f>
        <v>0</v>
      </c>
      <c r="D1509" s="11"/>
      <c r="G1509" t="b">
        <f t="shared" si="283"/>
        <v>1</v>
      </c>
      <c r="I1509"/>
    </row>
    <row r="1510" spans="1:9" x14ac:dyDescent="0.25">
      <c r="A1510" t="str">
        <f>B1510&amp;"-"&amp;COUNTIF($B$2:B1510,B1510)</f>
        <v>I. RON BLANCO BATALLA-52</v>
      </c>
      <c r="B1510" s="78" t="s">
        <v>116</v>
      </c>
      <c r="C1510">
        <f>VLOOKUP(B1510,RECETAS!D1509:$E$1700,2,FALSE)</f>
        <v>0</v>
      </c>
      <c r="D1510" s="176" t="s">
        <v>789</v>
      </c>
      <c r="G1510" t="b">
        <f t="shared" si="283"/>
        <v>1</v>
      </c>
      <c r="I1510"/>
    </row>
    <row r="1511" spans="1:9" x14ac:dyDescent="0.25">
      <c r="A1511" t="str">
        <f>B1511&amp;"-"&amp;COUNTIF($B$2:B1511,B1511)</f>
        <v>I. PULPA LIMON-113</v>
      </c>
      <c r="B1511" s="76" t="s">
        <v>106</v>
      </c>
      <c r="C1511">
        <f>VLOOKUP(B1511,RECETAS!D1510:$E$1700,2,FALSE)</f>
        <v>0</v>
      </c>
      <c r="D1511" s="178"/>
      <c r="G1511" t="b">
        <f t="shared" si="283"/>
        <v>1</v>
      </c>
      <c r="I1511"/>
    </row>
    <row r="1512" spans="1:9" ht="15.75" thickBot="1" x14ac:dyDescent="0.3">
      <c r="A1512" t="str">
        <f>B1512&amp;"-"&amp;COUNTIF($B$2:B1512,B1512)</f>
        <v>I. AZUCAR FLOR-118</v>
      </c>
      <c r="B1512" s="77" t="s">
        <v>51</v>
      </c>
      <c r="C1512">
        <f>VLOOKUP(B1512,RECETAS!D1511:$E$1700,2,FALSE)</f>
        <v>0</v>
      </c>
      <c r="D1512" s="179"/>
      <c r="G1512" t="b">
        <f t="shared" si="283"/>
        <v>1</v>
      </c>
      <c r="I1512"/>
    </row>
    <row r="1513" spans="1:9" x14ac:dyDescent="0.25">
      <c r="A1513" t="str">
        <f>B1513&amp;"-"&amp;COUNTIF($B$2:B1513,B1513)</f>
        <v>I. TEQUILA BATALLA-20</v>
      </c>
      <c r="B1513" s="78" t="s">
        <v>123</v>
      </c>
      <c r="C1513">
        <f>VLOOKUP(B1513,RECETAS!D1512:$E$1700,2,FALSE)</f>
        <v>0</v>
      </c>
      <c r="D1513" s="181" t="s">
        <v>786</v>
      </c>
      <c r="G1513" t="b">
        <f t="shared" si="283"/>
        <v>1</v>
      </c>
      <c r="I1513"/>
    </row>
    <row r="1514" spans="1:9" x14ac:dyDescent="0.25">
      <c r="A1514" t="str">
        <f>B1514&amp;"-"&amp;COUNTIF($B$2:B1514,B1514)</f>
        <v>I. PULPA LIMON-114</v>
      </c>
      <c r="B1514" s="76" t="s">
        <v>106</v>
      </c>
      <c r="C1514">
        <f>VLOOKUP(B1514,RECETAS!D1513:$E$1700,2,FALSE)</f>
        <v>0</v>
      </c>
      <c r="D1514" s="90"/>
      <c r="G1514" t="b">
        <f t="shared" si="283"/>
        <v>1</v>
      </c>
      <c r="I1514"/>
    </row>
    <row r="1515" spans="1:9" x14ac:dyDescent="0.25">
      <c r="A1515" t="str">
        <f>B1515&amp;"-"&amp;COUNTIF($B$2:B1515,B1515)</f>
        <v>I. TRIPLE SEC-35</v>
      </c>
      <c r="B1515" s="76" t="s">
        <v>128</v>
      </c>
      <c r="C1515">
        <f>VLOOKUP(B1515,RECETAS!D1514:$E$1700,2,FALSE)</f>
        <v>0</v>
      </c>
      <c r="D1515" s="90"/>
      <c r="G1515" t="b">
        <f t="shared" si="283"/>
        <v>1</v>
      </c>
      <c r="I1515"/>
    </row>
    <row r="1516" spans="1:9" ht="15.75" thickBot="1" x14ac:dyDescent="0.3">
      <c r="A1516" t="str">
        <f>B1516&amp;"-"&amp;COUNTIF($B$2:B1516,B1516)</f>
        <v>I. AZUCAR FLOR-119</v>
      </c>
      <c r="B1516" s="79" t="s">
        <v>51</v>
      </c>
      <c r="C1516">
        <f>VLOOKUP(B1516,RECETAS!D1515:$E$1700,2,FALSE)</f>
        <v>0</v>
      </c>
      <c r="D1516" s="182"/>
      <c r="G1516" t="b">
        <f t="shared" si="283"/>
        <v>1</v>
      </c>
      <c r="I1516"/>
    </row>
    <row r="1517" spans="1:9" x14ac:dyDescent="0.25">
      <c r="A1517" t="str">
        <f>B1517&amp;"-"&amp;COUNTIF($B$2:B1517,B1517)</f>
        <v>I. MENTA-49</v>
      </c>
      <c r="B1517" s="75" t="s">
        <v>637</v>
      </c>
      <c r="C1517">
        <f>VLOOKUP(B1517,RECETAS!D1516:$E$1700,2,FALSE)</f>
        <v>0</v>
      </c>
      <c r="D1517" s="183" t="s">
        <v>790</v>
      </c>
      <c r="G1517" t="b">
        <f t="shared" si="283"/>
        <v>1</v>
      </c>
      <c r="I1517"/>
    </row>
    <row r="1518" spans="1:9" x14ac:dyDescent="0.25">
      <c r="A1518" t="str">
        <f>B1518&amp;"-"&amp;COUNTIF($B$2:B1518,B1518)</f>
        <v>I. AZUCAR FLOR-120</v>
      </c>
      <c r="B1518" s="76" t="s">
        <v>51</v>
      </c>
      <c r="C1518">
        <f>VLOOKUP(B1518,RECETAS!D1517:$E$1700,2,FALSE)</f>
        <v>0</v>
      </c>
      <c r="D1518" s="184"/>
      <c r="G1518" t="b">
        <f t="shared" si="283"/>
        <v>1</v>
      </c>
      <c r="I1518"/>
    </row>
    <row r="1519" spans="1:9" x14ac:dyDescent="0.25">
      <c r="A1519" t="str">
        <f>B1519&amp;"-"&amp;COUNTIF($B$2:B1519,B1519)</f>
        <v>I. PULPA LIMON-115</v>
      </c>
      <c r="B1519" s="76" t="s">
        <v>106</v>
      </c>
      <c r="C1519">
        <f>VLOOKUP(B1519,RECETAS!D1518:$E$1700,2,FALSE)</f>
        <v>0</v>
      </c>
      <c r="D1519" s="184"/>
      <c r="G1519" t="b">
        <f t="shared" si="283"/>
        <v>1</v>
      </c>
      <c r="I1519"/>
    </row>
    <row r="1520" spans="1:9" x14ac:dyDescent="0.25">
      <c r="A1520" t="str">
        <f>B1520&amp;"-"&amp;COUNTIF($B$2:B1520,B1520)</f>
        <v>I. LIMON PICA-62</v>
      </c>
      <c r="B1520" s="76" t="s">
        <v>636</v>
      </c>
      <c r="C1520">
        <f>VLOOKUP(B1520,RECETAS!D1519:$E$1700,2,FALSE)</f>
        <v>0</v>
      </c>
      <c r="D1520" s="184"/>
      <c r="G1520" t="b">
        <f t="shared" si="283"/>
        <v>1</v>
      </c>
      <c r="I1520"/>
    </row>
    <row r="1521" spans="1:9" x14ac:dyDescent="0.25">
      <c r="A1521" t="str">
        <f>B1521&amp;"-"&amp;COUNTIF($B$2:B1521,B1521)</f>
        <v>I. MINERAL1.6LT  C/G-53</v>
      </c>
      <c r="B1521" s="68" t="s">
        <v>97</v>
      </c>
      <c r="C1521">
        <f>VLOOKUP(B1521,RECETAS!D1520:$E$1700,2,FALSE)</f>
        <v>0</v>
      </c>
      <c r="D1521" s="184"/>
      <c r="G1521" t="b">
        <f t="shared" si="283"/>
        <v>1</v>
      </c>
      <c r="I1521"/>
    </row>
    <row r="1522" spans="1:9" ht="15.75" thickBot="1" x14ac:dyDescent="0.3">
      <c r="A1522" t="str">
        <f>B1522&amp;"-"&amp;COUNTIF($B$2:B1522,B1522)</f>
        <v>I. RON BLANCO BATALLA-53</v>
      </c>
      <c r="B1522" s="79" t="s">
        <v>116</v>
      </c>
      <c r="C1522">
        <f>VLOOKUP(B1522,RECETAS!D1521:$E$1700,2,FALSE)</f>
        <v>0</v>
      </c>
      <c r="D1522" s="185"/>
      <c r="G1522" t="b">
        <f t="shared" si="283"/>
        <v>1</v>
      </c>
      <c r="I1522"/>
    </row>
    <row r="1523" spans="1:9" x14ac:dyDescent="0.25">
      <c r="A1523" t="str">
        <f>B1523&amp;"-"&amp;COUNTIF($B$2:B1523,B1523)</f>
        <v>I. MENTA-50</v>
      </c>
      <c r="B1523" s="75" t="s">
        <v>637</v>
      </c>
      <c r="C1523">
        <f>VLOOKUP(B1523,RECETAS!D1522:$E$1700,2,FALSE)</f>
        <v>0</v>
      </c>
      <c r="D1523" s="186" t="s">
        <v>791</v>
      </c>
      <c r="G1523" t="b">
        <f t="shared" si="283"/>
        <v>1</v>
      </c>
      <c r="I1523"/>
    </row>
    <row r="1524" spans="1:9" x14ac:dyDescent="0.25">
      <c r="A1524" t="str">
        <f>B1524&amp;"-"&amp;COUNTIF($B$2:B1524,B1524)</f>
        <v>I. AZUCAR FLOR-121</v>
      </c>
      <c r="B1524" s="76" t="s">
        <v>51</v>
      </c>
      <c r="C1524">
        <f>VLOOKUP(B1524,RECETAS!D1523:$E$1700,2,FALSE)</f>
        <v>0</v>
      </c>
      <c r="D1524" s="187"/>
      <c r="G1524" t="b">
        <f t="shared" si="283"/>
        <v>1</v>
      </c>
      <c r="I1524"/>
    </row>
    <row r="1525" spans="1:9" x14ac:dyDescent="0.25">
      <c r="A1525" t="str">
        <f>B1525&amp;"-"&amp;COUNTIF($B$2:B1525,B1525)</f>
        <v>I. PULPA LIMON-116</v>
      </c>
      <c r="B1525" s="76" t="s">
        <v>106</v>
      </c>
      <c r="C1525">
        <f>VLOOKUP(B1525,RECETAS!D1524:$E$1700,2,FALSE)</f>
        <v>0</v>
      </c>
      <c r="D1525" s="187"/>
      <c r="G1525" t="b">
        <f t="shared" si="283"/>
        <v>1</v>
      </c>
      <c r="I1525"/>
    </row>
    <row r="1526" spans="1:9" x14ac:dyDescent="0.25">
      <c r="A1526" t="str">
        <f>B1526&amp;"-"&amp;COUNTIF($B$2:B1526,B1526)</f>
        <v>I. LIMON PICA-63</v>
      </c>
      <c r="B1526" s="76" t="s">
        <v>636</v>
      </c>
      <c r="C1526">
        <f>VLOOKUP(B1526,RECETAS!D1525:$E$1700,2,FALSE)</f>
        <v>0</v>
      </c>
      <c r="D1526" s="187"/>
      <c r="G1526" t="b">
        <f t="shared" si="283"/>
        <v>1</v>
      </c>
      <c r="I1526"/>
    </row>
    <row r="1527" spans="1:9" x14ac:dyDescent="0.25">
      <c r="A1527" t="str">
        <f>B1527&amp;"-"&amp;COUNTIF($B$2:B1527,B1527)</f>
        <v>I. MINERAL1.6LT  C/G-54</v>
      </c>
      <c r="B1527" s="68" t="s">
        <v>97</v>
      </c>
      <c r="C1527">
        <f>VLOOKUP(B1527,RECETAS!D1526:$E$1700,2,FALSE)</f>
        <v>0</v>
      </c>
      <c r="D1527" s="187"/>
      <c r="G1527" t="b">
        <f t="shared" si="283"/>
        <v>1</v>
      </c>
      <c r="I1527"/>
    </row>
    <row r="1528" spans="1:9" x14ac:dyDescent="0.25">
      <c r="A1528" t="str">
        <f>B1528&amp;"-"&amp;COUNTIF($B$2:B1528,B1528)</f>
        <v>I. RON BLANCO BATALLA-54</v>
      </c>
      <c r="B1528" s="76" t="s">
        <v>116</v>
      </c>
      <c r="C1528">
        <f>VLOOKUP(B1528,RECETAS!D1527:$E$1700,2,FALSE)</f>
        <v>0</v>
      </c>
      <c r="D1528" s="187"/>
      <c r="G1528" t="b">
        <f t="shared" si="283"/>
        <v>1</v>
      </c>
      <c r="I1528"/>
    </row>
    <row r="1529" spans="1:9" ht="15.75" thickBot="1" x14ac:dyDescent="0.3">
      <c r="A1529" t="str">
        <f>B1529&amp;"-"&amp;COUNTIF($B$2:B1529,B1529)</f>
        <v>I. PULPA ARAN FRAM-9</v>
      </c>
      <c r="B1529" s="209" t="s">
        <v>104</v>
      </c>
      <c r="C1529">
        <f>VLOOKUP(B1529,RECETAS!D1528:$E$1700,2,FALSE)</f>
        <v>0</v>
      </c>
      <c r="D1529" s="188"/>
      <c r="G1529" t="b">
        <f t="shared" si="283"/>
        <v>1</v>
      </c>
      <c r="I1529"/>
    </row>
    <row r="1530" spans="1:9" x14ac:dyDescent="0.25">
      <c r="A1530" t="str">
        <f>B1530&amp;"-"&amp;COUNTIF($B$2:B1530,B1530)</f>
        <v>I. MENTA-51</v>
      </c>
      <c r="B1530" s="75" t="s">
        <v>637</v>
      </c>
      <c r="C1530">
        <f>VLOOKUP(B1530,RECETAS!D1529:$E$1700,2,FALSE)</f>
        <v>0</v>
      </c>
      <c r="D1530" s="186" t="s">
        <v>792</v>
      </c>
      <c r="G1530" t="b">
        <f t="shared" si="283"/>
        <v>1</v>
      </c>
      <c r="I1530"/>
    </row>
    <row r="1531" spans="1:9" x14ac:dyDescent="0.25">
      <c r="A1531" t="str">
        <f>B1531&amp;"-"&amp;COUNTIF($B$2:B1531,B1531)</f>
        <v>I. AZUCAR FLOR-122</v>
      </c>
      <c r="B1531" s="76" t="s">
        <v>51</v>
      </c>
      <c r="C1531">
        <f>VLOOKUP(B1531,RECETAS!D1530:$E$1700,2,FALSE)</f>
        <v>0</v>
      </c>
      <c r="D1531" s="187"/>
      <c r="G1531" t="b">
        <f t="shared" si="283"/>
        <v>1</v>
      </c>
      <c r="I1531"/>
    </row>
    <row r="1532" spans="1:9" x14ac:dyDescent="0.25">
      <c r="A1532" t="str">
        <f>B1532&amp;"-"&amp;COUNTIF($B$2:B1532,B1532)</f>
        <v>I. LIMON PICA-64</v>
      </c>
      <c r="B1532" s="76" t="s">
        <v>636</v>
      </c>
      <c r="C1532">
        <f>VLOOKUP(B1532,RECETAS!D1531:$E$1700,2,FALSE)</f>
        <v>0</v>
      </c>
      <c r="D1532" s="187"/>
      <c r="G1532" t="b">
        <f t="shared" si="283"/>
        <v>1</v>
      </c>
      <c r="I1532"/>
    </row>
    <row r="1533" spans="1:9" x14ac:dyDescent="0.25">
      <c r="A1533" t="str">
        <f>B1533&amp;"-"&amp;COUNTIF($B$2:B1533,B1533)</f>
        <v>I. MINERAL1.6LT  C/G-55</v>
      </c>
      <c r="B1533" s="76" t="s">
        <v>97</v>
      </c>
      <c r="C1533">
        <f>VLOOKUP(B1533,RECETAS!D1532:$E$1700,2,FALSE)</f>
        <v>0</v>
      </c>
      <c r="D1533" s="187"/>
      <c r="G1533" t="b">
        <f t="shared" si="283"/>
        <v>1</v>
      </c>
      <c r="I1533"/>
    </row>
    <row r="1534" spans="1:9" x14ac:dyDescent="0.25">
      <c r="A1534" t="str">
        <f>B1534&amp;"-"&amp;COUNTIF($B$2:B1534,B1534)</f>
        <v>I. PULPA LIMON-117</v>
      </c>
      <c r="B1534" s="76" t="s">
        <v>106</v>
      </c>
      <c r="C1534">
        <f>VLOOKUP(B1534,RECETAS!D1533:$E$1700,2,FALSE)</f>
        <v>0</v>
      </c>
      <c r="D1534" s="187"/>
      <c r="G1534" t="b">
        <f t="shared" ref="G1534:G1597" si="284">IFERROR(IF(MATCH(B1534,I:I,0) &lt;&gt; "", TRUE,""),FALSE)</f>
        <v>1</v>
      </c>
      <c r="I1534"/>
    </row>
    <row r="1535" spans="1:9" x14ac:dyDescent="0.25">
      <c r="A1535" t="str">
        <f>B1535&amp;"-"&amp;COUNTIF($B$2:B1535,B1535)</f>
        <v>I. RON BLANCO BATALLA-55</v>
      </c>
      <c r="B1535" s="76" t="s">
        <v>116</v>
      </c>
      <c r="C1535">
        <f>VLOOKUP(B1535,RECETAS!D1534:$E$1700,2,FALSE)</f>
        <v>0</v>
      </c>
      <c r="D1535" s="187"/>
      <c r="G1535" t="b">
        <f t="shared" si="284"/>
        <v>1</v>
      </c>
      <c r="I1535"/>
    </row>
    <row r="1536" spans="1:9" ht="15.75" thickBot="1" x14ac:dyDescent="0.3">
      <c r="A1536" t="str">
        <f>B1536&amp;"-"&amp;COUNTIF($B$2:B1536,B1536)</f>
        <v>I. PULPA MARACUYA-8</v>
      </c>
      <c r="B1536" s="77" t="s">
        <v>108</v>
      </c>
      <c r="C1536">
        <f>VLOOKUP(B1536,RECETAS!D1535:$E$1700,2,FALSE)</f>
        <v>0</v>
      </c>
      <c r="D1536" s="190"/>
      <c r="G1536" t="b">
        <f t="shared" si="284"/>
        <v>1</v>
      </c>
      <c r="I1536"/>
    </row>
    <row r="1537" spans="1:9" x14ac:dyDescent="0.25">
      <c r="A1537" t="str">
        <f>B1537&amp;"-"&amp;COUNTIF($B$2:B1537,B1537)</f>
        <v>I. MENTA-52</v>
      </c>
      <c r="B1537" s="75" t="s">
        <v>637</v>
      </c>
      <c r="C1537">
        <f>VLOOKUP(B1537,RECETAS!D1536:$E$1700,2,FALSE)</f>
        <v>0</v>
      </c>
      <c r="D1537" s="191" t="s">
        <v>793</v>
      </c>
      <c r="G1537" t="b">
        <f t="shared" si="284"/>
        <v>1</v>
      </c>
      <c r="I1537"/>
    </row>
    <row r="1538" spans="1:9" x14ac:dyDescent="0.25">
      <c r="A1538" t="str">
        <f>B1538&amp;"-"&amp;COUNTIF($B$2:B1538,B1538)</f>
        <v>I. AZUCAR FLOR-123</v>
      </c>
      <c r="B1538" s="76" t="s">
        <v>51</v>
      </c>
      <c r="C1538">
        <f>VLOOKUP(B1538,RECETAS!D1537:$E$1700,2,FALSE)</f>
        <v>0</v>
      </c>
      <c r="D1538" s="192"/>
      <c r="G1538" t="b">
        <f t="shared" si="284"/>
        <v>1</v>
      </c>
      <c r="I1538"/>
    </row>
    <row r="1539" spans="1:9" x14ac:dyDescent="0.25">
      <c r="A1539" t="str">
        <f>B1539&amp;"-"&amp;COUNTIF($B$2:B1539,B1539)</f>
        <v>I. PULPA LIMON-118</v>
      </c>
      <c r="B1539" s="76" t="s">
        <v>106</v>
      </c>
      <c r="C1539">
        <f>VLOOKUP(B1539,RECETAS!D1538:$E$1700,2,FALSE)</f>
        <v>0</v>
      </c>
      <c r="D1539" s="192"/>
      <c r="G1539" t="b">
        <f t="shared" si="284"/>
        <v>1</v>
      </c>
      <c r="I1539"/>
    </row>
    <row r="1540" spans="1:9" x14ac:dyDescent="0.25">
      <c r="A1540" t="str">
        <f>B1540&amp;"-"&amp;COUNTIF($B$2:B1540,B1540)</f>
        <v>I. LIMON PICA-65</v>
      </c>
      <c r="B1540" s="76" t="s">
        <v>636</v>
      </c>
      <c r="C1540">
        <f>VLOOKUP(B1540,RECETAS!D1539:$E$1700,2,FALSE)</f>
        <v>0</v>
      </c>
      <c r="D1540" s="192"/>
      <c r="G1540" t="b">
        <f t="shared" si="284"/>
        <v>1</v>
      </c>
      <c r="I1540"/>
    </row>
    <row r="1541" spans="1:9" x14ac:dyDescent="0.25">
      <c r="A1541" t="str">
        <f>B1541&amp;"-"&amp;COUNTIF($B$2:B1541,B1541)</f>
        <v>I. MINERAL1.6LT  C/G-56</v>
      </c>
      <c r="B1541" s="68" t="s">
        <v>97</v>
      </c>
      <c r="C1541">
        <f>VLOOKUP(B1541,RECETAS!D1540:$E$1700,2,FALSE)</f>
        <v>0</v>
      </c>
      <c r="D1541" s="192"/>
      <c r="G1541" t="b">
        <f t="shared" si="284"/>
        <v>1</v>
      </c>
      <c r="I1541"/>
    </row>
    <row r="1542" spans="1:9" x14ac:dyDescent="0.25">
      <c r="A1542" t="str">
        <f>B1542&amp;"-"&amp;COUNTIF($B$2:B1542,B1542)</f>
        <v>I. RON BLANCO BATALLA-56</v>
      </c>
      <c r="B1542" s="76" t="s">
        <v>116</v>
      </c>
      <c r="C1542">
        <f>VLOOKUP(B1542,RECETAS!D1541:$E$1700,2,FALSE)</f>
        <v>0</v>
      </c>
      <c r="D1542" s="192"/>
      <c r="G1542" t="b">
        <f t="shared" si="284"/>
        <v>1</v>
      </c>
      <c r="I1542"/>
    </row>
    <row r="1543" spans="1:9" ht="15.75" thickBot="1" x14ac:dyDescent="0.3">
      <c r="A1543" t="str">
        <f>B1543&amp;"-"&amp;COUNTIF($B$2:B1543,B1543)</f>
        <v>I. PULPA MANGO-13</v>
      </c>
      <c r="B1543" s="79" t="s">
        <v>107</v>
      </c>
      <c r="C1543">
        <f>VLOOKUP(B1543,RECETAS!D1542:$E$1700,2,FALSE)</f>
        <v>0</v>
      </c>
      <c r="D1543" s="192"/>
      <c r="G1543" t="b">
        <f t="shared" si="284"/>
        <v>1</v>
      </c>
      <c r="I1543"/>
    </row>
    <row r="1544" spans="1:9" x14ac:dyDescent="0.25">
      <c r="A1544" t="str">
        <f>B1544&amp;"-"&amp;COUNTIF($B$2:B1544,B1544)</f>
        <v>I. MENTA-53</v>
      </c>
      <c r="B1544" s="75" t="s">
        <v>637</v>
      </c>
      <c r="C1544">
        <f>VLOOKUP(B1544,RECETAS!D1543:$E$1700,2,FALSE)</f>
        <v>0</v>
      </c>
      <c r="D1544" s="193" t="s">
        <v>794</v>
      </c>
      <c r="G1544" t="b">
        <f t="shared" si="284"/>
        <v>1</v>
      </c>
      <c r="I1544"/>
    </row>
    <row r="1545" spans="1:9" x14ac:dyDescent="0.25">
      <c r="A1545" t="str">
        <f>B1545&amp;"-"&amp;COUNTIF($B$2:B1545,B1545)</f>
        <v>I. AZUCAR FLOR-124</v>
      </c>
      <c r="B1545" s="76" t="s">
        <v>51</v>
      </c>
      <c r="C1545">
        <f>VLOOKUP(B1545,RECETAS!D1544:$E$1700,2,FALSE)</f>
        <v>0</v>
      </c>
      <c r="D1545" s="96"/>
      <c r="G1545" t="b">
        <f t="shared" si="284"/>
        <v>1</v>
      </c>
      <c r="I1545"/>
    </row>
    <row r="1546" spans="1:9" x14ac:dyDescent="0.25">
      <c r="A1546" t="str">
        <f>B1546&amp;"-"&amp;COUNTIF($B$2:B1546,B1546)</f>
        <v>I. PULPA LIMON-119</v>
      </c>
      <c r="B1546" s="76" t="s">
        <v>106</v>
      </c>
      <c r="C1546">
        <f>VLOOKUP(B1546,RECETAS!D1545:$E$1700,2,FALSE)</f>
        <v>0</v>
      </c>
      <c r="D1546" s="96"/>
      <c r="G1546" t="b">
        <f t="shared" si="284"/>
        <v>1</v>
      </c>
      <c r="I1546"/>
    </row>
    <row r="1547" spans="1:9" x14ac:dyDescent="0.25">
      <c r="A1547" t="str">
        <f>B1547&amp;"-"&amp;COUNTIF($B$2:B1547,B1547)</f>
        <v>I. LIMON PICA-66</v>
      </c>
      <c r="B1547" s="76" t="s">
        <v>636</v>
      </c>
      <c r="C1547">
        <f>VLOOKUP(B1547,RECETAS!D1546:$E$1700,2,FALSE)</f>
        <v>0</v>
      </c>
      <c r="D1547" s="96"/>
      <c r="G1547" t="b">
        <f t="shared" si="284"/>
        <v>1</v>
      </c>
      <c r="I1547"/>
    </row>
    <row r="1548" spans="1:9" x14ac:dyDescent="0.25">
      <c r="A1548" t="str">
        <f>B1548&amp;"-"&amp;COUNTIF($B$2:B1548,B1548)</f>
        <v>I. MINERAL1.6LT  C/G-57</v>
      </c>
      <c r="B1548" s="68" t="s">
        <v>97</v>
      </c>
      <c r="C1548">
        <f>VLOOKUP(B1548,RECETAS!D1547:$E$1700,2,FALSE)</f>
        <v>0</v>
      </c>
      <c r="D1548" s="96"/>
      <c r="G1548" t="b">
        <f t="shared" si="284"/>
        <v>1</v>
      </c>
      <c r="I1548"/>
    </row>
    <row r="1549" spans="1:9" x14ac:dyDescent="0.25">
      <c r="A1549" t="str">
        <f>B1549&amp;"-"&amp;COUNTIF($B$2:B1549,B1549)</f>
        <v>I. RON BLANCO BATALLA-57</v>
      </c>
      <c r="B1549" s="76" t="s">
        <v>116</v>
      </c>
      <c r="C1549">
        <f>VLOOKUP(B1549,RECETAS!D1548:$E$1700,2,FALSE)</f>
        <v>0</v>
      </c>
      <c r="D1549" s="96"/>
      <c r="G1549" t="b">
        <f t="shared" si="284"/>
        <v>1</v>
      </c>
      <c r="I1549"/>
    </row>
    <row r="1550" spans="1:9" ht="15.75" thickBot="1" x14ac:dyDescent="0.3">
      <c r="A1550" t="str">
        <f>B1550&amp;"-"&amp;COUNTIF($B$2:B1550,B1550)</f>
        <v>I. PULPA FRUTILLA-15</v>
      </c>
      <c r="B1550" s="77" t="s">
        <v>582</v>
      </c>
      <c r="C1550">
        <f>VLOOKUP(B1550,RECETAS!D1549:$E$1700,2,FALSE)</f>
        <v>0</v>
      </c>
      <c r="D1550" s="151"/>
      <c r="G1550" t="b">
        <f t="shared" si="284"/>
        <v>1</v>
      </c>
      <c r="I1550"/>
    </row>
    <row r="1551" spans="1:9" ht="15.75" thickBot="1" x14ac:dyDescent="0.3">
      <c r="A1551" t="str">
        <f>B1551&amp;"-"&amp;COUNTIF($B$2:B1551,B1551)</f>
        <v>I. ALTO 35-9</v>
      </c>
      <c r="B1551" s="210" t="s">
        <v>47</v>
      </c>
      <c r="C1551">
        <f>VLOOKUP(B1551,RECETAS!D1550:$E$1700,2,FALSE)</f>
        <v>0</v>
      </c>
      <c r="D1551" s="195" t="s">
        <v>795</v>
      </c>
      <c r="G1551" t="b">
        <f t="shared" si="284"/>
        <v>1</v>
      </c>
      <c r="I1551"/>
    </row>
    <row r="1552" spans="1:9" ht="15.75" thickBot="1" x14ac:dyDescent="0.3">
      <c r="A1552" t="str">
        <f>B1552&amp;"-"&amp;COUNTIF($B$2:B1552,B1552)</f>
        <v>I. ARROZ PORCION-6</v>
      </c>
      <c r="B1552" s="145" t="s">
        <v>12</v>
      </c>
      <c r="C1552">
        <f>VLOOKUP(B1552,RECETAS!D1551:$E$1700,2,FALSE)</f>
        <v>0</v>
      </c>
      <c r="D1552" s="244" t="s">
        <v>796</v>
      </c>
      <c r="G1552" t="b">
        <f t="shared" si="284"/>
        <v>1</v>
      </c>
      <c r="I1552"/>
    </row>
    <row r="1553" spans="1:9" ht="15.75" thickBot="1" x14ac:dyDescent="0.3">
      <c r="A1553" t="str">
        <f>B1553&amp;"-"&amp;COUNTIF($B$2:B1553,B1553)</f>
        <v>-0</v>
      </c>
      <c r="B1553" s="145"/>
      <c r="C1553" t="e">
        <f>VLOOKUP(B1553,RECETAS!D1552:$E$1700,2,FALSE)</f>
        <v>#N/A</v>
      </c>
      <c r="D1553" s="245" t="s">
        <v>797</v>
      </c>
      <c r="G1553" t="b">
        <f t="shared" si="284"/>
        <v>0</v>
      </c>
      <c r="I1553"/>
    </row>
    <row r="1554" spans="1:9" ht="15.75" thickBot="1" x14ac:dyDescent="0.3">
      <c r="A1554" t="str">
        <f>B1554&amp;"-"&amp;COUNTIF($B$2:B1554,B1554)</f>
        <v>I. ARROZ PORCION-7</v>
      </c>
      <c r="B1554" s="145" t="s">
        <v>12</v>
      </c>
      <c r="C1554">
        <f>VLOOKUP(B1554,RECETAS!D1553:$E$1700,2,FALSE)</f>
        <v>0</v>
      </c>
      <c r="D1554" s="246" t="s">
        <v>798</v>
      </c>
      <c r="G1554" t="b">
        <f t="shared" si="284"/>
        <v>1</v>
      </c>
      <c r="I1554"/>
    </row>
    <row r="1555" spans="1:9" ht="15.75" thickBot="1" x14ac:dyDescent="0.3">
      <c r="A1555" t="str">
        <f>B1555&amp;"-"&amp;COUNTIF($B$2:B1555,B1555)</f>
        <v>I. EMPANADA PORC-10</v>
      </c>
      <c r="B1555" s="145" t="s">
        <v>0</v>
      </c>
      <c r="C1555">
        <f>VLOOKUP(B1555,RECETAS!D1554:$E$1700,2,FALSE)</f>
        <v>0</v>
      </c>
      <c r="D1555" s="245" t="s">
        <v>799</v>
      </c>
      <c r="G1555" t="b">
        <f t="shared" si="284"/>
        <v>1</v>
      </c>
      <c r="I1555"/>
    </row>
    <row r="1556" spans="1:9" ht="15.75" thickBot="1" x14ac:dyDescent="0.3">
      <c r="A1556" t="str">
        <f>B1556&amp;"-"&amp;COUNTIF($B$2:B1556,B1556)</f>
        <v>I. BARRIL BECKER-4</v>
      </c>
      <c r="B1556" s="211" t="s">
        <v>220</v>
      </c>
      <c r="C1556">
        <f>VLOOKUP(B1556,RECETAS!D1555:$E$1700,2,FALSE)</f>
        <v>0</v>
      </c>
      <c r="D1556" s="245" t="s">
        <v>787</v>
      </c>
      <c r="G1556" t="b">
        <f t="shared" si="284"/>
        <v>1</v>
      </c>
      <c r="I1556"/>
    </row>
    <row r="1557" spans="1:9" ht="15.75" thickBot="1" x14ac:dyDescent="0.3">
      <c r="A1557" t="str">
        <f>B1557&amp;"-"&amp;COUNTIF($B$2:B1557,B1557)</f>
        <v>I. BARRIL KM 24.7 IPA-3</v>
      </c>
      <c r="B1557" s="47" t="s">
        <v>684</v>
      </c>
      <c r="C1557">
        <f>VLOOKUP(B1557,RECETAS!D1556:$E$1700,2,FALSE)</f>
        <v>0</v>
      </c>
      <c r="D1557" s="245" t="s">
        <v>788</v>
      </c>
      <c r="G1557" t="b">
        <f t="shared" si="284"/>
        <v>1</v>
      </c>
      <c r="I1557"/>
    </row>
    <row r="1558" spans="1:9" ht="15.75" thickBot="1" x14ac:dyDescent="0.3">
      <c r="A1558" t="str">
        <f>B1558&amp;"-"&amp;COUNTIF($B$2:B1558,B1558)</f>
        <v>I. ALTO 35-10</v>
      </c>
      <c r="B1558" s="210" t="s">
        <v>47</v>
      </c>
      <c r="C1558">
        <f>VLOOKUP(B1558,RECETAS!D1557:$E$1700,2,FALSE)</f>
        <v>0</v>
      </c>
      <c r="D1558" s="17" t="s">
        <v>800</v>
      </c>
      <c r="G1558" t="b">
        <f t="shared" si="284"/>
        <v>1</v>
      </c>
      <c r="I1558"/>
    </row>
    <row r="1559" spans="1:9" x14ac:dyDescent="0.25">
      <c r="A1559" t="str">
        <f>B1559&amp;"-"&amp;COUNTIF($B$2:B1559,B1559)</f>
        <v>I. TORTILLAS GR-24</v>
      </c>
      <c r="B1559" s="26" t="s">
        <v>7</v>
      </c>
      <c r="C1559">
        <f>VLOOKUP(B1559,RECETAS!D1558:$E$1700,2,FALSE)</f>
        <v>0</v>
      </c>
      <c r="D1559" s="17" t="s">
        <v>802</v>
      </c>
      <c r="G1559" t="b">
        <f t="shared" si="284"/>
        <v>1</v>
      </c>
      <c r="I1559"/>
    </row>
    <row r="1560" spans="1:9" ht="15.75" x14ac:dyDescent="0.25">
      <c r="A1560" t="str">
        <f>B1560&amp;"-"&amp;COUNTIF($B$2:B1560,B1560)</f>
        <v>I. PALTA-37</v>
      </c>
      <c r="B1560" s="35" t="s">
        <v>35</v>
      </c>
      <c r="C1560">
        <f>VLOOKUP(B1560,RECETAS!D1559:$E$1700,2,FALSE)</f>
        <v>0</v>
      </c>
      <c r="D1560" s="11"/>
      <c r="G1560" t="b">
        <f t="shared" si="284"/>
        <v>1</v>
      </c>
      <c r="I1560"/>
    </row>
    <row r="1561" spans="1:9" ht="15.75" x14ac:dyDescent="0.25">
      <c r="A1561" t="str">
        <f>B1561&amp;"-"&amp;COUNTIF($B$2:B1561,B1561)</f>
        <v>I. MECHADA SAND-4</v>
      </c>
      <c r="B1561" s="35" t="s">
        <v>31</v>
      </c>
      <c r="C1561">
        <f>VLOOKUP(B1561,RECETAS!D1560:$E$1700,2,FALSE)</f>
        <v>0</v>
      </c>
      <c r="D1561" s="11"/>
      <c r="G1561" t="b">
        <f t="shared" si="284"/>
        <v>1</v>
      </c>
      <c r="I1561"/>
    </row>
    <row r="1562" spans="1:9" ht="15.75" x14ac:dyDescent="0.25">
      <c r="A1562" t="str">
        <f>B1562&amp;"-"&amp;COUNTIF($B$2:B1562,B1562)</f>
        <v>I. QUESO GRANULADO-67</v>
      </c>
      <c r="B1562" s="35" t="s">
        <v>9</v>
      </c>
      <c r="C1562">
        <f>VLOOKUP(B1562,RECETAS!D1561:$E$1700,2,FALSE)</f>
        <v>0</v>
      </c>
      <c r="D1562" s="11"/>
      <c r="G1562" t="b">
        <f t="shared" si="284"/>
        <v>1</v>
      </c>
      <c r="I1562"/>
    </row>
    <row r="1563" spans="1:9" ht="16.5" thickBot="1" x14ac:dyDescent="0.3">
      <c r="A1563" t="str">
        <f>B1563&amp;"-"&amp;COUNTIF($B$2:B1563,B1563)</f>
        <v>I. CREMA ESPESA-78</v>
      </c>
      <c r="B1563" s="33" t="s">
        <v>16</v>
      </c>
      <c r="C1563">
        <f>VLOOKUP(B1563,RECETAS!D1562:$E$1700,2,FALSE)</f>
        <v>0</v>
      </c>
      <c r="D1563" s="11"/>
      <c r="G1563" t="b">
        <f t="shared" si="284"/>
        <v>1</v>
      </c>
      <c r="I1563"/>
    </row>
    <row r="1564" spans="1:9" x14ac:dyDescent="0.25">
      <c r="A1564" t="str">
        <f>B1564&amp;"-"&amp;COUNTIF($B$2:B1564,B1564)</f>
        <v>I. LOMO 250-11</v>
      </c>
      <c r="B1564" s="37" t="s">
        <v>11</v>
      </c>
      <c r="C1564">
        <f>VLOOKUP(B1564,RECETAS!D1563:$E$1700,2,FALSE)</f>
        <v>0</v>
      </c>
      <c r="D1564" s="17" t="s">
        <v>801</v>
      </c>
      <c r="G1564" t="b">
        <f t="shared" si="284"/>
        <v>1</v>
      </c>
      <c r="I1564"/>
    </row>
    <row r="1565" spans="1:9" ht="15.75" x14ac:dyDescent="0.25">
      <c r="A1565" t="str">
        <f>B1565&amp;"-"&amp;COUNTIF($B$2:B1565,B1565)</f>
        <v>I. SPAGHETTI-1</v>
      </c>
      <c r="B1565" s="35" t="s">
        <v>803</v>
      </c>
      <c r="C1565">
        <f>VLOOKUP(B1565,RECETAS!D1564:$E$1700,2,FALSE)</f>
        <v>0</v>
      </c>
      <c r="D1565" s="11"/>
      <c r="G1565" t="b">
        <f t="shared" si="284"/>
        <v>0</v>
      </c>
      <c r="I1565"/>
    </row>
    <row r="1566" spans="1:9" ht="15.75" x14ac:dyDescent="0.25">
      <c r="A1566" t="str">
        <f>B1566&amp;"-"&amp;COUNTIF($B$2:B1566,B1566)</f>
        <v>I. CREMA ESPESA-79</v>
      </c>
      <c r="B1566" s="35" t="s">
        <v>16</v>
      </c>
      <c r="C1566">
        <f>VLOOKUP(B1566,RECETAS!D1565:$E$1700,2,FALSE)</f>
        <v>0</v>
      </c>
      <c r="D1566" s="11"/>
      <c r="G1566" t="b">
        <f t="shared" si="284"/>
        <v>1</v>
      </c>
      <c r="I1566"/>
    </row>
    <row r="1567" spans="1:9" ht="16.5" thickBot="1" x14ac:dyDescent="0.3">
      <c r="A1567" t="str">
        <f>B1567&amp;"-"&amp;COUNTIF($B$2:B1567,B1567)</f>
        <v>I. PAPAS FRITAS-64</v>
      </c>
      <c r="B1567" s="28" t="s">
        <v>13</v>
      </c>
      <c r="C1567">
        <f>VLOOKUP(B1567,RECETAS!D1566:$E$1700,2,FALSE)</f>
        <v>0</v>
      </c>
      <c r="D1567" s="11"/>
      <c r="G1567" t="b">
        <f t="shared" si="284"/>
        <v>1</v>
      </c>
      <c r="I1567"/>
    </row>
    <row r="1568" spans="1:9" x14ac:dyDescent="0.25">
      <c r="A1568" t="str">
        <f>B1568&amp;"-"&amp;COUNTIF($B$2:B1568,B1568)</f>
        <v>I. PAPAS FRITAS-65</v>
      </c>
      <c r="B1568" s="148" t="s">
        <v>13</v>
      </c>
      <c r="C1568">
        <f>VLOOKUP(B1568,RECETAS!D1567:$E$1700,2,FALSE)</f>
        <v>0</v>
      </c>
      <c r="D1568" s="15" t="s">
        <v>804</v>
      </c>
      <c r="G1568" t="b">
        <f t="shared" si="284"/>
        <v>1</v>
      </c>
      <c r="I1568"/>
    </row>
    <row r="1569" spans="1:9" ht="15.75" x14ac:dyDescent="0.25">
      <c r="A1569" t="str">
        <f>B1569&amp;"-"&amp;COUNTIF($B$2:B1569,B1569)</f>
        <v>I. QUESO GRANULADO-68</v>
      </c>
      <c r="B1569" s="35" t="s">
        <v>9</v>
      </c>
      <c r="C1569">
        <f>VLOOKUP(B1569,RECETAS!D1568:$E$1700,2,FALSE)</f>
        <v>0</v>
      </c>
      <c r="D1569" s="11"/>
      <c r="G1569" t="b">
        <f t="shared" si="284"/>
        <v>1</v>
      </c>
      <c r="I1569"/>
    </row>
    <row r="1570" spans="1:9" ht="15.75" x14ac:dyDescent="0.25">
      <c r="A1570" t="str">
        <f>B1570&amp;"-"&amp;COUNTIF($B$2:B1570,B1570)</f>
        <v>I. CREMA ESPESA-80</v>
      </c>
      <c r="B1570" s="35" t="s">
        <v>16</v>
      </c>
      <c r="C1570">
        <f>VLOOKUP(B1570,RECETAS!D1569:$E$1700,2,FALSE)</f>
        <v>0</v>
      </c>
      <c r="D1570" s="11"/>
      <c r="G1570" t="b">
        <f t="shared" si="284"/>
        <v>1</v>
      </c>
      <c r="I1570"/>
    </row>
    <row r="1571" spans="1:9" ht="15.75" x14ac:dyDescent="0.25">
      <c r="A1571" t="str">
        <f>B1571&amp;"-"&amp;COUNTIF($B$2:B1571,B1571)</f>
        <v>I. CIBOULET-35</v>
      </c>
      <c r="B1571" s="35" t="s">
        <v>23</v>
      </c>
      <c r="C1571">
        <f>VLOOKUP(B1571,RECETAS!D1570:$E$1700,2,FALSE)</f>
        <v>0</v>
      </c>
      <c r="D1571" s="11"/>
      <c r="G1571" t="b">
        <f t="shared" si="284"/>
        <v>1</v>
      </c>
      <c r="I1571"/>
    </row>
    <row r="1572" spans="1:9" ht="16.5" thickBot="1" x14ac:dyDescent="0.3">
      <c r="A1572" t="str">
        <f>B1572&amp;"-"&amp;COUNTIF($B$2:B1572,B1572)</f>
        <v>I. SALSA CHEDDAR-8</v>
      </c>
      <c r="B1572" s="153" t="s">
        <v>521</v>
      </c>
      <c r="C1572">
        <f>VLOOKUP(B1572,RECETAS!D1571:$E$1700,2,FALSE)</f>
        <v>0</v>
      </c>
      <c r="D1572" s="11"/>
      <c r="G1572" t="b">
        <f t="shared" si="284"/>
        <v>1</v>
      </c>
      <c r="I1572"/>
    </row>
    <row r="1573" spans="1:9" x14ac:dyDescent="0.25">
      <c r="A1573" t="str">
        <f>B1573&amp;"-"&amp;COUNTIF($B$2:B1573,B1573)</f>
        <v>I. PAPAS FRITAS-66</v>
      </c>
      <c r="B1573" s="26" t="s">
        <v>13</v>
      </c>
      <c r="C1573">
        <f>VLOOKUP(B1573,RECETAS!D1572:$E$1700,2,FALSE)</f>
        <v>3200</v>
      </c>
      <c r="D1573" s="15" t="s">
        <v>805</v>
      </c>
      <c r="G1573" t="b">
        <f t="shared" si="284"/>
        <v>1</v>
      </c>
      <c r="I1573"/>
    </row>
    <row r="1574" spans="1:9" ht="15.75" x14ac:dyDescent="0.25">
      <c r="A1574" t="str">
        <f>B1574&amp;"-"&amp;COUNTIF($B$2:B1574,B1574)</f>
        <v>I. QUESO GRANULADO-69</v>
      </c>
      <c r="B1574" s="35" t="s">
        <v>9</v>
      </c>
      <c r="C1574">
        <f>VLOOKUP(B1574,RECETAS!D1573:$E$1700,2,FALSE)</f>
        <v>600</v>
      </c>
      <c r="D1574" s="11"/>
      <c r="G1574" t="b">
        <f t="shared" si="284"/>
        <v>1</v>
      </c>
      <c r="I1574"/>
    </row>
    <row r="1575" spans="1:9" ht="15.75" x14ac:dyDescent="0.25">
      <c r="A1575" t="str">
        <f>B1575&amp;"-"&amp;COUNTIF($B$2:B1575,B1575)</f>
        <v>I. CREMA ESPESA-81</v>
      </c>
      <c r="B1575" s="35" t="s">
        <v>16</v>
      </c>
      <c r="C1575">
        <f>VLOOKUP(B1575,RECETAS!D1574:$E$1700,2,FALSE)</f>
        <v>600</v>
      </c>
      <c r="D1575" s="11"/>
      <c r="G1575" t="b">
        <f t="shared" si="284"/>
        <v>1</v>
      </c>
      <c r="I1575"/>
    </row>
    <row r="1576" spans="1:9" ht="15.75" x14ac:dyDescent="0.25">
      <c r="A1576" t="str">
        <f>B1576&amp;"-"&amp;COUNTIF($B$2:B1576,B1576)</f>
        <v>I. CIBOULET-36</v>
      </c>
      <c r="B1576" s="35" t="s">
        <v>23</v>
      </c>
      <c r="C1576">
        <f>VLOOKUP(B1576,RECETAS!D1575:$E$1700,2,FALSE)</f>
        <v>80</v>
      </c>
      <c r="D1576" s="11"/>
      <c r="G1576" t="b">
        <f t="shared" si="284"/>
        <v>1</v>
      </c>
      <c r="I1576"/>
    </row>
    <row r="1577" spans="1:9" ht="16.5" thickBot="1" x14ac:dyDescent="0.3">
      <c r="A1577" t="str">
        <f>B1577&amp;"-"&amp;COUNTIF($B$2:B1577,B1577)</f>
        <v>I. CHURRASCO PORCION-22</v>
      </c>
      <c r="B1577" s="33" t="s">
        <v>24</v>
      </c>
      <c r="C1577">
        <f>VLOOKUP(B1577,RECETAS!D1576:$E$1700,2,FALSE)</f>
        <v>4</v>
      </c>
      <c r="D1577" s="11"/>
      <c r="G1577" t="b">
        <f t="shared" si="284"/>
        <v>1</v>
      </c>
      <c r="I1577"/>
    </row>
    <row r="1578" spans="1:9" x14ac:dyDescent="0.25">
      <c r="A1578" t="str">
        <f>B1578&amp;"-"&amp;COUNTIF($B$2:B1578,B1578)</f>
        <v>I. NACHOS-3</v>
      </c>
      <c r="B1578" s="26" t="s">
        <v>3</v>
      </c>
      <c r="C1578">
        <f>VLOOKUP(B1578,RECETAS!D1577:$E$1700,2,FALSE)</f>
        <v>0</v>
      </c>
      <c r="D1578" s="17" t="s">
        <v>806</v>
      </c>
      <c r="G1578" t="b">
        <f t="shared" si="284"/>
        <v>1</v>
      </c>
      <c r="I1578"/>
    </row>
    <row r="1579" spans="1:9" ht="15.75" x14ac:dyDescent="0.25">
      <c r="A1579" t="str">
        <f>B1579&amp;"-"&amp;COUNTIF($B$2:B1579,B1579)</f>
        <v>I. SALSA CHEDDAR-9</v>
      </c>
      <c r="B1579" s="35" t="s">
        <v>521</v>
      </c>
      <c r="C1579">
        <f>VLOOKUP(B1579,RECETAS!D1578:$E$1700,2,FALSE)</f>
        <v>0</v>
      </c>
      <c r="D1579" s="11"/>
      <c r="G1579" t="b">
        <f t="shared" si="284"/>
        <v>1</v>
      </c>
      <c r="I1579"/>
    </row>
    <row r="1580" spans="1:9" ht="16.5" thickBot="1" x14ac:dyDescent="0.3">
      <c r="A1580" t="str">
        <f>B1580&amp;"-"&amp;COUNTIF($B$2:B1580,B1580)</f>
        <v>I. PALTA-38</v>
      </c>
      <c r="B1580" s="28" t="s">
        <v>35</v>
      </c>
      <c r="C1580">
        <f>VLOOKUP(B1580,RECETAS!D1579:$E$1700,2,FALSE)</f>
        <v>0</v>
      </c>
      <c r="D1580" s="11"/>
      <c r="G1580" t="b">
        <f t="shared" si="284"/>
        <v>1</v>
      </c>
      <c r="I1580"/>
    </row>
    <row r="1581" spans="1:9" ht="15.75" thickBot="1" x14ac:dyDescent="0.3">
      <c r="A1581" t="str">
        <f>B1581&amp;"-"&amp;COUNTIF($B$2:B1581,B1581)</f>
        <v>I. CHAMP BRUT 750-14</v>
      </c>
      <c r="B1581" s="207" t="s">
        <v>59</v>
      </c>
      <c r="C1581">
        <f>VLOOKUP(B1581,RECETAS!D1580:$E$1700,2,FALSE)</f>
        <v>0</v>
      </c>
      <c r="D1581" s="15" t="s">
        <v>807</v>
      </c>
      <c r="G1581" t="b">
        <f t="shared" si="284"/>
        <v>1</v>
      </c>
      <c r="I1581"/>
    </row>
    <row r="1582" spans="1:9" ht="15.75" thickBot="1" x14ac:dyDescent="0.3">
      <c r="A1582" t="str">
        <f>B1582&amp;"-"&amp;COUNTIF($B$2:B1582,B1582)</f>
        <v>I. RBULL SUGAR FRE-2</v>
      </c>
      <c r="B1582" s="47" t="s">
        <v>111</v>
      </c>
      <c r="C1582">
        <f>VLOOKUP(B1582,RECETAS!D1581:$E$1700,2,FALSE)</f>
        <v>6</v>
      </c>
      <c r="D1582" s="15" t="s">
        <v>808</v>
      </c>
      <c r="G1582" t="b">
        <f t="shared" si="284"/>
        <v>1</v>
      </c>
      <c r="I1582"/>
    </row>
    <row r="1583" spans="1:9" x14ac:dyDescent="0.25">
      <c r="A1583" t="str">
        <f>B1583&amp;"-"&amp;COUNTIF($B$2:B1583,B1583)</f>
        <v>I. MENTA-54</v>
      </c>
      <c r="B1583" s="31" t="s">
        <v>637</v>
      </c>
      <c r="C1583">
        <f>VLOOKUP(B1583,RECETAS!D1582:$E$1700,2,FALSE)</f>
        <v>0</v>
      </c>
      <c r="D1583" s="17" t="s">
        <v>809</v>
      </c>
      <c r="G1583" t="b">
        <f t="shared" si="284"/>
        <v>1</v>
      </c>
      <c r="I1583"/>
    </row>
    <row r="1584" spans="1:9" x14ac:dyDescent="0.25">
      <c r="A1584" t="str">
        <f>B1584&amp;"-"&amp;COUNTIF($B$2:B1584,B1584)</f>
        <v>I. AZUCAR FLOR-125</v>
      </c>
      <c r="B1584" s="35" t="s">
        <v>51</v>
      </c>
      <c r="C1584">
        <f>VLOOKUP(B1584,RECETAS!D1583:$E$1700,2,FALSE)</f>
        <v>0</v>
      </c>
      <c r="G1584" t="b">
        <f t="shared" si="284"/>
        <v>1</v>
      </c>
      <c r="I1584"/>
    </row>
    <row r="1585" spans="1:9" x14ac:dyDescent="0.25">
      <c r="A1585" t="str">
        <f>B1585&amp;"-"&amp;COUNTIF($B$2:B1585,B1585)</f>
        <v>I. LIMON PICA-67</v>
      </c>
      <c r="B1585" s="35" t="s">
        <v>636</v>
      </c>
      <c r="C1585">
        <f>VLOOKUP(B1585,RECETAS!D1584:$E$1700,2,FALSE)</f>
        <v>0</v>
      </c>
      <c r="G1585" t="b">
        <f t="shared" si="284"/>
        <v>1</v>
      </c>
      <c r="I1585"/>
    </row>
    <row r="1586" spans="1:9" x14ac:dyDescent="0.25">
      <c r="A1586" t="str">
        <f>B1586&amp;"-"&amp;COUNTIF($B$2:B1586,B1586)</f>
        <v>I. MINERAL1.6LT  C/G-58</v>
      </c>
      <c r="B1586" s="35" t="s">
        <v>97</v>
      </c>
      <c r="C1586">
        <f>VLOOKUP(B1586,RECETAS!D1585:$E$1700,2,FALSE)</f>
        <v>0</v>
      </c>
      <c r="G1586" t="b">
        <f t="shared" si="284"/>
        <v>1</v>
      </c>
      <c r="I1586"/>
    </row>
    <row r="1587" spans="1:9" x14ac:dyDescent="0.25">
      <c r="A1587" t="str">
        <f>B1587&amp;"-"&amp;COUNTIF($B$2:B1587,B1587)</f>
        <v>I. PULPA LIMON-120</v>
      </c>
      <c r="B1587" s="35" t="s">
        <v>106</v>
      </c>
      <c r="C1587">
        <f>VLOOKUP(B1587,RECETAS!D1586:$E$1700,2,FALSE)</f>
        <v>0</v>
      </c>
      <c r="G1587" t="b">
        <f t="shared" si="284"/>
        <v>1</v>
      </c>
      <c r="I1587"/>
    </row>
    <row r="1588" spans="1:9" x14ac:dyDescent="0.25">
      <c r="A1588" t="str">
        <f>B1588&amp;"-"&amp;COUNTIF($B$2:B1588,B1588)</f>
        <v>I. RON BLANCO BATALLA-58</v>
      </c>
      <c r="B1588" s="35" t="s">
        <v>116</v>
      </c>
      <c r="C1588">
        <f>VLOOKUP(B1588,RECETAS!D1587:$E$1700,2,FALSE)</f>
        <v>0</v>
      </c>
      <c r="G1588" t="b">
        <f t="shared" si="284"/>
        <v>1</v>
      </c>
      <c r="I1588"/>
    </row>
    <row r="1589" spans="1:9" x14ac:dyDescent="0.25">
      <c r="A1589" t="str">
        <f>B1589&amp;"-"&amp;COUNTIF($B$2:B1589,B1589)</f>
        <v>I. PULPA FRAMBUESA-17</v>
      </c>
      <c r="B1589" s="33" t="s">
        <v>105</v>
      </c>
      <c r="C1589">
        <f>VLOOKUP(B1589,RECETAS!D1588:$E$1700,2,FALSE)</f>
        <v>0</v>
      </c>
      <c r="D1589" s="15" t="s">
        <v>815</v>
      </c>
      <c r="G1589" t="b">
        <f t="shared" si="284"/>
        <v>1</v>
      </c>
      <c r="I1589"/>
    </row>
    <row r="1590" spans="1:9" ht="15.75" thickBot="1" x14ac:dyDescent="0.3">
      <c r="A1590" t="str">
        <f>B1590&amp;"-"&amp;COUNTIF($B$2:B1590,B1590)</f>
        <v>I. RESERVA CARME-2</v>
      </c>
      <c r="B1590" s="102" t="s">
        <v>647</v>
      </c>
      <c r="C1590">
        <f>VLOOKUP(B1590,RECETAS!D1589:$E$1700,2,FALSE)</f>
        <v>0</v>
      </c>
      <c r="D1590" s="15" t="s">
        <v>816</v>
      </c>
      <c r="G1590" t="b">
        <f t="shared" si="284"/>
        <v>1</v>
      </c>
      <c r="I1590"/>
    </row>
    <row r="1591" spans="1:9" ht="15.75" thickBot="1" x14ac:dyDescent="0.3">
      <c r="A1591" t="str">
        <f>B1591&amp;"-"&amp;COUNTIF($B$2:B1591,B1591)</f>
        <v>I. FERNET BRANCA-2</v>
      </c>
      <c r="B1591" s="202" t="s">
        <v>72</v>
      </c>
      <c r="C1591">
        <f>VLOOKUP(B1591,RECETAS!D1590:$E$1700,2,FALSE)</f>
        <v>0</v>
      </c>
      <c r="D1591" s="17" t="s">
        <v>817</v>
      </c>
      <c r="G1591" t="b">
        <f t="shared" si="284"/>
        <v>1</v>
      </c>
      <c r="I1591"/>
    </row>
    <row r="1592" spans="1:9" x14ac:dyDescent="0.25">
      <c r="A1592" t="str">
        <f>B1592&amp;"-"&amp;COUNTIF($B$2:B1592,B1592)</f>
        <v>I. BARRIL BECKER-5</v>
      </c>
      <c r="B1592" s="35" t="s">
        <v>220</v>
      </c>
      <c r="C1592">
        <f>VLOOKUP(B1592,RECETAS!D1591:$E$1700,2,FALSE)</f>
        <v>0</v>
      </c>
      <c r="G1592" t="b">
        <f t="shared" si="284"/>
        <v>1</v>
      </c>
      <c r="I1592"/>
    </row>
    <row r="1593" spans="1:9" ht="15.75" thickBot="1" x14ac:dyDescent="0.3">
      <c r="A1593" t="str">
        <f>B1593&amp;"-"&amp;COUNTIF($B$2:B1593,B1593)</f>
        <v>I. PULPA LIMON-121</v>
      </c>
      <c r="B1593" s="35" t="s">
        <v>106</v>
      </c>
      <c r="C1593">
        <f>VLOOKUP(B1593,RECETAS!D1592:$E$1700,2,FALSE)</f>
        <v>0</v>
      </c>
      <c r="G1593" t="b">
        <f t="shared" si="284"/>
        <v>1</v>
      </c>
      <c r="I1593"/>
    </row>
    <row r="1594" spans="1:9" x14ac:dyDescent="0.25">
      <c r="A1594" t="str">
        <f>B1594&amp;"-"&amp;COUNTIF($B$2:B1594,B1594)</f>
        <v>I. BRUJAS 35-9</v>
      </c>
      <c r="B1594" s="26" t="s">
        <v>270</v>
      </c>
      <c r="C1594">
        <f>VLOOKUP(B1594,RECETAS!D1593:$E$1700,2,FALSE)</f>
        <v>0</v>
      </c>
      <c r="D1594" s="17" t="s">
        <v>818</v>
      </c>
      <c r="G1594" t="b">
        <f t="shared" si="284"/>
        <v>1</v>
      </c>
      <c r="I1594"/>
    </row>
    <row r="1595" spans="1:9" ht="15.75" x14ac:dyDescent="0.25">
      <c r="A1595" t="str">
        <f>B1595&amp;"-"&amp;COUNTIF($B$2:B1595,B1595)</f>
        <v>I. PULPA LIMON-122</v>
      </c>
      <c r="B1595" s="35" t="s">
        <v>106</v>
      </c>
      <c r="C1595">
        <f>VLOOKUP(B1595,RECETAS!D1594:$E$1700,2,FALSE)</f>
        <v>0</v>
      </c>
      <c r="D1595" s="11"/>
      <c r="G1595" t="b">
        <f t="shared" si="284"/>
        <v>1</v>
      </c>
      <c r="I1595"/>
    </row>
    <row r="1596" spans="1:9" ht="15.75" x14ac:dyDescent="0.25">
      <c r="A1596" t="str">
        <f>B1596&amp;"-"&amp;COUNTIF($B$2:B1596,B1596)</f>
        <v>I. AZUCAR FLOR-126</v>
      </c>
      <c r="B1596" s="35" t="s">
        <v>51</v>
      </c>
      <c r="C1596">
        <f>VLOOKUP(B1596,RECETAS!D1595:$E$1700,2,FALSE)</f>
        <v>0</v>
      </c>
      <c r="D1596" s="11"/>
      <c r="G1596" t="b">
        <f t="shared" si="284"/>
        <v>1</v>
      </c>
      <c r="I1596"/>
    </row>
    <row r="1597" spans="1:9" ht="16.5" thickBot="1" x14ac:dyDescent="0.3">
      <c r="A1597" t="str">
        <f>B1597&amp;"-"&amp;COUNTIF($B$2:B1597,B1597)</f>
        <v>I. TRIPLE SEC-36</v>
      </c>
      <c r="B1597" s="33" t="s">
        <v>128</v>
      </c>
      <c r="C1597">
        <f>VLOOKUP(B1597,RECETAS!D1596:$E$1700,2,FALSE)</f>
        <v>0</v>
      </c>
      <c r="D1597" s="11"/>
      <c r="G1597" t="b">
        <f t="shared" si="284"/>
        <v>1</v>
      </c>
      <c r="I1597"/>
    </row>
    <row r="1598" spans="1:9" ht="15.75" thickBot="1" x14ac:dyDescent="0.3">
      <c r="A1598" t="str">
        <f>B1598&amp;"-"&amp;COUNTIF($B$2:B1598,B1598)</f>
        <v>I. TANQUERAY ROYAL-1</v>
      </c>
      <c r="B1598" s="47" t="s">
        <v>820</v>
      </c>
      <c r="C1598">
        <f>VLOOKUP(B1598,RECETAS!D1597:$E$1700,2,FALSE)</f>
        <v>0</v>
      </c>
      <c r="D1598" s="17" t="s">
        <v>819</v>
      </c>
      <c r="G1598" t="b">
        <f t="shared" ref="G1598:G1656" si="285">IFERROR(IF(MATCH(B1598,I:I,0) &lt;&gt; "", TRUE,""),FALSE)</f>
        <v>1</v>
      </c>
      <c r="I1598"/>
    </row>
    <row r="1599" spans="1:9" x14ac:dyDescent="0.25">
      <c r="A1599" t="str">
        <f>B1599&amp;"-"&amp;COUNTIF($B$2:B1599,B1599)</f>
        <v>I. BRUJAS 35-10</v>
      </c>
      <c r="B1599" s="26" t="s">
        <v>270</v>
      </c>
      <c r="C1599">
        <f>VLOOKUP(B1599,RECETAS!D1598:$E$1700,2,FALSE)</f>
        <v>0</v>
      </c>
      <c r="D1599" s="15" t="s">
        <v>821</v>
      </c>
      <c r="G1599" t="b">
        <f t="shared" si="285"/>
        <v>1</v>
      </c>
      <c r="I1599"/>
    </row>
    <row r="1600" spans="1:9" x14ac:dyDescent="0.25">
      <c r="A1600" t="str">
        <f>B1600&amp;"-"&amp;COUNTIF($B$2:B1600,B1600)</f>
        <v>I. PULPA LIMON-123</v>
      </c>
      <c r="B1600" s="35" t="s">
        <v>106</v>
      </c>
      <c r="C1600">
        <f>VLOOKUP(B1600,RECETAS!D1599:$E$1700,2,FALSE)</f>
        <v>0</v>
      </c>
      <c r="G1600" t="b">
        <f t="shared" si="285"/>
        <v>1</v>
      </c>
      <c r="I1600"/>
    </row>
    <row r="1601" spans="1:9" x14ac:dyDescent="0.25">
      <c r="A1601" t="str">
        <f>B1601&amp;"-"&amp;COUNTIF($B$2:B1601,B1601)</f>
        <v>I. AZUCAR FLOR-127</v>
      </c>
      <c r="B1601" s="35" t="s">
        <v>51</v>
      </c>
      <c r="C1601">
        <f>VLOOKUP(B1601,RECETAS!D1600:$E$1700,2,FALSE)</f>
        <v>0</v>
      </c>
      <c r="G1601" t="b">
        <f t="shared" si="285"/>
        <v>1</v>
      </c>
      <c r="I1601"/>
    </row>
    <row r="1602" spans="1:9" x14ac:dyDescent="0.25">
      <c r="A1602" t="str">
        <f>B1602&amp;"-"&amp;COUNTIF($B$2:B1602,B1602)</f>
        <v>I. TRIPLE SEC-37</v>
      </c>
      <c r="B1602" s="33" t="s">
        <v>128</v>
      </c>
      <c r="C1602">
        <f>VLOOKUP(B1602,RECETAS!D1601:$E$1700,2,FALSE)</f>
        <v>0</v>
      </c>
      <c r="G1602" t="b">
        <f t="shared" si="285"/>
        <v>1</v>
      </c>
      <c r="I1602"/>
    </row>
    <row r="1603" spans="1:9" x14ac:dyDescent="0.25">
      <c r="A1603" t="str">
        <f>B1603&amp;"-"&amp;COUNTIF($B$2:B1603,B1603)</f>
        <v>I. PAPAS FRITAS-67</v>
      </c>
      <c r="B1603" s="31" t="s">
        <v>13</v>
      </c>
      <c r="C1603">
        <f>VLOOKUP(B1603,RECETAS!D1602:$E$1700,2,FALSE)</f>
        <v>0</v>
      </c>
      <c r="D1603" s="17" t="s">
        <v>822</v>
      </c>
      <c r="G1603" t="b">
        <f t="shared" si="285"/>
        <v>1</v>
      </c>
      <c r="I1603"/>
    </row>
    <row r="1604" spans="1:9" x14ac:dyDescent="0.25">
      <c r="A1604" t="str">
        <f>B1604&amp;"-"&amp;COUNTIF($B$2:B1604,B1604)</f>
        <v>I. QUESO GRANULADO-70</v>
      </c>
      <c r="B1604" s="35" t="s">
        <v>9</v>
      </c>
      <c r="C1604">
        <f>VLOOKUP(B1604,RECETAS!D1603:$E$1700,2,FALSE)</f>
        <v>0</v>
      </c>
      <c r="G1604" t="b">
        <f t="shared" si="285"/>
        <v>1</v>
      </c>
      <c r="I1604"/>
    </row>
    <row r="1605" spans="1:9" x14ac:dyDescent="0.25">
      <c r="A1605" t="str">
        <f>B1605&amp;"-"&amp;COUNTIF($B$2:B1605,B1605)</f>
        <v>I. CREMA ESPESA-82</v>
      </c>
      <c r="B1605" s="35" t="s">
        <v>16</v>
      </c>
      <c r="C1605">
        <f>VLOOKUP(B1605,RECETAS!D1604:$E$1700,2,FALSE)</f>
        <v>0</v>
      </c>
      <c r="G1605" t="b">
        <f t="shared" si="285"/>
        <v>1</v>
      </c>
      <c r="I1605"/>
    </row>
    <row r="1606" spans="1:9" x14ac:dyDescent="0.25">
      <c r="A1606" t="str">
        <f>B1606&amp;"-"&amp;COUNTIF($B$2:B1606,B1606)</f>
        <v>I. CIBOULET-37</v>
      </c>
      <c r="B1606" s="35" t="s">
        <v>23</v>
      </c>
      <c r="C1606">
        <f>VLOOKUP(B1606,RECETAS!D1605:$E$1700,2,FALSE)</f>
        <v>0</v>
      </c>
      <c r="G1606" t="b">
        <f t="shared" si="285"/>
        <v>1</v>
      </c>
      <c r="I1606"/>
    </row>
    <row r="1607" spans="1:9" ht="15.75" thickBot="1" x14ac:dyDescent="0.3">
      <c r="A1607" t="str">
        <f>B1607&amp;"-"&amp;COUNTIF($B$2:B1607,B1607)</f>
        <v>I. SALSA CHEDDAR-10</v>
      </c>
      <c r="B1607" s="33" t="s">
        <v>521</v>
      </c>
      <c r="C1607">
        <f>VLOOKUP(B1607,RECETAS!D1606:$E$1700,2,FALSE)</f>
        <v>0</v>
      </c>
      <c r="G1607" t="b">
        <f t="shared" si="285"/>
        <v>1</v>
      </c>
      <c r="I1607"/>
    </row>
    <row r="1608" spans="1:9" x14ac:dyDescent="0.25">
      <c r="A1608" t="str">
        <f>B1608&amp;"-"&amp;COUNTIF($B$2:B1608,B1608)</f>
        <v>I. JW BLONDE-2</v>
      </c>
      <c r="B1608" s="119" t="s">
        <v>680</v>
      </c>
      <c r="C1608">
        <f>VLOOKUP(B1608,RECETAS!D1607:$E$1700,2,FALSE)</f>
        <v>0</v>
      </c>
      <c r="D1608" s="15" t="s">
        <v>823</v>
      </c>
      <c r="G1608" t="b">
        <f t="shared" si="285"/>
        <v>1</v>
      </c>
      <c r="I1608"/>
    </row>
    <row r="1609" spans="1:9" ht="15.75" thickBot="1" x14ac:dyDescent="0.3">
      <c r="A1609" t="str">
        <f>B1609&amp;"-"&amp;COUNTIF($B$2:B1609,B1609)</f>
        <v>I. TANQUERAY ROYAL-2</v>
      </c>
      <c r="B1609" s="15" t="s">
        <v>820</v>
      </c>
      <c r="C1609">
        <f>VLOOKUP(B1609,RECETAS!D1608:$E$1700,2,FALSE)</f>
        <v>0</v>
      </c>
      <c r="D1609" s="15" t="s">
        <v>825</v>
      </c>
      <c r="G1609" t="b">
        <f t="shared" si="285"/>
        <v>1</v>
      </c>
      <c r="I1609"/>
    </row>
    <row r="1610" spans="1:9" x14ac:dyDescent="0.25">
      <c r="A1610" t="str">
        <f>B1610&amp;"-"&amp;COUNTIF($B$2:B1610,B1610)</f>
        <v>I. TORTILLAS GR-25</v>
      </c>
      <c r="B1610" s="26" t="s">
        <v>7</v>
      </c>
      <c r="C1610">
        <f>VLOOKUP(B1610,RECETAS!D1609:$E$1700,2,FALSE)</f>
        <v>0</v>
      </c>
      <c r="D1610" s="17" t="s">
        <v>826</v>
      </c>
      <c r="G1610" t="b">
        <f t="shared" si="285"/>
        <v>1</v>
      </c>
      <c r="I1610"/>
    </row>
    <row r="1611" spans="1:9" x14ac:dyDescent="0.25">
      <c r="A1611" t="str">
        <f>B1611&amp;"-"&amp;COUNTIF($B$2:B1611,B1611)</f>
        <v>I. fil. pollo ques-7</v>
      </c>
      <c r="B1611" s="35" t="s">
        <v>74</v>
      </c>
      <c r="C1611">
        <f>VLOOKUP(B1611,RECETAS!D1610:$E$1700,2,FALSE)</f>
        <v>0</v>
      </c>
      <c r="G1611" t="b">
        <f t="shared" si="285"/>
        <v>1</v>
      </c>
      <c r="I1611"/>
    </row>
    <row r="1612" spans="1:9" x14ac:dyDescent="0.25">
      <c r="A1612" t="str">
        <f>B1612&amp;"-"&amp;COUNTIF($B$2:B1612,B1612)</f>
        <v>I. PALTA-39</v>
      </c>
      <c r="B1612" s="35" t="s">
        <v>35</v>
      </c>
      <c r="C1612">
        <f>VLOOKUP(B1612,RECETAS!D1611:$E$1700,2,FALSE)</f>
        <v>0</v>
      </c>
      <c r="G1612" t="b">
        <f t="shared" si="285"/>
        <v>1</v>
      </c>
      <c r="I1612"/>
    </row>
    <row r="1613" spans="1:9" x14ac:dyDescent="0.25">
      <c r="A1613" t="str">
        <f>B1613&amp;"-"&amp;COUNTIF($B$2:B1613,B1613)</f>
        <v>I. CHAMP. PORCION-18</v>
      </c>
      <c r="B1613" s="35" t="s">
        <v>8</v>
      </c>
      <c r="C1613">
        <f>VLOOKUP(B1613,RECETAS!D1612:$E$1700,2,FALSE)</f>
        <v>0</v>
      </c>
      <c r="G1613" t="b">
        <f t="shared" si="285"/>
        <v>1</v>
      </c>
      <c r="I1613"/>
    </row>
    <row r="1614" spans="1:9" x14ac:dyDescent="0.25">
      <c r="A1614" t="str">
        <f>B1614&amp;"-"&amp;COUNTIF($B$2:B1614,B1614)</f>
        <v>I. QUESO GRANULADO-71</v>
      </c>
      <c r="B1614" s="35" t="s">
        <v>9</v>
      </c>
      <c r="C1614">
        <f>VLOOKUP(B1614,RECETAS!D1613:$E$1700,2,FALSE)</f>
        <v>0</v>
      </c>
      <c r="G1614" t="b">
        <f t="shared" si="285"/>
        <v>1</v>
      </c>
      <c r="I1614"/>
    </row>
    <row r="1615" spans="1:9" x14ac:dyDescent="0.25">
      <c r="A1615" t="str">
        <f>B1615&amp;"-"&amp;COUNTIF($B$2:B1615,B1615)</f>
        <v>I. TORTILLAS GR-26</v>
      </c>
      <c r="B1615" s="35" t="s">
        <v>7</v>
      </c>
      <c r="C1615">
        <f>VLOOKUP(B1615,RECETAS!D1614:$E$1700,2,FALSE)</f>
        <v>0</v>
      </c>
      <c r="G1615" t="b">
        <f t="shared" si="285"/>
        <v>1</v>
      </c>
      <c r="I1615"/>
    </row>
    <row r="1616" spans="1:9" x14ac:dyDescent="0.25">
      <c r="A1616" t="str">
        <f>B1616&amp;"-"&amp;COUNTIF($B$2:B1616,B1616)</f>
        <v>I. PALTA-40</v>
      </c>
      <c r="B1616" s="35" t="s">
        <v>35</v>
      </c>
      <c r="C1616">
        <f>VLOOKUP(B1616,RECETAS!D1615:$E$1700,2,FALSE)</f>
        <v>0</v>
      </c>
      <c r="G1616" t="b">
        <f t="shared" si="285"/>
        <v>1</v>
      </c>
      <c r="I1616"/>
    </row>
    <row r="1617" spans="1:9" x14ac:dyDescent="0.25">
      <c r="A1617" t="str">
        <f>B1617&amp;"-"&amp;COUNTIF($B$2:B1617,B1617)</f>
        <v>I. CHURRA QUES.-7</v>
      </c>
      <c r="B1617" s="35" t="s">
        <v>10</v>
      </c>
      <c r="C1617">
        <f>VLOOKUP(B1617,RECETAS!D1616:$E$1700,2,FALSE)</f>
        <v>0</v>
      </c>
      <c r="G1617" t="b">
        <f t="shared" si="285"/>
        <v>1</v>
      </c>
      <c r="I1617"/>
    </row>
    <row r="1618" spans="1:9" x14ac:dyDescent="0.25">
      <c r="A1618" t="str">
        <f>B1618&amp;"-"&amp;COUNTIF($B$2:B1618,B1618)</f>
        <v>I. QUESO GRANULADO-72</v>
      </c>
      <c r="B1618" s="35" t="s">
        <v>9</v>
      </c>
      <c r="C1618">
        <f>VLOOKUP(B1618,RECETAS!D1617:$E$1700,2,FALSE)</f>
        <v>0</v>
      </c>
      <c r="G1618" t="b">
        <f t="shared" si="285"/>
        <v>1</v>
      </c>
      <c r="I1618"/>
    </row>
    <row r="1619" spans="1:9" x14ac:dyDescent="0.25">
      <c r="A1619" t="str">
        <f>B1619&amp;"-"&amp;COUNTIF($B$2:B1619,B1619)</f>
        <v>I. TORTILLAS GR-27</v>
      </c>
      <c r="B1619" s="35" t="s">
        <v>7</v>
      </c>
      <c r="C1619">
        <f>VLOOKUP(B1619,RECETAS!D1618:$E$1700,2,FALSE)</f>
        <v>0</v>
      </c>
      <c r="G1619" t="b">
        <f t="shared" si="285"/>
        <v>1</v>
      </c>
      <c r="I1619"/>
    </row>
    <row r="1620" spans="1:9" x14ac:dyDescent="0.25">
      <c r="A1620" t="str">
        <f>B1620&amp;"-"&amp;COUNTIF($B$2:B1620,B1620)</f>
        <v>I. PALTA-41</v>
      </c>
      <c r="B1620" s="35" t="s">
        <v>35</v>
      </c>
      <c r="C1620">
        <f>VLOOKUP(B1620,RECETAS!D1619:$E$1700,2,FALSE)</f>
        <v>0</v>
      </c>
      <c r="G1620" t="b">
        <f t="shared" si="285"/>
        <v>1</v>
      </c>
      <c r="I1620"/>
    </row>
    <row r="1621" spans="1:9" x14ac:dyDescent="0.25">
      <c r="A1621" t="str">
        <f>B1621&amp;"-"&amp;COUNTIF($B$2:B1621,B1621)</f>
        <v>I. CAMARON PORCION-18</v>
      </c>
      <c r="B1621" s="35" t="s">
        <v>6</v>
      </c>
      <c r="C1621">
        <f>VLOOKUP(B1621,RECETAS!D1620:$E$1700,2,FALSE)</f>
        <v>0</v>
      </c>
      <c r="G1621" t="b">
        <f t="shared" si="285"/>
        <v>1</v>
      </c>
      <c r="I1621"/>
    </row>
    <row r="1622" spans="1:9" x14ac:dyDescent="0.25">
      <c r="A1622" t="str">
        <f>B1622&amp;"-"&amp;COUNTIF($B$2:B1622,B1622)</f>
        <v>I. QUESO GRANULADO-73</v>
      </c>
      <c r="B1622" s="35" t="s">
        <v>9</v>
      </c>
      <c r="C1622">
        <f>VLOOKUP(B1622,RECETAS!D1621:$E$1700,2,FALSE)</f>
        <v>0</v>
      </c>
      <c r="G1622" t="b">
        <f t="shared" si="285"/>
        <v>1</v>
      </c>
      <c r="I1622"/>
    </row>
    <row r="1623" spans="1:9" x14ac:dyDescent="0.25">
      <c r="A1623" t="str">
        <f>B1623&amp;"-"&amp;COUNTIF($B$2:B1623,B1623)</f>
        <v>I. LIMON PICA-68</v>
      </c>
      <c r="B1623" s="35" t="s">
        <v>636</v>
      </c>
      <c r="C1623">
        <f>VLOOKUP(B1623,RECETAS!D1622:$E$1700,2,FALSE)</f>
        <v>0</v>
      </c>
      <c r="G1623" t="b">
        <f t="shared" si="285"/>
        <v>1</v>
      </c>
      <c r="I1623"/>
    </row>
    <row r="1624" spans="1:9" x14ac:dyDescent="0.25">
      <c r="A1624" t="str">
        <f>B1624&amp;"-"&amp;COUNTIF($B$2:B1624,B1624)</f>
        <v>I. MINERAL1.6LT  C/G-59</v>
      </c>
      <c r="B1624" s="35" t="s">
        <v>97</v>
      </c>
      <c r="C1624">
        <f>VLOOKUP(B1624,RECETAS!D1623:$E$1700,2,FALSE)</f>
        <v>0</v>
      </c>
      <c r="G1624" t="b">
        <f t="shared" si="285"/>
        <v>1</v>
      </c>
      <c r="I1624"/>
    </row>
    <row r="1625" spans="1:9" x14ac:dyDescent="0.25">
      <c r="A1625" t="str">
        <f>B1625&amp;"-"&amp;COUNTIF($B$2:B1625,B1625)</f>
        <v>I. MENTA-55</v>
      </c>
      <c r="B1625" s="35" t="s">
        <v>637</v>
      </c>
      <c r="C1625">
        <f>VLOOKUP(B1625,RECETAS!D1624:$E$1700,2,FALSE)</f>
        <v>0</v>
      </c>
      <c r="G1625" t="b">
        <f t="shared" si="285"/>
        <v>1</v>
      </c>
      <c r="I1625"/>
    </row>
    <row r="1626" spans="1:9" x14ac:dyDescent="0.25">
      <c r="A1626" t="str">
        <f>B1626&amp;"-"&amp;COUNTIF($B$2:B1626,B1626)</f>
        <v>I. AZUCAR FLOR-128</v>
      </c>
      <c r="B1626" s="35" t="s">
        <v>51</v>
      </c>
      <c r="C1626">
        <f>VLOOKUP(B1626,RECETAS!D1625:$E$1700,2,FALSE)</f>
        <v>0</v>
      </c>
      <c r="G1626" t="b">
        <f t="shared" si="285"/>
        <v>1</v>
      </c>
      <c r="I1626"/>
    </row>
    <row r="1627" spans="1:9" x14ac:dyDescent="0.25">
      <c r="A1627" t="str">
        <f>B1627&amp;"-"&amp;COUNTIF($B$2:B1627,B1627)</f>
        <v>I. PULPA LIMON-124</v>
      </c>
      <c r="B1627" s="35" t="s">
        <v>106</v>
      </c>
      <c r="C1627">
        <f>VLOOKUP(B1627,RECETAS!D1626:$E$1700,2,FALSE)</f>
        <v>0</v>
      </c>
      <c r="G1627" t="b">
        <f t="shared" si="285"/>
        <v>1</v>
      </c>
      <c r="I1627"/>
    </row>
    <row r="1628" spans="1:9" ht="15.75" thickBot="1" x14ac:dyDescent="0.3">
      <c r="A1628" t="str">
        <f>B1628&amp;"-"&amp;COUNTIF($B$2:B1628,B1628)</f>
        <v>I. RON BLANCO BATALLA-59</v>
      </c>
      <c r="B1628" s="28" t="s">
        <v>116</v>
      </c>
      <c r="C1628">
        <f>VLOOKUP(B1628,RECETAS!D1627:$E$1700,2,FALSE)</f>
        <v>0</v>
      </c>
      <c r="G1628" t="b">
        <f t="shared" si="285"/>
        <v>1</v>
      </c>
      <c r="I1628"/>
    </row>
    <row r="1629" spans="1:9" x14ac:dyDescent="0.25">
      <c r="A1629" t="str">
        <f>B1629&amp;"-"&amp;COUNTIF($B$2:B1629,B1629)</f>
        <v>I. TORTILLAS GR-28</v>
      </c>
      <c r="B1629" s="26" t="s">
        <v>7</v>
      </c>
      <c r="C1629">
        <f>VLOOKUP(B1629,RECETAS!D1628:$E$1700,2,FALSE)</f>
        <v>0</v>
      </c>
      <c r="D1629" s="15" t="s">
        <v>827</v>
      </c>
      <c r="G1629" t="b">
        <f t="shared" si="285"/>
        <v>1</v>
      </c>
      <c r="I1629"/>
    </row>
    <row r="1630" spans="1:9" x14ac:dyDescent="0.25">
      <c r="A1630" t="str">
        <f>B1630&amp;"-"&amp;COUNTIF($B$2:B1630,B1630)</f>
        <v>I. PALTA-42</v>
      </c>
      <c r="B1630" s="35" t="s">
        <v>35</v>
      </c>
      <c r="C1630">
        <f>VLOOKUP(B1630,RECETAS!D1629:$E$1700,2,FALSE)</f>
        <v>0</v>
      </c>
      <c r="G1630" t="b">
        <f t="shared" si="285"/>
        <v>1</v>
      </c>
      <c r="I1630"/>
    </row>
    <row r="1631" spans="1:9" x14ac:dyDescent="0.25">
      <c r="A1631" t="str">
        <f>B1631&amp;"-"&amp;COUNTIF($B$2:B1631,B1631)</f>
        <v>I. CHURRA QUES.-8</v>
      </c>
      <c r="B1631" s="35" t="s">
        <v>10</v>
      </c>
      <c r="C1631">
        <f>VLOOKUP(B1631,RECETAS!D1630:$E$1700,2,FALSE)</f>
        <v>0</v>
      </c>
      <c r="G1631" t="b">
        <f t="shared" si="285"/>
        <v>1</v>
      </c>
      <c r="I1631"/>
    </row>
    <row r="1632" spans="1:9" x14ac:dyDescent="0.25">
      <c r="A1632" t="str">
        <f>B1632&amp;"-"&amp;COUNTIF($B$2:B1632,B1632)</f>
        <v>I. QUESO GRANULADO-74</v>
      </c>
      <c r="B1632" s="35" t="s">
        <v>9</v>
      </c>
      <c r="C1632">
        <f>VLOOKUP(B1632,RECETAS!D1631:$E$1700,2,FALSE)</f>
        <v>0</v>
      </c>
      <c r="G1632" t="b">
        <f t="shared" si="285"/>
        <v>1</v>
      </c>
      <c r="I1632"/>
    </row>
    <row r="1633" spans="1:9" x14ac:dyDescent="0.25">
      <c r="A1633" t="str">
        <f>B1633&amp;"-"&amp;COUNTIF($B$2:B1633,B1633)</f>
        <v>I. CREMA ESPESA-83</v>
      </c>
      <c r="B1633" s="33" t="s">
        <v>16</v>
      </c>
      <c r="C1633">
        <f>VLOOKUP(B1633,RECETAS!D1632:$E$1700,2,FALSE)</f>
        <v>0</v>
      </c>
      <c r="G1633" t="b">
        <f t="shared" si="285"/>
        <v>1</v>
      </c>
      <c r="I1633"/>
    </row>
    <row r="1634" spans="1:9" ht="15.75" thickBot="1" x14ac:dyDescent="0.3">
      <c r="A1634" t="str">
        <f>B1634&amp;"-"&amp;COUNTIF($B$2:B1634,B1634)</f>
        <v>I. TANQUERAY ROYAL-3</v>
      </c>
      <c r="B1634" s="249" t="s">
        <v>820</v>
      </c>
      <c r="C1634">
        <f>VLOOKUP(B1634,RECETAS!D1633:$E$1700,2,FALSE)</f>
        <v>0</v>
      </c>
      <c r="D1634" s="15" t="s">
        <v>829</v>
      </c>
      <c r="G1634" t="b">
        <f t="shared" si="285"/>
        <v>1</v>
      </c>
      <c r="I1634"/>
    </row>
    <row r="1635" spans="1:9" ht="15.75" thickBot="1" x14ac:dyDescent="0.3">
      <c r="A1635" t="str">
        <f>B1635&amp;"-"&amp;COUNTIF($B$2:B1635,B1635)</f>
        <v>I. HAMBURGUESA-10</v>
      </c>
      <c r="B1635" s="26" t="s">
        <v>26</v>
      </c>
      <c r="C1635">
        <f>VLOOKUP(B1635,RECETAS!D1634:$E$1700,2,FALSE)</f>
        <v>0</v>
      </c>
      <c r="D1635" s="15" t="s">
        <v>828</v>
      </c>
      <c r="G1635" t="b">
        <f t="shared" si="285"/>
        <v>1</v>
      </c>
      <c r="I1635"/>
    </row>
    <row r="1636" spans="1:9" x14ac:dyDescent="0.25">
      <c r="A1636" t="str">
        <f>B1636&amp;"-"&amp;COUNTIF($B$2:B1636,B1636)</f>
        <v>I. MENTA-56</v>
      </c>
      <c r="B1636" s="37" t="s">
        <v>637</v>
      </c>
      <c r="C1636">
        <f>VLOOKUP(B1636,RECETAS!D1635:$E$1700,2,FALSE)</f>
        <v>0</v>
      </c>
      <c r="D1636" s="15" t="s">
        <v>830</v>
      </c>
      <c r="G1636" t="b">
        <f t="shared" si="285"/>
        <v>1</v>
      </c>
      <c r="I1636"/>
    </row>
    <row r="1637" spans="1:9" x14ac:dyDescent="0.25">
      <c r="A1637" t="str">
        <f>B1637&amp;"-"&amp;COUNTIF($B$2:B1637,B1637)</f>
        <v>I. LIMON PICA-69</v>
      </c>
      <c r="B1637" s="38" t="s">
        <v>636</v>
      </c>
      <c r="C1637">
        <f>VLOOKUP(B1637,RECETAS!D1636:$E$1700,2,FALSE)</f>
        <v>0</v>
      </c>
      <c r="G1637" t="b">
        <f t="shared" si="285"/>
        <v>1</v>
      </c>
      <c r="I1637"/>
    </row>
    <row r="1638" spans="1:9" x14ac:dyDescent="0.25">
      <c r="A1638" t="str">
        <f>B1638&amp;"-"&amp;COUNTIF($B$2:B1638,B1638)</f>
        <v>I. MINERAL1.6LT  C/G-60</v>
      </c>
      <c r="B1638" s="38" t="s">
        <v>97</v>
      </c>
      <c r="C1638">
        <f>VLOOKUP(B1638,RECETAS!D1637:$E$1700,2,FALSE)</f>
        <v>0</v>
      </c>
      <c r="G1638" t="b">
        <f t="shared" si="285"/>
        <v>1</v>
      </c>
      <c r="I1638"/>
    </row>
    <row r="1639" spans="1:9" x14ac:dyDescent="0.25">
      <c r="A1639" t="str">
        <f>B1639&amp;"-"&amp;COUNTIF($B$2:B1639,B1639)</f>
        <v>I. AZUCAR FLOR-129</v>
      </c>
      <c r="B1639" s="38" t="s">
        <v>51</v>
      </c>
      <c r="C1639">
        <f>VLOOKUP(B1639,RECETAS!D1638:$E$1700,2,FALSE)</f>
        <v>0</v>
      </c>
      <c r="G1639" t="b">
        <f t="shared" si="285"/>
        <v>1</v>
      </c>
      <c r="I1639"/>
    </row>
    <row r="1640" spans="1:9" x14ac:dyDescent="0.25">
      <c r="A1640" t="str">
        <f>B1640&amp;"-"&amp;COUNTIF($B$2:B1640,B1640)</f>
        <v>I. PULPA LIMON-125</v>
      </c>
      <c r="B1640" s="38" t="s">
        <v>106</v>
      </c>
      <c r="C1640">
        <f>VLOOKUP(B1640,RECETAS!D1639:$E$1700,2,FALSE)</f>
        <v>0</v>
      </c>
      <c r="G1640" t="b">
        <f t="shared" si="285"/>
        <v>1</v>
      </c>
      <c r="I1640"/>
    </row>
    <row r="1641" spans="1:9" x14ac:dyDescent="0.25">
      <c r="A1641" t="str">
        <f>B1641&amp;"-"&amp;COUNTIF($B$2:B1641,B1641)</f>
        <v>I. RON BLANCO BATALLA-60</v>
      </c>
      <c r="B1641" s="38" t="s">
        <v>116</v>
      </c>
      <c r="C1641">
        <f>VLOOKUP(B1641,RECETAS!D1640:$E$1700,2,FALSE)</f>
        <v>0</v>
      </c>
      <c r="G1641" t="b">
        <f t="shared" si="285"/>
        <v>1</v>
      </c>
      <c r="I1641"/>
    </row>
    <row r="1642" spans="1:9" ht="15.75" thickBot="1" x14ac:dyDescent="0.3">
      <c r="A1642" t="str">
        <f>B1642&amp;"-"&amp;COUNTIF($B$2:B1642,B1642)</f>
        <v>I. CORONA-10</v>
      </c>
      <c r="B1642" s="41" t="s">
        <v>65</v>
      </c>
      <c r="C1642">
        <f>VLOOKUP(B1642,RECETAS!D1641:$E$1700,2,FALSE)</f>
        <v>0</v>
      </c>
      <c r="G1642" t="b">
        <f t="shared" si="285"/>
        <v>1</v>
      </c>
      <c r="I1642"/>
    </row>
    <row r="1643" spans="1:9" x14ac:dyDescent="0.25">
      <c r="A1643" t="str">
        <f>B1643&amp;"-"&amp;COUNTIF($B$2:B1643,B1643)</f>
        <v>I. CRUDO PORC-4</v>
      </c>
      <c r="B1643" s="26" t="s">
        <v>14</v>
      </c>
      <c r="C1643">
        <f>VLOOKUP(B1643,RECETAS!D1642:$E$1700,2,FALSE)</f>
        <v>0</v>
      </c>
      <c r="D1643" s="17" t="s">
        <v>831</v>
      </c>
      <c r="G1643" t="b">
        <f t="shared" si="285"/>
        <v>1</v>
      </c>
      <c r="I1643"/>
    </row>
    <row r="1644" spans="1:9" ht="15.75" thickBot="1" x14ac:dyDescent="0.3">
      <c r="A1644" t="str">
        <f>B1644&amp;"-"&amp;COUNTIF($B$2:B1644,B1644)</f>
        <v>I. BAGUETTE-16</v>
      </c>
      <c r="B1644" s="33" t="s">
        <v>311</v>
      </c>
      <c r="C1644">
        <f>VLOOKUP(B1644,RECETAS!D1643:$E$1700,2,FALSE)</f>
        <v>0</v>
      </c>
      <c r="G1644" t="b">
        <f t="shared" si="285"/>
        <v>1</v>
      </c>
      <c r="I1644"/>
    </row>
    <row r="1645" spans="1:9" ht="15.75" thickBot="1" x14ac:dyDescent="0.3">
      <c r="A1645" t="str">
        <f>B1645&amp;"-"&amp;COUNTIF($B$2:B1645,B1645)</f>
        <v>I. TANQUERAY LONDON-3</v>
      </c>
      <c r="B1645" s="47" t="s">
        <v>275</v>
      </c>
      <c r="C1645">
        <f>VLOOKUP(B1645,RECETAS!D1644:$E$1700,2,FALSE)</f>
        <v>0</v>
      </c>
      <c r="D1645" s="17" t="s">
        <v>832</v>
      </c>
      <c r="G1645" t="b">
        <f t="shared" si="285"/>
        <v>1</v>
      </c>
      <c r="I1645"/>
    </row>
    <row r="1646" spans="1:9" ht="15.75" thickBot="1" x14ac:dyDescent="0.3">
      <c r="A1646" t="str">
        <f>B1646&amp;"-"&amp;COUNTIF($B$2:B1646,B1646)</f>
        <v>I. RBULL SUGAR FRE-3</v>
      </c>
      <c r="B1646" s="47" t="s">
        <v>111</v>
      </c>
      <c r="C1646">
        <f>VLOOKUP(B1646,RECETAS!D1645:$E$1700,2,FALSE)</f>
        <v>0</v>
      </c>
      <c r="G1646" t="b">
        <f t="shared" si="285"/>
        <v>1</v>
      </c>
      <c r="I1646"/>
    </row>
    <row r="1647" spans="1:9" x14ac:dyDescent="0.25">
      <c r="A1647" t="str">
        <f>B1647&amp;"-"&amp;COUNTIF($B$2:B1647,B1647)</f>
        <v>I. CORONA-11</v>
      </c>
      <c r="B1647" s="37" t="s">
        <v>65</v>
      </c>
      <c r="C1647">
        <f>VLOOKUP(B1647,RECETAS!D1646:$E$1700,2,FALSE)</f>
        <v>0</v>
      </c>
      <c r="D1647" s="17" t="s">
        <v>833</v>
      </c>
      <c r="G1647" t="b">
        <f t="shared" si="285"/>
        <v>1</v>
      </c>
      <c r="I1647"/>
    </row>
    <row r="1648" spans="1:9" x14ac:dyDescent="0.25">
      <c r="A1648" t="str">
        <f>B1648&amp;"-"&amp;COUNTIF($B$2:B1648,B1648)</f>
        <v>I. TORTILLAS CH-7</v>
      </c>
      <c r="B1648" s="35" t="s">
        <v>4</v>
      </c>
      <c r="C1648">
        <f>VLOOKUP(B1648,RECETAS!D1647:$E$1700,2,FALSE)</f>
        <v>0</v>
      </c>
      <c r="G1648" t="b">
        <f t="shared" si="285"/>
        <v>1</v>
      </c>
      <c r="I1648"/>
    </row>
    <row r="1649" spans="1:9" x14ac:dyDescent="0.25">
      <c r="A1649" t="str">
        <f>B1649&amp;"-"&amp;COUNTIF($B$2:B1649,B1649)</f>
        <v>I. LOMO 250-12</v>
      </c>
      <c r="B1649" s="35" t="s">
        <v>11</v>
      </c>
      <c r="C1649">
        <f>VLOOKUP(B1649,RECETAS!D1648:$E$1700,2,FALSE)</f>
        <v>0</v>
      </c>
      <c r="G1649" t="b">
        <f t="shared" si="285"/>
        <v>1</v>
      </c>
      <c r="I1649"/>
    </row>
    <row r="1650" spans="1:9" x14ac:dyDescent="0.25">
      <c r="A1650" t="str">
        <f>B1650&amp;"-"&amp;COUNTIF($B$2:B1650,B1650)</f>
        <v>I. FILETILLO POLLO-18</v>
      </c>
      <c r="B1650" s="35" t="s">
        <v>5</v>
      </c>
      <c r="C1650">
        <f>VLOOKUP(B1650,RECETAS!D1649:$E$1700,2,FALSE)</f>
        <v>0</v>
      </c>
      <c r="G1650" t="b">
        <f t="shared" si="285"/>
        <v>1</v>
      </c>
      <c r="I1650"/>
    </row>
    <row r="1651" spans="1:9" x14ac:dyDescent="0.25">
      <c r="A1651" t="str">
        <f>B1651&amp;"-"&amp;COUNTIF($B$2:B1651,B1651)</f>
        <v>I. CHAMP. PORCION-19</v>
      </c>
      <c r="B1651" s="35" t="s">
        <v>8</v>
      </c>
      <c r="C1651">
        <f>VLOOKUP(B1651,RECETAS!D1650:$E$1700,2,FALSE)</f>
        <v>0</v>
      </c>
      <c r="G1651" t="b">
        <f t="shared" si="285"/>
        <v>1</v>
      </c>
      <c r="I1651"/>
    </row>
    <row r="1652" spans="1:9" x14ac:dyDescent="0.25">
      <c r="A1652" t="str">
        <f>B1652&amp;"-"&amp;COUNTIF($B$2:B1652,B1652)</f>
        <v>I. PALTA-43</v>
      </c>
      <c r="B1652" s="35" t="s">
        <v>35</v>
      </c>
      <c r="C1652">
        <f>VLOOKUP(B1652,RECETAS!D1651:$E$1700,2,FALSE)</f>
        <v>0</v>
      </c>
      <c r="G1652" t="b">
        <f t="shared" si="285"/>
        <v>1</v>
      </c>
      <c r="I1652"/>
    </row>
    <row r="1653" spans="1:9" x14ac:dyDescent="0.25">
      <c r="A1653" t="str">
        <f>B1653&amp;"-"&amp;COUNTIF($B$2:B1653,B1653)</f>
        <v>I. QUESO GRANULADO-75</v>
      </c>
      <c r="B1653" s="35" t="s">
        <v>9</v>
      </c>
      <c r="C1653">
        <f>VLOOKUP(B1653,RECETAS!D1652:$E$1700,2,FALSE)</f>
        <v>0</v>
      </c>
      <c r="G1653" t="b">
        <f t="shared" si="285"/>
        <v>1</v>
      </c>
      <c r="I1653"/>
    </row>
    <row r="1654" spans="1:9" x14ac:dyDescent="0.25">
      <c r="A1654" t="str">
        <f>B1654&amp;"-"&amp;COUNTIF($B$2:B1654,B1654)</f>
        <v>I. TOMATE-10</v>
      </c>
      <c r="B1654" s="35" t="s">
        <v>34</v>
      </c>
      <c r="C1654">
        <f>VLOOKUP(B1654,RECETAS!D1653:$E$1700,2,FALSE)</f>
        <v>0</v>
      </c>
      <c r="G1654" t="b">
        <f t="shared" si="285"/>
        <v>1</v>
      </c>
      <c r="I1654"/>
    </row>
    <row r="1655" spans="1:9" x14ac:dyDescent="0.25">
      <c r="A1655" t="str">
        <f>B1655&amp;"-"&amp;COUNTIF($B$2:B1655,B1655)</f>
        <v>I. CAMARON PORCION-19</v>
      </c>
      <c r="B1655" s="35" t="s">
        <v>6</v>
      </c>
      <c r="C1655">
        <f>VLOOKUP(B1655,RECETAS!D1654:$E$1700,2,FALSE)</f>
        <v>0</v>
      </c>
      <c r="G1655" t="b">
        <f t="shared" si="285"/>
        <v>1</v>
      </c>
      <c r="I1655"/>
    </row>
    <row r="1656" spans="1:9" ht="15.75" thickBot="1" x14ac:dyDescent="0.3">
      <c r="A1656" t="str">
        <f>B1656&amp;"-"&amp;COUNTIF($B$2:B1656,B1656)</f>
        <v>I. CREMA ESPESA-84</v>
      </c>
      <c r="B1656" s="28" t="s">
        <v>16</v>
      </c>
      <c r="C1656">
        <f>VLOOKUP(B1656,RECETAS!D1655:$E$1700,2,FALSE)</f>
        <v>0</v>
      </c>
      <c r="G1656" t="b">
        <f t="shared" si="285"/>
        <v>1</v>
      </c>
      <c r="I1656"/>
    </row>
    <row r="1657" spans="1:9" x14ac:dyDescent="0.25">
      <c r="I1657"/>
    </row>
    <row r="1658" spans="1:9" x14ac:dyDescent="0.25">
      <c r="I1658"/>
    </row>
    <row r="1659" spans="1:9" x14ac:dyDescent="0.25">
      <c r="I1659"/>
    </row>
    <row r="1660" spans="1:9" x14ac:dyDescent="0.25">
      <c r="I1660"/>
    </row>
    <row r="1661" spans="1:9" x14ac:dyDescent="0.25">
      <c r="I1661"/>
    </row>
    <row r="1662" spans="1:9" x14ac:dyDescent="0.25">
      <c r="I1662"/>
    </row>
    <row r="1663" spans="1:9" x14ac:dyDescent="0.25">
      <c r="I1663"/>
    </row>
    <row r="1664" spans="1:9" x14ac:dyDescent="0.25">
      <c r="I1664"/>
    </row>
    <row r="1665" spans="9:9" x14ac:dyDescent="0.25">
      <c r="I1665"/>
    </row>
    <row r="1666" spans="9:9" x14ac:dyDescent="0.25">
      <c r="I1666"/>
    </row>
    <row r="1667" spans="9:9" x14ac:dyDescent="0.25">
      <c r="I1667"/>
    </row>
    <row r="1668" spans="9:9" x14ac:dyDescent="0.25">
      <c r="I1668"/>
    </row>
    <row r="1669" spans="9:9" x14ac:dyDescent="0.25">
      <c r="I1669"/>
    </row>
    <row r="1670" spans="9:9" x14ac:dyDescent="0.25">
      <c r="I1670"/>
    </row>
    <row r="1671" spans="9:9" x14ac:dyDescent="0.25">
      <c r="I1671"/>
    </row>
    <row r="1672" spans="9:9" x14ac:dyDescent="0.25">
      <c r="I1672"/>
    </row>
    <row r="1673" spans="9:9" x14ac:dyDescent="0.25">
      <c r="I1673"/>
    </row>
    <row r="1674" spans="9:9" x14ac:dyDescent="0.25">
      <c r="I1674"/>
    </row>
    <row r="1675" spans="9:9" x14ac:dyDescent="0.25">
      <c r="I1675"/>
    </row>
    <row r="1676" spans="9:9" x14ac:dyDescent="0.25">
      <c r="I1676"/>
    </row>
    <row r="1677" spans="9:9" x14ac:dyDescent="0.25">
      <c r="I1677"/>
    </row>
    <row r="1678" spans="9:9" x14ac:dyDescent="0.25">
      <c r="I1678"/>
    </row>
    <row r="1679" spans="9:9" x14ac:dyDescent="0.25">
      <c r="I1679"/>
    </row>
    <row r="1680" spans="9:9" x14ac:dyDescent="0.25">
      <c r="I1680"/>
    </row>
    <row r="1681" spans="9:9" x14ac:dyDescent="0.25">
      <c r="I1681"/>
    </row>
    <row r="1682" spans="9:9" x14ac:dyDescent="0.25">
      <c r="I1682"/>
    </row>
    <row r="1683" spans="9:9" x14ac:dyDescent="0.25">
      <c r="I1683"/>
    </row>
    <row r="1684" spans="9:9" x14ac:dyDescent="0.25">
      <c r="I1684"/>
    </row>
    <row r="1685" spans="9:9" x14ac:dyDescent="0.25">
      <c r="I1685"/>
    </row>
    <row r="1686" spans="9:9" x14ac:dyDescent="0.25">
      <c r="I1686"/>
    </row>
    <row r="1687" spans="9:9" x14ac:dyDescent="0.25">
      <c r="I1687"/>
    </row>
    <row r="1688" spans="9:9" x14ac:dyDescent="0.25">
      <c r="I1688"/>
    </row>
    <row r="1689" spans="9:9" x14ac:dyDescent="0.25">
      <c r="I1689"/>
    </row>
    <row r="1690" spans="9:9" x14ac:dyDescent="0.25">
      <c r="I1690"/>
    </row>
    <row r="1691" spans="9:9" x14ac:dyDescent="0.25">
      <c r="I1691"/>
    </row>
    <row r="1692" spans="9:9" x14ac:dyDescent="0.25">
      <c r="I1692"/>
    </row>
    <row r="1693" spans="9:9" x14ac:dyDescent="0.25">
      <c r="I1693"/>
    </row>
    <row r="1694" spans="9:9" x14ac:dyDescent="0.25">
      <c r="I1694"/>
    </row>
    <row r="1695" spans="9:9" x14ac:dyDescent="0.25">
      <c r="I1695"/>
    </row>
    <row r="1696" spans="9:9" x14ac:dyDescent="0.25">
      <c r="I1696"/>
    </row>
    <row r="1697" spans="9:9" x14ac:dyDescent="0.25">
      <c r="I1697"/>
    </row>
    <row r="1698" spans="9:9" x14ac:dyDescent="0.25">
      <c r="I1698"/>
    </row>
    <row r="1699" spans="9:9" x14ac:dyDescent="0.25">
      <c r="I1699"/>
    </row>
    <row r="1700" spans="9:9" x14ac:dyDescent="0.25">
      <c r="I1700"/>
    </row>
    <row r="1701" spans="9:9" x14ac:dyDescent="0.25">
      <c r="I1701"/>
    </row>
    <row r="1702" spans="9:9" x14ac:dyDescent="0.25">
      <c r="I1702"/>
    </row>
    <row r="1703" spans="9:9" x14ac:dyDescent="0.25">
      <c r="I1703"/>
    </row>
    <row r="1704" spans="9:9" x14ac:dyDescent="0.25">
      <c r="I1704"/>
    </row>
    <row r="1705" spans="9:9" x14ac:dyDescent="0.25">
      <c r="I1705"/>
    </row>
    <row r="1706" spans="9:9" x14ac:dyDescent="0.25">
      <c r="I1706"/>
    </row>
    <row r="1707" spans="9:9" x14ac:dyDescent="0.25">
      <c r="I1707"/>
    </row>
    <row r="1708" spans="9:9" x14ac:dyDescent="0.25">
      <c r="I1708"/>
    </row>
    <row r="1709" spans="9:9" x14ac:dyDescent="0.25">
      <c r="I1709"/>
    </row>
    <row r="1710" spans="9:9" x14ac:dyDescent="0.25">
      <c r="I1710"/>
    </row>
    <row r="1711" spans="9:9" x14ac:dyDescent="0.25">
      <c r="I1711"/>
    </row>
    <row r="1712" spans="9:9" x14ac:dyDescent="0.25">
      <c r="I1712"/>
    </row>
    <row r="1713" spans="9:9" x14ac:dyDescent="0.25">
      <c r="I1713"/>
    </row>
    <row r="1714" spans="9:9" x14ac:dyDescent="0.25">
      <c r="I1714"/>
    </row>
    <row r="1715" spans="9:9" x14ac:dyDescent="0.25">
      <c r="I1715"/>
    </row>
    <row r="1716" spans="9:9" x14ac:dyDescent="0.25">
      <c r="I1716"/>
    </row>
    <row r="1717" spans="9:9" x14ac:dyDescent="0.25">
      <c r="I1717"/>
    </row>
    <row r="1718" spans="9:9" x14ac:dyDescent="0.25">
      <c r="I1718"/>
    </row>
    <row r="1719" spans="9:9" x14ac:dyDescent="0.25">
      <c r="I1719"/>
    </row>
    <row r="1720" spans="9:9" x14ac:dyDescent="0.25">
      <c r="I1720"/>
    </row>
    <row r="1721" spans="9:9" x14ac:dyDescent="0.25">
      <c r="I1721"/>
    </row>
    <row r="1722" spans="9:9" x14ac:dyDescent="0.25">
      <c r="I1722"/>
    </row>
    <row r="1723" spans="9:9" x14ac:dyDescent="0.25">
      <c r="I1723"/>
    </row>
    <row r="1724" spans="9:9" x14ac:dyDescent="0.25">
      <c r="I1724"/>
    </row>
    <row r="1725" spans="9:9" x14ac:dyDescent="0.25">
      <c r="I1725"/>
    </row>
    <row r="1726" spans="9:9" x14ac:dyDescent="0.25">
      <c r="I1726"/>
    </row>
    <row r="1727" spans="9:9" x14ac:dyDescent="0.25">
      <c r="I1727"/>
    </row>
    <row r="1728" spans="9:9" x14ac:dyDescent="0.25">
      <c r="I1728"/>
    </row>
    <row r="1729" spans="9:9" x14ac:dyDescent="0.25">
      <c r="I1729"/>
    </row>
    <row r="1730" spans="9:9" x14ac:dyDescent="0.25">
      <c r="I1730"/>
    </row>
    <row r="1731" spans="9:9" x14ac:dyDescent="0.25">
      <c r="I1731"/>
    </row>
    <row r="1732" spans="9:9" x14ac:dyDescent="0.25">
      <c r="I1732"/>
    </row>
    <row r="1733" spans="9:9" x14ac:dyDescent="0.25">
      <c r="I1733"/>
    </row>
    <row r="1734" spans="9:9" x14ac:dyDescent="0.25">
      <c r="I1734"/>
    </row>
    <row r="1735" spans="9:9" x14ac:dyDescent="0.25">
      <c r="I1735"/>
    </row>
    <row r="1736" spans="9:9" x14ac:dyDescent="0.25">
      <c r="I1736"/>
    </row>
    <row r="1737" spans="9:9" x14ac:dyDescent="0.25">
      <c r="I1737"/>
    </row>
    <row r="1738" spans="9:9" x14ac:dyDescent="0.25">
      <c r="I1738"/>
    </row>
    <row r="1739" spans="9:9" x14ac:dyDescent="0.25">
      <c r="I1739"/>
    </row>
    <row r="1740" spans="9:9" x14ac:dyDescent="0.25">
      <c r="I1740"/>
    </row>
    <row r="1741" spans="9:9" x14ac:dyDescent="0.25">
      <c r="I1741"/>
    </row>
    <row r="1742" spans="9:9" x14ac:dyDescent="0.25">
      <c r="I1742"/>
    </row>
    <row r="1743" spans="9:9" x14ac:dyDescent="0.25">
      <c r="I1743"/>
    </row>
    <row r="1744" spans="9:9" x14ac:dyDescent="0.25">
      <c r="I1744"/>
    </row>
    <row r="1745" spans="9:9" x14ac:dyDescent="0.25">
      <c r="I1745"/>
    </row>
    <row r="1746" spans="9:9" x14ac:dyDescent="0.25">
      <c r="I1746"/>
    </row>
    <row r="1747" spans="9:9" x14ac:dyDescent="0.25">
      <c r="I1747"/>
    </row>
    <row r="1748" spans="9:9" x14ac:dyDescent="0.25">
      <c r="I1748"/>
    </row>
    <row r="1749" spans="9:9" x14ac:dyDescent="0.25">
      <c r="I1749"/>
    </row>
    <row r="1750" spans="9:9" x14ac:dyDescent="0.25">
      <c r="I1750"/>
    </row>
    <row r="1751" spans="9:9" x14ac:dyDescent="0.25">
      <c r="I1751"/>
    </row>
    <row r="1752" spans="9:9" x14ac:dyDescent="0.25">
      <c r="I1752"/>
    </row>
    <row r="1753" spans="9:9" x14ac:dyDescent="0.25">
      <c r="I1753"/>
    </row>
    <row r="1754" spans="9:9" x14ac:dyDescent="0.25">
      <c r="I1754"/>
    </row>
    <row r="1755" spans="9:9" x14ac:dyDescent="0.25">
      <c r="I1755"/>
    </row>
    <row r="1756" spans="9:9" x14ac:dyDescent="0.25">
      <c r="I1756"/>
    </row>
    <row r="1757" spans="9:9" x14ac:dyDescent="0.25">
      <c r="I1757"/>
    </row>
    <row r="1758" spans="9:9" x14ac:dyDescent="0.25">
      <c r="I1758"/>
    </row>
    <row r="1759" spans="9:9" x14ac:dyDescent="0.25">
      <c r="I1759"/>
    </row>
    <row r="1760" spans="9:9" x14ac:dyDescent="0.25">
      <c r="I1760"/>
    </row>
    <row r="1761" spans="9:9" x14ac:dyDescent="0.25">
      <c r="I1761"/>
    </row>
    <row r="1762" spans="9:9" x14ac:dyDescent="0.25">
      <c r="I1762"/>
    </row>
    <row r="1763" spans="9:9" x14ac:dyDescent="0.25">
      <c r="I1763"/>
    </row>
    <row r="1764" spans="9:9" x14ac:dyDescent="0.25">
      <c r="I1764"/>
    </row>
    <row r="1765" spans="9:9" x14ac:dyDescent="0.25">
      <c r="I1765"/>
    </row>
    <row r="1766" spans="9:9" x14ac:dyDescent="0.25">
      <c r="I1766"/>
    </row>
    <row r="1767" spans="9:9" x14ac:dyDescent="0.25">
      <c r="I1767"/>
    </row>
    <row r="1768" spans="9:9" x14ac:dyDescent="0.25">
      <c r="I1768"/>
    </row>
    <row r="1769" spans="9:9" x14ac:dyDescent="0.25">
      <c r="I1769"/>
    </row>
    <row r="1770" spans="9:9" x14ac:dyDescent="0.25">
      <c r="I1770"/>
    </row>
    <row r="1771" spans="9:9" x14ac:dyDescent="0.25">
      <c r="I1771"/>
    </row>
    <row r="1772" spans="9:9" x14ac:dyDescent="0.25">
      <c r="I1772"/>
    </row>
    <row r="1773" spans="9:9" x14ac:dyDescent="0.25">
      <c r="I1773"/>
    </row>
    <row r="1774" spans="9:9" x14ac:dyDescent="0.25">
      <c r="I1774"/>
    </row>
    <row r="1775" spans="9:9" x14ac:dyDescent="0.25">
      <c r="I1775"/>
    </row>
    <row r="1776" spans="9:9" x14ac:dyDescent="0.25">
      <c r="I1776"/>
    </row>
    <row r="1777" spans="9:9" x14ac:dyDescent="0.25">
      <c r="I1777"/>
    </row>
    <row r="1778" spans="9:9" x14ac:dyDescent="0.25">
      <c r="I1778"/>
    </row>
    <row r="1779" spans="9:9" x14ac:dyDescent="0.25">
      <c r="I1779"/>
    </row>
    <row r="1780" spans="9:9" x14ac:dyDescent="0.25">
      <c r="I1780"/>
    </row>
    <row r="1781" spans="9:9" x14ac:dyDescent="0.25">
      <c r="I1781"/>
    </row>
    <row r="1782" spans="9:9" x14ac:dyDescent="0.25">
      <c r="I1782"/>
    </row>
    <row r="1783" spans="9:9" x14ac:dyDescent="0.25">
      <c r="I1783"/>
    </row>
    <row r="1784" spans="9:9" x14ac:dyDescent="0.25">
      <c r="I1784"/>
    </row>
    <row r="1785" spans="9:9" x14ac:dyDescent="0.25">
      <c r="I1785"/>
    </row>
    <row r="1786" spans="9:9" x14ac:dyDescent="0.25">
      <c r="I1786"/>
    </row>
    <row r="1787" spans="9:9" x14ac:dyDescent="0.25">
      <c r="I1787"/>
    </row>
    <row r="1788" spans="9:9" x14ac:dyDescent="0.25">
      <c r="I1788"/>
    </row>
    <row r="1789" spans="9:9" x14ac:dyDescent="0.25">
      <c r="I1789"/>
    </row>
    <row r="1790" spans="9:9" x14ac:dyDescent="0.25">
      <c r="I1790"/>
    </row>
    <row r="1791" spans="9:9" x14ac:dyDescent="0.25">
      <c r="I1791"/>
    </row>
    <row r="1792" spans="9:9" x14ac:dyDescent="0.25">
      <c r="I1792"/>
    </row>
    <row r="1793" spans="9:9" x14ac:dyDescent="0.25">
      <c r="I1793"/>
    </row>
    <row r="1794" spans="9:9" x14ac:dyDescent="0.25">
      <c r="I1794"/>
    </row>
    <row r="1795" spans="9:9" x14ac:dyDescent="0.25">
      <c r="I1795"/>
    </row>
    <row r="1796" spans="9:9" x14ac:dyDescent="0.25">
      <c r="I1796"/>
    </row>
    <row r="1797" spans="9:9" x14ac:dyDescent="0.25">
      <c r="I1797"/>
    </row>
    <row r="1798" spans="9:9" x14ac:dyDescent="0.25">
      <c r="I1798"/>
    </row>
    <row r="1799" spans="9:9" x14ac:dyDescent="0.25">
      <c r="I1799"/>
    </row>
    <row r="1800" spans="9:9" x14ac:dyDescent="0.25">
      <c r="I1800"/>
    </row>
    <row r="1801" spans="9:9" x14ac:dyDescent="0.25">
      <c r="I1801"/>
    </row>
    <row r="1802" spans="9:9" x14ac:dyDescent="0.25">
      <c r="I1802"/>
    </row>
    <row r="1803" spans="9:9" x14ac:dyDescent="0.25">
      <c r="I1803"/>
    </row>
    <row r="1804" spans="9:9" x14ac:dyDescent="0.25">
      <c r="I1804"/>
    </row>
    <row r="1805" spans="9:9" x14ac:dyDescent="0.25">
      <c r="I1805"/>
    </row>
    <row r="1806" spans="9:9" x14ac:dyDescent="0.25">
      <c r="I1806"/>
    </row>
    <row r="1807" spans="9:9" x14ac:dyDescent="0.25">
      <c r="I1807"/>
    </row>
    <row r="1808" spans="9:9" x14ac:dyDescent="0.25">
      <c r="I1808"/>
    </row>
    <row r="1809" spans="9:9" x14ac:dyDescent="0.25">
      <c r="I1809"/>
    </row>
    <row r="1810" spans="9:9" x14ac:dyDescent="0.25">
      <c r="I1810"/>
    </row>
    <row r="1811" spans="9:9" x14ac:dyDescent="0.25">
      <c r="I1811"/>
    </row>
    <row r="1812" spans="9:9" x14ac:dyDescent="0.25">
      <c r="I1812"/>
    </row>
    <row r="1813" spans="9:9" x14ac:dyDescent="0.25">
      <c r="I1813"/>
    </row>
    <row r="1814" spans="9:9" x14ac:dyDescent="0.25">
      <c r="I1814"/>
    </row>
    <row r="1815" spans="9:9" x14ac:dyDescent="0.25">
      <c r="I1815"/>
    </row>
    <row r="1816" spans="9:9" x14ac:dyDescent="0.25">
      <c r="I1816"/>
    </row>
    <row r="1817" spans="9:9" x14ac:dyDescent="0.25">
      <c r="I1817"/>
    </row>
    <row r="1818" spans="9:9" x14ac:dyDescent="0.25">
      <c r="I1818"/>
    </row>
    <row r="1819" spans="9:9" x14ac:dyDescent="0.25">
      <c r="I1819"/>
    </row>
    <row r="1820" spans="9:9" x14ac:dyDescent="0.25">
      <c r="I1820"/>
    </row>
    <row r="1821" spans="9:9" x14ac:dyDescent="0.25">
      <c r="I1821"/>
    </row>
    <row r="1822" spans="9:9" x14ac:dyDescent="0.25">
      <c r="I1822"/>
    </row>
    <row r="1823" spans="9:9" x14ac:dyDescent="0.25">
      <c r="I1823"/>
    </row>
    <row r="1824" spans="9:9" x14ac:dyDescent="0.25">
      <c r="I1824"/>
    </row>
    <row r="1825" spans="9:9" x14ac:dyDescent="0.25">
      <c r="I1825"/>
    </row>
    <row r="1826" spans="9:9" x14ac:dyDescent="0.25">
      <c r="I1826"/>
    </row>
    <row r="1827" spans="9:9" x14ac:dyDescent="0.25">
      <c r="I1827"/>
    </row>
    <row r="1828" spans="9:9" x14ac:dyDescent="0.25">
      <c r="I1828"/>
    </row>
    <row r="1829" spans="9:9" x14ac:dyDescent="0.25">
      <c r="I1829"/>
    </row>
    <row r="1830" spans="9:9" x14ac:dyDescent="0.25">
      <c r="I1830"/>
    </row>
    <row r="1831" spans="9:9" x14ac:dyDescent="0.25">
      <c r="I1831"/>
    </row>
    <row r="1832" spans="9:9" x14ac:dyDescent="0.25">
      <c r="I1832"/>
    </row>
    <row r="1833" spans="9:9" x14ac:dyDescent="0.25">
      <c r="I1833"/>
    </row>
    <row r="1834" spans="9:9" x14ac:dyDescent="0.25">
      <c r="I1834"/>
    </row>
    <row r="1835" spans="9:9" x14ac:dyDescent="0.25">
      <c r="I1835"/>
    </row>
    <row r="1836" spans="9:9" x14ac:dyDescent="0.25">
      <c r="I1836"/>
    </row>
    <row r="1837" spans="9:9" x14ac:dyDescent="0.25">
      <c r="I1837"/>
    </row>
    <row r="1838" spans="9:9" x14ac:dyDescent="0.25">
      <c r="I1838"/>
    </row>
    <row r="1839" spans="9:9" x14ac:dyDescent="0.25">
      <c r="I1839"/>
    </row>
    <row r="1840" spans="9:9" x14ac:dyDescent="0.25">
      <c r="I1840"/>
    </row>
    <row r="1841" spans="9:9" x14ac:dyDescent="0.25">
      <c r="I1841"/>
    </row>
    <row r="1842" spans="9:9" x14ac:dyDescent="0.25">
      <c r="I1842"/>
    </row>
    <row r="1843" spans="9:9" x14ac:dyDescent="0.25">
      <c r="I1843"/>
    </row>
    <row r="1844" spans="9:9" x14ac:dyDescent="0.25">
      <c r="I1844"/>
    </row>
    <row r="1845" spans="9:9" x14ac:dyDescent="0.25">
      <c r="I1845"/>
    </row>
    <row r="1846" spans="9:9" x14ac:dyDescent="0.25">
      <c r="I1846"/>
    </row>
    <row r="1847" spans="9:9" x14ac:dyDescent="0.25">
      <c r="I1847"/>
    </row>
    <row r="1848" spans="9:9" x14ac:dyDescent="0.25">
      <c r="I1848"/>
    </row>
    <row r="1849" spans="9:9" x14ac:dyDescent="0.25">
      <c r="I1849"/>
    </row>
    <row r="1850" spans="9:9" x14ac:dyDescent="0.25">
      <c r="I1850"/>
    </row>
    <row r="1851" spans="9:9" x14ac:dyDescent="0.25">
      <c r="I1851"/>
    </row>
    <row r="1852" spans="9:9" x14ac:dyDescent="0.25">
      <c r="I1852"/>
    </row>
    <row r="1853" spans="9:9" x14ac:dyDescent="0.25">
      <c r="I1853"/>
    </row>
    <row r="1854" spans="9:9" x14ac:dyDescent="0.25">
      <c r="I1854"/>
    </row>
    <row r="1855" spans="9:9" x14ac:dyDescent="0.25">
      <c r="I1855"/>
    </row>
    <row r="1856" spans="9:9" x14ac:dyDescent="0.25">
      <c r="I1856"/>
    </row>
    <row r="1857" spans="9:9" x14ac:dyDescent="0.25">
      <c r="I1857"/>
    </row>
    <row r="1858" spans="9:9" x14ac:dyDescent="0.25">
      <c r="I1858"/>
    </row>
    <row r="1859" spans="9:9" x14ac:dyDescent="0.25">
      <c r="I1859"/>
    </row>
    <row r="1860" spans="9:9" x14ac:dyDescent="0.25">
      <c r="I1860"/>
    </row>
    <row r="1861" spans="9:9" x14ac:dyDescent="0.25">
      <c r="I1861"/>
    </row>
    <row r="1862" spans="9:9" x14ac:dyDescent="0.25">
      <c r="I1862"/>
    </row>
    <row r="1863" spans="9:9" x14ac:dyDescent="0.25">
      <c r="I1863"/>
    </row>
    <row r="1864" spans="9:9" x14ac:dyDescent="0.25">
      <c r="I1864"/>
    </row>
    <row r="1865" spans="9:9" x14ac:dyDescent="0.25">
      <c r="I1865"/>
    </row>
    <row r="1866" spans="9:9" x14ac:dyDescent="0.25">
      <c r="I1866"/>
    </row>
    <row r="1867" spans="9:9" x14ac:dyDescent="0.25">
      <c r="I1867"/>
    </row>
    <row r="1868" spans="9:9" x14ac:dyDescent="0.25">
      <c r="I1868"/>
    </row>
    <row r="1869" spans="9:9" x14ac:dyDescent="0.25">
      <c r="I1869"/>
    </row>
    <row r="1870" spans="9:9" x14ac:dyDescent="0.25">
      <c r="I1870"/>
    </row>
    <row r="1871" spans="9:9" x14ac:dyDescent="0.25">
      <c r="I1871"/>
    </row>
    <row r="1872" spans="9:9" x14ac:dyDescent="0.25">
      <c r="I1872"/>
    </row>
    <row r="1873" spans="9:9" x14ac:dyDescent="0.25">
      <c r="I1873"/>
    </row>
    <row r="1874" spans="9:9" x14ac:dyDescent="0.25">
      <c r="I1874"/>
    </row>
    <row r="1875" spans="9:9" x14ac:dyDescent="0.25">
      <c r="I1875"/>
    </row>
    <row r="1876" spans="9:9" x14ac:dyDescent="0.25">
      <c r="I1876"/>
    </row>
    <row r="1877" spans="9:9" x14ac:dyDescent="0.25">
      <c r="I1877"/>
    </row>
    <row r="1878" spans="9:9" x14ac:dyDescent="0.25">
      <c r="I1878"/>
    </row>
    <row r="1879" spans="9:9" x14ac:dyDescent="0.25">
      <c r="I1879"/>
    </row>
    <row r="1880" spans="9:9" x14ac:dyDescent="0.25">
      <c r="I1880"/>
    </row>
    <row r="1881" spans="9:9" x14ac:dyDescent="0.25">
      <c r="I1881"/>
    </row>
    <row r="1882" spans="9:9" x14ac:dyDescent="0.25">
      <c r="I1882"/>
    </row>
    <row r="1883" spans="9:9" x14ac:dyDescent="0.25">
      <c r="I1883"/>
    </row>
    <row r="1884" spans="9:9" x14ac:dyDescent="0.25">
      <c r="I1884"/>
    </row>
    <row r="1885" spans="9:9" x14ac:dyDescent="0.25">
      <c r="I1885"/>
    </row>
    <row r="1886" spans="9:9" x14ac:dyDescent="0.25">
      <c r="I1886"/>
    </row>
    <row r="1887" spans="9:9" x14ac:dyDescent="0.25">
      <c r="I1887"/>
    </row>
    <row r="1888" spans="9:9" x14ac:dyDescent="0.25">
      <c r="I1888"/>
    </row>
    <row r="1889" spans="9:9" x14ac:dyDescent="0.25">
      <c r="I1889"/>
    </row>
    <row r="1890" spans="9:9" x14ac:dyDescent="0.25">
      <c r="I1890"/>
    </row>
    <row r="1891" spans="9:9" x14ac:dyDescent="0.25">
      <c r="I1891"/>
    </row>
    <row r="1892" spans="9:9" x14ac:dyDescent="0.25">
      <c r="I1892"/>
    </row>
    <row r="1893" spans="9:9" x14ac:dyDescent="0.25">
      <c r="I1893"/>
    </row>
    <row r="1894" spans="9:9" x14ac:dyDescent="0.25">
      <c r="I1894"/>
    </row>
    <row r="1895" spans="9:9" x14ac:dyDescent="0.25">
      <c r="I1895"/>
    </row>
    <row r="1896" spans="9:9" x14ac:dyDescent="0.25">
      <c r="I1896"/>
    </row>
    <row r="1897" spans="9:9" x14ac:dyDescent="0.25">
      <c r="I1897"/>
    </row>
    <row r="1898" spans="9:9" x14ac:dyDescent="0.25">
      <c r="I1898"/>
    </row>
    <row r="1899" spans="9:9" x14ac:dyDescent="0.25">
      <c r="I1899"/>
    </row>
    <row r="1900" spans="9:9" x14ac:dyDescent="0.25">
      <c r="I1900"/>
    </row>
    <row r="1901" spans="9:9" x14ac:dyDescent="0.25">
      <c r="I1901"/>
    </row>
    <row r="1902" spans="9:9" x14ac:dyDescent="0.25">
      <c r="I1902"/>
    </row>
    <row r="1903" spans="9:9" x14ac:dyDescent="0.25">
      <c r="I1903"/>
    </row>
    <row r="1904" spans="9:9" x14ac:dyDescent="0.25">
      <c r="I1904"/>
    </row>
    <row r="1905" spans="9:9" x14ac:dyDescent="0.25">
      <c r="I1905"/>
    </row>
    <row r="1906" spans="9:9" x14ac:dyDescent="0.25">
      <c r="I1906"/>
    </row>
    <row r="1907" spans="9:9" x14ac:dyDescent="0.25">
      <c r="I1907"/>
    </row>
    <row r="1908" spans="9:9" x14ac:dyDescent="0.25">
      <c r="I1908"/>
    </row>
    <row r="1909" spans="9:9" x14ac:dyDescent="0.25">
      <c r="I1909"/>
    </row>
    <row r="1910" spans="9:9" x14ac:dyDescent="0.25">
      <c r="I1910"/>
    </row>
    <row r="1911" spans="9:9" x14ac:dyDescent="0.25">
      <c r="I1911"/>
    </row>
    <row r="1912" spans="9:9" x14ac:dyDescent="0.25">
      <c r="I1912"/>
    </row>
    <row r="1913" spans="9:9" x14ac:dyDescent="0.25">
      <c r="I1913"/>
    </row>
    <row r="1914" spans="9:9" x14ac:dyDescent="0.25">
      <c r="I1914"/>
    </row>
    <row r="1915" spans="9:9" x14ac:dyDescent="0.25">
      <c r="I1915"/>
    </row>
    <row r="1916" spans="9:9" x14ac:dyDescent="0.25">
      <c r="I1916"/>
    </row>
    <row r="1917" spans="9:9" x14ac:dyDescent="0.25">
      <c r="I1917"/>
    </row>
    <row r="1918" spans="9:9" x14ac:dyDescent="0.25">
      <c r="I1918"/>
    </row>
    <row r="1919" spans="9:9" x14ac:dyDescent="0.25">
      <c r="I1919"/>
    </row>
    <row r="1920" spans="9:9" x14ac:dyDescent="0.25">
      <c r="I1920"/>
    </row>
    <row r="1921" spans="9:9" x14ac:dyDescent="0.25">
      <c r="I1921"/>
    </row>
    <row r="1922" spans="9:9" x14ac:dyDescent="0.25">
      <c r="I1922"/>
    </row>
    <row r="1923" spans="9:9" x14ac:dyDescent="0.25">
      <c r="I1923"/>
    </row>
    <row r="1924" spans="9:9" x14ac:dyDescent="0.25">
      <c r="I1924"/>
    </row>
    <row r="1925" spans="9:9" x14ac:dyDescent="0.25">
      <c r="I1925"/>
    </row>
    <row r="1926" spans="9:9" x14ac:dyDescent="0.25">
      <c r="I1926"/>
    </row>
    <row r="1927" spans="9:9" x14ac:dyDescent="0.25">
      <c r="I1927"/>
    </row>
    <row r="1928" spans="9:9" x14ac:dyDescent="0.25">
      <c r="I1928"/>
    </row>
    <row r="1929" spans="9:9" x14ac:dyDescent="0.25">
      <c r="I1929"/>
    </row>
    <row r="1930" spans="9:9" x14ac:dyDescent="0.25">
      <c r="I1930"/>
    </row>
    <row r="1931" spans="9:9" x14ac:dyDescent="0.25">
      <c r="I1931"/>
    </row>
    <row r="1932" spans="9:9" x14ac:dyDescent="0.25">
      <c r="I1932"/>
    </row>
    <row r="1933" spans="9:9" x14ac:dyDescent="0.25">
      <c r="I1933"/>
    </row>
    <row r="1934" spans="9:9" x14ac:dyDescent="0.25">
      <c r="I1934"/>
    </row>
    <row r="1935" spans="9:9" x14ac:dyDescent="0.25">
      <c r="I1935"/>
    </row>
    <row r="1936" spans="9:9" x14ac:dyDescent="0.25">
      <c r="I1936"/>
    </row>
    <row r="1937" spans="9:9" x14ac:dyDescent="0.25">
      <c r="I1937"/>
    </row>
    <row r="1938" spans="9:9" x14ac:dyDescent="0.25">
      <c r="I1938"/>
    </row>
    <row r="1939" spans="9:9" x14ac:dyDescent="0.25">
      <c r="I1939"/>
    </row>
    <row r="1940" spans="9:9" x14ac:dyDescent="0.25">
      <c r="I1940"/>
    </row>
    <row r="1941" spans="9:9" x14ac:dyDescent="0.25">
      <c r="I1941"/>
    </row>
    <row r="1942" spans="9:9" x14ac:dyDescent="0.25">
      <c r="I1942"/>
    </row>
    <row r="1943" spans="9:9" x14ac:dyDescent="0.25">
      <c r="I1943"/>
    </row>
    <row r="1944" spans="9:9" x14ac:dyDescent="0.25">
      <c r="I1944"/>
    </row>
    <row r="1945" spans="9:9" x14ac:dyDescent="0.25">
      <c r="I1945"/>
    </row>
    <row r="1946" spans="9:9" x14ac:dyDescent="0.25">
      <c r="I1946"/>
    </row>
    <row r="1947" spans="9:9" x14ac:dyDescent="0.25">
      <c r="I1947"/>
    </row>
    <row r="1948" spans="9:9" x14ac:dyDescent="0.25">
      <c r="I1948"/>
    </row>
    <row r="1949" spans="9:9" x14ac:dyDescent="0.25">
      <c r="I1949"/>
    </row>
    <row r="1950" spans="9:9" x14ac:dyDescent="0.25">
      <c r="I1950"/>
    </row>
    <row r="1951" spans="9:9" x14ac:dyDescent="0.25">
      <c r="I1951"/>
    </row>
    <row r="1952" spans="9:9" x14ac:dyDescent="0.25">
      <c r="I1952"/>
    </row>
    <row r="1953" spans="9:9" x14ac:dyDescent="0.25">
      <c r="I1953"/>
    </row>
    <row r="1954" spans="9:9" x14ac:dyDescent="0.25">
      <c r="I1954"/>
    </row>
    <row r="1955" spans="9:9" x14ac:dyDescent="0.25">
      <c r="I1955"/>
    </row>
    <row r="1956" spans="9:9" x14ac:dyDescent="0.25">
      <c r="I1956"/>
    </row>
    <row r="1957" spans="9:9" x14ac:dyDescent="0.25">
      <c r="I1957"/>
    </row>
    <row r="1958" spans="9:9" x14ac:dyDescent="0.25">
      <c r="I1958"/>
    </row>
    <row r="1959" spans="9:9" x14ac:dyDescent="0.25">
      <c r="I1959"/>
    </row>
    <row r="1960" spans="9:9" x14ac:dyDescent="0.25">
      <c r="I1960"/>
    </row>
    <row r="1961" spans="9:9" x14ac:dyDescent="0.25">
      <c r="I1961"/>
    </row>
    <row r="1962" spans="9:9" x14ac:dyDescent="0.25">
      <c r="I1962"/>
    </row>
    <row r="1963" spans="9:9" x14ac:dyDescent="0.25">
      <c r="I1963"/>
    </row>
    <row r="1964" spans="9:9" x14ac:dyDescent="0.25">
      <c r="I1964"/>
    </row>
    <row r="1965" spans="9:9" x14ac:dyDescent="0.25">
      <c r="I1965"/>
    </row>
    <row r="1966" spans="9:9" x14ac:dyDescent="0.25">
      <c r="I1966"/>
    </row>
    <row r="1967" spans="9:9" x14ac:dyDescent="0.25">
      <c r="I1967"/>
    </row>
    <row r="1968" spans="9:9" x14ac:dyDescent="0.25">
      <c r="I1968"/>
    </row>
    <row r="1969" spans="9:9" x14ac:dyDescent="0.25">
      <c r="I1969"/>
    </row>
    <row r="1970" spans="9:9" x14ac:dyDescent="0.25">
      <c r="I1970"/>
    </row>
    <row r="1971" spans="9:9" x14ac:dyDescent="0.25">
      <c r="I1971"/>
    </row>
    <row r="1972" spans="9:9" x14ac:dyDescent="0.25">
      <c r="I1972"/>
    </row>
    <row r="1973" spans="9:9" x14ac:dyDescent="0.25">
      <c r="I1973"/>
    </row>
    <row r="1974" spans="9:9" x14ac:dyDescent="0.25">
      <c r="I1974"/>
    </row>
    <row r="1975" spans="9:9" x14ac:dyDescent="0.25">
      <c r="I1975"/>
    </row>
    <row r="1976" spans="9:9" x14ac:dyDescent="0.25">
      <c r="I1976"/>
    </row>
    <row r="1977" spans="9:9" x14ac:dyDescent="0.25">
      <c r="I1977"/>
    </row>
    <row r="1978" spans="9:9" x14ac:dyDescent="0.25">
      <c r="I1978"/>
    </row>
    <row r="1979" spans="9:9" x14ac:dyDescent="0.25">
      <c r="I1979"/>
    </row>
    <row r="1980" spans="9:9" x14ac:dyDescent="0.25">
      <c r="I1980"/>
    </row>
    <row r="1981" spans="9:9" x14ac:dyDescent="0.25">
      <c r="I1981"/>
    </row>
    <row r="1982" spans="9:9" x14ac:dyDescent="0.25">
      <c r="I1982"/>
    </row>
    <row r="1983" spans="9:9" x14ac:dyDescent="0.25">
      <c r="I1983"/>
    </row>
    <row r="1984" spans="9:9" x14ac:dyDescent="0.25">
      <c r="I1984"/>
    </row>
    <row r="1985" spans="9:9" x14ac:dyDescent="0.25">
      <c r="I1985"/>
    </row>
    <row r="1986" spans="9:9" x14ac:dyDescent="0.25">
      <c r="I1986"/>
    </row>
    <row r="1987" spans="9:9" x14ac:dyDescent="0.25">
      <c r="I1987"/>
    </row>
    <row r="1988" spans="9:9" x14ac:dyDescent="0.25">
      <c r="I1988"/>
    </row>
    <row r="1989" spans="9:9" x14ac:dyDescent="0.25">
      <c r="I1989"/>
    </row>
    <row r="1990" spans="9:9" x14ac:dyDescent="0.25">
      <c r="I1990"/>
    </row>
    <row r="1991" spans="9:9" x14ac:dyDescent="0.25">
      <c r="I1991"/>
    </row>
    <row r="1992" spans="9:9" x14ac:dyDescent="0.25">
      <c r="I1992"/>
    </row>
    <row r="1993" spans="9:9" x14ac:dyDescent="0.25">
      <c r="I1993"/>
    </row>
    <row r="1994" spans="9:9" x14ac:dyDescent="0.25">
      <c r="I1994"/>
    </row>
    <row r="1995" spans="9:9" x14ac:dyDescent="0.25">
      <c r="I1995"/>
    </row>
    <row r="1996" spans="9:9" x14ac:dyDescent="0.25">
      <c r="I1996"/>
    </row>
    <row r="1997" spans="9:9" x14ac:dyDescent="0.25">
      <c r="I1997"/>
    </row>
    <row r="1998" spans="9:9" x14ac:dyDescent="0.25">
      <c r="I1998"/>
    </row>
    <row r="1999" spans="9:9" x14ac:dyDescent="0.25">
      <c r="I1999"/>
    </row>
    <row r="2000" spans="9:9" x14ac:dyDescent="0.25">
      <c r="I2000"/>
    </row>
    <row r="2001" spans="9:9" x14ac:dyDescent="0.25">
      <c r="I2001"/>
    </row>
    <row r="2002" spans="9:9" x14ac:dyDescent="0.25">
      <c r="I2002"/>
    </row>
    <row r="2003" spans="9:9" x14ac:dyDescent="0.25">
      <c r="I2003"/>
    </row>
    <row r="2004" spans="9:9" x14ac:dyDescent="0.25">
      <c r="I2004"/>
    </row>
    <row r="2005" spans="9:9" x14ac:dyDescent="0.25">
      <c r="I2005"/>
    </row>
    <row r="2006" spans="9:9" x14ac:dyDescent="0.25">
      <c r="I2006"/>
    </row>
    <row r="2007" spans="9:9" x14ac:dyDescent="0.25">
      <c r="I2007"/>
    </row>
    <row r="2008" spans="9:9" x14ac:dyDescent="0.25">
      <c r="I2008"/>
    </row>
    <row r="2009" spans="9:9" x14ac:dyDescent="0.25">
      <c r="I2009"/>
    </row>
    <row r="2010" spans="9:9" x14ac:dyDescent="0.25">
      <c r="I2010"/>
    </row>
    <row r="2011" spans="9:9" x14ac:dyDescent="0.25">
      <c r="I2011"/>
    </row>
    <row r="2012" spans="9:9" x14ac:dyDescent="0.25">
      <c r="I2012"/>
    </row>
    <row r="2013" spans="9:9" x14ac:dyDescent="0.25">
      <c r="I2013"/>
    </row>
    <row r="2014" spans="9:9" x14ac:dyDescent="0.25">
      <c r="I2014"/>
    </row>
    <row r="2015" spans="9:9" x14ac:dyDescent="0.25">
      <c r="I2015"/>
    </row>
    <row r="2016" spans="9:9" x14ac:dyDescent="0.25">
      <c r="I2016"/>
    </row>
    <row r="2017" spans="9:9" x14ac:dyDescent="0.25">
      <c r="I2017"/>
    </row>
    <row r="2018" spans="9:9" x14ac:dyDescent="0.25">
      <c r="I2018"/>
    </row>
    <row r="2019" spans="9:9" x14ac:dyDescent="0.25">
      <c r="I2019"/>
    </row>
    <row r="2020" spans="9:9" x14ac:dyDescent="0.25">
      <c r="I2020"/>
    </row>
    <row r="2021" spans="9:9" x14ac:dyDescent="0.25">
      <c r="I2021"/>
    </row>
    <row r="2022" spans="9:9" x14ac:dyDescent="0.25">
      <c r="I2022"/>
    </row>
    <row r="2023" spans="9:9" x14ac:dyDescent="0.25">
      <c r="I2023"/>
    </row>
    <row r="2024" spans="9:9" x14ac:dyDescent="0.25">
      <c r="I2024"/>
    </row>
    <row r="2025" spans="9:9" x14ac:dyDescent="0.25">
      <c r="I2025"/>
    </row>
    <row r="2026" spans="9:9" x14ac:dyDescent="0.25">
      <c r="I2026"/>
    </row>
    <row r="2027" spans="9:9" x14ac:dyDescent="0.25">
      <c r="I2027"/>
    </row>
    <row r="2028" spans="9:9" x14ac:dyDescent="0.25">
      <c r="I2028"/>
    </row>
    <row r="2029" spans="9:9" x14ac:dyDescent="0.25">
      <c r="I2029"/>
    </row>
    <row r="2030" spans="9:9" x14ac:dyDescent="0.25">
      <c r="I2030"/>
    </row>
    <row r="2031" spans="9:9" x14ac:dyDescent="0.25">
      <c r="I2031"/>
    </row>
    <row r="2032" spans="9:9" x14ac:dyDescent="0.25">
      <c r="I2032"/>
    </row>
    <row r="2033" spans="9:9" x14ac:dyDescent="0.25">
      <c r="I2033"/>
    </row>
    <row r="2034" spans="9:9" x14ac:dyDescent="0.25">
      <c r="I2034"/>
    </row>
    <row r="2035" spans="9:9" x14ac:dyDescent="0.25">
      <c r="I2035"/>
    </row>
    <row r="2036" spans="9:9" x14ac:dyDescent="0.25">
      <c r="I2036"/>
    </row>
    <row r="2037" spans="9:9" x14ac:dyDescent="0.25">
      <c r="I2037"/>
    </row>
    <row r="2038" spans="9:9" x14ac:dyDescent="0.25">
      <c r="I2038"/>
    </row>
    <row r="2039" spans="9:9" x14ac:dyDescent="0.25">
      <c r="I2039"/>
    </row>
    <row r="2040" spans="9:9" x14ac:dyDescent="0.25">
      <c r="I2040"/>
    </row>
    <row r="2041" spans="9:9" x14ac:dyDescent="0.25">
      <c r="I2041"/>
    </row>
    <row r="2042" spans="9:9" x14ac:dyDescent="0.25">
      <c r="I2042"/>
    </row>
    <row r="2043" spans="9:9" x14ac:dyDescent="0.25">
      <c r="I2043"/>
    </row>
    <row r="2044" spans="9:9" x14ac:dyDescent="0.25">
      <c r="I2044"/>
    </row>
    <row r="2045" spans="9:9" x14ac:dyDescent="0.25">
      <c r="I2045"/>
    </row>
    <row r="2046" spans="9:9" x14ac:dyDescent="0.25">
      <c r="I2046"/>
    </row>
    <row r="2047" spans="9:9" x14ac:dyDescent="0.25">
      <c r="I2047"/>
    </row>
    <row r="2048" spans="9:9" x14ac:dyDescent="0.25">
      <c r="I2048"/>
    </row>
    <row r="2049" spans="9:9" x14ac:dyDescent="0.25">
      <c r="I2049"/>
    </row>
    <row r="2050" spans="9:9" x14ac:dyDescent="0.25">
      <c r="I2050"/>
    </row>
    <row r="2051" spans="9:9" x14ac:dyDescent="0.25">
      <c r="I2051"/>
    </row>
    <row r="2052" spans="9:9" x14ac:dyDescent="0.25">
      <c r="I2052"/>
    </row>
    <row r="2053" spans="9:9" x14ac:dyDescent="0.25">
      <c r="I2053"/>
    </row>
    <row r="2054" spans="9:9" x14ac:dyDescent="0.25">
      <c r="I2054"/>
    </row>
    <row r="2055" spans="9:9" x14ac:dyDescent="0.25">
      <c r="I2055"/>
    </row>
    <row r="2056" spans="9:9" x14ac:dyDescent="0.25">
      <c r="I2056"/>
    </row>
    <row r="2057" spans="9:9" x14ac:dyDescent="0.25">
      <c r="I2057"/>
    </row>
    <row r="2058" spans="9:9" x14ac:dyDescent="0.25">
      <c r="I2058"/>
    </row>
    <row r="2059" spans="9:9" x14ac:dyDescent="0.25">
      <c r="I2059"/>
    </row>
    <row r="2060" spans="9:9" x14ac:dyDescent="0.25">
      <c r="I2060"/>
    </row>
    <row r="2061" spans="9:9" x14ac:dyDescent="0.25">
      <c r="I2061"/>
    </row>
    <row r="2062" spans="9:9" x14ac:dyDescent="0.25">
      <c r="I2062"/>
    </row>
    <row r="2063" spans="9:9" x14ac:dyDescent="0.25">
      <c r="I2063"/>
    </row>
    <row r="2064" spans="9:9" x14ac:dyDescent="0.25">
      <c r="I2064"/>
    </row>
    <row r="2065" spans="9:9" x14ac:dyDescent="0.25">
      <c r="I2065"/>
    </row>
    <row r="2066" spans="9:9" x14ac:dyDescent="0.25">
      <c r="I2066"/>
    </row>
    <row r="2067" spans="9:9" x14ac:dyDescent="0.25">
      <c r="I2067"/>
    </row>
    <row r="2068" spans="9:9" x14ac:dyDescent="0.25">
      <c r="I2068"/>
    </row>
    <row r="2069" spans="9:9" x14ac:dyDescent="0.25">
      <c r="I2069"/>
    </row>
    <row r="2070" spans="9:9" x14ac:dyDescent="0.25">
      <c r="I2070"/>
    </row>
    <row r="2071" spans="9:9" x14ac:dyDescent="0.25">
      <c r="I2071"/>
    </row>
    <row r="2072" spans="9:9" x14ac:dyDescent="0.25">
      <c r="I2072"/>
    </row>
    <row r="2073" spans="9:9" x14ac:dyDescent="0.25">
      <c r="I2073"/>
    </row>
    <row r="2074" spans="9:9" x14ac:dyDescent="0.25">
      <c r="I2074"/>
    </row>
    <row r="2075" spans="9:9" x14ac:dyDescent="0.25">
      <c r="I2075"/>
    </row>
    <row r="2076" spans="9:9" x14ac:dyDescent="0.25">
      <c r="I2076"/>
    </row>
    <row r="2077" spans="9:9" x14ac:dyDescent="0.25">
      <c r="I2077"/>
    </row>
    <row r="2078" spans="9:9" x14ac:dyDescent="0.25">
      <c r="I2078"/>
    </row>
    <row r="2079" spans="9:9" x14ac:dyDescent="0.25">
      <c r="I2079"/>
    </row>
    <row r="2080" spans="9:9" x14ac:dyDescent="0.25">
      <c r="I2080"/>
    </row>
    <row r="2081" spans="9:9" x14ac:dyDescent="0.25">
      <c r="I2081"/>
    </row>
    <row r="2082" spans="9:9" x14ac:dyDescent="0.25">
      <c r="I2082"/>
    </row>
    <row r="2083" spans="9:9" x14ac:dyDescent="0.25">
      <c r="I2083"/>
    </row>
    <row r="2084" spans="9:9" x14ac:dyDescent="0.25">
      <c r="I2084"/>
    </row>
    <row r="2085" spans="9:9" x14ac:dyDescent="0.25">
      <c r="I2085"/>
    </row>
    <row r="2086" spans="9:9" x14ac:dyDescent="0.25">
      <c r="I2086"/>
    </row>
    <row r="2087" spans="9:9" x14ac:dyDescent="0.25">
      <c r="I2087"/>
    </row>
    <row r="2088" spans="9:9" x14ac:dyDescent="0.25">
      <c r="I2088"/>
    </row>
    <row r="2089" spans="9:9" x14ac:dyDescent="0.25">
      <c r="I2089"/>
    </row>
    <row r="2090" spans="9:9" x14ac:dyDescent="0.25">
      <c r="I2090"/>
    </row>
    <row r="2091" spans="9:9" x14ac:dyDescent="0.25">
      <c r="I2091"/>
    </row>
    <row r="2092" spans="9:9" x14ac:dyDescent="0.25">
      <c r="I2092"/>
    </row>
    <row r="2093" spans="9:9" x14ac:dyDescent="0.25">
      <c r="I2093"/>
    </row>
    <row r="2094" spans="9:9" x14ac:dyDescent="0.25">
      <c r="I2094"/>
    </row>
    <row r="2095" spans="9:9" x14ac:dyDescent="0.25">
      <c r="I2095"/>
    </row>
    <row r="2096" spans="9:9" x14ac:dyDescent="0.25">
      <c r="I2096"/>
    </row>
    <row r="2097" spans="9:9" x14ac:dyDescent="0.25">
      <c r="I2097"/>
    </row>
    <row r="2098" spans="9:9" x14ac:dyDescent="0.25">
      <c r="I2098"/>
    </row>
    <row r="2099" spans="9:9" x14ac:dyDescent="0.25">
      <c r="I2099"/>
    </row>
    <row r="2100" spans="9:9" x14ac:dyDescent="0.25">
      <c r="I2100"/>
    </row>
    <row r="2101" spans="9:9" x14ac:dyDescent="0.25">
      <c r="I2101"/>
    </row>
    <row r="2102" spans="9:9" x14ac:dyDescent="0.25">
      <c r="I2102"/>
    </row>
    <row r="2103" spans="9:9" x14ac:dyDescent="0.25">
      <c r="I2103"/>
    </row>
    <row r="2104" spans="9:9" x14ac:dyDescent="0.25">
      <c r="I2104"/>
    </row>
    <row r="2105" spans="9:9" x14ac:dyDescent="0.25">
      <c r="I2105"/>
    </row>
    <row r="2106" spans="9:9" x14ac:dyDescent="0.25">
      <c r="I2106"/>
    </row>
    <row r="2107" spans="9:9" x14ac:dyDescent="0.25">
      <c r="I2107"/>
    </row>
    <row r="2108" spans="9:9" x14ac:dyDescent="0.25">
      <c r="I2108"/>
    </row>
    <row r="2109" spans="9:9" x14ac:dyDescent="0.25">
      <c r="I2109"/>
    </row>
    <row r="2110" spans="9:9" x14ac:dyDescent="0.25">
      <c r="I2110"/>
    </row>
    <row r="2111" spans="9:9" x14ac:dyDescent="0.25">
      <c r="I2111"/>
    </row>
    <row r="2112" spans="9:9" x14ac:dyDescent="0.25">
      <c r="I2112"/>
    </row>
    <row r="2113" spans="9:9" x14ac:dyDescent="0.25">
      <c r="I2113"/>
    </row>
    <row r="2114" spans="9:9" x14ac:dyDescent="0.25">
      <c r="I2114"/>
    </row>
    <row r="2115" spans="9:9" x14ac:dyDescent="0.25">
      <c r="I2115"/>
    </row>
    <row r="2116" spans="9:9" x14ac:dyDescent="0.25">
      <c r="I2116"/>
    </row>
    <row r="2117" spans="9:9" x14ac:dyDescent="0.25">
      <c r="I2117"/>
    </row>
    <row r="2118" spans="9:9" x14ac:dyDescent="0.25">
      <c r="I2118"/>
    </row>
    <row r="2119" spans="9:9" x14ac:dyDescent="0.25">
      <c r="I2119"/>
    </row>
    <row r="2120" spans="9:9" x14ac:dyDescent="0.25">
      <c r="I2120"/>
    </row>
    <row r="2121" spans="9:9" x14ac:dyDescent="0.25">
      <c r="I2121"/>
    </row>
    <row r="2122" spans="9:9" x14ac:dyDescent="0.25">
      <c r="I2122"/>
    </row>
    <row r="2123" spans="9:9" x14ac:dyDescent="0.25">
      <c r="I2123"/>
    </row>
    <row r="2124" spans="9:9" x14ac:dyDescent="0.25">
      <c r="I2124"/>
    </row>
    <row r="2125" spans="9:9" x14ac:dyDescent="0.25">
      <c r="I2125"/>
    </row>
    <row r="2126" spans="9:9" x14ac:dyDescent="0.25">
      <c r="I2126"/>
    </row>
    <row r="2127" spans="9:9" x14ac:dyDescent="0.25">
      <c r="I2127"/>
    </row>
    <row r="2128" spans="9:9" x14ac:dyDescent="0.25">
      <c r="I2128"/>
    </row>
    <row r="2129" spans="9:9" x14ac:dyDescent="0.25">
      <c r="I2129"/>
    </row>
    <row r="2130" spans="9:9" x14ac:dyDescent="0.25">
      <c r="I2130"/>
    </row>
    <row r="2131" spans="9:9" x14ac:dyDescent="0.25">
      <c r="I2131"/>
    </row>
    <row r="2132" spans="9:9" x14ac:dyDescent="0.25">
      <c r="I2132"/>
    </row>
    <row r="2133" spans="9:9" x14ac:dyDescent="0.25">
      <c r="I2133"/>
    </row>
    <row r="2134" spans="9:9" x14ac:dyDescent="0.25">
      <c r="I2134"/>
    </row>
    <row r="2135" spans="9:9" x14ac:dyDescent="0.25">
      <c r="I2135"/>
    </row>
    <row r="2136" spans="9:9" x14ac:dyDescent="0.25">
      <c r="I2136"/>
    </row>
    <row r="2137" spans="9:9" x14ac:dyDescent="0.25">
      <c r="I2137"/>
    </row>
    <row r="2138" spans="9:9" x14ac:dyDescent="0.25">
      <c r="I2138"/>
    </row>
    <row r="2139" spans="9:9" x14ac:dyDescent="0.25">
      <c r="I2139"/>
    </row>
    <row r="2140" spans="9:9" x14ac:dyDescent="0.25">
      <c r="I2140"/>
    </row>
    <row r="2141" spans="9:9" x14ac:dyDescent="0.25">
      <c r="I2141"/>
    </row>
    <row r="2142" spans="9:9" x14ac:dyDescent="0.25">
      <c r="I2142"/>
    </row>
    <row r="2143" spans="9:9" x14ac:dyDescent="0.25">
      <c r="I2143"/>
    </row>
    <row r="2144" spans="9:9" x14ac:dyDescent="0.25">
      <c r="I2144"/>
    </row>
    <row r="2145" spans="9:9" x14ac:dyDescent="0.25">
      <c r="I2145"/>
    </row>
    <row r="2146" spans="9:9" x14ac:dyDescent="0.25">
      <c r="I2146"/>
    </row>
    <row r="2147" spans="9:9" x14ac:dyDescent="0.25">
      <c r="I2147"/>
    </row>
    <row r="2148" spans="9:9" x14ac:dyDescent="0.25">
      <c r="I2148"/>
    </row>
    <row r="2149" spans="9:9" x14ac:dyDescent="0.25">
      <c r="I2149"/>
    </row>
    <row r="2150" spans="9:9" x14ac:dyDescent="0.25">
      <c r="I2150"/>
    </row>
    <row r="2151" spans="9:9" x14ac:dyDescent="0.25">
      <c r="I2151"/>
    </row>
    <row r="2152" spans="9:9" x14ac:dyDescent="0.25">
      <c r="I2152"/>
    </row>
    <row r="2153" spans="9:9" x14ac:dyDescent="0.25">
      <c r="I2153"/>
    </row>
    <row r="2154" spans="9:9" x14ac:dyDescent="0.25">
      <c r="I2154"/>
    </row>
    <row r="2155" spans="9:9" x14ac:dyDescent="0.25">
      <c r="I2155"/>
    </row>
    <row r="2156" spans="9:9" x14ac:dyDescent="0.25">
      <c r="I2156"/>
    </row>
    <row r="2157" spans="9:9" x14ac:dyDescent="0.25">
      <c r="I2157"/>
    </row>
    <row r="2158" spans="9:9" x14ac:dyDescent="0.25">
      <c r="I2158"/>
    </row>
    <row r="2159" spans="9:9" x14ac:dyDescent="0.25">
      <c r="I2159"/>
    </row>
    <row r="2160" spans="9:9" x14ac:dyDescent="0.25">
      <c r="I2160"/>
    </row>
    <row r="2161" spans="9:9" x14ac:dyDescent="0.25">
      <c r="I2161"/>
    </row>
    <row r="2162" spans="9:9" x14ac:dyDescent="0.25">
      <c r="I2162"/>
    </row>
    <row r="2163" spans="9:9" x14ac:dyDescent="0.25">
      <c r="I2163"/>
    </row>
    <row r="2164" spans="9:9" x14ac:dyDescent="0.25">
      <c r="I2164"/>
    </row>
    <row r="2165" spans="9:9" x14ac:dyDescent="0.25">
      <c r="I2165"/>
    </row>
    <row r="2166" spans="9:9" x14ac:dyDescent="0.25">
      <c r="I2166"/>
    </row>
    <row r="2167" spans="9:9" x14ac:dyDescent="0.25">
      <c r="I2167"/>
    </row>
    <row r="2168" spans="9:9" x14ac:dyDescent="0.25">
      <c r="I2168"/>
    </row>
    <row r="2169" spans="9:9" x14ac:dyDescent="0.25">
      <c r="I2169"/>
    </row>
    <row r="2170" spans="9:9" x14ac:dyDescent="0.25">
      <c r="I2170"/>
    </row>
    <row r="2171" spans="9:9" x14ac:dyDescent="0.25">
      <c r="I2171"/>
    </row>
    <row r="2172" spans="9:9" x14ac:dyDescent="0.25">
      <c r="I2172"/>
    </row>
    <row r="2173" spans="9:9" x14ac:dyDescent="0.25">
      <c r="I2173"/>
    </row>
    <row r="2174" spans="9:9" x14ac:dyDescent="0.25">
      <c r="I2174"/>
    </row>
    <row r="2175" spans="9:9" x14ac:dyDescent="0.25">
      <c r="I2175"/>
    </row>
    <row r="2176" spans="9:9" x14ac:dyDescent="0.25">
      <c r="I2176"/>
    </row>
    <row r="2177" spans="9:9" x14ac:dyDescent="0.25">
      <c r="I2177"/>
    </row>
    <row r="2178" spans="9:9" x14ac:dyDescent="0.25">
      <c r="I2178"/>
    </row>
    <row r="2179" spans="9:9" x14ac:dyDescent="0.25">
      <c r="I2179"/>
    </row>
    <row r="2180" spans="9:9" x14ac:dyDescent="0.25">
      <c r="I2180"/>
    </row>
    <row r="2181" spans="9:9" x14ac:dyDescent="0.25">
      <c r="I2181"/>
    </row>
    <row r="2182" spans="9:9" x14ac:dyDescent="0.25">
      <c r="I2182"/>
    </row>
    <row r="2183" spans="9:9" x14ac:dyDescent="0.25">
      <c r="I2183"/>
    </row>
    <row r="2184" spans="9:9" x14ac:dyDescent="0.25">
      <c r="I2184"/>
    </row>
    <row r="2185" spans="9:9" x14ac:dyDescent="0.25">
      <c r="I2185"/>
    </row>
    <row r="2186" spans="9:9" x14ac:dyDescent="0.25">
      <c r="I2186"/>
    </row>
    <row r="2187" spans="9:9" x14ac:dyDescent="0.25">
      <c r="I2187"/>
    </row>
    <row r="2188" spans="9:9" x14ac:dyDescent="0.25">
      <c r="I2188"/>
    </row>
    <row r="2189" spans="9:9" x14ac:dyDescent="0.25">
      <c r="I2189"/>
    </row>
    <row r="2190" spans="9:9" x14ac:dyDescent="0.25">
      <c r="I2190"/>
    </row>
    <row r="2191" spans="9:9" x14ac:dyDescent="0.25">
      <c r="I2191"/>
    </row>
    <row r="2192" spans="9:9" x14ac:dyDescent="0.25">
      <c r="I2192"/>
    </row>
    <row r="2193" spans="9:9" x14ac:dyDescent="0.25">
      <c r="I2193"/>
    </row>
    <row r="2194" spans="9:9" x14ac:dyDescent="0.25">
      <c r="I2194"/>
    </row>
    <row r="2195" spans="9:9" x14ac:dyDescent="0.25">
      <c r="I2195"/>
    </row>
    <row r="2196" spans="9:9" x14ac:dyDescent="0.25">
      <c r="I2196"/>
    </row>
    <row r="2197" spans="9:9" x14ac:dyDescent="0.25">
      <c r="I2197"/>
    </row>
    <row r="2198" spans="9:9" x14ac:dyDescent="0.25">
      <c r="I2198"/>
    </row>
    <row r="2199" spans="9:9" x14ac:dyDescent="0.25">
      <c r="I2199"/>
    </row>
    <row r="2200" spans="9:9" x14ac:dyDescent="0.25">
      <c r="I2200"/>
    </row>
    <row r="2201" spans="9:9" x14ac:dyDescent="0.25">
      <c r="I2201"/>
    </row>
    <row r="2202" spans="9:9" x14ac:dyDescent="0.25">
      <c r="I2202"/>
    </row>
    <row r="2203" spans="9:9" x14ac:dyDescent="0.25">
      <c r="I2203"/>
    </row>
    <row r="2204" spans="9:9" x14ac:dyDescent="0.25">
      <c r="I2204"/>
    </row>
    <row r="2205" spans="9:9" x14ac:dyDescent="0.25">
      <c r="I2205"/>
    </row>
    <row r="2206" spans="9:9" x14ac:dyDescent="0.25">
      <c r="I2206"/>
    </row>
    <row r="2207" spans="9:9" x14ac:dyDescent="0.25">
      <c r="I2207"/>
    </row>
    <row r="2208" spans="9:9" x14ac:dyDescent="0.25">
      <c r="I2208"/>
    </row>
    <row r="2209" spans="9:9" x14ac:dyDescent="0.25">
      <c r="I2209"/>
    </row>
    <row r="2210" spans="9:9" x14ac:dyDescent="0.25">
      <c r="I2210"/>
    </row>
    <row r="2211" spans="9:9" x14ac:dyDescent="0.25">
      <c r="I2211"/>
    </row>
    <row r="2212" spans="9:9" x14ac:dyDescent="0.25">
      <c r="I2212"/>
    </row>
    <row r="2213" spans="9:9" x14ac:dyDescent="0.25">
      <c r="I2213"/>
    </row>
    <row r="2214" spans="9:9" x14ac:dyDescent="0.25">
      <c r="I2214"/>
    </row>
    <row r="2215" spans="9:9" x14ac:dyDescent="0.25">
      <c r="I2215"/>
    </row>
    <row r="2216" spans="9:9" x14ac:dyDescent="0.25">
      <c r="I2216"/>
    </row>
    <row r="2217" spans="9:9" x14ac:dyDescent="0.25">
      <c r="I2217"/>
    </row>
    <row r="2218" spans="9:9" x14ac:dyDescent="0.25">
      <c r="I2218"/>
    </row>
    <row r="2219" spans="9:9" x14ac:dyDescent="0.25">
      <c r="I2219"/>
    </row>
    <row r="2220" spans="9:9" x14ac:dyDescent="0.25">
      <c r="I2220"/>
    </row>
    <row r="2221" spans="9:9" x14ac:dyDescent="0.25">
      <c r="I2221"/>
    </row>
    <row r="2222" spans="9:9" x14ac:dyDescent="0.25">
      <c r="I2222"/>
    </row>
    <row r="2223" spans="9:9" x14ac:dyDescent="0.25">
      <c r="I2223"/>
    </row>
    <row r="2224" spans="9:9" x14ac:dyDescent="0.25">
      <c r="I2224"/>
    </row>
    <row r="2225" spans="9:9" x14ac:dyDescent="0.25">
      <c r="I2225"/>
    </row>
    <row r="2226" spans="9:9" x14ac:dyDescent="0.25">
      <c r="I2226"/>
    </row>
    <row r="2227" spans="9:9" x14ac:dyDescent="0.25">
      <c r="I2227"/>
    </row>
    <row r="2228" spans="9:9" x14ac:dyDescent="0.25">
      <c r="I2228"/>
    </row>
    <row r="2229" spans="9:9" x14ac:dyDescent="0.25">
      <c r="I2229"/>
    </row>
    <row r="2230" spans="9:9" x14ac:dyDescent="0.25">
      <c r="I2230"/>
    </row>
    <row r="2231" spans="9:9" x14ac:dyDescent="0.25">
      <c r="I2231"/>
    </row>
    <row r="2232" spans="9:9" x14ac:dyDescent="0.25">
      <c r="I2232"/>
    </row>
    <row r="2233" spans="9:9" x14ac:dyDescent="0.25">
      <c r="I2233"/>
    </row>
    <row r="2234" spans="9:9" x14ac:dyDescent="0.25">
      <c r="I2234"/>
    </row>
    <row r="2235" spans="9:9" x14ac:dyDescent="0.25">
      <c r="I2235"/>
    </row>
    <row r="2236" spans="9:9" x14ac:dyDescent="0.25">
      <c r="I2236"/>
    </row>
    <row r="2237" spans="9:9" x14ac:dyDescent="0.25">
      <c r="I2237"/>
    </row>
    <row r="2238" spans="9:9" x14ac:dyDescent="0.25">
      <c r="I2238"/>
    </row>
    <row r="2239" spans="9:9" x14ac:dyDescent="0.25">
      <c r="I2239"/>
    </row>
    <row r="2240" spans="9:9" x14ac:dyDescent="0.25">
      <c r="I2240"/>
    </row>
    <row r="2241" spans="9:9" x14ac:dyDescent="0.25">
      <c r="I2241"/>
    </row>
    <row r="2242" spans="9:9" x14ac:dyDescent="0.25">
      <c r="I2242"/>
    </row>
    <row r="2243" spans="9:9" x14ac:dyDescent="0.25">
      <c r="I2243"/>
    </row>
    <row r="2244" spans="9:9" x14ac:dyDescent="0.25">
      <c r="I2244"/>
    </row>
    <row r="2245" spans="9:9" x14ac:dyDescent="0.25">
      <c r="I2245"/>
    </row>
    <row r="2246" spans="9:9" x14ac:dyDescent="0.25">
      <c r="I2246"/>
    </row>
    <row r="2247" spans="9:9" x14ac:dyDescent="0.25">
      <c r="I2247"/>
    </row>
    <row r="2248" spans="9:9" x14ac:dyDescent="0.25">
      <c r="I2248"/>
    </row>
    <row r="2249" spans="9:9" x14ac:dyDescent="0.25">
      <c r="I2249"/>
    </row>
    <row r="2250" spans="9:9" x14ac:dyDescent="0.25">
      <c r="I2250"/>
    </row>
    <row r="2251" spans="9:9" x14ac:dyDescent="0.25">
      <c r="I2251"/>
    </row>
    <row r="2252" spans="9:9" x14ac:dyDescent="0.25">
      <c r="I2252"/>
    </row>
    <row r="2253" spans="9:9" x14ac:dyDescent="0.25">
      <c r="I2253"/>
    </row>
    <row r="2254" spans="9:9" x14ac:dyDescent="0.25">
      <c r="I2254"/>
    </row>
    <row r="2255" spans="9:9" x14ac:dyDescent="0.25">
      <c r="I2255"/>
    </row>
    <row r="2256" spans="9:9" x14ac:dyDescent="0.25">
      <c r="I2256"/>
    </row>
    <row r="2257" spans="9:9" x14ac:dyDescent="0.25">
      <c r="I2257"/>
    </row>
    <row r="2258" spans="9:9" x14ac:dyDescent="0.25">
      <c r="I2258"/>
    </row>
    <row r="2259" spans="9:9" x14ac:dyDescent="0.25">
      <c r="I2259"/>
    </row>
    <row r="2260" spans="9:9" x14ac:dyDescent="0.25">
      <c r="I2260"/>
    </row>
    <row r="2261" spans="9:9" x14ac:dyDescent="0.25">
      <c r="I2261"/>
    </row>
    <row r="2262" spans="9:9" x14ac:dyDescent="0.25">
      <c r="I2262"/>
    </row>
    <row r="2263" spans="9:9" x14ac:dyDescent="0.25">
      <c r="I2263"/>
    </row>
    <row r="2264" spans="9:9" x14ac:dyDescent="0.25">
      <c r="I2264"/>
    </row>
    <row r="2265" spans="9:9" x14ac:dyDescent="0.25">
      <c r="I2265"/>
    </row>
    <row r="2266" spans="9:9" x14ac:dyDescent="0.25">
      <c r="I2266"/>
    </row>
    <row r="2267" spans="9:9" x14ac:dyDescent="0.25">
      <c r="I2267"/>
    </row>
    <row r="2268" spans="9:9" x14ac:dyDescent="0.25">
      <c r="I2268"/>
    </row>
    <row r="2269" spans="9:9" x14ac:dyDescent="0.25">
      <c r="I2269"/>
    </row>
    <row r="2270" spans="9:9" x14ac:dyDescent="0.25">
      <c r="I2270"/>
    </row>
    <row r="2271" spans="9:9" x14ac:dyDescent="0.25">
      <c r="I2271"/>
    </row>
    <row r="2272" spans="9:9" x14ac:dyDescent="0.25">
      <c r="I2272"/>
    </row>
    <row r="2273" spans="9:9" x14ac:dyDescent="0.25">
      <c r="I2273"/>
    </row>
    <row r="2274" spans="9:9" x14ac:dyDescent="0.25">
      <c r="I2274"/>
    </row>
    <row r="2275" spans="9:9" x14ac:dyDescent="0.25">
      <c r="I2275"/>
    </row>
    <row r="2276" spans="9:9" x14ac:dyDescent="0.25">
      <c r="I2276"/>
    </row>
    <row r="2277" spans="9:9" x14ac:dyDescent="0.25">
      <c r="I2277"/>
    </row>
    <row r="2278" spans="9:9" x14ac:dyDescent="0.25">
      <c r="I2278"/>
    </row>
    <row r="2279" spans="9:9" x14ac:dyDescent="0.25">
      <c r="I2279"/>
    </row>
    <row r="2280" spans="9:9" x14ac:dyDescent="0.25">
      <c r="I2280"/>
    </row>
    <row r="2281" spans="9:9" x14ac:dyDescent="0.25">
      <c r="I2281"/>
    </row>
    <row r="2282" spans="9:9" x14ac:dyDescent="0.25">
      <c r="I2282"/>
    </row>
    <row r="2283" spans="9:9" x14ac:dyDescent="0.25">
      <c r="I2283"/>
    </row>
    <row r="2284" spans="9:9" x14ac:dyDescent="0.25">
      <c r="I2284"/>
    </row>
    <row r="2285" spans="9:9" x14ac:dyDescent="0.25">
      <c r="I2285"/>
    </row>
    <row r="2286" spans="9:9" x14ac:dyDescent="0.25">
      <c r="I2286"/>
    </row>
    <row r="2287" spans="9:9" x14ac:dyDescent="0.25">
      <c r="I2287"/>
    </row>
    <row r="2288" spans="9:9" x14ac:dyDescent="0.25">
      <c r="I2288"/>
    </row>
    <row r="2289" spans="9:9" x14ac:dyDescent="0.25">
      <c r="I2289"/>
    </row>
    <row r="2290" spans="9:9" x14ac:dyDescent="0.25">
      <c r="I2290"/>
    </row>
    <row r="2291" spans="9:9" x14ac:dyDescent="0.25">
      <c r="I2291"/>
    </row>
    <row r="2292" spans="9:9" x14ac:dyDescent="0.25">
      <c r="I2292"/>
    </row>
    <row r="2293" spans="9:9" x14ac:dyDescent="0.25">
      <c r="I2293"/>
    </row>
    <row r="2294" spans="9:9" x14ac:dyDescent="0.25">
      <c r="I2294"/>
    </row>
    <row r="2295" spans="9:9" x14ac:dyDescent="0.25">
      <c r="I2295"/>
    </row>
    <row r="2296" spans="9:9" x14ac:dyDescent="0.25">
      <c r="I2296"/>
    </row>
    <row r="2297" spans="9:9" x14ac:dyDescent="0.25">
      <c r="I2297"/>
    </row>
    <row r="2298" spans="9:9" x14ac:dyDescent="0.25">
      <c r="I2298"/>
    </row>
    <row r="2299" spans="9:9" x14ac:dyDescent="0.25">
      <c r="I2299"/>
    </row>
    <row r="2300" spans="9:9" x14ac:dyDescent="0.25">
      <c r="I2300"/>
    </row>
    <row r="2301" spans="9:9" x14ac:dyDescent="0.25">
      <c r="I2301"/>
    </row>
    <row r="2302" spans="9:9" x14ac:dyDescent="0.25">
      <c r="I2302"/>
    </row>
    <row r="2303" spans="9:9" x14ac:dyDescent="0.25">
      <c r="I2303"/>
    </row>
    <row r="2304" spans="9:9" x14ac:dyDescent="0.25">
      <c r="I2304"/>
    </row>
    <row r="2305" spans="9:9" x14ac:dyDescent="0.25">
      <c r="I2305"/>
    </row>
    <row r="2306" spans="9:9" x14ac:dyDescent="0.25">
      <c r="I2306"/>
    </row>
    <row r="2307" spans="9:9" x14ac:dyDescent="0.25">
      <c r="I2307"/>
    </row>
    <row r="2308" spans="9:9" x14ac:dyDescent="0.25">
      <c r="I2308"/>
    </row>
    <row r="2309" spans="9:9" x14ac:dyDescent="0.25">
      <c r="I2309"/>
    </row>
    <row r="2310" spans="9:9" x14ac:dyDescent="0.25">
      <c r="I2310"/>
    </row>
    <row r="2311" spans="9:9" x14ac:dyDescent="0.25">
      <c r="I2311"/>
    </row>
    <row r="2312" spans="9:9" x14ac:dyDescent="0.25">
      <c r="I2312"/>
    </row>
    <row r="2313" spans="9:9" x14ac:dyDescent="0.25">
      <c r="I2313"/>
    </row>
    <row r="2314" spans="9:9" x14ac:dyDescent="0.25">
      <c r="I2314"/>
    </row>
    <row r="2315" spans="9:9" x14ac:dyDescent="0.25">
      <c r="I2315"/>
    </row>
    <row r="2316" spans="9:9" x14ac:dyDescent="0.25">
      <c r="I2316"/>
    </row>
    <row r="2317" spans="9:9" x14ac:dyDescent="0.25">
      <c r="I2317"/>
    </row>
    <row r="2318" spans="9:9" x14ac:dyDescent="0.25">
      <c r="I2318"/>
    </row>
    <row r="2319" spans="9:9" x14ac:dyDescent="0.25">
      <c r="I2319"/>
    </row>
    <row r="2320" spans="9:9" x14ac:dyDescent="0.25">
      <c r="I2320"/>
    </row>
    <row r="2321" spans="9:9" x14ac:dyDescent="0.25">
      <c r="I2321"/>
    </row>
    <row r="2322" spans="9:9" x14ac:dyDescent="0.25">
      <c r="I2322"/>
    </row>
    <row r="2323" spans="9:9" x14ac:dyDescent="0.25">
      <c r="I2323"/>
    </row>
    <row r="2324" spans="9:9" x14ac:dyDescent="0.25">
      <c r="I2324"/>
    </row>
    <row r="2325" spans="9:9" x14ac:dyDescent="0.25">
      <c r="I2325"/>
    </row>
    <row r="2326" spans="9:9" x14ac:dyDescent="0.25">
      <c r="I2326"/>
    </row>
    <row r="2327" spans="9:9" x14ac:dyDescent="0.25">
      <c r="I2327"/>
    </row>
    <row r="2328" spans="9:9" x14ac:dyDescent="0.25">
      <c r="I2328"/>
    </row>
    <row r="2329" spans="9:9" x14ac:dyDescent="0.25">
      <c r="I2329"/>
    </row>
    <row r="2330" spans="9:9" x14ac:dyDescent="0.25">
      <c r="I2330"/>
    </row>
    <row r="2331" spans="9:9" x14ac:dyDescent="0.25">
      <c r="I2331"/>
    </row>
    <row r="2332" spans="9:9" x14ac:dyDescent="0.25">
      <c r="I2332"/>
    </row>
    <row r="2333" spans="9:9" x14ac:dyDescent="0.25">
      <c r="I2333"/>
    </row>
    <row r="2334" spans="9:9" x14ac:dyDescent="0.25">
      <c r="I2334"/>
    </row>
    <row r="2335" spans="9:9" x14ac:dyDescent="0.25">
      <c r="I2335"/>
    </row>
    <row r="2336" spans="9:9" x14ac:dyDescent="0.25">
      <c r="I2336"/>
    </row>
    <row r="2337" spans="9:9" x14ac:dyDescent="0.25">
      <c r="I2337"/>
    </row>
    <row r="2338" spans="9:9" x14ac:dyDescent="0.25">
      <c r="I2338"/>
    </row>
    <row r="2339" spans="9:9" x14ac:dyDescent="0.25">
      <c r="I2339"/>
    </row>
    <row r="2340" spans="9:9" x14ac:dyDescent="0.25">
      <c r="I2340"/>
    </row>
    <row r="2341" spans="9:9" x14ac:dyDescent="0.25">
      <c r="I2341"/>
    </row>
    <row r="2342" spans="9:9" x14ac:dyDescent="0.25">
      <c r="I2342"/>
    </row>
    <row r="2343" spans="9:9" x14ac:dyDescent="0.25">
      <c r="I2343"/>
    </row>
    <row r="2344" spans="9:9" x14ac:dyDescent="0.25">
      <c r="I2344"/>
    </row>
    <row r="2345" spans="9:9" x14ac:dyDescent="0.25">
      <c r="I2345"/>
    </row>
    <row r="2346" spans="9:9" x14ac:dyDescent="0.25">
      <c r="I2346"/>
    </row>
    <row r="2347" spans="9:9" x14ac:dyDescent="0.25">
      <c r="I2347"/>
    </row>
    <row r="2348" spans="9:9" x14ac:dyDescent="0.25">
      <c r="I2348"/>
    </row>
    <row r="2349" spans="9:9" x14ac:dyDescent="0.25">
      <c r="I2349"/>
    </row>
    <row r="2350" spans="9:9" x14ac:dyDescent="0.25">
      <c r="I2350"/>
    </row>
    <row r="2351" spans="9:9" x14ac:dyDescent="0.25">
      <c r="I2351"/>
    </row>
    <row r="2352" spans="9:9" x14ac:dyDescent="0.25">
      <c r="I2352"/>
    </row>
    <row r="2353" spans="9:9" x14ac:dyDescent="0.25">
      <c r="I2353"/>
    </row>
    <row r="2354" spans="9:9" x14ac:dyDescent="0.25">
      <c r="I2354"/>
    </row>
    <row r="2355" spans="9:9" x14ac:dyDescent="0.25">
      <c r="I2355"/>
    </row>
    <row r="2356" spans="9:9" x14ac:dyDescent="0.25">
      <c r="I2356"/>
    </row>
    <row r="2357" spans="9:9" x14ac:dyDescent="0.25">
      <c r="I2357"/>
    </row>
    <row r="2358" spans="9:9" x14ac:dyDescent="0.25">
      <c r="I2358"/>
    </row>
    <row r="2359" spans="9:9" x14ac:dyDescent="0.25">
      <c r="I2359"/>
    </row>
    <row r="2360" spans="9:9" x14ac:dyDescent="0.25">
      <c r="I2360"/>
    </row>
    <row r="2361" spans="9:9" x14ac:dyDescent="0.25">
      <c r="I2361"/>
    </row>
    <row r="2362" spans="9:9" x14ac:dyDescent="0.25">
      <c r="I2362"/>
    </row>
    <row r="2363" spans="9:9" x14ac:dyDescent="0.25">
      <c r="I2363"/>
    </row>
    <row r="2364" spans="9:9" x14ac:dyDescent="0.25">
      <c r="I2364"/>
    </row>
    <row r="2365" spans="9:9" x14ac:dyDescent="0.25">
      <c r="I2365"/>
    </row>
    <row r="2366" spans="9:9" x14ac:dyDescent="0.25">
      <c r="I2366"/>
    </row>
    <row r="2367" spans="9:9" x14ac:dyDescent="0.25">
      <c r="I2367"/>
    </row>
    <row r="2368" spans="9:9" x14ac:dyDescent="0.25">
      <c r="I2368"/>
    </row>
    <row r="2369" spans="9:9" x14ac:dyDescent="0.25">
      <c r="I2369"/>
    </row>
    <row r="2370" spans="9:9" x14ac:dyDescent="0.25">
      <c r="I2370"/>
    </row>
    <row r="2371" spans="9:9" x14ac:dyDescent="0.25">
      <c r="I2371"/>
    </row>
    <row r="2372" spans="9:9" x14ac:dyDescent="0.25">
      <c r="I2372"/>
    </row>
    <row r="2373" spans="9:9" x14ac:dyDescent="0.25">
      <c r="I2373"/>
    </row>
    <row r="2374" spans="9:9" x14ac:dyDescent="0.25">
      <c r="I2374"/>
    </row>
    <row r="2375" spans="9:9" x14ac:dyDescent="0.25">
      <c r="I2375"/>
    </row>
    <row r="2376" spans="9:9" x14ac:dyDescent="0.25">
      <c r="I2376"/>
    </row>
    <row r="2377" spans="9:9" x14ac:dyDescent="0.25">
      <c r="I2377"/>
    </row>
    <row r="2378" spans="9:9" x14ac:dyDescent="0.25">
      <c r="I2378"/>
    </row>
    <row r="2379" spans="9:9" x14ac:dyDescent="0.25">
      <c r="I2379"/>
    </row>
    <row r="2380" spans="9:9" x14ac:dyDescent="0.25">
      <c r="I2380"/>
    </row>
    <row r="2381" spans="9:9" x14ac:dyDescent="0.25">
      <c r="I2381"/>
    </row>
    <row r="2382" spans="9:9" x14ac:dyDescent="0.25">
      <c r="I2382"/>
    </row>
    <row r="2383" spans="9:9" x14ac:dyDescent="0.25">
      <c r="I2383"/>
    </row>
    <row r="2384" spans="9:9" x14ac:dyDescent="0.25">
      <c r="I2384"/>
    </row>
    <row r="2385" spans="9:9" x14ac:dyDescent="0.25">
      <c r="I2385"/>
    </row>
    <row r="2386" spans="9:9" x14ac:dyDescent="0.25">
      <c r="I2386"/>
    </row>
    <row r="2387" spans="9:9" x14ac:dyDescent="0.25">
      <c r="I2387"/>
    </row>
    <row r="2388" spans="9:9" x14ac:dyDescent="0.25">
      <c r="I2388"/>
    </row>
    <row r="2389" spans="9:9" x14ac:dyDescent="0.25">
      <c r="I2389"/>
    </row>
    <row r="2390" spans="9:9" x14ac:dyDescent="0.25">
      <c r="I2390"/>
    </row>
    <row r="2391" spans="9:9" x14ac:dyDescent="0.25">
      <c r="I2391"/>
    </row>
    <row r="2392" spans="9:9" x14ac:dyDescent="0.25">
      <c r="I2392"/>
    </row>
    <row r="2393" spans="9:9" x14ac:dyDescent="0.25">
      <c r="I2393"/>
    </row>
    <row r="2394" spans="9:9" x14ac:dyDescent="0.25">
      <c r="I2394"/>
    </row>
    <row r="2395" spans="9:9" x14ac:dyDescent="0.25">
      <c r="I2395"/>
    </row>
    <row r="2396" spans="9:9" x14ac:dyDescent="0.25">
      <c r="I2396"/>
    </row>
    <row r="2397" spans="9:9" x14ac:dyDescent="0.25">
      <c r="I2397"/>
    </row>
    <row r="2398" spans="9:9" x14ac:dyDescent="0.25">
      <c r="I2398"/>
    </row>
    <row r="2399" spans="9:9" x14ac:dyDescent="0.25">
      <c r="I2399"/>
    </row>
    <row r="2400" spans="9:9" x14ac:dyDescent="0.25">
      <c r="I2400"/>
    </row>
    <row r="2401" spans="9:9" x14ac:dyDescent="0.25">
      <c r="I2401"/>
    </row>
    <row r="2402" spans="9:9" x14ac:dyDescent="0.25">
      <c r="I2402"/>
    </row>
    <row r="2403" spans="9:9" x14ac:dyDescent="0.25">
      <c r="I2403"/>
    </row>
    <row r="2404" spans="9:9" x14ac:dyDescent="0.25">
      <c r="I2404"/>
    </row>
    <row r="2405" spans="9:9" x14ac:dyDescent="0.25">
      <c r="I2405"/>
    </row>
    <row r="2406" spans="9:9" x14ac:dyDescent="0.25">
      <c r="I2406"/>
    </row>
    <row r="2407" spans="9:9" x14ac:dyDescent="0.25">
      <c r="I2407"/>
    </row>
    <row r="2408" spans="9:9" x14ac:dyDescent="0.25">
      <c r="I2408"/>
    </row>
    <row r="2409" spans="9:9" x14ac:dyDescent="0.25">
      <c r="I2409"/>
    </row>
    <row r="2410" spans="9:9" x14ac:dyDescent="0.25">
      <c r="I2410"/>
    </row>
    <row r="2411" spans="9:9" x14ac:dyDescent="0.25">
      <c r="I2411"/>
    </row>
    <row r="2412" spans="9:9" x14ac:dyDescent="0.25">
      <c r="I2412"/>
    </row>
    <row r="2413" spans="9:9" x14ac:dyDescent="0.25">
      <c r="I2413"/>
    </row>
    <row r="2414" spans="9:9" x14ac:dyDescent="0.25">
      <c r="I2414"/>
    </row>
    <row r="2415" spans="9:9" x14ac:dyDescent="0.25">
      <c r="I2415"/>
    </row>
    <row r="2416" spans="9:9" x14ac:dyDescent="0.25">
      <c r="I2416"/>
    </row>
    <row r="2417" spans="9:9" x14ac:dyDescent="0.25">
      <c r="I2417"/>
    </row>
    <row r="2418" spans="9:9" x14ac:dyDescent="0.25">
      <c r="I2418"/>
    </row>
    <row r="2419" spans="9:9" x14ac:dyDescent="0.25">
      <c r="I2419"/>
    </row>
    <row r="2420" spans="9:9" x14ac:dyDescent="0.25">
      <c r="I2420"/>
    </row>
    <row r="2421" spans="9:9" x14ac:dyDescent="0.25">
      <c r="I2421"/>
    </row>
    <row r="2422" spans="9:9" x14ac:dyDescent="0.25">
      <c r="I2422"/>
    </row>
    <row r="2423" spans="9:9" x14ac:dyDescent="0.25">
      <c r="I2423"/>
    </row>
    <row r="2424" spans="9:9" x14ac:dyDescent="0.25">
      <c r="I2424"/>
    </row>
    <row r="2425" spans="9:9" x14ac:dyDescent="0.25">
      <c r="I2425"/>
    </row>
    <row r="2426" spans="9:9" x14ac:dyDescent="0.25">
      <c r="I2426"/>
    </row>
    <row r="2427" spans="9:9" x14ac:dyDescent="0.25">
      <c r="I2427"/>
    </row>
    <row r="2428" spans="9:9" x14ac:dyDescent="0.25">
      <c r="I2428"/>
    </row>
    <row r="2429" spans="9:9" x14ac:dyDescent="0.25">
      <c r="I2429"/>
    </row>
    <row r="2430" spans="9:9" x14ac:dyDescent="0.25">
      <c r="I2430"/>
    </row>
    <row r="2431" spans="9:9" x14ac:dyDescent="0.25">
      <c r="I2431"/>
    </row>
    <row r="2432" spans="9:9" x14ac:dyDescent="0.25">
      <c r="I2432"/>
    </row>
    <row r="2433" spans="9:9" x14ac:dyDescent="0.25">
      <c r="I2433"/>
    </row>
    <row r="2434" spans="9:9" x14ac:dyDescent="0.25">
      <c r="I2434"/>
    </row>
    <row r="2435" spans="9:9" x14ac:dyDescent="0.25">
      <c r="I2435"/>
    </row>
    <row r="2436" spans="9:9" x14ac:dyDescent="0.25">
      <c r="I2436"/>
    </row>
    <row r="2437" spans="9:9" x14ac:dyDescent="0.25">
      <c r="I2437"/>
    </row>
    <row r="2438" spans="9:9" x14ac:dyDescent="0.25">
      <c r="I2438"/>
    </row>
    <row r="2439" spans="9:9" x14ac:dyDescent="0.25">
      <c r="I2439"/>
    </row>
    <row r="2440" spans="9:9" x14ac:dyDescent="0.25">
      <c r="I2440"/>
    </row>
    <row r="2441" spans="9:9" x14ac:dyDescent="0.25">
      <c r="I2441"/>
    </row>
    <row r="2442" spans="9:9" x14ac:dyDescent="0.25">
      <c r="I2442"/>
    </row>
    <row r="2443" spans="9:9" x14ac:dyDescent="0.25">
      <c r="I2443"/>
    </row>
    <row r="2444" spans="9:9" x14ac:dyDescent="0.25">
      <c r="I2444"/>
    </row>
    <row r="2445" spans="9:9" x14ac:dyDescent="0.25">
      <c r="I2445"/>
    </row>
    <row r="2446" spans="9:9" x14ac:dyDescent="0.25">
      <c r="I2446"/>
    </row>
    <row r="2447" spans="9:9" x14ac:dyDescent="0.25">
      <c r="I2447"/>
    </row>
    <row r="2448" spans="9:9" x14ac:dyDescent="0.25">
      <c r="I2448"/>
    </row>
    <row r="2449" spans="9:9" x14ac:dyDescent="0.25">
      <c r="I2449"/>
    </row>
    <row r="2450" spans="9:9" x14ac:dyDescent="0.25">
      <c r="I2450"/>
    </row>
    <row r="2451" spans="9:9" x14ac:dyDescent="0.25">
      <c r="I2451"/>
    </row>
    <row r="2452" spans="9:9" x14ac:dyDescent="0.25">
      <c r="I2452"/>
    </row>
    <row r="2453" spans="9:9" x14ac:dyDescent="0.25">
      <c r="I2453"/>
    </row>
    <row r="2454" spans="9:9" x14ac:dyDescent="0.25">
      <c r="I2454"/>
    </row>
    <row r="2455" spans="9:9" x14ac:dyDescent="0.25">
      <c r="I2455"/>
    </row>
    <row r="2456" spans="9:9" x14ac:dyDescent="0.25">
      <c r="I2456"/>
    </row>
    <row r="2457" spans="9:9" x14ac:dyDescent="0.25">
      <c r="I2457"/>
    </row>
    <row r="2458" spans="9:9" x14ac:dyDescent="0.25">
      <c r="I2458"/>
    </row>
    <row r="2459" spans="9:9" x14ac:dyDescent="0.25">
      <c r="I2459"/>
    </row>
    <row r="2460" spans="9:9" x14ac:dyDescent="0.25">
      <c r="I2460"/>
    </row>
    <row r="2461" spans="9:9" x14ac:dyDescent="0.25">
      <c r="I2461"/>
    </row>
    <row r="2462" spans="9:9" x14ac:dyDescent="0.25">
      <c r="I2462"/>
    </row>
    <row r="2463" spans="9:9" x14ac:dyDescent="0.25">
      <c r="I2463"/>
    </row>
    <row r="2464" spans="9:9" x14ac:dyDescent="0.25">
      <c r="I2464"/>
    </row>
    <row r="2465" spans="9:9" x14ac:dyDescent="0.25">
      <c r="I2465"/>
    </row>
    <row r="2466" spans="9:9" x14ac:dyDescent="0.25">
      <c r="I2466"/>
    </row>
    <row r="2467" spans="9:9" x14ac:dyDescent="0.25">
      <c r="I2467"/>
    </row>
    <row r="2468" spans="9:9" x14ac:dyDescent="0.25">
      <c r="I2468"/>
    </row>
    <row r="2469" spans="9:9" x14ac:dyDescent="0.25">
      <c r="I2469"/>
    </row>
    <row r="2470" spans="9:9" x14ac:dyDescent="0.25">
      <c r="I2470"/>
    </row>
    <row r="2471" spans="9:9" x14ac:dyDescent="0.25">
      <c r="I2471"/>
    </row>
    <row r="2472" spans="9:9" x14ac:dyDescent="0.25">
      <c r="I2472"/>
    </row>
    <row r="2473" spans="9:9" x14ac:dyDescent="0.25">
      <c r="I2473"/>
    </row>
    <row r="2474" spans="9:9" x14ac:dyDescent="0.25">
      <c r="I2474"/>
    </row>
    <row r="2475" spans="9:9" x14ac:dyDescent="0.25">
      <c r="I2475"/>
    </row>
    <row r="2476" spans="9:9" x14ac:dyDescent="0.25">
      <c r="I2476"/>
    </row>
    <row r="2477" spans="9:9" x14ac:dyDescent="0.25">
      <c r="I2477"/>
    </row>
    <row r="2478" spans="9:9" x14ac:dyDescent="0.25">
      <c r="I2478"/>
    </row>
    <row r="2479" spans="9:9" x14ac:dyDescent="0.25">
      <c r="I2479"/>
    </row>
    <row r="2480" spans="9:9" x14ac:dyDescent="0.25">
      <c r="I2480"/>
    </row>
    <row r="2481" spans="9:9" x14ac:dyDescent="0.25">
      <c r="I2481"/>
    </row>
    <row r="2482" spans="9:9" x14ac:dyDescent="0.25">
      <c r="I2482"/>
    </row>
    <row r="2483" spans="9:9" x14ac:dyDescent="0.25">
      <c r="I2483"/>
    </row>
    <row r="2484" spans="9:9" x14ac:dyDescent="0.25">
      <c r="I2484"/>
    </row>
    <row r="2485" spans="9:9" x14ac:dyDescent="0.25">
      <c r="I2485"/>
    </row>
    <row r="2486" spans="9:9" x14ac:dyDescent="0.25">
      <c r="I2486"/>
    </row>
    <row r="2487" spans="9:9" x14ac:dyDescent="0.25">
      <c r="I2487"/>
    </row>
    <row r="2488" spans="9:9" x14ac:dyDescent="0.25">
      <c r="I2488"/>
    </row>
    <row r="2489" spans="9:9" x14ac:dyDescent="0.25">
      <c r="I2489"/>
    </row>
    <row r="2490" spans="9:9" x14ac:dyDescent="0.25">
      <c r="I2490"/>
    </row>
    <row r="2491" spans="9:9" x14ac:dyDescent="0.25">
      <c r="I2491"/>
    </row>
    <row r="2492" spans="9:9" x14ac:dyDescent="0.25">
      <c r="I2492"/>
    </row>
    <row r="2493" spans="9:9" x14ac:dyDescent="0.25">
      <c r="I2493"/>
    </row>
    <row r="2494" spans="9:9" x14ac:dyDescent="0.25">
      <c r="I2494"/>
    </row>
    <row r="2495" spans="9:9" x14ac:dyDescent="0.25">
      <c r="I2495"/>
    </row>
    <row r="2496" spans="9:9" x14ac:dyDescent="0.25">
      <c r="I2496"/>
    </row>
    <row r="2497" spans="9:9" x14ac:dyDescent="0.25">
      <c r="I2497"/>
    </row>
    <row r="2498" spans="9:9" x14ac:dyDescent="0.25">
      <c r="I2498"/>
    </row>
    <row r="2499" spans="9:9" x14ac:dyDescent="0.25">
      <c r="I2499"/>
    </row>
    <row r="2500" spans="9:9" x14ac:dyDescent="0.25">
      <c r="I2500"/>
    </row>
    <row r="2501" spans="9:9" x14ac:dyDescent="0.25">
      <c r="I2501"/>
    </row>
    <row r="2502" spans="9:9" x14ac:dyDescent="0.25">
      <c r="I2502"/>
    </row>
    <row r="2503" spans="9:9" x14ac:dyDescent="0.25">
      <c r="I2503"/>
    </row>
    <row r="2504" spans="9:9" x14ac:dyDescent="0.25">
      <c r="I2504"/>
    </row>
    <row r="2505" spans="9:9" x14ac:dyDescent="0.25">
      <c r="I2505"/>
    </row>
    <row r="2506" spans="9:9" x14ac:dyDescent="0.25">
      <c r="I2506"/>
    </row>
    <row r="2507" spans="9:9" x14ac:dyDescent="0.25">
      <c r="I2507"/>
    </row>
    <row r="2508" spans="9:9" x14ac:dyDescent="0.25">
      <c r="I2508"/>
    </row>
    <row r="2509" spans="9:9" x14ac:dyDescent="0.25">
      <c r="I2509"/>
    </row>
    <row r="2510" spans="9:9" x14ac:dyDescent="0.25">
      <c r="I2510"/>
    </row>
    <row r="2511" spans="9:9" x14ac:dyDescent="0.25">
      <c r="I2511"/>
    </row>
    <row r="2512" spans="9:9" x14ac:dyDescent="0.25">
      <c r="I2512"/>
    </row>
    <row r="2513" spans="9:9" x14ac:dyDescent="0.25">
      <c r="I2513"/>
    </row>
    <row r="2514" spans="9:9" x14ac:dyDescent="0.25">
      <c r="I2514"/>
    </row>
    <row r="2515" spans="9:9" x14ac:dyDescent="0.25">
      <c r="I2515"/>
    </row>
    <row r="2516" spans="9:9" x14ac:dyDescent="0.25">
      <c r="I2516"/>
    </row>
    <row r="2517" spans="9:9" x14ac:dyDescent="0.25">
      <c r="I2517"/>
    </row>
    <row r="2518" spans="9:9" x14ac:dyDescent="0.25">
      <c r="I2518"/>
    </row>
    <row r="2519" spans="9:9" x14ac:dyDescent="0.25">
      <c r="I2519"/>
    </row>
    <row r="2520" spans="9:9" x14ac:dyDescent="0.25">
      <c r="I2520"/>
    </row>
    <row r="2521" spans="9:9" x14ac:dyDescent="0.25">
      <c r="I2521"/>
    </row>
    <row r="2522" spans="9:9" x14ac:dyDescent="0.25">
      <c r="I2522"/>
    </row>
    <row r="2523" spans="9:9" x14ac:dyDescent="0.25">
      <c r="I2523"/>
    </row>
    <row r="2524" spans="9:9" x14ac:dyDescent="0.25">
      <c r="I2524"/>
    </row>
    <row r="2525" spans="9:9" x14ac:dyDescent="0.25">
      <c r="I2525"/>
    </row>
    <row r="2526" spans="9:9" x14ac:dyDescent="0.25">
      <c r="I2526"/>
    </row>
    <row r="2527" spans="9:9" x14ac:dyDescent="0.25">
      <c r="I2527"/>
    </row>
    <row r="2528" spans="9:9" x14ac:dyDescent="0.25">
      <c r="I2528"/>
    </row>
    <row r="2529" spans="9:9" x14ac:dyDescent="0.25">
      <c r="I2529"/>
    </row>
    <row r="2530" spans="9:9" x14ac:dyDescent="0.25">
      <c r="I2530"/>
    </row>
    <row r="2531" spans="9:9" x14ac:dyDescent="0.25">
      <c r="I2531"/>
    </row>
    <row r="2532" spans="9:9" x14ac:dyDescent="0.25">
      <c r="I2532"/>
    </row>
    <row r="2533" spans="9:9" x14ac:dyDescent="0.25">
      <c r="I2533"/>
    </row>
    <row r="2534" spans="9:9" x14ac:dyDescent="0.25">
      <c r="I2534"/>
    </row>
    <row r="2535" spans="9:9" x14ac:dyDescent="0.25">
      <c r="I2535"/>
    </row>
    <row r="2536" spans="9:9" x14ac:dyDescent="0.25">
      <c r="I2536"/>
    </row>
    <row r="2537" spans="9:9" x14ac:dyDescent="0.25">
      <c r="I2537"/>
    </row>
    <row r="2538" spans="9:9" x14ac:dyDescent="0.25">
      <c r="I2538"/>
    </row>
    <row r="2539" spans="9:9" x14ac:dyDescent="0.25">
      <c r="I2539"/>
    </row>
    <row r="2540" spans="9:9" x14ac:dyDescent="0.25">
      <c r="I2540"/>
    </row>
    <row r="2541" spans="9:9" x14ac:dyDescent="0.25">
      <c r="I2541"/>
    </row>
    <row r="2542" spans="9:9" x14ac:dyDescent="0.25">
      <c r="I2542"/>
    </row>
    <row r="2543" spans="9:9" x14ac:dyDescent="0.25">
      <c r="I2543"/>
    </row>
    <row r="2544" spans="9:9" x14ac:dyDescent="0.25">
      <c r="I2544"/>
    </row>
    <row r="2545" spans="9:9" x14ac:dyDescent="0.25">
      <c r="I2545"/>
    </row>
    <row r="2546" spans="9:9" x14ac:dyDescent="0.25">
      <c r="I2546"/>
    </row>
    <row r="2547" spans="9:9" x14ac:dyDescent="0.25">
      <c r="I2547"/>
    </row>
    <row r="2548" spans="9:9" x14ac:dyDescent="0.25">
      <c r="I2548"/>
    </row>
    <row r="2549" spans="9:9" x14ac:dyDescent="0.25">
      <c r="I2549"/>
    </row>
    <row r="2550" spans="9:9" x14ac:dyDescent="0.25">
      <c r="I2550"/>
    </row>
    <row r="2551" spans="9:9" x14ac:dyDescent="0.25">
      <c r="I2551"/>
    </row>
    <row r="2552" spans="9:9" x14ac:dyDescent="0.25">
      <c r="I2552"/>
    </row>
    <row r="2553" spans="9:9" x14ac:dyDescent="0.25">
      <c r="I2553"/>
    </row>
    <row r="2554" spans="9:9" x14ac:dyDescent="0.25">
      <c r="I2554"/>
    </row>
    <row r="2555" spans="9:9" x14ac:dyDescent="0.25">
      <c r="I2555"/>
    </row>
    <row r="2556" spans="9:9" x14ac:dyDescent="0.25">
      <c r="I2556"/>
    </row>
    <row r="2557" spans="9:9" x14ac:dyDescent="0.25">
      <c r="I2557"/>
    </row>
    <row r="2558" spans="9:9" x14ac:dyDescent="0.25">
      <c r="I2558"/>
    </row>
    <row r="2559" spans="9:9" x14ac:dyDescent="0.25">
      <c r="I2559"/>
    </row>
    <row r="2560" spans="9:9" x14ac:dyDescent="0.25">
      <c r="I2560"/>
    </row>
    <row r="2561" spans="9:9" x14ac:dyDescent="0.25">
      <c r="I2561"/>
    </row>
    <row r="2562" spans="9:9" x14ac:dyDescent="0.25">
      <c r="I2562"/>
    </row>
    <row r="2563" spans="9:9" x14ac:dyDescent="0.25">
      <c r="I2563"/>
    </row>
    <row r="2564" spans="9:9" x14ac:dyDescent="0.25">
      <c r="I2564"/>
    </row>
    <row r="2565" spans="9:9" x14ac:dyDescent="0.25">
      <c r="I2565"/>
    </row>
    <row r="2566" spans="9:9" x14ac:dyDescent="0.25">
      <c r="I2566"/>
    </row>
    <row r="2567" spans="9:9" x14ac:dyDescent="0.25">
      <c r="I2567"/>
    </row>
    <row r="2568" spans="9:9" x14ac:dyDescent="0.25">
      <c r="I2568"/>
    </row>
    <row r="2569" spans="9:9" x14ac:dyDescent="0.25">
      <c r="I2569"/>
    </row>
    <row r="2570" spans="9:9" x14ac:dyDescent="0.25">
      <c r="I2570"/>
    </row>
    <row r="2571" spans="9:9" x14ac:dyDescent="0.25">
      <c r="I2571"/>
    </row>
    <row r="2572" spans="9:9" x14ac:dyDescent="0.25">
      <c r="I2572"/>
    </row>
    <row r="2573" spans="9:9" x14ac:dyDescent="0.25">
      <c r="I2573"/>
    </row>
    <row r="2574" spans="9:9" x14ac:dyDescent="0.25">
      <c r="I2574"/>
    </row>
    <row r="2575" spans="9:9" x14ac:dyDescent="0.25">
      <c r="I2575"/>
    </row>
    <row r="2576" spans="9:9" x14ac:dyDescent="0.25">
      <c r="I2576"/>
    </row>
    <row r="2577" spans="9:9" x14ac:dyDescent="0.25">
      <c r="I2577"/>
    </row>
    <row r="2578" spans="9:9" x14ac:dyDescent="0.25">
      <c r="I2578"/>
    </row>
    <row r="2579" spans="9:9" x14ac:dyDescent="0.25">
      <c r="I2579"/>
    </row>
    <row r="2580" spans="9:9" x14ac:dyDescent="0.25">
      <c r="I2580"/>
    </row>
    <row r="2581" spans="9:9" x14ac:dyDescent="0.25">
      <c r="I2581"/>
    </row>
    <row r="2582" spans="9:9" x14ac:dyDescent="0.25">
      <c r="I2582"/>
    </row>
    <row r="2583" spans="9:9" x14ac:dyDescent="0.25">
      <c r="I2583"/>
    </row>
    <row r="2584" spans="9:9" x14ac:dyDescent="0.25">
      <c r="I2584"/>
    </row>
    <row r="2585" spans="9:9" x14ac:dyDescent="0.25">
      <c r="I2585"/>
    </row>
    <row r="2586" spans="9:9" x14ac:dyDescent="0.25">
      <c r="I2586"/>
    </row>
    <row r="2587" spans="9:9" x14ac:dyDescent="0.25">
      <c r="I2587"/>
    </row>
    <row r="2588" spans="9:9" x14ac:dyDescent="0.25">
      <c r="I2588"/>
    </row>
    <row r="2589" spans="9:9" x14ac:dyDescent="0.25">
      <c r="I2589"/>
    </row>
    <row r="2590" spans="9:9" x14ac:dyDescent="0.25">
      <c r="I2590"/>
    </row>
    <row r="2591" spans="9:9" x14ac:dyDescent="0.25">
      <c r="I2591"/>
    </row>
    <row r="2592" spans="9:9" x14ac:dyDescent="0.25">
      <c r="I2592"/>
    </row>
    <row r="2593" spans="9:9" x14ac:dyDescent="0.25">
      <c r="I2593"/>
    </row>
    <row r="2594" spans="9:9" x14ac:dyDescent="0.25">
      <c r="I2594"/>
    </row>
    <row r="2595" spans="9:9" x14ac:dyDescent="0.25">
      <c r="I2595"/>
    </row>
    <row r="2596" spans="9:9" x14ac:dyDescent="0.25">
      <c r="I2596"/>
    </row>
    <row r="2597" spans="9:9" x14ac:dyDescent="0.25">
      <c r="I2597"/>
    </row>
    <row r="2598" spans="9:9" x14ac:dyDescent="0.25">
      <c r="I2598"/>
    </row>
    <row r="2599" spans="9:9" x14ac:dyDescent="0.25">
      <c r="I2599"/>
    </row>
    <row r="2600" spans="9:9" x14ac:dyDescent="0.25">
      <c r="I2600"/>
    </row>
    <row r="2601" spans="9:9" x14ac:dyDescent="0.25">
      <c r="I2601"/>
    </row>
    <row r="2602" spans="9:9" x14ac:dyDescent="0.25">
      <c r="I2602"/>
    </row>
    <row r="2603" spans="9:9" x14ac:dyDescent="0.25">
      <c r="I2603"/>
    </row>
    <row r="2604" spans="9:9" x14ac:dyDescent="0.25">
      <c r="I2604"/>
    </row>
    <row r="2605" spans="9:9" x14ac:dyDescent="0.25">
      <c r="I2605"/>
    </row>
    <row r="2606" spans="9:9" x14ac:dyDescent="0.25">
      <c r="I2606"/>
    </row>
    <row r="2607" spans="9:9" x14ac:dyDescent="0.25">
      <c r="I2607"/>
    </row>
    <row r="2608" spans="9:9" x14ac:dyDescent="0.25">
      <c r="I2608"/>
    </row>
    <row r="2609" spans="9:9" x14ac:dyDescent="0.25">
      <c r="I2609"/>
    </row>
    <row r="2610" spans="9:9" x14ac:dyDescent="0.25">
      <c r="I2610"/>
    </row>
    <row r="2611" spans="9:9" x14ac:dyDescent="0.25">
      <c r="I2611"/>
    </row>
    <row r="2612" spans="9:9" x14ac:dyDescent="0.25">
      <c r="I2612"/>
    </row>
    <row r="2613" spans="9:9" x14ac:dyDescent="0.25">
      <c r="I2613"/>
    </row>
    <row r="2614" spans="9:9" x14ac:dyDescent="0.25">
      <c r="I2614"/>
    </row>
    <row r="2615" spans="9:9" x14ac:dyDescent="0.25">
      <c r="I2615"/>
    </row>
    <row r="2616" spans="9:9" x14ac:dyDescent="0.25">
      <c r="I2616"/>
    </row>
    <row r="2617" spans="9:9" x14ac:dyDescent="0.25">
      <c r="I2617"/>
    </row>
    <row r="2618" spans="9:9" x14ac:dyDescent="0.25">
      <c r="I2618"/>
    </row>
    <row r="2619" spans="9:9" x14ac:dyDescent="0.25">
      <c r="I2619"/>
    </row>
    <row r="2620" spans="9:9" x14ac:dyDescent="0.25">
      <c r="I2620"/>
    </row>
    <row r="2621" spans="9:9" x14ac:dyDescent="0.25">
      <c r="I2621"/>
    </row>
    <row r="2622" spans="9:9" x14ac:dyDescent="0.25">
      <c r="I2622"/>
    </row>
    <row r="2623" spans="9:9" x14ac:dyDescent="0.25">
      <c r="I2623"/>
    </row>
    <row r="2624" spans="9:9" x14ac:dyDescent="0.25">
      <c r="I2624"/>
    </row>
    <row r="2625" spans="9:9" x14ac:dyDescent="0.25">
      <c r="I2625"/>
    </row>
    <row r="2626" spans="9:9" x14ac:dyDescent="0.25">
      <c r="I2626"/>
    </row>
    <row r="2627" spans="9:9" x14ac:dyDescent="0.25">
      <c r="I2627"/>
    </row>
    <row r="2628" spans="9:9" x14ac:dyDescent="0.25">
      <c r="I2628"/>
    </row>
    <row r="2629" spans="9:9" x14ac:dyDescent="0.25">
      <c r="I2629"/>
    </row>
    <row r="2630" spans="9:9" x14ac:dyDescent="0.25">
      <c r="I2630"/>
    </row>
    <row r="2631" spans="9:9" x14ac:dyDescent="0.25">
      <c r="I2631"/>
    </row>
    <row r="2632" spans="9:9" x14ac:dyDescent="0.25">
      <c r="I2632"/>
    </row>
    <row r="2633" spans="9:9" x14ac:dyDescent="0.25">
      <c r="I2633"/>
    </row>
    <row r="2634" spans="9:9" x14ac:dyDescent="0.25">
      <c r="I2634"/>
    </row>
    <row r="2635" spans="9:9" x14ac:dyDescent="0.25">
      <c r="I2635"/>
    </row>
    <row r="2636" spans="9:9" x14ac:dyDescent="0.25">
      <c r="I2636"/>
    </row>
    <row r="2637" spans="9:9" x14ac:dyDescent="0.25">
      <c r="I2637"/>
    </row>
    <row r="2638" spans="9:9" x14ac:dyDescent="0.25">
      <c r="I2638"/>
    </row>
    <row r="2639" spans="9:9" x14ac:dyDescent="0.25">
      <c r="I2639"/>
    </row>
    <row r="2640" spans="9:9" x14ac:dyDescent="0.25">
      <c r="I2640"/>
    </row>
    <row r="2641" spans="9:9" x14ac:dyDescent="0.25">
      <c r="I2641"/>
    </row>
    <row r="2642" spans="9:9" x14ac:dyDescent="0.25">
      <c r="I2642"/>
    </row>
    <row r="2643" spans="9:9" x14ac:dyDescent="0.25">
      <c r="I2643"/>
    </row>
    <row r="2644" spans="9:9" x14ac:dyDescent="0.25">
      <c r="I2644"/>
    </row>
    <row r="2645" spans="9:9" x14ac:dyDescent="0.25">
      <c r="I2645"/>
    </row>
    <row r="2646" spans="9:9" x14ac:dyDescent="0.25">
      <c r="I2646"/>
    </row>
    <row r="2647" spans="9:9" x14ac:dyDescent="0.25">
      <c r="I2647"/>
    </row>
    <row r="2648" spans="9:9" x14ac:dyDescent="0.25">
      <c r="I2648"/>
    </row>
    <row r="2649" spans="9:9" x14ac:dyDescent="0.25">
      <c r="I2649"/>
    </row>
    <row r="2650" spans="9:9" x14ac:dyDescent="0.25">
      <c r="I2650"/>
    </row>
    <row r="2651" spans="9:9" x14ac:dyDescent="0.25">
      <c r="I2651"/>
    </row>
    <row r="2652" spans="9:9" x14ac:dyDescent="0.25">
      <c r="I2652"/>
    </row>
    <row r="2653" spans="9:9" x14ac:dyDescent="0.25">
      <c r="I2653"/>
    </row>
    <row r="2654" spans="9:9" x14ac:dyDescent="0.25">
      <c r="I2654"/>
    </row>
    <row r="2655" spans="9:9" x14ac:dyDescent="0.25">
      <c r="I2655"/>
    </row>
    <row r="2656" spans="9:9" x14ac:dyDescent="0.25">
      <c r="I2656"/>
    </row>
    <row r="2657" spans="9:9" x14ac:dyDescent="0.25">
      <c r="I2657"/>
    </row>
    <row r="2658" spans="9:9" x14ac:dyDescent="0.25">
      <c r="I2658"/>
    </row>
    <row r="2659" spans="9:9" x14ac:dyDescent="0.25">
      <c r="I2659"/>
    </row>
    <row r="2660" spans="9:9" x14ac:dyDescent="0.25">
      <c r="I2660"/>
    </row>
    <row r="2661" spans="9:9" x14ac:dyDescent="0.25">
      <c r="I2661"/>
    </row>
    <row r="2662" spans="9:9" x14ac:dyDescent="0.25">
      <c r="I2662"/>
    </row>
    <row r="2663" spans="9:9" x14ac:dyDescent="0.25">
      <c r="I2663"/>
    </row>
    <row r="2664" spans="9:9" x14ac:dyDescent="0.25">
      <c r="I2664"/>
    </row>
    <row r="2665" spans="9:9" x14ac:dyDescent="0.25">
      <c r="I2665"/>
    </row>
    <row r="2666" spans="9:9" x14ac:dyDescent="0.25">
      <c r="I2666"/>
    </row>
    <row r="2667" spans="9:9" x14ac:dyDescent="0.25">
      <c r="I2667"/>
    </row>
    <row r="2668" spans="9:9" x14ac:dyDescent="0.25">
      <c r="I2668"/>
    </row>
    <row r="2669" spans="9:9" x14ac:dyDescent="0.25">
      <c r="I2669"/>
    </row>
    <row r="2670" spans="9:9" x14ac:dyDescent="0.25">
      <c r="I2670"/>
    </row>
    <row r="2671" spans="9:9" x14ac:dyDescent="0.25">
      <c r="I2671"/>
    </row>
    <row r="2672" spans="9:9" x14ac:dyDescent="0.25">
      <c r="I2672"/>
    </row>
    <row r="2673" spans="9:9" x14ac:dyDescent="0.25">
      <c r="I2673"/>
    </row>
    <row r="2674" spans="9:9" x14ac:dyDescent="0.25">
      <c r="I2674"/>
    </row>
    <row r="2675" spans="9:9" x14ac:dyDescent="0.25">
      <c r="I2675"/>
    </row>
    <row r="2676" spans="9:9" x14ac:dyDescent="0.25">
      <c r="I2676"/>
    </row>
    <row r="2677" spans="9:9" x14ac:dyDescent="0.25">
      <c r="I2677"/>
    </row>
    <row r="2678" spans="9:9" x14ac:dyDescent="0.25">
      <c r="I2678"/>
    </row>
    <row r="2679" spans="9:9" x14ac:dyDescent="0.25">
      <c r="I2679"/>
    </row>
    <row r="2680" spans="9:9" x14ac:dyDescent="0.25">
      <c r="I2680"/>
    </row>
    <row r="2681" spans="9:9" x14ac:dyDescent="0.25">
      <c r="I2681"/>
    </row>
    <row r="2682" spans="9:9" x14ac:dyDescent="0.25">
      <c r="I2682"/>
    </row>
    <row r="2683" spans="9:9" x14ac:dyDescent="0.25">
      <c r="I2683"/>
    </row>
    <row r="2684" spans="9:9" x14ac:dyDescent="0.25">
      <c r="I2684"/>
    </row>
    <row r="2685" spans="9:9" x14ac:dyDescent="0.25">
      <c r="I2685"/>
    </row>
    <row r="2686" spans="9:9" x14ac:dyDescent="0.25">
      <c r="I2686"/>
    </row>
    <row r="2687" spans="9:9" x14ac:dyDescent="0.25">
      <c r="I2687"/>
    </row>
    <row r="2688" spans="9:9" x14ac:dyDescent="0.25">
      <c r="I2688"/>
    </row>
    <row r="2689" spans="9:9" x14ac:dyDescent="0.25">
      <c r="I2689"/>
    </row>
    <row r="2690" spans="9:9" x14ac:dyDescent="0.25">
      <c r="I2690"/>
    </row>
    <row r="2691" spans="9:9" x14ac:dyDescent="0.25">
      <c r="I2691"/>
    </row>
    <row r="2692" spans="9:9" x14ac:dyDescent="0.25">
      <c r="I2692"/>
    </row>
    <row r="2693" spans="9:9" x14ac:dyDescent="0.25">
      <c r="I2693"/>
    </row>
    <row r="2694" spans="9:9" x14ac:dyDescent="0.25">
      <c r="I2694"/>
    </row>
    <row r="2695" spans="9:9" x14ac:dyDescent="0.25">
      <c r="I2695"/>
    </row>
    <row r="2696" spans="9:9" x14ac:dyDescent="0.25">
      <c r="I2696"/>
    </row>
    <row r="2697" spans="9:9" x14ac:dyDescent="0.25">
      <c r="I2697"/>
    </row>
    <row r="2698" spans="9:9" x14ac:dyDescent="0.25">
      <c r="I2698"/>
    </row>
    <row r="2699" spans="9:9" x14ac:dyDescent="0.25">
      <c r="I2699"/>
    </row>
    <row r="2700" spans="9:9" x14ac:dyDescent="0.25">
      <c r="I2700"/>
    </row>
    <row r="2701" spans="9:9" x14ac:dyDescent="0.25">
      <c r="I2701"/>
    </row>
    <row r="2702" spans="9:9" x14ac:dyDescent="0.25">
      <c r="I2702"/>
    </row>
    <row r="2703" spans="9:9" x14ac:dyDescent="0.25">
      <c r="I2703"/>
    </row>
    <row r="2704" spans="9:9" x14ac:dyDescent="0.25">
      <c r="I2704"/>
    </row>
    <row r="2705" spans="9:9" x14ac:dyDescent="0.25">
      <c r="I2705"/>
    </row>
    <row r="2706" spans="9:9" x14ac:dyDescent="0.25">
      <c r="I2706"/>
    </row>
    <row r="2707" spans="9:9" x14ac:dyDescent="0.25">
      <c r="I2707"/>
    </row>
    <row r="2708" spans="9:9" x14ac:dyDescent="0.25">
      <c r="I2708"/>
    </row>
    <row r="2709" spans="9:9" x14ac:dyDescent="0.25">
      <c r="I2709"/>
    </row>
    <row r="2710" spans="9:9" x14ac:dyDescent="0.25">
      <c r="I2710"/>
    </row>
    <row r="2711" spans="9:9" x14ac:dyDescent="0.25">
      <c r="I2711"/>
    </row>
    <row r="2712" spans="9:9" x14ac:dyDescent="0.25">
      <c r="I2712"/>
    </row>
    <row r="2713" spans="9:9" x14ac:dyDescent="0.25">
      <c r="I2713"/>
    </row>
    <row r="2714" spans="9:9" x14ac:dyDescent="0.25">
      <c r="I2714"/>
    </row>
    <row r="2715" spans="9:9" x14ac:dyDescent="0.25">
      <c r="I2715"/>
    </row>
    <row r="2716" spans="9:9" x14ac:dyDescent="0.25">
      <c r="I2716"/>
    </row>
    <row r="2717" spans="9:9" x14ac:dyDescent="0.25">
      <c r="I2717"/>
    </row>
    <row r="2718" spans="9:9" x14ac:dyDescent="0.25">
      <c r="I2718"/>
    </row>
    <row r="2719" spans="9:9" x14ac:dyDescent="0.25">
      <c r="I2719"/>
    </row>
    <row r="2720" spans="9:9" x14ac:dyDescent="0.25">
      <c r="I2720"/>
    </row>
    <row r="2721" spans="9:9" x14ac:dyDescent="0.25">
      <c r="I2721"/>
    </row>
    <row r="2722" spans="9:9" x14ac:dyDescent="0.25">
      <c r="I2722"/>
    </row>
    <row r="2723" spans="9:9" x14ac:dyDescent="0.25">
      <c r="I2723"/>
    </row>
    <row r="2724" spans="9:9" x14ac:dyDescent="0.25">
      <c r="I2724"/>
    </row>
    <row r="2725" spans="9:9" x14ac:dyDescent="0.25">
      <c r="I2725"/>
    </row>
    <row r="2726" spans="9:9" x14ac:dyDescent="0.25">
      <c r="I2726"/>
    </row>
    <row r="2727" spans="9:9" x14ac:dyDescent="0.25">
      <c r="I2727"/>
    </row>
    <row r="2728" spans="9:9" x14ac:dyDescent="0.25">
      <c r="I2728"/>
    </row>
    <row r="2729" spans="9:9" x14ac:dyDescent="0.25">
      <c r="I2729"/>
    </row>
    <row r="2730" spans="9:9" x14ac:dyDescent="0.25">
      <c r="I2730"/>
    </row>
    <row r="2731" spans="9:9" x14ac:dyDescent="0.25">
      <c r="I2731"/>
    </row>
    <row r="2732" spans="9:9" x14ac:dyDescent="0.25">
      <c r="I2732"/>
    </row>
    <row r="2733" spans="9:9" x14ac:dyDescent="0.25">
      <c r="I2733"/>
    </row>
    <row r="2734" spans="9:9" x14ac:dyDescent="0.25">
      <c r="I2734"/>
    </row>
    <row r="2735" spans="9:9" x14ac:dyDescent="0.25">
      <c r="I2735"/>
    </row>
    <row r="2736" spans="9:9" x14ac:dyDescent="0.25">
      <c r="I2736"/>
    </row>
    <row r="2737" spans="9:9" x14ac:dyDescent="0.25">
      <c r="I2737"/>
    </row>
    <row r="2738" spans="9:9" x14ac:dyDescent="0.25">
      <c r="I2738"/>
    </row>
    <row r="2739" spans="9:9" x14ac:dyDescent="0.25">
      <c r="I2739"/>
    </row>
    <row r="2740" spans="9:9" x14ac:dyDescent="0.25">
      <c r="I2740"/>
    </row>
    <row r="2741" spans="9:9" x14ac:dyDescent="0.25">
      <c r="I2741"/>
    </row>
    <row r="2742" spans="9:9" x14ac:dyDescent="0.25">
      <c r="I2742"/>
    </row>
    <row r="2743" spans="9:9" x14ac:dyDescent="0.25">
      <c r="I2743"/>
    </row>
    <row r="2744" spans="9:9" x14ac:dyDescent="0.25">
      <c r="I2744"/>
    </row>
    <row r="2745" spans="9:9" x14ac:dyDescent="0.25">
      <c r="I2745"/>
    </row>
    <row r="2746" spans="9:9" x14ac:dyDescent="0.25">
      <c r="I2746"/>
    </row>
    <row r="2747" spans="9:9" x14ac:dyDescent="0.25">
      <c r="I2747"/>
    </row>
    <row r="2748" spans="9:9" x14ac:dyDescent="0.25">
      <c r="I2748"/>
    </row>
    <row r="2749" spans="9:9" x14ac:dyDescent="0.25">
      <c r="I2749"/>
    </row>
    <row r="2750" spans="9:9" x14ac:dyDescent="0.25">
      <c r="I2750"/>
    </row>
    <row r="2751" spans="9:9" x14ac:dyDescent="0.25">
      <c r="I2751"/>
    </row>
    <row r="2752" spans="9:9" x14ac:dyDescent="0.25">
      <c r="I2752"/>
    </row>
    <row r="2753" spans="9:9" x14ac:dyDescent="0.25">
      <c r="I2753"/>
    </row>
    <row r="2754" spans="9:9" x14ac:dyDescent="0.25">
      <c r="I2754"/>
    </row>
    <row r="2755" spans="9:9" x14ac:dyDescent="0.25">
      <c r="I2755"/>
    </row>
    <row r="2756" spans="9:9" x14ac:dyDescent="0.25">
      <c r="I2756"/>
    </row>
    <row r="2757" spans="9:9" x14ac:dyDescent="0.25">
      <c r="I2757"/>
    </row>
    <row r="2758" spans="9:9" x14ac:dyDescent="0.25">
      <c r="I2758"/>
    </row>
    <row r="2759" spans="9:9" x14ac:dyDescent="0.25">
      <c r="I2759"/>
    </row>
    <row r="2760" spans="9:9" x14ac:dyDescent="0.25">
      <c r="I2760"/>
    </row>
    <row r="2761" spans="9:9" x14ac:dyDescent="0.25">
      <c r="I2761"/>
    </row>
    <row r="2762" spans="9:9" x14ac:dyDescent="0.25">
      <c r="I2762"/>
    </row>
    <row r="2763" spans="9:9" x14ac:dyDescent="0.25">
      <c r="I2763"/>
    </row>
    <row r="2764" spans="9:9" x14ac:dyDescent="0.25">
      <c r="I2764"/>
    </row>
    <row r="2765" spans="9:9" x14ac:dyDescent="0.25">
      <c r="I2765"/>
    </row>
    <row r="2766" spans="9:9" x14ac:dyDescent="0.25">
      <c r="I2766"/>
    </row>
    <row r="2767" spans="9:9" x14ac:dyDescent="0.25">
      <c r="I2767"/>
    </row>
    <row r="2768" spans="9:9" x14ac:dyDescent="0.25">
      <c r="I2768"/>
    </row>
    <row r="2769" spans="9:9" x14ac:dyDescent="0.25">
      <c r="I2769"/>
    </row>
    <row r="2770" spans="9:9" x14ac:dyDescent="0.25">
      <c r="I2770"/>
    </row>
    <row r="2771" spans="9:9" x14ac:dyDescent="0.25">
      <c r="I2771"/>
    </row>
    <row r="2772" spans="9:9" x14ac:dyDescent="0.25">
      <c r="I2772"/>
    </row>
    <row r="2773" spans="9:9" x14ac:dyDescent="0.25">
      <c r="I2773"/>
    </row>
    <row r="2774" spans="9:9" x14ac:dyDescent="0.25">
      <c r="I2774"/>
    </row>
    <row r="2775" spans="9:9" x14ac:dyDescent="0.25">
      <c r="I2775"/>
    </row>
    <row r="2776" spans="9:9" x14ac:dyDescent="0.25">
      <c r="I2776"/>
    </row>
    <row r="2777" spans="9:9" x14ac:dyDescent="0.25">
      <c r="I2777"/>
    </row>
    <row r="2778" spans="9:9" x14ac:dyDescent="0.25">
      <c r="I2778"/>
    </row>
    <row r="2779" spans="9:9" x14ac:dyDescent="0.25">
      <c r="I2779"/>
    </row>
    <row r="2780" spans="9:9" x14ac:dyDescent="0.25">
      <c r="I2780"/>
    </row>
    <row r="2781" spans="9:9" x14ac:dyDescent="0.25">
      <c r="I2781"/>
    </row>
    <row r="2782" spans="9:9" x14ac:dyDescent="0.25">
      <c r="I2782"/>
    </row>
    <row r="2783" spans="9:9" x14ac:dyDescent="0.25">
      <c r="I2783"/>
    </row>
    <row r="2784" spans="9:9" x14ac:dyDescent="0.25">
      <c r="I2784"/>
    </row>
    <row r="2785" spans="9:9" x14ac:dyDescent="0.25">
      <c r="I2785"/>
    </row>
    <row r="2786" spans="9:9" x14ac:dyDescent="0.25">
      <c r="I2786"/>
    </row>
    <row r="2787" spans="9:9" x14ac:dyDescent="0.25">
      <c r="I2787"/>
    </row>
    <row r="2788" spans="9:9" x14ac:dyDescent="0.25">
      <c r="I2788"/>
    </row>
    <row r="2789" spans="9:9" x14ac:dyDescent="0.25">
      <c r="I2789"/>
    </row>
    <row r="2790" spans="9:9" x14ac:dyDescent="0.25">
      <c r="I2790"/>
    </row>
    <row r="2791" spans="9:9" x14ac:dyDescent="0.25">
      <c r="I2791"/>
    </row>
    <row r="2792" spans="9:9" x14ac:dyDescent="0.25">
      <c r="I2792"/>
    </row>
    <row r="2793" spans="9:9" x14ac:dyDescent="0.25">
      <c r="I2793"/>
    </row>
    <row r="2794" spans="9:9" x14ac:dyDescent="0.25">
      <c r="I2794"/>
    </row>
    <row r="2795" spans="9:9" x14ac:dyDescent="0.25">
      <c r="I2795"/>
    </row>
    <row r="2796" spans="9:9" x14ac:dyDescent="0.25">
      <c r="I2796"/>
    </row>
    <row r="2797" spans="9:9" x14ac:dyDescent="0.25">
      <c r="I2797"/>
    </row>
    <row r="2798" spans="9:9" x14ac:dyDescent="0.25">
      <c r="I2798"/>
    </row>
    <row r="2799" spans="9:9" x14ac:dyDescent="0.25">
      <c r="I2799"/>
    </row>
    <row r="2800" spans="9:9" x14ac:dyDescent="0.25">
      <c r="I2800"/>
    </row>
    <row r="2801" spans="9:9" x14ac:dyDescent="0.25">
      <c r="I2801"/>
    </row>
    <row r="2802" spans="9:9" x14ac:dyDescent="0.25">
      <c r="I2802"/>
    </row>
    <row r="2803" spans="9:9" x14ac:dyDescent="0.25">
      <c r="I2803"/>
    </row>
    <row r="2804" spans="9:9" x14ac:dyDescent="0.25">
      <c r="I2804"/>
    </row>
    <row r="2805" spans="9:9" x14ac:dyDescent="0.25">
      <c r="I2805"/>
    </row>
    <row r="2806" spans="9:9" x14ac:dyDescent="0.25">
      <c r="I2806"/>
    </row>
    <row r="2807" spans="9:9" x14ac:dyDescent="0.25">
      <c r="I2807"/>
    </row>
    <row r="2808" spans="9:9" x14ac:dyDescent="0.25">
      <c r="I2808"/>
    </row>
    <row r="2809" spans="9:9" x14ac:dyDescent="0.25">
      <c r="I2809"/>
    </row>
    <row r="2810" spans="9:9" x14ac:dyDescent="0.25">
      <c r="I2810"/>
    </row>
    <row r="2811" spans="9:9" x14ac:dyDescent="0.25">
      <c r="I2811"/>
    </row>
    <row r="2812" spans="9:9" x14ac:dyDescent="0.25">
      <c r="I2812"/>
    </row>
    <row r="2813" spans="9:9" x14ac:dyDescent="0.25">
      <c r="I2813"/>
    </row>
    <row r="2814" spans="9:9" x14ac:dyDescent="0.25">
      <c r="I2814"/>
    </row>
    <row r="2815" spans="9:9" x14ac:dyDescent="0.25">
      <c r="I2815"/>
    </row>
    <row r="2816" spans="9:9" x14ac:dyDescent="0.25">
      <c r="I2816"/>
    </row>
    <row r="2817" spans="9:9" x14ac:dyDescent="0.25">
      <c r="I2817"/>
    </row>
    <row r="2818" spans="9:9" x14ac:dyDescent="0.25">
      <c r="I2818"/>
    </row>
    <row r="2819" spans="9:9" x14ac:dyDescent="0.25">
      <c r="I2819"/>
    </row>
    <row r="2820" spans="9:9" x14ac:dyDescent="0.25">
      <c r="I2820"/>
    </row>
    <row r="2821" spans="9:9" x14ac:dyDescent="0.25">
      <c r="I2821"/>
    </row>
    <row r="2822" spans="9:9" x14ac:dyDescent="0.25">
      <c r="I2822"/>
    </row>
    <row r="2823" spans="9:9" x14ac:dyDescent="0.25">
      <c r="I2823"/>
    </row>
    <row r="2824" spans="9:9" x14ac:dyDescent="0.25">
      <c r="I2824"/>
    </row>
    <row r="2825" spans="9:9" x14ac:dyDescent="0.25">
      <c r="I2825"/>
    </row>
    <row r="2826" spans="9:9" x14ac:dyDescent="0.25">
      <c r="I2826"/>
    </row>
    <row r="2827" spans="9:9" x14ac:dyDescent="0.25">
      <c r="I2827"/>
    </row>
    <row r="2828" spans="9:9" x14ac:dyDescent="0.25">
      <c r="I2828"/>
    </row>
    <row r="2829" spans="9:9" x14ac:dyDescent="0.25">
      <c r="I2829"/>
    </row>
    <row r="2830" spans="9:9" x14ac:dyDescent="0.25">
      <c r="I2830"/>
    </row>
    <row r="2831" spans="9:9" x14ac:dyDescent="0.25">
      <c r="I2831"/>
    </row>
    <row r="2832" spans="9:9" x14ac:dyDescent="0.25">
      <c r="I2832"/>
    </row>
    <row r="2833" spans="9:9" x14ac:dyDescent="0.25">
      <c r="I2833"/>
    </row>
    <row r="2834" spans="9:9" x14ac:dyDescent="0.25">
      <c r="I2834"/>
    </row>
    <row r="2835" spans="9:9" x14ac:dyDescent="0.25">
      <c r="I2835"/>
    </row>
    <row r="2836" spans="9:9" x14ac:dyDescent="0.25">
      <c r="I2836"/>
    </row>
    <row r="2837" spans="9:9" x14ac:dyDescent="0.25">
      <c r="I2837"/>
    </row>
    <row r="2838" spans="9:9" x14ac:dyDescent="0.25">
      <c r="I2838"/>
    </row>
    <row r="2839" spans="9:9" x14ac:dyDescent="0.25">
      <c r="I2839"/>
    </row>
    <row r="2840" spans="9:9" x14ac:dyDescent="0.25">
      <c r="I2840"/>
    </row>
    <row r="2841" spans="9:9" x14ac:dyDescent="0.25">
      <c r="I2841"/>
    </row>
    <row r="2842" spans="9:9" x14ac:dyDescent="0.25">
      <c r="I2842"/>
    </row>
    <row r="2843" spans="9:9" x14ac:dyDescent="0.25">
      <c r="I2843"/>
    </row>
    <row r="2844" spans="9:9" x14ac:dyDescent="0.25">
      <c r="I2844"/>
    </row>
    <row r="2845" spans="9:9" x14ac:dyDescent="0.25">
      <c r="I2845"/>
    </row>
    <row r="2846" spans="9:9" x14ac:dyDescent="0.25">
      <c r="I2846"/>
    </row>
    <row r="2847" spans="9:9" x14ac:dyDescent="0.25">
      <c r="I2847"/>
    </row>
    <row r="2848" spans="9:9" x14ac:dyDescent="0.25">
      <c r="I2848"/>
    </row>
    <row r="2849" spans="9:9" x14ac:dyDescent="0.25">
      <c r="I2849"/>
    </row>
    <row r="2850" spans="9:9" x14ac:dyDescent="0.25">
      <c r="I2850"/>
    </row>
    <row r="2851" spans="9:9" x14ac:dyDescent="0.25">
      <c r="I2851"/>
    </row>
    <row r="2852" spans="9:9" x14ac:dyDescent="0.25">
      <c r="I2852"/>
    </row>
    <row r="2853" spans="9:9" x14ac:dyDescent="0.25">
      <c r="I2853"/>
    </row>
    <row r="2854" spans="9:9" x14ac:dyDescent="0.25">
      <c r="I2854"/>
    </row>
    <row r="2855" spans="9:9" x14ac:dyDescent="0.25">
      <c r="I2855"/>
    </row>
    <row r="2856" spans="9:9" x14ac:dyDescent="0.25">
      <c r="I2856"/>
    </row>
    <row r="2857" spans="9:9" x14ac:dyDescent="0.25">
      <c r="I2857"/>
    </row>
    <row r="2858" spans="9:9" x14ac:dyDescent="0.25">
      <c r="I2858"/>
    </row>
    <row r="2859" spans="9:9" x14ac:dyDescent="0.25">
      <c r="I2859"/>
    </row>
    <row r="2860" spans="9:9" x14ac:dyDescent="0.25">
      <c r="I2860"/>
    </row>
    <row r="2861" spans="9:9" x14ac:dyDescent="0.25">
      <c r="I2861"/>
    </row>
    <row r="2862" spans="9:9" x14ac:dyDescent="0.25">
      <c r="I2862"/>
    </row>
    <row r="2863" spans="9:9" x14ac:dyDescent="0.25">
      <c r="I2863"/>
    </row>
    <row r="2864" spans="9:9" x14ac:dyDescent="0.25">
      <c r="I2864"/>
    </row>
    <row r="2865" spans="9:9" x14ac:dyDescent="0.25">
      <c r="I2865"/>
    </row>
    <row r="2866" spans="9:9" x14ac:dyDescent="0.25">
      <c r="I2866"/>
    </row>
    <row r="2867" spans="9:9" x14ac:dyDescent="0.25">
      <c r="I2867"/>
    </row>
    <row r="2868" spans="9:9" x14ac:dyDescent="0.25">
      <c r="I2868"/>
    </row>
    <row r="2869" spans="9:9" x14ac:dyDescent="0.25">
      <c r="I2869"/>
    </row>
    <row r="2870" spans="9:9" x14ac:dyDescent="0.25">
      <c r="I2870"/>
    </row>
    <row r="2871" spans="9:9" x14ac:dyDescent="0.25">
      <c r="I2871"/>
    </row>
    <row r="2872" spans="9:9" x14ac:dyDescent="0.25">
      <c r="I2872"/>
    </row>
    <row r="2873" spans="9:9" x14ac:dyDescent="0.25">
      <c r="I2873"/>
    </row>
    <row r="2874" spans="9:9" x14ac:dyDescent="0.25">
      <c r="I2874"/>
    </row>
    <row r="2875" spans="9:9" x14ac:dyDescent="0.25">
      <c r="I2875"/>
    </row>
    <row r="2876" spans="9:9" x14ac:dyDescent="0.25">
      <c r="I2876"/>
    </row>
    <row r="2877" spans="9:9" x14ac:dyDescent="0.25">
      <c r="I2877"/>
    </row>
    <row r="2878" spans="9:9" x14ac:dyDescent="0.25">
      <c r="I2878"/>
    </row>
    <row r="2879" spans="9:9" x14ac:dyDescent="0.25">
      <c r="I2879"/>
    </row>
    <row r="2880" spans="9:9" x14ac:dyDescent="0.25">
      <c r="I2880"/>
    </row>
    <row r="2881" spans="9:9" x14ac:dyDescent="0.25">
      <c r="I2881"/>
    </row>
    <row r="2882" spans="9:9" x14ac:dyDescent="0.25">
      <c r="I2882"/>
    </row>
    <row r="2883" spans="9:9" x14ac:dyDescent="0.25">
      <c r="I2883"/>
    </row>
    <row r="2884" spans="9:9" x14ac:dyDescent="0.25">
      <c r="I2884"/>
    </row>
    <row r="2885" spans="9:9" x14ac:dyDescent="0.25">
      <c r="I2885"/>
    </row>
    <row r="2886" spans="9:9" x14ac:dyDescent="0.25">
      <c r="I2886"/>
    </row>
    <row r="2887" spans="9:9" x14ac:dyDescent="0.25">
      <c r="I2887"/>
    </row>
    <row r="2888" spans="9:9" x14ac:dyDescent="0.25">
      <c r="I2888"/>
    </row>
    <row r="2889" spans="9:9" x14ac:dyDescent="0.25">
      <c r="I2889"/>
    </row>
    <row r="2890" spans="9:9" x14ac:dyDescent="0.25">
      <c r="I2890"/>
    </row>
    <row r="2891" spans="9:9" x14ac:dyDescent="0.25">
      <c r="I2891"/>
    </row>
    <row r="2892" spans="9:9" x14ac:dyDescent="0.25">
      <c r="I2892"/>
    </row>
    <row r="2893" spans="9:9" x14ac:dyDescent="0.25">
      <c r="I2893"/>
    </row>
    <row r="2894" spans="9:9" x14ac:dyDescent="0.25">
      <c r="I2894"/>
    </row>
    <row r="2895" spans="9:9" x14ac:dyDescent="0.25">
      <c r="I2895"/>
    </row>
    <row r="2896" spans="9:9" x14ac:dyDescent="0.25">
      <c r="I2896"/>
    </row>
    <row r="2897" spans="9:9" x14ac:dyDescent="0.25">
      <c r="I2897"/>
    </row>
    <row r="2898" spans="9:9" x14ac:dyDescent="0.25">
      <c r="I2898"/>
    </row>
    <row r="2899" spans="9:9" x14ac:dyDescent="0.25">
      <c r="I2899"/>
    </row>
    <row r="2900" spans="9:9" x14ac:dyDescent="0.25">
      <c r="I2900"/>
    </row>
    <row r="2901" spans="9:9" x14ac:dyDescent="0.25">
      <c r="I2901"/>
    </row>
    <row r="2902" spans="9:9" x14ac:dyDescent="0.25">
      <c r="I2902"/>
    </row>
    <row r="2903" spans="9:9" x14ac:dyDescent="0.25">
      <c r="I2903"/>
    </row>
    <row r="2904" spans="9:9" x14ac:dyDescent="0.25">
      <c r="I2904"/>
    </row>
    <row r="2905" spans="9:9" x14ac:dyDescent="0.25">
      <c r="I2905"/>
    </row>
    <row r="2906" spans="9:9" x14ac:dyDescent="0.25">
      <c r="I2906"/>
    </row>
    <row r="2907" spans="9:9" x14ac:dyDescent="0.25">
      <c r="I2907"/>
    </row>
    <row r="2908" spans="9:9" x14ac:dyDescent="0.25">
      <c r="I2908"/>
    </row>
    <row r="2909" spans="9:9" x14ac:dyDescent="0.25">
      <c r="I2909"/>
    </row>
    <row r="2910" spans="9:9" x14ac:dyDescent="0.25">
      <c r="I2910"/>
    </row>
    <row r="2911" spans="9:9" x14ac:dyDescent="0.25">
      <c r="I2911"/>
    </row>
    <row r="2912" spans="9:9" x14ac:dyDescent="0.25">
      <c r="I2912"/>
    </row>
    <row r="2913" spans="9:9" x14ac:dyDescent="0.25">
      <c r="I2913"/>
    </row>
    <row r="2914" spans="9:9" x14ac:dyDescent="0.25">
      <c r="I2914"/>
    </row>
    <row r="2915" spans="9:9" x14ac:dyDescent="0.25">
      <c r="I2915"/>
    </row>
    <row r="2916" spans="9:9" x14ac:dyDescent="0.25">
      <c r="I2916"/>
    </row>
    <row r="2917" spans="9:9" x14ac:dyDescent="0.25">
      <c r="I2917"/>
    </row>
    <row r="2918" spans="9:9" x14ac:dyDescent="0.25">
      <c r="I2918"/>
    </row>
    <row r="2919" spans="9:9" x14ac:dyDescent="0.25">
      <c r="I2919"/>
    </row>
    <row r="2920" spans="9:9" x14ac:dyDescent="0.25">
      <c r="I2920"/>
    </row>
    <row r="2921" spans="9:9" x14ac:dyDescent="0.25">
      <c r="I2921"/>
    </row>
    <row r="2922" spans="9:9" x14ac:dyDescent="0.25">
      <c r="I2922"/>
    </row>
    <row r="2923" spans="9:9" x14ac:dyDescent="0.25">
      <c r="I2923"/>
    </row>
    <row r="2924" spans="9:9" x14ac:dyDescent="0.25">
      <c r="I2924"/>
    </row>
    <row r="2925" spans="9:9" x14ac:dyDescent="0.25">
      <c r="I2925"/>
    </row>
    <row r="2926" spans="9:9" x14ac:dyDescent="0.25">
      <c r="I2926"/>
    </row>
    <row r="2927" spans="9:9" x14ac:dyDescent="0.25">
      <c r="I2927"/>
    </row>
    <row r="2928" spans="9:9" x14ac:dyDescent="0.25">
      <c r="I2928"/>
    </row>
    <row r="2929" spans="9:9" x14ac:dyDescent="0.25">
      <c r="I2929"/>
    </row>
    <row r="2930" spans="9:9" x14ac:dyDescent="0.25">
      <c r="I2930"/>
    </row>
    <row r="2931" spans="9:9" x14ac:dyDescent="0.25">
      <c r="I2931"/>
    </row>
    <row r="2932" spans="9:9" x14ac:dyDescent="0.25">
      <c r="I2932"/>
    </row>
    <row r="2933" spans="9:9" x14ac:dyDescent="0.25">
      <c r="I2933"/>
    </row>
    <row r="2934" spans="9:9" x14ac:dyDescent="0.25">
      <c r="I2934"/>
    </row>
    <row r="2935" spans="9:9" x14ac:dyDescent="0.25">
      <c r="I2935"/>
    </row>
    <row r="2936" spans="9:9" x14ac:dyDescent="0.25">
      <c r="I2936"/>
    </row>
    <row r="2937" spans="9:9" x14ac:dyDescent="0.25">
      <c r="I2937"/>
    </row>
    <row r="2938" spans="9:9" x14ac:dyDescent="0.25">
      <c r="I2938"/>
    </row>
    <row r="2939" spans="9:9" x14ac:dyDescent="0.25">
      <c r="I2939"/>
    </row>
    <row r="2940" spans="9:9" x14ac:dyDescent="0.25">
      <c r="I2940"/>
    </row>
    <row r="2941" spans="9:9" x14ac:dyDescent="0.25">
      <c r="I2941"/>
    </row>
    <row r="2942" spans="9:9" x14ac:dyDescent="0.25">
      <c r="I2942"/>
    </row>
    <row r="2943" spans="9:9" x14ac:dyDescent="0.25">
      <c r="I2943"/>
    </row>
    <row r="2944" spans="9:9" x14ac:dyDescent="0.25">
      <c r="I2944"/>
    </row>
    <row r="2945" spans="9:9" x14ac:dyDescent="0.25">
      <c r="I2945"/>
    </row>
    <row r="2946" spans="9:9" x14ac:dyDescent="0.25">
      <c r="I2946"/>
    </row>
    <row r="2947" spans="9:9" x14ac:dyDescent="0.25">
      <c r="I2947"/>
    </row>
    <row r="2948" spans="9:9" x14ac:dyDescent="0.25">
      <c r="I2948"/>
    </row>
    <row r="2949" spans="9:9" x14ac:dyDescent="0.25">
      <c r="I2949"/>
    </row>
    <row r="2950" spans="9:9" x14ac:dyDescent="0.25">
      <c r="I2950"/>
    </row>
    <row r="2951" spans="9:9" x14ac:dyDescent="0.25">
      <c r="I2951"/>
    </row>
    <row r="2952" spans="9:9" x14ac:dyDescent="0.25">
      <c r="I2952"/>
    </row>
    <row r="2953" spans="9:9" x14ac:dyDescent="0.25">
      <c r="I2953"/>
    </row>
    <row r="2954" spans="9:9" x14ac:dyDescent="0.25">
      <c r="I2954"/>
    </row>
    <row r="2955" spans="9:9" x14ac:dyDescent="0.25">
      <c r="I2955"/>
    </row>
    <row r="2956" spans="9:9" x14ac:dyDescent="0.25">
      <c r="I2956"/>
    </row>
    <row r="2957" spans="9:9" x14ac:dyDescent="0.25">
      <c r="I2957"/>
    </row>
    <row r="2958" spans="9:9" x14ac:dyDescent="0.25">
      <c r="I2958"/>
    </row>
    <row r="2959" spans="9:9" x14ac:dyDescent="0.25">
      <c r="I2959"/>
    </row>
    <row r="2960" spans="9:9" x14ac:dyDescent="0.25">
      <c r="I2960"/>
    </row>
    <row r="2961" spans="9:9" x14ac:dyDescent="0.25">
      <c r="I2961"/>
    </row>
    <row r="2962" spans="9:9" x14ac:dyDescent="0.25">
      <c r="I2962"/>
    </row>
    <row r="2963" spans="9:9" x14ac:dyDescent="0.25">
      <c r="I2963"/>
    </row>
    <row r="2964" spans="9:9" x14ac:dyDescent="0.25">
      <c r="I2964"/>
    </row>
    <row r="2965" spans="9:9" x14ac:dyDescent="0.25">
      <c r="I2965"/>
    </row>
    <row r="2966" spans="9:9" x14ac:dyDescent="0.25">
      <c r="I2966"/>
    </row>
    <row r="2967" spans="9:9" x14ac:dyDescent="0.25">
      <c r="I2967"/>
    </row>
    <row r="2968" spans="9:9" x14ac:dyDescent="0.25">
      <c r="I2968"/>
    </row>
    <row r="2969" spans="9:9" x14ac:dyDescent="0.25">
      <c r="I2969"/>
    </row>
    <row r="2970" spans="9:9" x14ac:dyDescent="0.25">
      <c r="I2970"/>
    </row>
    <row r="2971" spans="9:9" x14ac:dyDescent="0.25">
      <c r="I2971"/>
    </row>
    <row r="2972" spans="9:9" x14ac:dyDescent="0.25">
      <c r="I2972"/>
    </row>
    <row r="2973" spans="9:9" x14ac:dyDescent="0.25">
      <c r="I2973"/>
    </row>
    <row r="2974" spans="9:9" x14ac:dyDescent="0.25">
      <c r="I2974"/>
    </row>
    <row r="2975" spans="9:9" x14ac:dyDescent="0.25">
      <c r="I2975"/>
    </row>
    <row r="2976" spans="9:9" x14ac:dyDescent="0.25">
      <c r="I2976"/>
    </row>
    <row r="2977" spans="9:9" x14ac:dyDescent="0.25">
      <c r="I2977"/>
    </row>
    <row r="2978" spans="9:9" x14ac:dyDescent="0.25">
      <c r="I2978"/>
    </row>
    <row r="2979" spans="9:9" x14ac:dyDescent="0.25">
      <c r="I2979"/>
    </row>
    <row r="2980" spans="9:9" x14ac:dyDescent="0.25">
      <c r="I2980"/>
    </row>
    <row r="2981" spans="9:9" x14ac:dyDescent="0.25">
      <c r="I2981"/>
    </row>
    <row r="2982" spans="9:9" x14ac:dyDescent="0.25">
      <c r="I2982"/>
    </row>
    <row r="2983" spans="9:9" x14ac:dyDescent="0.25">
      <c r="I2983"/>
    </row>
    <row r="2984" spans="9:9" x14ac:dyDescent="0.25">
      <c r="I2984"/>
    </row>
    <row r="2985" spans="9:9" x14ac:dyDescent="0.25">
      <c r="I2985"/>
    </row>
    <row r="2986" spans="9:9" x14ac:dyDescent="0.25">
      <c r="I2986"/>
    </row>
    <row r="2987" spans="9:9" x14ac:dyDescent="0.25">
      <c r="I2987"/>
    </row>
    <row r="2988" spans="9:9" x14ac:dyDescent="0.25">
      <c r="I2988"/>
    </row>
    <row r="2989" spans="9:9" x14ac:dyDescent="0.25">
      <c r="I2989"/>
    </row>
    <row r="2990" spans="9:9" x14ac:dyDescent="0.25">
      <c r="I2990"/>
    </row>
    <row r="2991" spans="9:9" x14ac:dyDescent="0.25">
      <c r="I2991"/>
    </row>
    <row r="2992" spans="9:9" x14ac:dyDescent="0.25">
      <c r="I2992"/>
    </row>
    <row r="2993" spans="9:9" x14ac:dyDescent="0.25">
      <c r="I2993"/>
    </row>
    <row r="2994" spans="9:9" x14ac:dyDescent="0.25">
      <c r="I2994"/>
    </row>
    <row r="2995" spans="9:9" x14ac:dyDescent="0.25">
      <c r="I2995"/>
    </row>
    <row r="2996" spans="9:9" x14ac:dyDescent="0.25">
      <c r="I2996"/>
    </row>
    <row r="2997" spans="9:9" x14ac:dyDescent="0.25">
      <c r="I2997"/>
    </row>
    <row r="2998" spans="9:9" x14ac:dyDescent="0.25">
      <c r="I2998"/>
    </row>
    <row r="2999" spans="9:9" x14ac:dyDescent="0.25">
      <c r="I2999"/>
    </row>
    <row r="3000" spans="9:9" x14ac:dyDescent="0.25">
      <c r="I3000"/>
    </row>
    <row r="3001" spans="9:9" x14ac:dyDescent="0.25">
      <c r="I3001"/>
    </row>
    <row r="3002" spans="9:9" x14ac:dyDescent="0.25">
      <c r="I3002"/>
    </row>
    <row r="3003" spans="9:9" x14ac:dyDescent="0.25">
      <c r="I3003"/>
    </row>
    <row r="3004" spans="9:9" x14ac:dyDescent="0.25">
      <c r="I3004"/>
    </row>
    <row r="3005" spans="9:9" x14ac:dyDescent="0.25">
      <c r="I3005"/>
    </row>
    <row r="3006" spans="9:9" x14ac:dyDescent="0.25">
      <c r="I3006"/>
    </row>
    <row r="3007" spans="9:9" x14ac:dyDescent="0.25">
      <c r="I3007"/>
    </row>
    <row r="3008" spans="9:9" x14ac:dyDescent="0.25">
      <c r="I3008"/>
    </row>
    <row r="3009" spans="9:9" x14ac:dyDescent="0.25">
      <c r="I3009"/>
    </row>
    <row r="3010" spans="9:9" x14ac:dyDescent="0.25">
      <c r="I3010"/>
    </row>
    <row r="3011" spans="9:9" x14ac:dyDescent="0.25">
      <c r="I3011"/>
    </row>
    <row r="3012" spans="9:9" x14ac:dyDescent="0.25">
      <c r="I3012"/>
    </row>
    <row r="3013" spans="9:9" x14ac:dyDescent="0.25">
      <c r="I3013"/>
    </row>
    <row r="3014" spans="9:9" x14ac:dyDescent="0.25">
      <c r="I3014"/>
    </row>
    <row r="3015" spans="9:9" x14ac:dyDescent="0.25">
      <c r="I3015"/>
    </row>
    <row r="3016" spans="9:9" x14ac:dyDescent="0.25">
      <c r="I3016"/>
    </row>
    <row r="3017" spans="9:9" x14ac:dyDescent="0.25">
      <c r="I3017"/>
    </row>
    <row r="3018" spans="9:9" x14ac:dyDescent="0.25">
      <c r="I3018"/>
    </row>
    <row r="3019" spans="9:9" x14ac:dyDescent="0.25">
      <c r="I3019"/>
    </row>
    <row r="3020" spans="9:9" x14ac:dyDescent="0.25">
      <c r="I3020"/>
    </row>
    <row r="3021" spans="9:9" x14ac:dyDescent="0.25">
      <c r="I3021"/>
    </row>
    <row r="3022" spans="9:9" x14ac:dyDescent="0.25">
      <c r="I3022"/>
    </row>
    <row r="3023" spans="9:9" x14ac:dyDescent="0.25">
      <c r="I3023"/>
    </row>
    <row r="3024" spans="9:9" x14ac:dyDescent="0.25">
      <c r="I3024"/>
    </row>
    <row r="3025" spans="9:9" x14ac:dyDescent="0.25">
      <c r="I3025"/>
    </row>
    <row r="3026" spans="9:9" x14ac:dyDescent="0.25">
      <c r="I3026"/>
    </row>
    <row r="3027" spans="9:9" x14ac:dyDescent="0.25">
      <c r="I3027"/>
    </row>
    <row r="3028" spans="9:9" x14ac:dyDescent="0.25">
      <c r="I3028"/>
    </row>
    <row r="3029" spans="9:9" x14ac:dyDescent="0.25">
      <c r="I3029"/>
    </row>
    <row r="3030" spans="9:9" x14ac:dyDescent="0.25">
      <c r="I3030"/>
    </row>
    <row r="3031" spans="9:9" x14ac:dyDescent="0.25">
      <c r="I3031"/>
    </row>
    <row r="3032" spans="9:9" x14ac:dyDescent="0.25">
      <c r="I3032"/>
    </row>
    <row r="3033" spans="9:9" x14ac:dyDescent="0.25">
      <c r="I3033"/>
    </row>
    <row r="3034" spans="9:9" x14ac:dyDescent="0.25">
      <c r="I3034"/>
    </row>
    <row r="3035" spans="9:9" x14ac:dyDescent="0.25">
      <c r="I3035"/>
    </row>
    <row r="3036" spans="9:9" x14ac:dyDescent="0.25">
      <c r="I3036"/>
    </row>
    <row r="3037" spans="9:9" x14ac:dyDescent="0.25">
      <c r="I3037"/>
    </row>
    <row r="3038" spans="9:9" x14ac:dyDescent="0.25">
      <c r="I3038"/>
    </row>
    <row r="3039" spans="9:9" x14ac:dyDescent="0.25">
      <c r="I3039"/>
    </row>
    <row r="3040" spans="9:9" x14ac:dyDescent="0.25">
      <c r="I3040"/>
    </row>
    <row r="3041" spans="9:9" x14ac:dyDescent="0.25">
      <c r="I3041"/>
    </row>
    <row r="3042" spans="9:9" x14ac:dyDescent="0.25">
      <c r="I3042"/>
    </row>
    <row r="3043" spans="9:9" x14ac:dyDescent="0.25">
      <c r="I3043"/>
    </row>
    <row r="3044" spans="9:9" x14ac:dyDescent="0.25">
      <c r="I3044"/>
    </row>
    <row r="3045" spans="9:9" x14ac:dyDescent="0.25">
      <c r="I3045"/>
    </row>
    <row r="3046" spans="9:9" x14ac:dyDescent="0.25">
      <c r="I3046"/>
    </row>
    <row r="3047" spans="9:9" x14ac:dyDescent="0.25">
      <c r="I3047"/>
    </row>
    <row r="3048" spans="9:9" x14ac:dyDescent="0.25">
      <c r="I3048"/>
    </row>
    <row r="3049" spans="9:9" x14ac:dyDescent="0.25">
      <c r="I3049"/>
    </row>
    <row r="3050" spans="9:9" x14ac:dyDescent="0.25">
      <c r="I3050"/>
    </row>
    <row r="3051" spans="9:9" x14ac:dyDescent="0.25">
      <c r="I3051"/>
    </row>
    <row r="3052" spans="9:9" x14ac:dyDescent="0.25">
      <c r="I3052"/>
    </row>
    <row r="3053" spans="9:9" x14ac:dyDescent="0.25">
      <c r="I3053"/>
    </row>
    <row r="3054" spans="9:9" x14ac:dyDescent="0.25">
      <c r="I3054"/>
    </row>
    <row r="3055" spans="9:9" x14ac:dyDescent="0.25">
      <c r="I3055"/>
    </row>
    <row r="3056" spans="9:9" x14ac:dyDescent="0.25">
      <c r="I3056"/>
    </row>
    <row r="3057" spans="9:9" x14ac:dyDescent="0.25">
      <c r="I3057"/>
    </row>
    <row r="3058" spans="9:9" x14ac:dyDescent="0.25">
      <c r="I3058"/>
    </row>
    <row r="3059" spans="9:9" x14ac:dyDescent="0.25">
      <c r="I3059"/>
    </row>
    <row r="3060" spans="9:9" x14ac:dyDescent="0.25">
      <c r="I3060"/>
    </row>
    <row r="3061" spans="9:9" x14ac:dyDescent="0.25">
      <c r="I3061"/>
    </row>
    <row r="3062" spans="9:9" x14ac:dyDescent="0.25">
      <c r="I3062"/>
    </row>
    <row r="3063" spans="9:9" x14ac:dyDescent="0.25">
      <c r="I3063"/>
    </row>
    <row r="3064" spans="9:9" x14ac:dyDescent="0.25">
      <c r="I3064"/>
    </row>
    <row r="3065" spans="9:9" x14ac:dyDescent="0.25">
      <c r="I3065"/>
    </row>
    <row r="3066" spans="9:9" x14ac:dyDescent="0.25">
      <c r="I3066"/>
    </row>
    <row r="3067" spans="9:9" x14ac:dyDescent="0.25">
      <c r="I3067"/>
    </row>
    <row r="3068" spans="9:9" x14ac:dyDescent="0.25">
      <c r="I3068"/>
    </row>
    <row r="3069" spans="9:9" x14ac:dyDescent="0.25">
      <c r="I3069"/>
    </row>
    <row r="3070" spans="9:9" x14ac:dyDescent="0.25">
      <c r="I3070"/>
    </row>
    <row r="3071" spans="9:9" x14ac:dyDescent="0.25">
      <c r="I3071"/>
    </row>
    <row r="3072" spans="9:9" x14ac:dyDescent="0.25">
      <c r="I3072"/>
    </row>
    <row r="3073" spans="9:9" x14ac:dyDescent="0.25">
      <c r="I3073"/>
    </row>
    <row r="3074" spans="9:9" x14ac:dyDescent="0.25">
      <c r="I3074"/>
    </row>
    <row r="3075" spans="9:9" x14ac:dyDescent="0.25">
      <c r="I3075"/>
    </row>
    <row r="3076" spans="9:9" x14ac:dyDescent="0.25">
      <c r="I3076"/>
    </row>
    <row r="3077" spans="9:9" x14ac:dyDescent="0.25">
      <c r="I3077"/>
    </row>
    <row r="3078" spans="9:9" x14ac:dyDescent="0.25">
      <c r="I3078"/>
    </row>
    <row r="3079" spans="9:9" x14ac:dyDescent="0.25">
      <c r="I3079"/>
    </row>
    <row r="3080" spans="9:9" x14ac:dyDescent="0.25">
      <c r="I3080"/>
    </row>
    <row r="3081" spans="9:9" x14ac:dyDescent="0.25">
      <c r="I3081"/>
    </row>
    <row r="3082" spans="9:9" x14ac:dyDescent="0.25">
      <c r="I3082"/>
    </row>
    <row r="3083" spans="9:9" x14ac:dyDescent="0.25">
      <c r="I3083"/>
    </row>
    <row r="3084" spans="9:9" x14ac:dyDescent="0.25">
      <c r="I3084"/>
    </row>
    <row r="3085" spans="9:9" x14ac:dyDescent="0.25">
      <c r="I3085"/>
    </row>
    <row r="3086" spans="9:9" x14ac:dyDescent="0.25">
      <c r="I3086"/>
    </row>
    <row r="3087" spans="9:9" x14ac:dyDescent="0.25">
      <c r="I3087"/>
    </row>
    <row r="3088" spans="9:9" x14ac:dyDescent="0.25">
      <c r="I3088"/>
    </row>
    <row r="3089" spans="9:9" x14ac:dyDescent="0.25">
      <c r="I3089"/>
    </row>
    <row r="3090" spans="9:9" x14ac:dyDescent="0.25">
      <c r="I3090"/>
    </row>
    <row r="3091" spans="9:9" x14ac:dyDescent="0.25">
      <c r="I3091"/>
    </row>
    <row r="3092" spans="9:9" x14ac:dyDescent="0.25">
      <c r="I3092"/>
    </row>
    <row r="3093" spans="9:9" x14ac:dyDescent="0.25">
      <c r="I3093"/>
    </row>
    <row r="3094" spans="9:9" x14ac:dyDescent="0.25">
      <c r="I3094"/>
    </row>
    <row r="3095" spans="9:9" x14ac:dyDescent="0.25">
      <c r="I3095"/>
    </row>
    <row r="3096" spans="9:9" x14ac:dyDescent="0.25">
      <c r="I3096"/>
    </row>
    <row r="3097" spans="9:9" x14ac:dyDescent="0.25">
      <c r="I3097"/>
    </row>
    <row r="3098" spans="9:9" x14ac:dyDescent="0.25">
      <c r="I3098"/>
    </row>
    <row r="3099" spans="9:9" x14ac:dyDescent="0.25">
      <c r="I3099"/>
    </row>
    <row r="3100" spans="9:9" x14ac:dyDescent="0.25">
      <c r="I3100"/>
    </row>
    <row r="3101" spans="9:9" x14ac:dyDescent="0.25">
      <c r="I3101"/>
    </row>
    <row r="3102" spans="9:9" x14ac:dyDescent="0.25">
      <c r="I3102"/>
    </row>
    <row r="3103" spans="9:9" x14ac:dyDescent="0.25">
      <c r="I3103"/>
    </row>
    <row r="3104" spans="9:9" x14ac:dyDescent="0.25">
      <c r="I3104"/>
    </row>
    <row r="3105" spans="9:9" x14ac:dyDescent="0.25">
      <c r="I3105"/>
    </row>
    <row r="3106" spans="9:9" x14ac:dyDescent="0.25">
      <c r="I3106"/>
    </row>
    <row r="3107" spans="9:9" x14ac:dyDescent="0.25">
      <c r="I3107"/>
    </row>
    <row r="3108" spans="9:9" x14ac:dyDescent="0.25">
      <c r="I3108"/>
    </row>
    <row r="3109" spans="9:9" x14ac:dyDescent="0.25">
      <c r="I3109"/>
    </row>
    <row r="3110" spans="9:9" x14ac:dyDescent="0.25">
      <c r="I3110"/>
    </row>
    <row r="3111" spans="9:9" x14ac:dyDescent="0.25">
      <c r="I3111"/>
    </row>
    <row r="3112" spans="9:9" x14ac:dyDescent="0.25">
      <c r="I3112"/>
    </row>
    <row r="3113" spans="9:9" x14ac:dyDescent="0.25">
      <c r="I3113"/>
    </row>
    <row r="3114" spans="9:9" x14ac:dyDescent="0.25">
      <c r="I3114"/>
    </row>
    <row r="3115" spans="9:9" x14ac:dyDescent="0.25">
      <c r="I3115"/>
    </row>
    <row r="3116" spans="9:9" x14ac:dyDescent="0.25">
      <c r="I3116"/>
    </row>
    <row r="3117" spans="9:9" x14ac:dyDescent="0.25">
      <c r="I3117"/>
    </row>
    <row r="3118" spans="9:9" x14ac:dyDescent="0.25">
      <c r="I3118"/>
    </row>
    <row r="3119" spans="9:9" x14ac:dyDescent="0.25">
      <c r="I3119"/>
    </row>
    <row r="3120" spans="9:9" x14ac:dyDescent="0.25">
      <c r="I3120"/>
    </row>
    <row r="3121" spans="9:9" x14ac:dyDescent="0.25">
      <c r="I3121"/>
    </row>
    <row r="3122" spans="9:9" x14ac:dyDescent="0.25">
      <c r="I3122"/>
    </row>
    <row r="3123" spans="9:9" x14ac:dyDescent="0.25">
      <c r="I3123"/>
    </row>
    <row r="3124" spans="9:9" x14ac:dyDescent="0.25">
      <c r="I3124"/>
    </row>
    <row r="3125" spans="9:9" x14ac:dyDescent="0.25">
      <c r="I3125"/>
    </row>
    <row r="3126" spans="9:9" x14ac:dyDescent="0.25">
      <c r="I3126"/>
    </row>
    <row r="3127" spans="9:9" x14ac:dyDescent="0.25">
      <c r="I3127"/>
    </row>
    <row r="3128" spans="9:9" x14ac:dyDescent="0.25">
      <c r="I3128"/>
    </row>
    <row r="3129" spans="9:9" x14ac:dyDescent="0.25">
      <c r="I3129"/>
    </row>
    <row r="3130" spans="9:9" x14ac:dyDescent="0.25">
      <c r="I3130"/>
    </row>
    <row r="3131" spans="9:9" x14ac:dyDescent="0.25">
      <c r="I3131"/>
    </row>
    <row r="3132" spans="9:9" x14ac:dyDescent="0.25">
      <c r="I3132"/>
    </row>
    <row r="3133" spans="9:9" x14ac:dyDescent="0.25">
      <c r="I3133"/>
    </row>
    <row r="3134" spans="9:9" x14ac:dyDescent="0.25">
      <c r="I3134"/>
    </row>
    <row r="3135" spans="9:9" x14ac:dyDescent="0.25">
      <c r="I3135"/>
    </row>
    <row r="3136" spans="9:9" x14ac:dyDescent="0.25">
      <c r="I3136"/>
    </row>
    <row r="3137" spans="9:9" x14ac:dyDescent="0.25">
      <c r="I3137"/>
    </row>
    <row r="3138" spans="9:9" x14ac:dyDescent="0.25">
      <c r="I3138"/>
    </row>
    <row r="3139" spans="9:9" x14ac:dyDescent="0.25">
      <c r="I3139"/>
    </row>
    <row r="3140" spans="9:9" x14ac:dyDescent="0.25">
      <c r="I3140"/>
    </row>
    <row r="3141" spans="9:9" x14ac:dyDescent="0.25">
      <c r="I3141"/>
    </row>
    <row r="3142" spans="9:9" x14ac:dyDescent="0.25">
      <c r="I3142"/>
    </row>
    <row r="3143" spans="9:9" x14ac:dyDescent="0.25">
      <c r="I3143"/>
    </row>
    <row r="3144" spans="9:9" x14ac:dyDescent="0.25">
      <c r="I3144"/>
    </row>
    <row r="3145" spans="9:9" x14ac:dyDescent="0.25">
      <c r="I3145"/>
    </row>
    <row r="3146" spans="9:9" x14ac:dyDescent="0.25">
      <c r="I3146"/>
    </row>
    <row r="3147" spans="9:9" x14ac:dyDescent="0.25">
      <c r="I3147"/>
    </row>
    <row r="3148" spans="9:9" x14ac:dyDescent="0.25">
      <c r="I3148"/>
    </row>
    <row r="3149" spans="9:9" x14ac:dyDescent="0.25">
      <c r="I3149"/>
    </row>
    <row r="3150" spans="9:9" x14ac:dyDescent="0.25">
      <c r="I3150"/>
    </row>
    <row r="3151" spans="9:9" x14ac:dyDescent="0.25">
      <c r="I3151"/>
    </row>
    <row r="3152" spans="9:9" x14ac:dyDescent="0.25">
      <c r="I3152"/>
    </row>
    <row r="3153" spans="9:9" x14ac:dyDescent="0.25">
      <c r="I3153"/>
    </row>
    <row r="3154" spans="9:9" x14ac:dyDescent="0.25">
      <c r="I3154"/>
    </row>
    <row r="3155" spans="9:9" x14ac:dyDescent="0.25">
      <c r="I3155"/>
    </row>
    <row r="3156" spans="9:9" x14ac:dyDescent="0.25">
      <c r="I3156"/>
    </row>
    <row r="3157" spans="9:9" x14ac:dyDescent="0.25">
      <c r="I3157"/>
    </row>
    <row r="3158" spans="9:9" x14ac:dyDescent="0.25">
      <c r="I3158"/>
    </row>
    <row r="3159" spans="9:9" x14ac:dyDescent="0.25">
      <c r="I3159"/>
    </row>
    <row r="3160" spans="9:9" x14ac:dyDescent="0.25">
      <c r="I3160"/>
    </row>
    <row r="3161" spans="9:9" x14ac:dyDescent="0.25">
      <c r="I3161"/>
    </row>
    <row r="3162" spans="9:9" x14ac:dyDescent="0.25">
      <c r="I3162"/>
    </row>
    <row r="3163" spans="9:9" x14ac:dyDescent="0.25">
      <c r="I3163"/>
    </row>
    <row r="3164" spans="9:9" x14ac:dyDescent="0.25">
      <c r="I3164"/>
    </row>
    <row r="3165" spans="9:9" x14ac:dyDescent="0.25">
      <c r="I3165"/>
    </row>
    <row r="3166" spans="9:9" x14ac:dyDescent="0.25">
      <c r="I3166"/>
    </row>
    <row r="3167" spans="9:9" x14ac:dyDescent="0.25">
      <c r="I3167"/>
    </row>
    <row r="3168" spans="9:9" x14ac:dyDescent="0.25">
      <c r="I3168"/>
    </row>
    <row r="3169" spans="9:9" x14ac:dyDescent="0.25">
      <c r="I3169"/>
    </row>
    <row r="3170" spans="9:9" x14ac:dyDescent="0.25">
      <c r="I3170"/>
    </row>
    <row r="3171" spans="9:9" x14ac:dyDescent="0.25">
      <c r="I3171"/>
    </row>
    <row r="3172" spans="9:9" x14ac:dyDescent="0.25">
      <c r="I3172"/>
    </row>
    <row r="3173" spans="9:9" x14ac:dyDescent="0.25">
      <c r="I3173"/>
    </row>
    <row r="3174" spans="9:9" x14ac:dyDescent="0.25">
      <c r="I3174"/>
    </row>
    <row r="3175" spans="9:9" x14ac:dyDescent="0.25">
      <c r="I3175"/>
    </row>
    <row r="3176" spans="9:9" x14ac:dyDescent="0.25">
      <c r="I3176"/>
    </row>
    <row r="3177" spans="9:9" x14ac:dyDescent="0.25">
      <c r="I3177"/>
    </row>
    <row r="3178" spans="9:9" x14ac:dyDescent="0.25">
      <c r="I3178"/>
    </row>
    <row r="3179" spans="9:9" x14ac:dyDescent="0.25">
      <c r="I3179"/>
    </row>
    <row r="3180" spans="9:9" x14ac:dyDescent="0.25">
      <c r="I3180"/>
    </row>
    <row r="3181" spans="9:9" x14ac:dyDescent="0.25">
      <c r="I3181"/>
    </row>
    <row r="3182" spans="9:9" x14ac:dyDescent="0.25">
      <c r="I3182"/>
    </row>
    <row r="3183" spans="9:9" x14ac:dyDescent="0.25">
      <c r="I3183"/>
    </row>
    <row r="3184" spans="9:9" x14ac:dyDescent="0.25">
      <c r="I3184"/>
    </row>
    <row r="3185" spans="9:9" x14ac:dyDescent="0.25">
      <c r="I3185"/>
    </row>
    <row r="3186" spans="9:9" x14ac:dyDescent="0.25">
      <c r="I3186"/>
    </row>
    <row r="3187" spans="9:9" x14ac:dyDescent="0.25">
      <c r="I3187"/>
    </row>
    <row r="3188" spans="9:9" x14ac:dyDescent="0.25">
      <c r="I3188"/>
    </row>
    <row r="3189" spans="9:9" x14ac:dyDescent="0.25">
      <c r="I3189"/>
    </row>
    <row r="3190" spans="9:9" x14ac:dyDescent="0.25">
      <c r="I3190"/>
    </row>
    <row r="3191" spans="9:9" x14ac:dyDescent="0.25">
      <c r="I3191"/>
    </row>
    <row r="3192" spans="9:9" x14ac:dyDescent="0.25">
      <c r="I3192"/>
    </row>
    <row r="3193" spans="9:9" x14ac:dyDescent="0.25">
      <c r="I3193"/>
    </row>
    <row r="3194" spans="9:9" x14ac:dyDescent="0.25">
      <c r="I3194"/>
    </row>
    <row r="3195" spans="9:9" x14ac:dyDescent="0.25">
      <c r="I3195"/>
    </row>
    <row r="3196" spans="9:9" x14ac:dyDescent="0.25">
      <c r="I3196"/>
    </row>
    <row r="3197" spans="9:9" x14ac:dyDescent="0.25">
      <c r="I3197"/>
    </row>
    <row r="3198" spans="9:9" x14ac:dyDescent="0.25">
      <c r="I3198"/>
    </row>
    <row r="3199" spans="9:9" x14ac:dyDescent="0.25">
      <c r="I3199"/>
    </row>
    <row r="3200" spans="9:9" x14ac:dyDescent="0.25">
      <c r="I3200"/>
    </row>
    <row r="3201" spans="9:9" x14ac:dyDescent="0.25">
      <c r="I3201"/>
    </row>
    <row r="3202" spans="9:9" x14ac:dyDescent="0.25">
      <c r="I3202"/>
    </row>
    <row r="3203" spans="9:9" x14ac:dyDescent="0.25">
      <c r="I3203"/>
    </row>
    <row r="3204" spans="9:9" x14ac:dyDescent="0.25">
      <c r="I3204"/>
    </row>
    <row r="3205" spans="9:9" x14ac:dyDescent="0.25">
      <c r="I3205"/>
    </row>
    <row r="3206" spans="9:9" x14ac:dyDescent="0.25">
      <c r="I3206"/>
    </row>
    <row r="3207" spans="9:9" x14ac:dyDescent="0.25">
      <c r="I3207"/>
    </row>
    <row r="3208" spans="9:9" x14ac:dyDescent="0.25">
      <c r="I3208"/>
    </row>
    <row r="3209" spans="9:9" x14ac:dyDescent="0.25">
      <c r="I3209"/>
    </row>
    <row r="3210" spans="9:9" x14ac:dyDescent="0.25">
      <c r="I3210"/>
    </row>
    <row r="3211" spans="9:9" x14ac:dyDescent="0.25">
      <c r="I3211"/>
    </row>
    <row r="3212" spans="9:9" x14ac:dyDescent="0.25">
      <c r="I3212"/>
    </row>
    <row r="3213" spans="9:9" x14ac:dyDescent="0.25">
      <c r="I3213"/>
    </row>
    <row r="3214" spans="9:9" x14ac:dyDescent="0.25">
      <c r="I3214"/>
    </row>
    <row r="3215" spans="9:9" x14ac:dyDescent="0.25">
      <c r="I3215"/>
    </row>
    <row r="3216" spans="9:9" x14ac:dyDescent="0.25">
      <c r="I3216"/>
    </row>
    <row r="3217" spans="9:9" x14ac:dyDescent="0.25">
      <c r="I3217"/>
    </row>
    <row r="3218" spans="9:9" x14ac:dyDescent="0.25">
      <c r="I3218"/>
    </row>
    <row r="3219" spans="9:9" x14ac:dyDescent="0.25">
      <c r="I3219"/>
    </row>
    <row r="3220" spans="9:9" x14ac:dyDescent="0.25">
      <c r="I3220"/>
    </row>
    <row r="3221" spans="9:9" x14ac:dyDescent="0.25">
      <c r="I3221"/>
    </row>
    <row r="3222" spans="9:9" x14ac:dyDescent="0.25">
      <c r="I3222"/>
    </row>
    <row r="3223" spans="9:9" x14ac:dyDescent="0.25">
      <c r="I3223"/>
    </row>
    <row r="3224" spans="9:9" x14ac:dyDescent="0.25">
      <c r="I3224"/>
    </row>
    <row r="3225" spans="9:9" x14ac:dyDescent="0.25">
      <c r="I3225"/>
    </row>
    <row r="3226" spans="9:9" x14ac:dyDescent="0.25">
      <c r="I3226"/>
    </row>
    <row r="3227" spans="9:9" x14ac:dyDescent="0.25">
      <c r="I3227"/>
    </row>
    <row r="3228" spans="9:9" x14ac:dyDescent="0.25">
      <c r="I3228"/>
    </row>
    <row r="3229" spans="9:9" x14ac:dyDescent="0.25">
      <c r="I3229"/>
    </row>
    <row r="3230" spans="9:9" x14ac:dyDescent="0.25">
      <c r="I3230"/>
    </row>
    <row r="3231" spans="9:9" x14ac:dyDescent="0.25">
      <c r="I3231"/>
    </row>
    <row r="3232" spans="9:9" x14ac:dyDescent="0.25">
      <c r="I3232"/>
    </row>
    <row r="3233" spans="9:9" x14ac:dyDescent="0.25">
      <c r="I3233"/>
    </row>
    <row r="3234" spans="9:9" x14ac:dyDescent="0.25">
      <c r="I3234"/>
    </row>
    <row r="3235" spans="9:9" x14ac:dyDescent="0.25">
      <c r="I3235"/>
    </row>
    <row r="3236" spans="9:9" x14ac:dyDescent="0.25">
      <c r="I3236"/>
    </row>
    <row r="3237" spans="9:9" x14ac:dyDescent="0.25">
      <c r="I3237"/>
    </row>
    <row r="3238" spans="9:9" x14ac:dyDescent="0.25">
      <c r="I3238"/>
    </row>
    <row r="3239" spans="9:9" x14ac:dyDescent="0.25">
      <c r="I3239"/>
    </row>
    <row r="3240" spans="9:9" x14ac:dyDescent="0.25">
      <c r="I3240"/>
    </row>
    <row r="3241" spans="9:9" x14ac:dyDescent="0.25">
      <c r="I3241"/>
    </row>
    <row r="3242" spans="9:9" x14ac:dyDescent="0.25">
      <c r="I3242"/>
    </row>
    <row r="3243" spans="9:9" x14ac:dyDescent="0.25">
      <c r="I3243"/>
    </row>
    <row r="3244" spans="9:9" x14ac:dyDescent="0.25">
      <c r="I3244"/>
    </row>
    <row r="3245" spans="9:9" x14ac:dyDescent="0.25">
      <c r="I3245"/>
    </row>
    <row r="3246" spans="9:9" x14ac:dyDescent="0.25">
      <c r="I3246"/>
    </row>
    <row r="3247" spans="9:9" x14ac:dyDescent="0.25">
      <c r="I3247"/>
    </row>
    <row r="3248" spans="9:9" x14ac:dyDescent="0.25">
      <c r="I3248"/>
    </row>
    <row r="3249" spans="9:9" x14ac:dyDescent="0.25">
      <c r="I3249"/>
    </row>
    <row r="3250" spans="9:9" x14ac:dyDescent="0.25">
      <c r="I3250"/>
    </row>
    <row r="3251" spans="9:9" x14ac:dyDescent="0.25">
      <c r="I3251"/>
    </row>
    <row r="3252" spans="9:9" x14ac:dyDescent="0.25">
      <c r="I3252"/>
    </row>
    <row r="3253" spans="9:9" x14ac:dyDescent="0.25">
      <c r="I3253"/>
    </row>
    <row r="3254" spans="9:9" x14ac:dyDescent="0.25">
      <c r="I3254"/>
    </row>
    <row r="3255" spans="9:9" x14ac:dyDescent="0.25">
      <c r="I3255"/>
    </row>
    <row r="3256" spans="9:9" x14ac:dyDescent="0.25">
      <c r="I3256"/>
    </row>
    <row r="3257" spans="9:9" x14ac:dyDescent="0.25">
      <c r="I3257"/>
    </row>
    <row r="3258" spans="9:9" x14ac:dyDescent="0.25">
      <c r="I3258"/>
    </row>
    <row r="3259" spans="9:9" x14ac:dyDescent="0.25">
      <c r="I3259"/>
    </row>
    <row r="3260" spans="9:9" x14ac:dyDescent="0.25">
      <c r="I3260"/>
    </row>
    <row r="3261" spans="9:9" x14ac:dyDescent="0.25">
      <c r="I3261"/>
    </row>
    <row r="3262" spans="9:9" x14ac:dyDescent="0.25">
      <c r="I3262"/>
    </row>
    <row r="3263" spans="9:9" x14ac:dyDescent="0.25">
      <c r="I3263"/>
    </row>
    <row r="3264" spans="9:9" x14ac:dyDescent="0.25">
      <c r="I3264"/>
    </row>
    <row r="3265" spans="9:9" x14ac:dyDescent="0.25">
      <c r="I3265"/>
    </row>
    <row r="3266" spans="9:9" x14ac:dyDescent="0.25">
      <c r="I3266"/>
    </row>
    <row r="3267" spans="9:9" x14ac:dyDescent="0.25">
      <c r="I3267"/>
    </row>
    <row r="3268" spans="9:9" x14ac:dyDescent="0.25">
      <c r="I3268"/>
    </row>
    <row r="3269" spans="9:9" x14ac:dyDescent="0.25">
      <c r="I3269"/>
    </row>
    <row r="3270" spans="9:9" x14ac:dyDescent="0.25">
      <c r="I3270"/>
    </row>
    <row r="3271" spans="9:9" x14ac:dyDescent="0.25">
      <c r="I3271"/>
    </row>
    <row r="3272" spans="9:9" x14ac:dyDescent="0.25">
      <c r="I3272"/>
    </row>
    <row r="3273" spans="9:9" x14ac:dyDescent="0.25">
      <c r="I3273"/>
    </row>
    <row r="3274" spans="9:9" x14ac:dyDescent="0.25">
      <c r="I3274"/>
    </row>
    <row r="3275" spans="9:9" x14ac:dyDescent="0.25">
      <c r="I3275"/>
    </row>
    <row r="3276" spans="9:9" x14ac:dyDescent="0.25">
      <c r="I3276"/>
    </row>
    <row r="3277" spans="9:9" x14ac:dyDescent="0.25">
      <c r="I3277"/>
    </row>
  </sheetData>
  <autoFilter ref="G3:G1139" xr:uid="{00000000-0009-0000-0000-000002000000}"/>
  <conditionalFormatting sqref="G3:G1656">
    <cfRule type="cellIs" dxfId="165" priority="1" operator="equal">
      <formula>FALSE</formula>
    </cfRule>
  </conditionalFormatting>
  <pageMargins left="0.7" right="0.7" top="0.75" bottom="0.75" header="0.3" footer="0.3"/>
  <pageSetup paperSize="14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EFCF-333B-47F1-97DB-83703A237639}">
  <dimension ref="A1"/>
  <sheetViews>
    <sheetView workbookViewId="0">
      <selection sqref="A1:D1654"/>
    </sheetView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C1:G286"/>
  <sheetViews>
    <sheetView tabSelected="1" topLeftCell="A89" zoomScale="80" zoomScaleNormal="80" workbookViewId="0">
      <selection activeCell="K99" sqref="K99"/>
    </sheetView>
  </sheetViews>
  <sheetFormatPr baseColWidth="10" defaultRowHeight="15.75" x14ac:dyDescent="0.25"/>
  <cols>
    <col min="3" max="3" width="67.28515625" style="9" bestFit="1" customWidth="1"/>
    <col min="4" max="4" width="19.28515625" style="9" customWidth="1"/>
    <col min="7" max="7" width="15.85546875" bestFit="1" customWidth="1"/>
  </cols>
  <sheetData>
    <row r="1" spans="3:7" ht="16.5" thickBot="1" x14ac:dyDescent="0.3">
      <c r="C1" s="16" t="s">
        <v>202</v>
      </c>
      <c r="D1" s="110" t="s">
        <v>206</v>
      </c>
    </row>
    <row r="2" spans="3:7" ht="16.5" thickBot="1" x14ac:dyDescent="0.3">
      <c r="C2" s="48" t="s">
        <v>43</v>
      </c>
      <c r="D2" s="111">
        <f>IFERROR(VLOOKUP(C2,Tabla1[#All],132,FALSE),0)</f>
        <v>150</v>
      </c>
      <c r="G2" t="b">
        <f>IFERROR(IF(MATCH(Tabla21126[[#This Row],[PRODUCTOS]],Tabla1[PRODUCTO],0) &lt;&gt; "", TRUE,""),FALSE)</f>
        <v>1</v>
      </c>
    </row>
    <row r="3" spans="3:7" ht="16.5" thickBot="1" x14ac:dyDescent="0.3">
      <c r="C3" s="42" t="s">
        <v>44</v>
      </c>
      <c r="D3" s="111">
        <f>IFERROR(VLOOKUP(C3,Tabla1[#All],132,FALSE),0)</f>
        <v>150</v>
      </c>
      <c r="G3" t="b">
        <f>IFERROR(IF(MATCH(Tabla21126[[#This Row],[PRODUCTOS]],Tabla1[PRODUCTO],0) &lt;&gt; "", TRUE,""),FALSE)</f>
        <v>1</v>
      </c>
    </row>
    <row r="4" spans="3:7" x14ac:dyDescent="0.25">
      <c r="C4" s="37" t="s">
        <v>45</v>
      </c>
      <c r="D4" s="111">
        <f>IFERROR(VLOOKUP(C4,Tabla1[#All],132,FALSE),0)</f>
        <v>75</v>
      </c>
      <c r="G4" t="b">
        <f>IFERROR(IF(MATCH(Tabla21126[[#This Row],[PRODUCTOS]],Tabla1[PRODUCTO],0) &lt;&gt; "", TRUE,""),FALSE)</f>
        <v>1</v>
      </c>
    </row>
    <row r="5" spans="3:7" ht="16.5" thickBot="1" x14ac:dyDescent="0.3">
      <c r="C5" s="41" t="s">
        <v>46</v>
      </c>
      <c r="D5" s="111">
        <f>IFERROR(VLOOKUP(C5,Tabla1[#All],132,FALSE),0)</f>
        <v>75</v>
      </c>
      <c r="G5" t="b">
        <f>IFERROR(IF(MATCH(Tabla21126[[#This Row],[PRODUCTOS]],Tabla1[PRODUCTO],0) &lt;&gt; "", TRUE,""),FALSE)</f>
        <v>1</v>
      </c>
    </row>
    <row r="6" spans="3:7" x14ac:dyDescent="0.25">
      <c r="C6" s="31" t="s">
        <v>47</v>
      </c>
      <c r="D6" s="111">
        <f>IFERROR(VLOOKUP(C6,Tabla1[#All],132,FALSE),0)</f>
        <v>13500</v>
      </c>
      <c r="G6" t="b">
        <f>IFERROR(IF(MATCH(Tabla21126[[#This Row],[PRODUCTOS]],Tabla1[PRODUCTO],0) &lt;&gt; "", TRUE,""),FALSE)</f>
        <v>1</v>
      </c>
    </row>
    <row r="7" spans="3:7" ht="16.5" thickBot="1" x14ac:dyDescent="0.3">
      <c r="C7" s="39" t="s">
        <v>48</v>
      </c>
      <c r="D7" s="111">
        <f>IFERROR(VLOOKUP(C7,Tabla1[#All],132,FALSE),0)</f>
        <v>75</v>
      </c>
      <c r="G7" t="b">
        <f>IFERROR(IF(MATCH(Tabla21126[[#This Row],[PRODUCTOS]],Tabla1[PRODUCTO],0) &lt;&gt; "", TRUE,""),FALSE)</f>
        <v>1</v>
      </c>
    </row>
    <row r="8" spans="3:7" x14ac:dyDescent="0.25">
      <c r="C8" s="45" t="s">
        <v>287</v>
      </c>
      <c r="D8" s="111">
        <f>IFERROR(VLOOKUP(C8,Tabla1[#All],132,FALSE),0)</f>
        <v>525</v>
      </c>
      <c r="G8" t="b">
        <f>IFERROR(IF(MATCH(Tabla21126[[#This Row],[PRODUCTOS]],Tabla1[PRODUCTO],0) &lt;&gt; "", TRUE,""),FALSE)</f>
        <v>1</v>
      </c>
    </row>
    <row r="9" spans="3:7" x14ac:dyDescent="0.25">
      <c r="C9" s="36" t="s">
        <v>656</v>
      </c>
      <c r="D9" s="111">
        <f>IFERROR(VLOOKUP(C9,Tabla1[#All],132,FALSE),0)</f>
        <v>230</v>
      </c>
      <c r="G9" t="b">
        <f>IFERROR(IF(MATCH(Tabla21126[[#This Row],[PRODUCTOS]],Tabla1[PRODUCTO],0) &lt;&gt; "", TRUE,""),FALSE)</f>
        <v>1</v>
      </c>
    </row>
    <row r="10" spans="3:7" ht="16.5" thickBot="1" x14ac:dyDescent="0.3">
      <c r="C10" s="28" t="s">
        <v>49</v>
      </c>
      <c r="D10" s="111">
        <f>IFERROR(VLOOKUP(C10,Tabla1[#All],132,FALSE),0)</f>
        <v>1350</v>
      </c>
      <c r="G10" t="b">
        <f>IFERROR(IF(MATCH(Tabla21126[[#This Row],[PRODUCTOS]],Tabla1[PRODUCTO],0) &lt;&gt; "", TRUE,""),FALSE)</f>
        <v>1</v>
      </c>
    </row>
    <row r="11" spans="3:7" x14ac:dyDescent="0.25">
      <c r="C11" s="31" t="s">
        <v>12</v>
      </c>
      <c r="D11" s="111">
        <f>IFERROR(VLOOKUP(C11,Tabla1[#All],132,FALSE),0)</f>
        <v>19</v>
      </c>
      <c r="G11" t="b">
        <f>IFERROR(IF(MATCH(Tabla21126[[#This Row],[PRODUCTOS]],Tabla1[PRODUCTO],0) &lt;&gt; "", TRUE,""),FALSE)</f>
        <v>1</v>
      </c>
    </row>
    <row r="12" spans="3:7" x14ac:dyDescent="0.25">
      <c r="C12" s="35" t="s">
        <v>50</v>
      </c>
      <c r="D12" s="111">
        <f>IFERROR(VLOOKUP(C12,Tabla1[#All],132,FALSE),0)</f>
        <v>0</v>
      </c>
      <c r="G12" t="b">
        <f>IFERROR(IF(MATCH(Tabla21126[[#This Row],[PRODUCTOS]],Tabla1[PRODUCTO],0) &lt;&gt; "", TRUE,""),FALSE)</f>
        <v>1</v>
      </c>
    </row>
    <row r="13" spans="3:7" ht="16.5" thickBot="1" x14ac:dyDescent="0.3">
      <c r="C13" s="41" t="s">
        <v>635</v>
      </c>
      <c r="D13" s="111">
        <f>IFERROR(VLOOKUP(C13,Tabla1[#All],132,FALSE),0)</f>
        <v>0</v>
      </c>
      <c r="G13" t="b">
        <f>IFERROR(IF(MATCH(Tabla21126[[#This Row],[PRODUCTOS]],Tabla1[PRODUCTO],0) &lt;&gt; "", TRUE,""),FALSE)</f>
        <v>1</v>
      </c>
    </row>
    <row r="14" spans="3:7" x14ac:dyDescent="0.25">
      <c r="C14" s="86" t="s">
        <v>51</v>
      </c>
      <c r="D14" s="111">
        <f>IFERROR(VLOOKUP(C14,Tabla1[#All],132,FALSE),0)</f>
        <v>15800</v>
      </c>
      <c r="G14" t="b">
        <f>IFERROR(IF(MATCH(Tabla21126[[#This Row],[PRODUCTOS]],Tabla1[PRODUCTO],0) &lt;&gt; "", TRUE,""),FALSE)</f>
        <v>1</v>
      </c>
    </row>
    <row r="15" spans="3:7" x14ac:dyDescent="0.25">
      <c r="C15" s="35" t="s">
        <v>311</v>
      </c>
      <c r="D15" s="111">
        <f>IFERROR(VLOOKUP(C15,Tabla1[#All],132,FALSE),0)</f>
        <v>163</v>
      </c>
      <c r="G15" t="b">
        <f>IFERROR(IF(MATCH(Tabla21126[[#This Row],[PRODUCTOS]],Tabla1[PRODUCTO],0) &lt;&gt; "", TRUE,""),FALSE)</f>
        <v>1</v>
      </c>
    </row>
    <row r="16" spans="3:7" x14ac:dyDescent="0.25">
      <c r="C16" s="38" t="s">
        <v>269</v>
      </c>
      <c r="D16" s="111">
        <f>IFERROR(VLOOKUP(C16,Tabla1[#All],132,FALSE),0)</f>
        <v>0</v>
      </c>
      <c r="G16" t="b">
        <f>IFERROR(IF(MATCH(Tabla21126[[#This Row],[PRODUCTOS]],Tabla1[PRODUCTO],0) &lt;&gt; "", TRUE,""),FALSE)</f>
        <v>1</v>
      </c>
    </row>
    <row r="17" spans="3:7" x14ac:dyDescent="0.25">
      <c r="C17" s="36" t="s">
        <v>220</v>
      </c>
      <c r="D17" s="111">
        <f>IFERROR(VLOOKUP(C17,Tabla1[#All],132,FALSE),0)</f>
        <v>19500</v>
      </c>
      <c r="G17" t="b">
        <f>IFERROR(IF(MATCH(Tabla21126[[#This Row],[PRODUCTOS]],Tabla1[PRODUCTO],0) &lt;&gt; "", TRUE,""),FALSE)</f>
        <v>1</v>
      </c>
    </row>
    <row r="18" spans="3:7" x14ac:dyDescent="0.25">
      <c r="C18" s="36" t="s">
        <v>706</v>
      </c>
      <c r="D18" s="111">
        <f>IFERROR(VLOOKUP(C18,Tabla1[#All],132,FALSE),0)</f>
        <v>0</v>
      </c>
      <c r="G18" t="b">
        <f>IFERROR(IF(MATCH(Tabla21126[[#This Row],[PRODUCTOS]],Tabla1[PRODUCTO],0) &lt;&gt; "", TRUE,""),FALSE)</f>
        <v>1</v>
      </c>
    </row>
    <row r="19" spans="3:7" x14ac:dyDescent="0.25">
      <c r="C19" s="38" t="s">
        <v>310</v>
      </c>
      <c r="D19" s="111">
        <f>IFERROR(VLOOKUP(C19,Tabla1[#All],132,FALSE),0)</f>
        <v>0</v>
      </c>
      <c r="G19" t="b">
        <f>IFERROR(IF(MATCH(Tabla21126[[#This Row],[PRODUCTOS]],Tabla1[PRODUCTO],0) &lt;&gt; "", TRUE,""),FALSE)</f>
        <v>1</v>
      </c>
    </row>
    <row r="20" spans="3:7" x14ac:dyDescent="0.25">
      <c r="C20" s="36" t="s">
        <v>218</v>
      </c>
      <c r="D20" s="111">
        <f>IFERROR(VLOOKUP(C20,Tabla1[#All],132,FALSE),0)</f>
        <v>0</v>
      </c>
      <c r="G20" t="b">
        <f>IFERROR(IF(MATCH(Tabla21126[[#This Row],[PRODUCTOS]],Tabla1[PRODUCTO],0) &lt;&gt; "", TRUE,""),FALSE)</f>
        <v>1</v>
      </c>
    </row>
    <row r="21" spans="3:7" x14ac:dyDescent="0.25">
      <c r="C21" s="36" t="s">
        <v>221</v>
      </c>
      <c r="D21" s="111">
        <f>IFERROR(VLOOKUP(C21,Tabla1[#All],132,FALSE),0)</f>
        <v>0</v>
      </c>
      <c r="G21" t="b">
        <f>IFERROR(IF(MATCH(Tabla21126[[#This Row],[PRODUCTOS]],Tabla1[PRODUCTO],0) &lt;&gt; "", TRUE,""),FALSE)</f>
        <v>1</v>
      </c>
    </row>
    <row r="22" spans="3:7" ht="16.5" thickBot="1" x14ac:dyDescent="0.3">
      <c r="C22" s="173" t="s">
        <v>686</v>
      </c>
      <c r="D22" s="111">
        <f>IFERROR(VLOOKUP(C22,Tabla1[#All],132,FALSE),0)</f>
        <v>0</v>
      </c>
      <c r="G22" t="b">
        <f>IFERROR(IF(MATCH(Tabla21126[[#This Row],[PRODUCTOS]],Tabla1[PRODUCTO],0) &lt;&gt; "", TRUE,""),FALSE)</f>
        <v>1</v>
      </c>
    </row>
    <row r="23" spans="3:7" x14ac:dyDescent="0.25">
      <c r="C23" s="174" t="s">
        <v>684</v>
      </c>
      <c r="D23" s="111">
        <f>IFERROR(VLOOKUP(C23,Tabla1[#All],132,FALSE),0)</f>
        <v>0</v>
      </c>
      <c r="G23" t="b">
        <f>IFERROR(IF(MATCH(Tabla21126[[#This Row],[PRODUCTOS]],Tabla1[PRODUCTO],0) &lt;&gt; "", TRUE,""),FALSE)</f>
        <v>1</v>
      </c>
    </row>
    <row r="24" spans="3:7" x14ac:dyDescent="0.25">
      <c r="C24" s="36" t="s">
        <v>219</v>
      </c>
      <c r="D24" s="111">
        <f>IFERROR(VLOOKUP(C24,Tabla1[#All],132,FALSE),0)</f>
        <v>64000</v>
      </c>
      <c r="G24" t="b">
        <f>IFERROR(IF(MATCH(Tabla21126[[#This Row],[PRODUCTOS]],Tabla1[PRODUCTO],0) &lt;&gt; "", TRUE,""),FALSE)</f>
        <v>1</v>
      </c>
    </row>
    <row r="25" spans="3:7" x14ac:dyDescent="0.25">
      <c r="C25" s="36" t="s">
        <v>52</v>
      </c>
      <c r="D25" s="111">
        <f>IFERROR(VLOOKUP(C25,Tabla1[#All],132,FALSE),0)</f>
        <v>0</v>
      </c>
      <c r="G25" t="b">
        <f>IFERROR(IF(MATCH(Tabla21126[[#This Row],[PRODUCTOS]],Tabla1[PRODUCTO],0) &lt;&gt; "", TRUE,""),FALSE)</f>
        <v>1</v>
      </c>
    </row>
    <row r="26" spans="3:7" x14ac:dyDescent="0.25">
      <c r="C26" s="36" t="s">
        <v>53</v>
      </c>
      <c r="D26" s="111">
        <f>IFERROR(VLOOKUP(C26,Tabla1[#All],132,FALSE),0)</f>
        <v>25</v>
      </c>
      <c r="G26" t="b">
        <f>IFERROR(IF(MATCH(Tabla21126[[#This Row],[PRODUCTOS]],Tabla1[PRODUCTO],0) &lt;&gt; "", TRUE,""),FALSE)</f>
        <v>1</v>
      </c>
    </row>
    <row r="27" spans="3:7" x14ac:dyDescent="0.25">
      <c r="C27" s="38" t="s">
        <v>54</v>
      </c>
      <c r="D27" s="111">
        <f>IFERROR(VLOOKUP(C27,Tabla1[#All],132,FALSE),0)</f>
        <v>5025</v>
      </c>
      <c r="G27" t="b">
        <f>IFERROR(IF(MATCH(Tabla21126[[#This Row],[PRODUCTOS]],Tabla1[PRODUCTO],0) &lt;&gt; "", TRUE,""),FALSE)</f>
        <v>1</v>
      </c>
    </row>
    <row r="28" spans="3:7" ht="16.5" thickBot="1" x14ac:dyDescent="0.3">
      <c r="C28" s="33" t="s">
        <v>55</v>
      </c>
      <c r="D28" s="111">
        <f>IFERROR(VLOOKUP(C28,Tabla1[#All],132,FALSE),0)</f>
        <v>12250</v>
      </c>
      <c r="G28" t="b">
        <f>IFERROR(IF(MATCH(Tabla21126[[#This Row],[PRODUCTOS]],Tabla1[PRODUCTO],0) &lt;&gt; "", TRUE,""),FALSE)</f>
        <v>1</v>
      </c>
    </row>
    <row r="29" spans="3:7" x14ac:dyDescent="0.25">
      <c r="C29" s="46" t="s">
        <v>18</v>
      </c>
      <c r="D29" s="111">
        <f>IFERROR(VLOOKUP(C29,Tabla1[#All],132,FALSE),0)</f>
        <v>44</v>
      </c>
      <c r="G29" t="b">
        <f>IFERROR(IF(MATCH(Tabla21126[[#This Row],[PRODUCTOS]],Tabla1[PRODUCTO],0) &lt;&gt; "", TRUE,""),FALSE)</f>
        <v>1</v>
      </c>
    </row>
    <row r="30" spans="3:7" x14ac:dyDescent="0.25">
      <c r="C30" s="36" t="s">
        <v>19</v>
      </c>
      <c r="D30" s="111">
        <f>IFERROR(VLOOKUP(C30,Tabla1[#All],132,FALSE),0)</f>
        <v>18</v>
      </c>
      <c r="G30" t="b">
        <f>IFERROR(IF(MATCH(Tabla21126[[#This Row],[PRODUCTOS]],Tabla1[PRODUCTO],0) &lt;&gt; "", TRUE,""),FALSE)</f>
        <v>1</v>
      </c>
    </row>
    <row r="31" spans="3:7" x14ac:dyDescent="0.25">
      <c r="C31" s="35" t="s">
        <v>270</v>
      </c>
      <c r="D31" s="111">
        <f>IFERROR(VLOOKUP(C31,Tabla1[#All],132,FALSE),0)</f>
        <v>1425</v>
      </c>
      <c r="G31" t="b">
        <f>IFERROR(IF(MATCH(Tabla21126[[#This Row],[PRODUCTOS]],Tabla1[PRODUCTO],0) &lt;&gt; "", TRUE,""),FALSE)</f>
        <v>1</v>
      </c>
    </row>
    <row r="32" spans="3:7" x14ac:dyDescent="0.25">
      <c r="C32" s="38" t="s">
        <v>271</v>
      </c>
      <c r="D32" s="111">
        <f>IFERROR(VLOOKUP(C32,Tabla1[#All],132,FALSE),0)</f>
        <v>75</v>
      </c>
      <c r="G32" t="b">
        <f>IFERROR(IF(MATCH(Tabla21126[[#This Row],[PRODUCTOS]],Tabla1[PRODUCTO],0) &lt;&gt; "", TRUE,""),FALSE)</f>
        <v>1</v>
      </c>
    </row>
    <row r="33" spans="3:7" ht="16.5" thickBot="1" x14ac:dyDescent="0.3">
      <c r="C33" s="40" t="s">
        <v>56</v>
      </c>
      <c r="D33" s="111">
        <f>IFERROR(VLOOKUP(C33,Tabla1[#All],132,FALSE),0)</f>
        <v>2</v>
      </c>
      <c r="G33" t="b">
        <f>IFERROR(IF(MATCH(Tabla21126[[#This Row],[PRODUCTOS]],Tabla1[PRODUCTO],0) &lt;&gt; "", TRUE,""),FALSE)</f>
        <v>1</v>
      </c>
    </row>
    <row r="34" spans="3:7" x14ac:dyDescent="0.25">
      <c r="C34" s="119" t="s">
        <v>678</v>
      </c>
      <c r="D34" s="111">
        <f>IFERROR(VLOOKUP(C34,Tabla1[#All],132,FALSE),0)</f>
        <v>0</v>
      </c>
      <c r="G34" t="b">
        <f>IFERROR(IF(MATCH(Tabla21126[[#This Row],[PRODUCTOS]],Tabla1[PRODUCTO],0) &lt;&gt; "", TRUE,""),FALSE)</f>
        <v>1</v>
      </c>
    </row>
    <row r="35" spans="3:7" x14ac:dyDescent="0.25">
      <c r="C35" s="35" t="s">
        <v>57</v>
      </c>
      <c r="D35" s="111">
        <f>IFERROR(VLOOKUP(C35,Tabla1[#All],132,FALSE),0)</f>
        <v>1035</v>
      </c>
      <c r="G35" t="b">
        <f>IFERROR(IF(MATCH(Tabla21126[[#This Row],[PRODUCTOS]],Tabla1[PRODUCTO],0) &lt;&gt; "", TRUE,""),FALSE)</f>
        <v>1</v>
      </c>
    </row>
    <row r="36" spans="3:7" x14ac:dyDescent="0.25">
      <c r="C36" s="38" t="s">
        <v>714</v>
      </c>
      <c r="D36" s="111">
        <f>IFERROR(VLOOKUP(C36,Tabla1[#All],132,FALSE),0)</f>
        <v>1</v>
      </c>
      <c r="G36" t="b">
        <f>IFERROR(IF(MATCH(Tabla21126[[#This Row],[PRODUCTOS]],Tabla1[PRODUCTO],0) &lt;&gt; "", TRUE,""),FALSE)</f>
        <v>1</v>
      </c>
    </row>
    <row r="37" spans="3:7" x14ac:dyDescent="0.25">
      <c r="C37" s="35" t="s">
        <v>700</v>
      </c>
      <c r="D37" s="111">
        <f>IFERROR(VLOOKUP(C37,Tabla1[#All],132,FALSE),0)</f>
        <v>0</v>
      </c>
      <c r="G37" t="b">
        <f>IFERROR(IF(MATCH(Tabla21126[[#This Row],[PRODUCTOS]],Tabla1[PRODUCTO],0) &lt;&gt; "", TRUE,""),FALSE)</f>
        <v>1</v>
      </c>
    </row>
    <row r="38" spans="3:7" ht="16.5" thickBot="1" x14ac:dyDescent="0.3">
      <c r="C38" s="33" t="s">
        <v>701</v>
      </c>
      <c r="D38" s="111">
        <f>IFERROR(VLOOKUP(C38,Tabla1[#All],132,FALSE),0)</f>
        <v>0</v>
      </c>
      <c r="G38" t="b">
        <f>IFERROR(IF(MATCH(Tabla21126[[#This Row],[PRODUCTOS]],Tabla1[PRODUCTO],0) &lt;&gt; "", TRUE,""),FALSE)</f>
        <v>1</v>
      </c>
    </row>
    <row r="39" spans="3:7" x14ac:dyDescent="0.25">
      <c r="C39" s="26" t="s">
        <v>699</v>
      </c>
      <c r="D39" s="111">
        <f>IFERROR(VLOOKUP(C39,Tabla1[#All],132,FALSE),0)</f>
        <v>0</v>
      </c>
      <c r="G39" t="b">
        <f>IFERROR(IF(MATCH(Tabla21126[[#This Row],[PRODUCTOS]],Tabla1[PRODUCTO],0) &lt;&gt; "", TRUE,""),FALSE)</f>
        <v>1</v>
      </c>
    </row>
    <row r="40" spans="3:7" x14ac:dyDescent="0.25">
      <c r="C40" s="35" t="s">
        <v>702</v>
      </c>
      <c r="D40" s="111">
        <f>IFERROR(VLOOKUP(C40,Tabla1[#All],132,FALSE),0)</f>
        <v>0</v>
      </c>
      <c r="G40" t="b">
        <f>IFERROR(IF(MATCH(Tabla21126[[#This Row],[PRODUCTOS]],Tabla1[PRODUCTO],0) &lt;&gt; "", TRUE,""),FALSE)</f>
        <v>1</v>
      </c>
    </row>
    <row r="41" spans="3:7" ht="16.5" thickBot="1" x14ac:dyDescent="0.3">
      <c r="C41" s="33" t="s">
        <v>698</v>
      </c>
      <c r="D41" s="111">
        <f>IFERROR(VLOOKUP(C41,Tabla1[#All],132,FALSE),0)</f>
        <v>0</v>
      </c>
      <c r="G41" t="b">
        <f>IFERROR(IF(MATCH(Tabla21126[[#This Row],[PRODUCTOS]],Tabla1[PRODUCTO],0) &lt;&gt; "", TRUE,""),FALSE)</f>
        <v>1</v>
      </c>
    </row>
    <row r="42" spans="3:7" x14ac:dyDescent="0.25">
      <c r="C42" s="26" t="s">
        <v>17</v>
      </c>
      <c r="D42" s="111">
        <f>IFERROR(VLOOKUP(C42,Tabla1[#All],132,FALSE),0)</f>
        <v>80</v>
      </c>
      <c r="G42" t="b">
        <f>IFERROR(IF(MATCH(Tabla21126[[#This Row],[PRODUCTOS]],Tabla1[PRODUCTO],0) &lt;&gt; "", TRUE,""),FALSE)</f>
        <v>1</v>
      </c>
    </row>
    <row r="43" spans="3:7" ht="16.5" thickBot="1" x14ac:dyDescent="0.3">
      <c r="C43" s="40" t="s">
        <v>6</v>
      </c>
      <c r="D43" s="111">
        <f>IFERROR(VLOOKUP(C43,Tabla1[#All],132,FALSE),0)</f>
        <v>147</v>
      </c>
      <c r="G43" t="b">
        <f>IFERROR(IF(MATCH(Tabla21126[[#This Row],[PRODUCTOS]],Tabla1[PRODUCTO],0) &lt;&gt; "", TRUE,""),FALSE)</f>
        <v>1</v>
      </c>
    </row>
    <row r="44" spans="3:7" x14ac:dyDescent="0.25">
      <c r="C44" s="26" t="s">
        <v>520</v>
      </c>
      <c r="D44" s="111">
        <f>IFERROR(VLOOKUP(C44,Tabla1[#All],132,FALSE),0)</f>
        <v>0</v>
      </c>
      <c r="G44" t="b">
        <f>IFERROR(IF(MATCH(Tabla21126[[#This Row],[PRODUCTOS]],Tabla1[PRODUCTO],0) &lt;&gt; "", TRUE,""),FALSE)</f>
        <v>1</v>
      </c>
    </row>
    <row r="45" spans="3:7" x14ac:dyDescent="0.25">
      <c r="C45" s="35" t="s">
        <v>58</v>
      </c>
      <c r="D45" s="111">
        <f>IFERROR(VLOOKUP(C45,Tabla1[#All],132,FALSE),0)</f>
        <v>225</v>
      </c>
      <c r="G45" t="b">
        <f>IFERROR(IF(MATCH(Tabla21126[[#This Row],[PRODUCTOS]],Tabla1[PRODUCTO],0) &lt;&gt; "", TRUE,""),FALSE)</f>
        <v>1</v>
      </c>
    </row>
    <row r="46" spans="3:7" x14ac:dyDescent="0.25">
      <c r="C46" s="35" t="s">
        <v>40</v>
      </c>
      <c r="D46" s="111">
        <f>IFERROR(VLOOKUP(C46,Tabla1[#All],132,FALSE),0)</f>
        <v>12.5</v>
      </c>
      <c r="G46" t="b">
        <f>IFERROR(IF(MATCH(Tabla21126[[#This Row],[PRODUCTOS]],Tabla1[PRODUCTO],0) &lt;&gt; "", TRUE,""),FALSE)</f>
        <v>1</v>
      </c>
    </row>
    <row r="47" spans="3:7" x14ac:dyDescent="0.25">
      <c r="C47" s="36" t="s">
        <v>59</v>
      </c>
      <c r="D47" s="111">
        <f>IFERROR(VLOOKUP(C47,Tabla1[#All],132,FALSE),0)</f>
        <v>10950</v>
      </c>
      <c r="G47" t="b">
        <f>IFERROR(IF(MATCH(Tabla21126[[#This Row],[PRODUCTOS]],Tabla1[PRODUCTO],0) &lt;&gt; "", TRUE,""),FALSE)</f>
        <v>1</v>
      </c>
    </row>
    <row r="48" spans="3:7" x14ac:dyDescent="0.25">
      <c r="C48" s="35" t="s">
        <v>8</v>
      </c>
      <c r="D48" s="111">
        <f>IFERROR(VLOOKUP(C48,Tabla1[#All],132,FALSE),0)</f>
        <v>149</v>
      </c>
      <c r="G48" t="b">
        <f>IFERROR(IF(MATCH(Tabla21126[[#This Row],[PRODUCTOS]],Tabla1[PRODUCTO],0) &lt;&gt; "", TRUE,""),FALSE)</f>
        <v>1</v>
      </c>
    </row>
    <row r="49" spans="3:7" x14ac:dyDescent="0.25">
      <c r="C49" s="38" t="s">
        <v>583</v>
      </c>
      <c r="D49" s="111">
        <f>IFERROR(VLOOKUP(C49,Tabla1[#All],132,FALSE),0)</f>
        <v>0</v>
      </c>
      <c r="G49" t="b">
        <f>IFERROR(IF(MATCH(Tabla21126[[#This Row],[PRODUCTOS]],Tabla1[PRODUCTO],0) &lt;&gt; "", TRUE,""),FALSE)</f>
        <v>1</v>
      </c>
    </row>
    <row r="50" spans="3:7" x14ac:dyDescent="0.25">
      <c r="C50" s="35" t="s">
        <v>522</v>
      </c>
      <c r="D50" s="111">
        <f>IFERROR(VLOOKUP(C50,Tabla1[#All],132,FALSE),0)</f>
        <v>62</v>
      </c>
      <c r="G50" t="b">
        <f>IFERROR(IF(MATCH(Tabla21126[[#This Row],[PRODUCTOS]],Tabla1[PRODUCTO],0) &lt;&gt; "", TRUE,""),FALSE)</f>
        <v>1</v>
      </c>
    </row>
    <row r="51" spans="3:7" x14ac:dyDescent="0.25">
      <c r="C51" s="36" t="s">
        <v>41</v>
      </c>
      <c r="D51" s="111">
        <f>IFERROR(VLOOKUP(C51,Tabla1[#All],132,FALSE),0)</f>
        <v>18</v>
      </c>
      <c r="G51" t="b">
        <f>IFERROR(IF(MATCH(Tabla21126[[#This Row],[PRODUCTOS]],Tabla1[PRODUCTO],0) &lt;&gt; "", TRUE,""),FALSE)</f>
        <v>1</v>
      </c>
    </row>
    <row r="52" spans="3:7" ht="16.5" thickBot="1" x14ac:dyDescent="0.3">
      <c r="C52" s="33" t="s">
        <v>10</v>
      </c>
      <c r="D52" s="111">
        <f>IFERROR(VLOOKUP(C52,Tabla1[#All],132,FALSE),0)</f>
        <v>22</v>
      </c>
      <c r="G52" t="b">
        <f>IFERROR(IF(MATCH(Tabla21126[[#This Row],[PRODUCTOS]],Tabla1[PRODUCTO],0) &lt;&gt; "", TRUE,""),FALSE)</f>
        <v>1</v>
      </c>
    </row>
    <row r="53" spans="3:7" x14ac:dyDescent="0.25">
      <c r="C53" s="46" t="s">
        <v>24</v>
      </c>
      <c r="D53" s="111">
        <f>IFERROR(VLOOKUP(C53,Tabla1[#All],132,FALSE),0)</f>
        <v>361</v>
      </c>
      <c r="G53" t="b">
        <f>IFERROR(IF(MATCH(Tabla21126[[#This Row],[PRODUCTOS]],Tabla1[PRODUCTO],0) &lt;&gt; "", TRUE,""),FALSE)</f>
        <v>1</v>
      </c>
    </row>
    <row r="54" spans="3:7" x14ac:dyDescent="0.25">
      <c r="C54" s="35" t="s">
        <v>23</v>
      </c>
      <c r="D54" s="111">
        <f>IFERROR(VLOOKUP(C54,Tabla1[#All],132,FALSE),0)</f>
        <v>5760</v>
      </c>
      <c r="G54" t="b">
        <f>IFERROR(IF(MATCH(Tabla21126[[#This Row],[PRODUCTOS]],Tabla1[PRODUCTO],0) &lt;&gt; "", TRUE,""),FALSE)</f>
        <v>1</v>
      </c>
    </row>
    <row r="55" spans="3:7" x14ac:dyDescent="0.25">
      <c r="C55" s="36" t="s">
        <v>210</v>
      </c>
      <c r="D55" s="111">
        <f>IFERROR(VLOOKUP(C55,Tabla1[#All],132,FALSE),0)</f>
        <v>8</v>
      </c>
      <c r="G55" t="b">
        <f>IFERROR(IF(MATCH(Tabla21126[[#This Row],[PRODUCTOS]],Tabla1[PRODUCTO],0) &lt;&gt; "", TRUE,""),FALSE)</f>
        <v>1</v>
      </c>
    </row>
    <row r="56" spans="3:7" x14ac:dyDescent="0.25">
      <c r="C56" s="35" t="s">
        <v>60</v>
      </c>
      <c r="D56" s="111">
        <f>IFERROR(VLOOKUP(C56,Tabla1[#All],132,FALSE),0)</f>
        <v>0</v>
      </c>
      <c r="G56" t="b">
        <f>IFERROR(IF(MATCH(Tabla21126[[#This Row],[PRODUCTOS]],Tabla1[PRODUCTO],0) &lt;&gt; "", TRUE,""),FALSE)</f>
        <v>1</v>
      </c>
    </row>
    <row r="57" spans="3:7" x14ac:dyDescent="0.25">
      <c r="C57" s="38" t="s">
        <v>584</v>
      </c>
      <c r="D57" s="111">
        <f>IFERROR(VLOOKUP(C57,Tabla1[#All],132,FALSE),0)</f>
        <v>12</v>
      </c>
      <c r="G57" t="b">
        <f>IFERROR(IF(MATCH(Tabla21126[[#This Row],[PRODUCTOS]],Tabla1[PRODUCTO],0) &lt;&gt; "", TRUE,""),FALSE)</f>
        <v>1</v>
      </c>
    </row>
    <row r="58" spans="3:7" x14ac:dyDescent="0.25">
      <c r="C58" s="36" t="s">
        <v>61</v>
      </c>
      <c r="D58" s="111">
        <f>IFERROR(VLOOKUP(C58,Tabla1[#All],132,FALSE),0)</f>
        <v>58</v>
      </c>
      <c r="G58" t="b">
        <f>IFERROR(IF(MATCH(Tabla21126[[#This Row],[PRODUCTOS]],Tabla1[PRODUCTO],0) &lt;&gt; "", TRUE,""),FALSE)</f>
        <v>1</v>
      </c>
    </row>
    <row r="59" spans="3:7" x14ac:dyDescent="0.25">
      <c r="C59" s="36" t="s">
        <v>62</v>
      </c>
      <c r="D59" s="111">
        <f>IFERROR(VLOOKUP(C59,Tabla1[#All],132,FALSE),0)</f>
        <v>34</v>
      </c>
      <c r="G59" t="b">
        <f>IFERROR(IF(MATCH(Tabla21126[[#This Row],[PRODUCTOS]],Tabla1[PRODUCTO],0) &lt;&gt; "", TRUE,""),FALSE)</f>
        <v>1</v>
      </c>
    </row>
    <row r="60" spans="3:7" x14ac:dyDescent="0.25">
      <c r="C60" s="35" t="s">
        <v>312</v>
      </c>
      <c r="D60" s="111">
        <f>IFERROR(VLOOKUP(C60,Tabla1[#All],132,FALSE),0)</f>
        <v>4</v>
      </c>
      <c r="G60" t="b">
        <f>IFERROR(IF(MATCH(Tabla21126[[#This Row],[PRODUCTOS]],Tabla1[PRODUCTO],0) &lt;&gt; "", TRUE,""),FALSE)</f>
        <v>1</v>
      </c>
    </row>
    <row r="61" spans="3:7" ht="16.5" thickBot="1" x14ac:dyDescent="0.3">
      <c r="C61" s="39" t="s">
        <v>585</v>
      </c>
      <c r="D61" s="111">
        <f>IFERROR(VLOOKUP(C61,Tabla1[#All],132,FALSE),0)</f>
        <v>37</v>
      </c>
      <c r="G61" t="b">
        <f>IFERROR(IF(MATCH(Tabla21126[[#This Row],[PRODUCTOS]],Tabla1[PRODUCTO],0) &lt;&gt; "", TRUE,""),FALSE)</f>
        <v>1</v>
      </c>
    </row>
    <row r="62" spans="3:7" x14ac:dyDescent="0.25">
      <c r="C62" s="46" t="s">
        <v>63</v>
      </c>
      <c r="D62" s="111">
        <f>IFERROR(VLOOKUP(C62,Tabla1[#All],132,FALSE),0)</f>
        <v>107</v>
      </c>
      <c r="G62" t="b">
        <f>IFERROR(IF(MATCH(Tabla21126[[#This Row],[PRODUCTOS]],Tabla1[PRODUCTO],0) &lt;&gt; "", TRUE,""),FALSE)</f>
        <v>1</v>
      </c>
    </row>
    <row r="63" spans="3:7" x14ac:dyDescent="0.25">
      <c r="C63" s="35" t="s">
        <v>64</v>
      </c>
      <c r="D63" s="111">
        <f>IFERROR(VLOOKUP(C63,Tabla1[#All],132,FALSE),0)</f>
        <v>220</v>
      </c>
      <c r="G63" t="b">
        <f>IFERROR(IF(MATCH(Tabla21126[[#This Row],[PRODUCTOS]],Tabla1[PRODUCTO],0) &lt;&gt; "", TRUE,""),FALSE)</f>
        <v>1</v>
      </c>
    </row>
    <row r="64" spans="3:7" x14ac:dyDescent="0.25">
      <c r="C64" s="36" t="s">
        <v>65</v>
      </c>
      <c r="D64" s="111">
        <f>IFERROR(VLOOKUP(C64,Tabla1[#All],132,FALSE),0)</f>
        <v>62</v>
      </c>
      <c r="G64" t="b">
        <f>IFERROR(IF(MATCH(Tabla21126[[#This Row],[PRODUCTOS]],Tabla1[PRODUCTO],0) &lt;&gt; "", TRUE,""),FALSE)</f>
        <v>1</v>
      </c>
    </row>
    <row r="65" spans="3:7" ht="16.5" thickBot="1" x14ac:dyDescent="0.3">
      <c r="C65" s="33" t="s">
        <v>66</v>
      </c>
      <c r="D65" s="111">
        <f>IFERROR(VLOOKUP(C65,Tabla1[#All],132,FALSE),0)</f>
        <v>245</v>
      </c>
      <c r="G65" t="b">
        <f>IFERROR(IF(MATCH(Tabla21126[[#This Row],[PRODUCTOS]],Tabla1[PRODUCTO],0) &lt;&gt; "", TRUE,""),FALSE)</f>
        <v>1</v>
      </c>
    </row>
    <row r="66" spans="3:7" x14ac:dyDescent="0.25">
      <c r="C66" s="26" t="s">
        <v>16</v>
      </c>
      <c r="D66" s="111">
        <f>IFERROR(VLOOKUP(C66,Tabla1[#All],132,FALSE),0)</f>
        <v>55727</v>
      </c>
      <c r="G66" t="b">
        <f>IFERROR(IF(MATCH(Tabla21126[[#This Row],[PRODUCTOS]],Tabla1[PRODUCTO],0) &lt;&gt; "", TRUE,""),FALSE)</f>
        <v>1</v>
      </c>
    </row>
    <row r="67" spans="3:7" x14ac:dyDescent="0.25">
      <c r="C67" s="35" t="s">
        <v>14</v>
      </c>
      <c r="D67" s="111">
        <f>IFERROR(VLOOKUP(C67,Tabla1[#All],132,FALSE),0)</f>
        <v>25</v>
      </c>
      <c r="G67" t="b">
        <f>IFERROR(IF(MATCH(Tabla21126[[#This Row],[PRODUCTOS]],Tabla1[PRODUCTO],0) &lt;&gt; "", TRUE,""),FALSE)</f>
        <v>1</v>
      </c>
    </row>
    <row r="68" spans="3:7" x14ac:dyDescent="0.25">
      <c r="C68" s="35" t="s">
        <v>67</v>
      </c>
      <c r="D68" s="111">
        <f>IFERROR(VLOOKUP(C68,Tabla1[#All],132,FALSE),0)</f>
        <v>705</v>
      </c>
      <c r="G68" t="b">
        <f>IFERROR(IF(MATCH(Tabla21126[[#This Row],[PRODUCTOS]],Tabla1[PRODUCTO],0) &lt;&gt; "", TRUE,""),FALSE)</f>
        <v>1</v>
      </c>
    </row>
    <row r="69" spans="3:7" x14ac:dyDescent="0.25">
      <c r="C69" s="103" t="s">
        <v>661</v>
      </c>
      <c r="D69" s="111">
        <f>IFERROR(VLOOKUP(C69,Tabla1[#All],132,FALSE),0)</f>
        <v>0</v>
      </c>
      <c r="G69" t="b">
        <f>IFERROR(IF(MATCH(Tabla21126[[#This Row],[PRODUCTOS]],Tabla1[PRODUCTO],0) &lt;&gt; "", TRUE,""),FALSE)</f>
        <v>1</v>
      </c>
    </row>
    <row r="70" spans="3:7" ht="16.5" thickBot="1" x14ac:dyDescent="0.3">
      <c r="C70" s="100" t="s">
        <v>660</v>
      </c>
      <c r="D70" s="111">
        <f>IFERROR(VLOOKUP(C70,Tabla1[#All],132,FALSE),0)</f>
        <v>1</v>
      </c>
      <c r="G70" t="b">
        <f>IFERROR(IF(MATCH(Tabla21126[[#This Row],[PRODUCTOS]],Tabla1[PRODUCTO],0) &lt;&gt; "", TRUE,""),FALSE)</f>
        <v>1</v>
      </c>
    </row>
    <row r="71" spans="3:7" x14ac:dyDescent="0.25">
      <c r="C71" s="45" t="s">
        <v>662</v>
      </c>
      <c r="D71" s="111">
        <f>IFERROR(VLOOKUP(C71,Tabla1[#All],132,FALSE),0)</f>
        <v>0</v>
      </c>
      <c r="G71" t="b">
        <f>IFERROR(IF(MATCH(Tabla21126[[#This Row],[PRODUCTOS]],Tabla1[PRODUCTO],0) &lt;&gt; "", TRUE,""),FALSE)</f>
        <v>1</v>
      </c>
    </row>
    <row r="72" spans="3:7" x14ac:dyDescent="0.25">
      <c r="C72" s="103" t="s">
        <v>68</v>
      </c>
      <c r="D72" s="111">
        <f>IFERROR(VLOOKUP(C72,Tabla1[#All],132,FALSE),0)</f>
        <v>0</v>
      </c>
      <c r="G72" t="b">
        <f>IFERROR(IF(MATCH(Tabla21126[[#This Row],[PRODUCTOS]],Tabla1[PRODUCTO],0) &lt;&gt; "", TRUE,""),FALSE)</f>
        <v>1</v>
      </c>
    </row>
    <row r="73" spans="3:7" x14ac:dyDescent="0.25">
      <c r="C73" s="35" t="s">
        <v>0</v>
      </c>
      <c r="D73" s="111">
        <f>IFERROR(VLOOKUP(C73,Tabla1[#All],132,FALSE),0)</f>
        <v>85</v>
      </c>
      <c r="G73" t="b">
        <f>IFERROR(IF(MATCH(Tabla21126[[#This Row],[PRODUCTOS]],Tabla1[PRODUCTO],0) &lt;&gt; "", TRUE,""),FALSE)</f>
        <v>1</v>
      </c>
    </row>
    <row r="74" spans="3:7" ht="16.5" thickBot="1" x14ac:dyDescent="0.3">
      <c r="C74" s="39" t="s">
        <v>69</v>
      </c>
      <c r="D74" s="111">
        <f>IFERROR(VLOOKUP(C74,Tabla1[#All],132,FALSE),0)</f>
        <v>0</v>
      </c>
      <c r="G74" t="b">
        <f>IFERROR(IF(MATCH(Tabla21126[[#This Row],[PRODUCTOS]],Tabla1[PRODUCTO],0) &lt;&gt; "", TRUE,""),FALSE)</f>
        <v>1</v>
      </c>
    </row>
    <row r="75" spans="3:7" x14ac:dyDescent="0.25">
      <c r="C75" s="104" t="s">
        <v>70</v>
      </c>
      <c r="D75" s="111">
        <f>IFERROR(VLOOKUP(C75,Tabla1[#All],132,FALSE),0)</f>
        <v>150</v>
      </c>
      <c r="G75" t="b">
        <f>IFERROR(IF(MATCH(Tabla21126[[#This Row],[PRODUCTOS]],Tabla1[PRODUCTO],0) &lt;&gt; "", TRUE,""),FALSE)</f>
        <v>1</v>
      </c>
    </row>
    <row r="76" spans="3:7" x14ac:dyDescent="0.25">
      <c r="C76" s="36" t="s">
        <v>134</v>
      </c>
      <c r="D76" s="111">
        <f>IFERROR(VLOOKUP(C76,Tabla1[#All],132,FALSE),0)</f>
        <v>390</v>
      </c>
      <c r="G76" t="b">
        <f>IFERROR(IF(MATCH(Tabla21126[[#This Row],[PRODUCTOS]],Tabla1[PRODUCTO],0) &lt;&gt; "", TRUE,""),FALSE)</f>
        <v>1</v>
      </c>
    </row>
    <row r="77" spans="3:7" x14ac:dyDescent="0.25">
      <c r="C77" s="36" t="s">
        <v>71</v>
      </c>
      <c r="D77" s="111">
        <f>IFERROR(VLOOKUP(C77,Tabla1[#All],132,FALSE),0)</f>
        <v>6</v>
      </c>
      <c r="G77" t="b">
        <f>IFERROR(IF(MATCH(Tabla21126[[#This Row],[PRODUCTOS]],Tabla1[PRODUCTO],0) &lt;&gt; "", TRUE,""),FALSE)</f>
        <v>1</v>
      </c>
    </row>
    <row r="78" spans="3:7" x14ac:dyDescent="0.25">
      <c r="C78" s="66" t="s">
        <v>72</v>
      </c>
      <c r="D78" s="111">
        <f>IFERROR(VLOOKUP(C78,Tabla1[#All],132,FALSE),0)</f>
        <v>150</v>
      </c>
      <c r="G78" t="b">
        <f>IFERROR(IF(MATCH(Tabla21126[[#This Row],[PRODUCTOS]],Tabla1[PRODUCTO],0) &lt;&gt; "", TRUE,""),FALSE)</f>
        <v>1</v>
      </c>
    </row>
    <row r="79" spans="3:7" ht="16.5" thickBot="1" x14ac:dyDescent="0.3">
      <c r="C79" s="39" t="s">
        <v>73</v>
      </c>
      <c r="D79" s="111">
        <f>IFERROR(VLOOKUP(C79,Tabla1[#All],132,FALSE),0)</f>
        <v>0</v>
      </c>
      <c r="G79" t="b">
        <f>IFERROR(IF(MATCH(Tabla21126[[#This Row],[PRODUCTOS]],Tabla1[PRODUCTO],0) &lt;&gt; "", TRUE,""),FALSE)</f>
        <v>1</v>
      </c>
    </row>
    <row r="80" spans="3:7" x14ac:dyDescent="0.25">
      <c r="C80" s="46" t="s">
        <v>15</v>
      </c>
      <c r="D80" s="111">
        <f>IFERROR(VLOOKUP(C80,Tabla1[#All],132,FALSE),0)</f>
        <v>3</v>
      </c>
      <c r="G80" t="b">
        <f>IFERROR(IF(MATCH(Tabla21126[[#This Row],[PRODUCTOS]],Tabla1[PRODUCTO],0) &lt;&gt; "", TRUE,""),FALSE)</f>
        <v>1</v>
      </c>
    </row>
    <row r="81" spans="3:7" x14ac:dyDescent="0.25">
      <c r="C81" s="35" t="s">
        <v>74</v>
      </c>
      <c r="D81" s="111">
        <f>IFERROR(VLOOKUP(C81,Tabla1[#All],132,FALSE),0)</f>
        <v>37</v>
      </c>
      <c r="G81" t="b">
        <f>IFERROR(IF(MATCH(Tabla21126[[#This Row],[PRODUCTOS]],Tabla1[PRODUCTO],0) &lt;&gt; "", TRUE,""),FALSE)</f>
        <v>1</v>
      </c>
    </row>
    <row r="82" spans="3:7" x14ac:dyDescent="0.25">
      <c r="C82" s="35" t="s">
        <v>5</v>
      </c>
      <c r="D82" s="111">
        <f>IFERROR(VLOOKUP(C82,Tabla1[#All],132,FALSE),0)</f>
        <v>46</v>
      </c>
      <c r="G82" t="b">
        <f>IFERROR(IF(MATCH(Tabla21126[[#This Row],[PRODUCTOS]],Tabla1[PRODUCTO],0) &lt;&gt; "", TRUE,""),FALSE)</f>
        <v>1</v>
      </c>
    </row>
    <row r="83" spans="3:7" x14ac:dyDescent="0.25">
      <c r="C83" s="38" t="s">
        <v>75</v>
      </c>
      <c r="D83" s="111">
        <f>IFERROR(VLOOKUP(C83,Tabla1[#All],132,FALSE),0)</f>
        <v>395</v>
      </c>
      <c r="G83" t="b">
        <f>IFERROR(IF(MATCH(Tabla21126[[#This Row],[PRODUCTOS]],Tabla1[PRODUCTO],0) &lt;&gt; "", TRUE,""),FALSE)</f>
        <v>1</v>
      </c>
    </row>
    <row r="84" spans="3:7" ht="16.5" thickBot="1" x14ac:dyDescent="0.3">
      <c r="C84" s="172" t="s">
        <v>676</v>
      </c>
      <c r="D84" s="111">
        <f>IFERROR(VLOOKUP(C84,Tabla1[#All],132,FALSE),0)</f>
        <v>0</v>
      </c>
      <c r="G84" t="b">
        <f>IFERROR(IF(MATCH(Tabla21126[[#This Row],[PRODUCTOS]],Tabla1[PRODUCTO],0) &lt;&gt; "", TRUE,""),FALSE)</f>
        <v>1</v>
      </c>
    </row>
    <row r="85" spans="3:7" x14ac:dyDescent="0.25">
      <c r="C85" s="37" t="s">
        <v>76</v>
      </c>
      <c r="D85" s="111">
        <f>IFERROR(VLOOKUP(C85,Tabla1[#All],132,FALSE),0)</f>
        <v>675</v>
      </c>
      <c r="G85" t="b">
        <f>IFERROR(IF(MATCH(Tabla21126[[#This Row],[PRODUCTOS]],Tabla1[PRODUCTO],0) &lt;&gt; "", TRUE,""),FALSE)</f>
        <v>1</v>
      </c>
    </row>
    <row r="86" spans="3:7" x14ac:dyDescent="0.25">
      <c r="C86" s="103" t="s">
        <v>77</v>
      </c>
      <c r="D86" s="111">
        <f>IFERROR(VLOOKUP(C86,Tabla1[#All],132,FALSE),0)</f>
        <v>17</v>
      </c>
      <c r="G86" t="b">
        <f>IFERROR(IF(MATCH(Tabla21126[[#This Row],[PRODUCTOS]],Tabla1[PRODUCTO],0) &lt;&gt; "", TRUE,""),FALSE)</f>
        <v>1</v>
      </c>
    </row>
    <row r="87" spans="3:7" x14ac:dyDescent="0.25">
      <c r="C87" s="38" t="s">
        <v>313</v>
      </c>
      <c r="D87" s="111">
        <f>IFERROR(VLOOKUP(C87,Tabla1[#All],132,FALSE),0)</f>
        <v>2</v>
      </c>
      <c r="G87" t="b">
        <f>IFERROR(IF(MATCH(Tabla21126[[#This Row],[PRODUCTOS]],Tabla1[PRODUCTO],0) &lt;&gt; "", TRUE,""),FALSE)</f>
        <v>1</v>
      </c>
    </row>
    <row r="88" spans="3:7" x14ac:dyDescent="0.25">
      <c r="C88" s="36" t="s">
        <v>78</v>
      </c>
      <c r="D88" s="111">
        <f>IFERROR(VLOOKUP(C88,Tabla1[#All],132,FALSE),0)</f>
        <v>44</v>
      </c>
      <c r="G88" t="b">
        <f>IFERROR(IF(MATCH(Tabla21126[[#This Row],[PRODUCTOS]],Tabla1[PRODUCTO],0) &lt;&gt; "", TRUE,""),FALSE)</f>
        <v>1</v>
      </c>
    </row>
    <row r="89" spans="3:7" ht="16.5" thickBot="1" x14ac:dyDescent="0.3">
      <c r="C89" s="29" t="s">
        <v>79</v>
      </c>
      <c r="D89" s="111">
        <f>IFERROR(VLOOKUP(C89,Tabla1[#All],132,FALSE),0)</f>
        <v>0</v>
      </c>
      <c r="G89" t="b">
        <f>IFERROR(IF(MATCH(Tabla21126[[#This Row],[PRODUCTOS]],Tabla1[PRODUCTO],0) &lt;&gt; "", TRUE,""),FALSE)</f>
        <v>1</v>
      </c>
    </row>
    <row r="90" spans="3:7" ht="16.5" thickBot="1" x14ac:dyDescent="0.3">
      <c r="C90" s="74" t="s">
        <v>80</v>
      </c>
      <c r="D90" s="111">
        <f>IFERROR(VLOOKUP(C90,Tabla1[#All],132,FALSE),0)</f>
        <v>0</v>
      </c>
      <c r="G90" t="b">
        <f>IFERROR(IF(MATCH(Tabla21126[[#This Row],[PRODUCTOS]],Tabla1[PRODUCTO],0) &lt;&gt; "", TRUE,""),FALSE)</f>
        <v>1</v>
      </c>
    </row>
    <row r="91" spans="3:7" x14ac:dyDescent="0.25">
      <c r="C91" s="46" t="s">
        <v>81</v>
      </c>
      <c r="D91" s="111">
        <f>IFERROR(VLOOKUP(C91,Tabla1[#All],132,FALSE),0)</f>
        <v>0</v>
      </c>
      <c r="G91" t="b">
        <f>IFERROR(IF(MATCH(Tabla21126[[#This Row],[PRODUCTOS]],Tabla1[PRODUCTO],0) &lt;&gt; "", TRUE,""),FALSE)</f>
        <v>1</v>
      </c>
    </row>
    <row r="92" spans="3:7" x14ac:dyDescent="0.25">
      <c r="C92" s="36" t="s">
        <v>82</v>
      </c>
      <c r="D92" s="111">
        <f>IFERROR(VLOOKUP(C92,Tabla1[#All],132,FALSE),0)</f>
        <v>1380</v>
      </c>
      <c r="G92" t="b">
        <f>IFERROR(IF(MATCH(Tabla21126[[#This Row],[PRODUCTOS]],Tabla1[PRODUCTO],0) &lt;&gt; "", TRUE,""),FALSE)</f>
        <v>1</v>
      </c>
    </row>
    <row r="93" spans="3:7" x14ac:dyDescent="0.25">
      <c r="C93" s="35" t="s">
        <v>26</v>
      </c>
      <c r="D93" s="111">
        <f>IFERROR(VLOOKUP(C93,Tabla1[#All],132,FALSE),0)</f>
        <v>70</v>
      </c>
      <c r="G93" t="b">
        <f>IFERROR(IF(MATCH(Tabla21126[[#This Row],[PRODUCTOS]],Tabla1[PRODUCTO],0) &lt;&gt; "", TRUE,""),FALSE)</f>
        <v>1</v>
      </c>
    </row>
    <row r="94" spans="3:7" x14ac:dyDescent="0.25">
      <c r="C94" s="38" t="s">
        <v>286</v>
      </c>
      <c r="D94" s="111">
        <f>IFERROR(VLOOKUP(C94,Tabla1[#All],132,FALSE),0)</f>
        <v>1</v>
      </c>
      <c r="G94" t="b">
        <f>IFERROR(IF(MATCH(Tabla21126[[#This Row],[PRODUCTOS]],Tabla1[PRODUCTO],0) &lt;&gt; "", TRUE,""),FALSE)</f>
        <v>1</v>
      </c>
    </row>
    <row r="95" spans="3:7" x14ac:dyDescent="0.25">
      <c r="C95" s="38" t="s">
        <v>209</v>
      </c>
      <c r="D95" s="111">
        <f>IFERROR(VLOOKUP(C95,Tabla1[#All],132,FALSE),0)</f>
        <v>40</v>
      </c>
      <c r="G95" t="b">
        <f>IFERROR(IF(MATCH(Tabla21126[[#This Row],[PRODUCTOS]],Tabla1[PRODUCTO],0) &lt;&gt; "", TRUE,""),FALSE)</f>
        <v>1</v>
      </c>
    </row>
    <row r="96" spans="3:7" ht="16.5" thickBot="1" x14ac:dyDescent="0.3">
      <c r="C96" s="33" t="s">
        <v>83</v>
      </c>
      <c r="D96" s="111">
        <f>IFERROR(VLOOKUP(C96,Tabla1[#All],132,FALSE),0)</f>
        <v>675</v>
      </c>
      <c r="G96" t="b">
        <f>IFERROR(IF(MATCH(Tabla21126[[#This Row],[PRODUCTOS]],Tabla1[PRODUCTO],0) &lt;&gt; "", TRUE,""),FALSE)</f>
        <v>1</v>
      </c>
    </row>
    <row r="97" spans="3:7" x14ac:dyDescent="0.25">
      <c r="C97" s="26" t="s">
        <v>84</v>
      </c>
      <c r="D97" s="111">
        <f>IFERROR(VLOOKUP(C97,Tabla1[#All],132,FALSE),0)</f>
        <v>75</v>
      </c>
      <c r="G97" t="b">
        <f>IFERROR(IF(MATCH(Tabla21126[[#This Row],[PRODUCTOS]],Tabla1[PRODUCTO],0) &lt;&gt; "", TRUE,""),FALSE)</f>
        <v>1</v>
      </c>
    </row>
    <row r="98" spans="3:7" x14ac:dyDescent="0.25">
      <c r="C98" s="35" t="s">
        <v>85</v>
      </c>
      <c r="D98" s="111">
        <f>IFERROR(VLOOKUP(C98,Tabla1[#All],132,FALSE),0)</f>
        <v>300</v>
      </c>
      <c r="G98" t="b">
        <f>IFERROR(IF(MATCH(Tabla21126[[#This Row],[PRODUCTOS]],Tabla1[PRODUCTO],0) &lt;&gt; "", TRUE,""),FALSE)</f>
        <v>1</v>
      </c>
    </row>
    <row r="99" spans="3:7" x14ac:dyDescent="0.25">
      <c r="C99" s="35" t="s">
        <v>86</v>
      </c>
      <c r="D99" s="111">
        <f>IFERROR(VLOOKUP(C99,Tabla1[#All],132,FALSE),0)</f>
        <v>975</v>
      </c>
      <c r="G99" t="b">
        <f>IFERROR(IF(MATCH(Tabla21126[[#This Row],[PRODUCTOS]],Tabla1[PRODUCTO],0) &lt;&gt; "", TRUE,""),FALSE)</f>
        <v>1</v>
      </c>
    </row>
    <row r="100" spans="3:7" x14ac:dyDescent="0.25">
      <c r="C100" s="35" t="s">
        <v>30</v>
      </c>
      <c r="D100" s="111">
        <f>IFERROR(VLOOKUP(C100,Tabla1[#All],132,FALSE),0)</f>
        <v>4</v>
      </c>
      <c r="G100" t="b">
        <f>IFERROR(IF(MATCH(Tabla21126[[#This Row],[PRODUCTOS]],Tabla1[PRODUCTO],0) &lt;&gt; "", TRUE,""),FALSE)</f>
        <v>1</v>
      </c>
    </row>
    <row r="101" spans="3:7" ht="16.5" thickBot="1" x14ac:dyDescent="0.3">
      <c r="C101" s="248" t="s">
        <v>824</v>
      </c>
      <c r="D101" s="111">
        <f>IFERROR(VLOOKUP(C101,Tabla1[#All],132,FALSE),0)</f>
        <v>0</v>
      </c>
      <c r="G101" t="b">
        <f>IFERROR(IF(MATCH(Tabla21126[[#This Row],[PRODUCTOS]],Tabla1[PRODUCTO],0) &lt;&gt; "", TRUE,""),FALSE)</f>
        <v>1</v>
      </c>
    </row>
    <row r="102" spans="3:7" x14ac:dyDescent="0.25">
      <c r="C102" s="46" t="s">
        <v>87</v>
      </c>
      <c r="D102" s="111">
        <f>IFERROR(VLOOKUP(C102,Tabla1[#All],132,FALSE),0)</f>
        <v>375</v>
      </c>
      <c r="G102" t="b">
        <f>IFERROR(IF(MATCH(Tabla21126[[#This Row],[PRODUCTOS]],Tabla1[PRODUCTO],0) &lt;&gt; "", TRUE,""),FALSE)</f>
        <v>1</v>
      </c>
    </row>
    <row r="103" spans="3:7" x14ac:dyDescent="0.25">
      <c r="C103" s="36" t="s">
        <v>88</v>
      </c>
      <c r="D103" s="111">
        <f>IFERROR(VLOOKUP(C103,Tabla1[#All],132,FALSE),0)</f>
        <v>75</v>
      </c>
      <c r="G103" t="b">
        <f>IFERROR(IF(MATCH(Tabla21126[[#This Row],[PRODUCTOS]],Tabla1[PRODUCTO],0) &lt;&gt; "", TRUE,""),FALSE)</f>
        <v>1</v>
      </c>
    </row>
    <row r="104" spans="3:7" x14ac:dyDescent="0.25">
      <c r="C104" s="36" t="s">
        <v>89</v>
      </c>
      <c r="D104" s="111">
        <f>IFERROR(VLOOKUP(C104,Tabla1[#All],132,FALSE),0)</f>
        <v>2800</v>
      </c>
      <c r="G104" t="b">
        <f>IFERROR(IF(MATCH(Tabla21126[[#This Row],[PRODUCTOS]],Tabla1[PRODUCTO],0) &lt;&gt; "", TRUE,""),FALSE)</f>
        <v>1</v>
      </c>
    </row>
    <row r="105" spans="3:7" x14ac:dyDescent="0.25">
      <c r="C105" s="36" t="s">
        <v>90</v>
      </c>
      <c r="D105" s="111">
        <f>IFERROR(VLOOKUP(C105,Tabla1[#All],132,FALSE),0)</f>
        <v>5725</v>
      </c>
      <c r="G105" t="b">
        <f>IFERROR(IF(MATCH(Tabla21126[[#This Row],[PRODUCTOS]],Tabla1[PRODUCTO],0) &lt;&gt; "", TRUE,""),FALSE)</f>
        <v>1</v>
      </c>
    </row>
    <row r="106" spans="3:7" x14ac:dyDescent="0.25">
      <c r="C106" s="36" t="s">
        <v>91</v>
      </c>
      <c r="D106" s="111">
        <f>IFERROR(VLOOKUP(C106,Tabla1[#All],132,FALSE),0)</f>
        <v>105</v>
      </c>
      <c r="G106" t="b">
        <f>IFERROR(IF(MATCH(Tabla21126[[#This Row],[PRODUCTOS]],Tabla1[PRODUCTO],0) &lt;&gt; "", TRUE,""),FALSE)</f>
        <v>1</v>
      </c>
    </row>
    <row r="107" spans="3:7" x14ac:dyDescent="0.25">
      <c r="C107" s="171" t="s">
        <v>680</v>
      </c>
      <c r="D107" s="111">
        <f>IFERROR(VLOOKUP(C107,Tabla1[#All],132,FALSE),0)</f>
        <v>0</v>
      </c>
      <c r="G107" t="b">
        <f>IFERROR(IF(MATCH(Tabla21126[[#This Row],[PRODUCTOS]],Tabla1[PRODUCTO],0) &lt;&gt; "", TRUE,""),FALSE)</f>
        <v>1</v>
      </c>
    </row>
    <row r="108" spans="3:7" ht="16.5" thickBot="1" x14ac:dyDescent="0.3">
      <c r="C108" s="33" t="s">
        <v>573</v>
      </c>
      <c r="D108" s="111">
        <f>IFERROR(VLOOKUP(C108,Tabla1[#All],132,FALSE),0)</f>
        <v>410</v>
      </c>
      <c r="G108" t="b">
        <f>IFERROR(IF(MATCH(Tabla21126[[#This Row],[PRODUCTOS]],Tabla1[PRODUCTO],0) &lt;&gt; "", TRUE,""),FALSE)</f>
        <v>1</v>
      </c>
    </row>
    <row r="109" spans="3:7" x14ac:dyDescent="0.25">
      <c r="C109" s="26" t="s">
        <v>571</v>
      </c>
      <c r="D109" s="111">
        <f>IFERROR(VLOOKUP(C109,Tabla1[#All],132,FALSE),0)</f>
        <v>480</v>
      </c>
      <c r="G109" t="b">
        <f>IFERROR(IF(MATCH(Tabla21126[[#This Row],[PRODUCTOS]],Tabla1[PRODUCTO],0) &lt;&gt; "", TRUE,""),FALSE)</f>
        <v>1</v>
      </c>
    </row>
    <row r="110" spans="3:7" x14ac:dyDescent="0.25">
      <c r="C110" s="36" t="s">
        <v>690</v>
      </c>
      <c r="D110" s="111">
        <f>IFERROR(VLOOKUP(C110,Tabla1[#All],132,FALSE),0)</f>
        <v>0</v>
      </c>
      <c r="G110" t="b">
        <f>IFERROR(IF(MATCH(Tabla21126[[#This Row],[PRODUCTOS]],Tabla1[PRODUCTO],0) &lt;&gt; "", TRUE,""),FALSE)</f>
        <v>1</v>
      </c>
    </row>
    <row r="111" spans="3:7" x14ac:dyDescent="0.25">
      <c r="C111" s="103" t="s">
        <v>657</v>
      </c>
      <c r="D111" s="111">
        <f>IFERROR(VLOOKUP(C111,Tabla1[#All],132,FALSE),0)</f>
        <v>280</v>
      </c>
      <c r="G111" t="b">
        <f>IFERROR(IF(MATCH(Tabla21126[[#This Row],[PRODUCTOS]],Tabla1[PRODUCTO],0) &lt;&gt; "", TRUE,""),FALSE)</f>
        <v>1</v>
      </c>
    </row>
    <row r="112" spans="3:7" ht="16.5" thickBot="1" x14ac:dyDescent="0.3">
      <c r="C112" s="39" t="s">
        <v>658</v>
      </c>
      <c r="D112" s="111">
        <f>IFERROR(VLOOKUP(C112,Tabla1[#All],132,FALSE),0)</f>
        <v>60</v>
      </c>
      <c r="G112" t="b">
        <f>IFERROR(IF(MATCH(Tabla21126[[#This Row],[PRODUCTOS]],Tabla1[PRODUCTO],0) &lt;&gt; "", TRUE,""),FALSE)</f>
        <v>1</v>
      </c>
    </row>
    <row r="113" spans="3:7" x14ac:dyDescent="0.25">
      <c r="C113" s="37" t="s">
        <v>636</v>
      </c>
      <c r="D113" s="111">
        <f>IFERROR(VLOOKUP(C113,Tabla1[#All],132,FALSE),0)</f>
        <v>446</v>
      </c>
      <c r="G113" t="b">
        <f>IFERROR(IF(MATCH(Tabla21126[[#This Row],[PRODUCTOS]],Tabla1[PRODUCTO],0) &lt;&gt; "", TRUE,""),FALSE)</f>
        <v>1</v>
      </c>
    </row>
    <row r="114" spans="3:7" x14ac:dyDescent="0.25">
      <c r="C114" s="35" t="s">
        <v>11</v>
      </c>
      <c r="D114" s="111">
        <f>IFERROR(VLOOKUP(C114,Tabla1[#All],132,FALSE),0)</f>
        <v>38</v>
      </c>
      <c r="G114" t="b">
        <f>IFERROR(IF(MATCH(Tabla21126[[#This Row],[PRODUCTOS]],Tabla1[PRODUCTO],0) &lt;&gt; "", TRUE,""),FALSE)</f>
        <v>1</v>
      </c>
    </row>
    <row r="115" spans="3:7" x14ac:dyDescent="0.25">
      <c r="C115" s="40" t="s">
        <v>92</v>
      </c>
      <c r="D115" s="111">
        <f>IFERROR(VLOOKUP(C115,Tabla1[#All],132,FALSE),0)</f>
        <v>5</v>
      </c>
      <c r="G115" t="b">
        <f>IFERROR(IF(MATCH(Tabla21126[[#This Row],[PRODUCTOS]],Tabla1[PRODUCTO],0) &lt;&gt; "", TRUE,""),FALSE)</f>
        <v>1</v>
      </c>
    </row>
    <row r="116" spans="3:7" ht="16.5" thickBot="1" x14ac:dyDescent="0.3">
      <c r="C116" s="102" t="s">
        <v>93</v>
      </c>
      <c r="D116" s="111">
        <f>IFERROR(VLOOKUP(C116,Tabla1[#All],132,FALSE),0)</f>
        <v>35</v>
      </c>
      <c r="G116" t="b">
        <f>IFERROR(IF(MATCH(Tabla21126[[#This Row],[PRODUCTOS]],Tabla1[PRODUCTO],0) &lt;&gt; "", TRUE,""),FALSE)</f>
        <v>1</v>
      </c>
    </row>
    <row r="117" spans="3:7" x14ac:dyDescent="0.25">
      <c r="C117" s="26" t="s">
        <v>94</v>
      </c>
      <c r="D117" s="111">
        <f>IFERROR(VLOOKUP(C117,Tabla1[#All],132,FALSE),0)</f>
        <v>225</v>
      </c>
      <c r="G117" t="b">
        <f>IFERROR(IF(MATCH(Tabla21126[[#This Row],[PRODUCTOS]],Tabla1[PRODUCTO],0) &lt;&gt; "", TRUE,""),FALSE)</f>
        <v>1</v>
      </c>
    </row>
    <row r="118" spans="3:7" ht="16.5" thickBot="1" x14ac:dyDescent="0.3">
      <c r="C118" s="33" t="s">
        <v>2</v>
      </c>
      <c r="D118" s="111">
        <f>IFERROR(VLOOKUP(C118,Tabla1[#All],132,FALSE),0)</f>
        <v>55</v>
      </c>
      <c r="G118" t="b">
        <f>IFERROR(IF(MATCH(Tabla21126[[#This Row],[PRODUCTOS]],Tabla1[PRODUCTO],0) &lt;&gt; "", TRUE,""),FALSE)</f>
        <v>1</v>
      </c>
    </row>
    <row r="119" spans="3:7" x14ac:dyDescent="0.25">
      <c r="C119" s="26" t="s">
        <v>39</v>
      </c>
      <c r="D119" s="111">
        <f>IFERROR(VLOOKUP(C119,Tabla1[#All],132,FALSE),0)</f>
        <v>0</v>
      </c>
      <c r="G119" t="b">
        <f>IFERROR(IF(MATCH(Tabla21126[[#This Row],[PRODUCTOS]],Tabla1[PRODUCTO],0) &lt;&gt; "", TRUE,""),FALSE)</f>
        <v>1</v>
      </c>
    </row>
    <row r="120" spans="3:7" x14ac:dyDescent="0.25">
      <c r="C120" s="35" t="s">
        <v>31</v>
      </c>
      <c r="D120" s="111">
        <f>IFERROR(VLOOKUP(C120,Tabla1[#All],132,FALSE),0)</f>
        <v>20</v>
      </c>
      <c r="G120" t="b">
        <f>IFERROR(IF(MATCH(Tabla21126[[#This Row],[PRODUCTOS]],Tabla1[PRODUCTO],0) &lt;&gt; "", TRUE,""),FALSE)</f>
        <v>1</v>
      </c>
    </row>
    <row r="121" spans="3:7" x14ac:dyDescent="0.25">
      <c r="C121" s="171" t="s">
        <v>649</v>
      </c>
      <c r="D121" s="111">
        <f>IFERROR(VLOOKUP(C121,Tabla1[#All],132,FALSE),0)</f>
        <v>0</v>
      </c>
      <c r="G121" t="b">
        <f>IFERROR(IF(MATCH(Tabla21126[[#This Row],[PRODUCTOS]],Tabla1[PRODUCTO],0) &lt;&gt; "", TRUE,""),FALSE)</f>
        <v>1</v>
      </c>
    </row>
    <row r="122" spans="3:7" ht="16.5" thickBot="1" x14ac:dyDescent="0.3">
      <c r="C122" s="172" t="s">
        <v>642</v>
      </c>
      <c r="D122" s="111">
        <f>IFERROR(VLOOKUP(C122,Tabla1[#All],132,FALSE),0)</f>
        <v>0</v>
      </c>
      <c r="G122" t="b">
        <f>IFERROR(IF(MATCH(Tabla21126[[#This Row],[PRODUCTOS]],Tabla1[PRODUCTO],0) &lt;&gt; "", TRUE,""),FALSE)</f>
        <v>1</v>
      </c>
    </row>
    <row r="123" spans="3:7" x14ac:dyDescent="0.25">
      <c r="C123" s="119" t="s">
        <v>646</v>
      </c>
      <c r="D123" s="111">
        <f>IFERROR(VLOOKUP(C123,Tabla1[#All],132,FALSE),0)</f>
        <v>0</v>
      </c>
      <c r="G123" t="b">
        <f>IFERROR(IF(MATCH(Tabla21126[[#This Row],[PRODUCTOS]],Tabla1[PRODUCTO],0) &lt;&gt; "", TRUE,""),FALSE)</f>
        <v>1</v>
      </c>
    </row>
    <row r="124" spans="3:7" x14ac:dyDescent="0.25">
      <c r="C124" s="171" t="s">
        <v>651</v>
      </c>
      <c r="D124" s="111">
        <f>IFERROR(VLOOKUP(C124,Tabla1[#All],132,FALSE),0)</f>
        <v>0</v>
      </c>
      <c r="G124" t="b">
        <f>IFERROR(IF(MATCH(Tabla21126[[#This Row],[PRODUCTOS]],Tabla1[PRODUCTO],0) &lt;&gt; "", TRUE,""),FALSE)</f>
        <v>1</v>
      </c>
    </row>
    <row r="125" spans="3:7" ht="16.5" thickBot="1" x14ac:dyDescent="0.3">
      <c r="C125" s="172" t="s">
        <v>638</v>
      </c>
      <c r="D125" s="111">
        <f>IFERROR(VLOOKUP(C125,Tabla1[#All],132,FALSE),0)</f>
        <v>0</v>
      </c>
      <c r="G125" t="b">
        <f>IFERROR(IF(MATCH(Tabla21126[[#This Row],[PRODUCTOS]],Tabla1[PRODUCTO],0) &lt;&gt; "", TRUE,""),FALSE)</f>
        <v>1</v>
      </c>
    </row>
    <row r="126" spans="3:7" x14ac:dyDescent="0.25">
      <c r="C126" s="119" t="s">
        <v>640</v>
      </c>
      <c r="D126" s="111">
        <f>IFERROR(VLOOKUP(C126,Tabla1[#All],132,FALSE),0)</f>
        <v>0</v>
      </c>
      <c r="G126" t="b">
        <f>IFERROR(IF(MATCH(Tabla21126[[#This Row],[PRODUCTOS]],Tabla1[PRODUCTO],0) &lt;&gt; "", TRUE,""),FALSE)</f>
        <v>1</v>
      </c>
    </row>
    <row r="127" spans="3:7" x14ac:dyDescent="0.25">
      <c r="C127" s="36" t="s">
        <v>637</v>
      </c>
      <c r="D127" s="111">
        <f>IFERROR(VLOOKUP(C127,Tabla1[#All],132,FALSE),0)</f>
        <v>484</v>
      </c>
      <c r="G127" t="b">
        <f>IFERROR(IF(MATCH(Tabla21126[[#This Row],[PRODUCTOS]],Tabla1[PRODUCTO],0) &lt;&gt; "", TRUE,""),FALSE)</f>
        <v>1</v>
      </c>
    </row>
    <row r="128" spans="3:7" ht="16.5" thickBot="1" x14ac:dyDescent="0.3">
      <c r="C128" s="40" t="s">
        <v>95</v>
      </c>
      <c r="D128" s="111">
        <f>IFERROR(VLOOKUP(C128,Tabla1[#All],132,FALSE),0)</f>
        <v>15</v>
      </c>
      <c r="G128" t="b">
        <f>IFERROR(IF(MATCH(Tabla21126[[#This Row],[PRODUCTOS]],Tabla1[PRODUCTO],0) &lt;&gt; "", TRUE,""),FALSE)</f>
        <v>1</v>
      </c>
    </row>
    <row r="129" spans="3:7" x14ac:dyDescent="0.25">
      <c r="C129" s="46" t="s">
        <v>96</v>
      </c>
      <c r="D129" s="111">
        <f>IFERROR(VLOOKUP(C129,Tabla1[#All],132,FALSE),0)</f>
        <v>30</v>
      </c>
      <c r="G129" t="b">
        <f>IFERROR(IF(MATCH(Tabla21126[[#This Row],[PRODUCTOS]],Tabla1[PRODUCTO],0) &lt;&gt; "", TRUE,""),FALSE)</f>
        <v>1</v>
      </c>
    </row>
    <row r="130" spans="3:7" x14ac:dyDescent="0.25">
      <c r="C130" s="36" t="s">
        <v>97</v>
      </c>
      <c r="D130" s="111">
        <f>IFERROR(VLOOKUP(C130,Tabla1[#All],132,FALSE),0)</f>
        <v>20601</v>
      </c>
      <c r="G130" t="b">
        <f>IFERROR(IF(MATCH(Tabla21126[[#This Row],[PRODUCTOS]],Tabla1[PRODUCTO],0) &lt;&gt; "", TRUE,""),FALSE)</f>
        <v>1</v>
      </c>
    </row>
    <row r="131" spans="3:7" ht="16.5" thickBot="1" x14ac:dyDescent="0.3">
      <c r="C131" s="33" t="s">
        <v>98</v>
      </c>
      <c r="D131" s="111">
        <f>IFERROR(VLOOKUP(C131,Tabla1[#All],132,FALSE),0)</f>
        <v>825</v>
      </c>
      <c r="G131" t="b">
        <f>IFERROR(IF(MATCH(Tabla21126[[#This Row],[PRODUCTOS]],Tabla1[PRODUCTO],0) &lt;&gt; "", TRUE,""),FALSE)</f>
        <v>1</v>
      </c>
    </row>
    <row r="132" spans="3:7" x14ac:dyDescent="0.25">
      <c r="C132" s="26" t="s">
        <v>99</v>
      </c>
      <c r="D132" s="111">
        <f>IFERROR(VLOOKUP(C132,Tabla1[#All],132,FALSE),0)</f>
        <v>600</v>
      </c>
      <c r="G132" t="b">
        <f>IFERROR(IF(MATCH(Tabla21126[[#This Row],[PRODUCTOS]],Tabla1[PRODUCTO],0) &lt;&gt; "", TRUE,""),FALSE)</f>
        <v>1</v>
      </c>
    </row>
    <row r="133" spans="3:7" x14ac:dyDescent="0.25">
      <c r="C133" s="35" t="s">
        <v>100</v>
      </c>
      <c r="D133" s="111">
        <f>IFERROR(VLOOKUP(C133,Tabla1[#All],132,FALSE),0)</f>
        <v>0</v>
      </c>
      <c r="G133" t="b">
        <f>IFERROR(IF(MATCH(Tabla21126[[#This Row],[PRODUCTOS]],Tabla1[PRODUCTO],0) &lt;&gt; "", TRUE,""),FALSE)</f>
        <v>1</v>
      </c>
    </row>
    <row r="134" spans="3:7" ht="16.5" thickBot="1" x14ac:dyDescent="0.3">
      <c r="C134" s="33" t="s">
        <v>704</v>
      </c>
      <c r="D134" s="111">
        <f>IFERROR(VLOOKUP(C134,Tabla1[#All],132,FALSE),0)</f>
        <v>0</v>
      </c>
      <c r="G134" t="b">
        <f>IFERROR(IF(MATCH(Tabla21126[[#This Row],[PRODUCTOS]],Tabla1[PRODUCTO],0) &lt;&gt; "", TRUE,""),FALSE)</f>
        <v>1</v>
      </c>
    </row>
    <row r="135" spans="3:7" x14ac:dyDescent="0.25">
      <c r="C135" s="46" t="s">
        <v>703</v>
      </c>
      <c r="D135" s="111">
        <f>IFERROR(VLOOKUP(C135,Tabla1[#All],132,FALSE),0)</f>
        <v>0</v>
      </c>
      <c r="G135" t="b">
        <f>IFERROR(IF(MATCH(Tabla21126[[#This Row],[PRODUCTOS]],Tabla1[PRODUCTO],0) &lt;&gt; "", TRUE,""),FALSE)</f>
        <v>1</v>
      </c>
    </row>
    <row r="136" spans="3:7" x14ac:dyDescent="0.25">
      <c r="C136" s="35" t="s">
        <v>3</v>
      </c>
      <c r="D136" s="111">
        <f>IFERROR(VLOOKUP(C136,Tabla1[#All],132,FALSE),0)</f>
        <v>12</v>
      </c>
      <c r="G136" t="b">
        <f>IFERROR(IF(MATCH(Tabla21126[[#This Row],[PRODUCTOS]],Tabla1[PRODUCTO],0) &lt;&gt; "", TRUE,""),FALSE)</f>
        <v>1</v>
      </c>
    </row>
    <row r="137" spans="3:7" x14ac:dyDescent="0.25">
      <c r="C137" s="36" t="s">
        <v>101</v>
      </c>
      <c r="D137" s="111">
        <f>IFERROR(VLOOKUP(C137,Tabla1[#All],132,FALSE),0)</f>
        <v>0</v>
      </c>
      <c r="G137" t="b">
        <f>IFERROR(IF(MATCH(Tabla21126[[#This Row],[PRODUCTOS]],Tabla1[PRODUCTO],0) &lt;&gt; "", TRUE,""),FALSE)</f>
        <v>1</v>
      </c>
    </row>
    <row r="138" spans="3:7" x14ac:dyDescent="0.25">
      <c r="C138" s="35" t="s">
        <v>674</v>
      </c>
      <c r="D138" s="111">
        <f>IFERROR(VLOOKUP(C138,Tabla1[#All],132,FALSE),0)</f>
        <v>8</v>
      </c>
      <c r="G138" t="b">
        <f>IFERROR(IF(MATCH(Tabla21126[[#This Row],[PRODUCTOS]],Tabla1[PRODUCTO],0) &lt;&gt; "", TRUE,""),FALSE)</f>
        <v>1</v>
      </c>
    </row>
    <row r="139" spans="3:7" ht="16.5" thickBot="1" x14ac:dyDescent="0.3">
      <c r="C139" s="33" t="s">
        <v>634</v>
      </c>
      <c r="D139" s="111">
        <f>IFERROR(VLOOKUP(C139,Tabla1[#All],132,FALSE),0)</f>
        <v>0</v>
      </c>
      <c r="G139" t="b">
        <f>IFERROR(IF(MATCH(Tabla21126[[#This Row],[PRODUCTOS]],Tabla1[PRODUCTO],0) &lt;&gt; "", TRUE,""),FALSE)</f>
        <v>1</v>
      </c>
    </row>
    <row r="140" spans="3:7" x14ac:dyDescent="0.25">
      <c r="C140" s="46" t="s">
        <v>1</v>
      </c>
      <c r="D140" s="111">
        <f>IFERROR(VLOOKUP(C140,Tabla1[#All],132,FALSE),0)</f>
        <v>54</v>
      </c>
      <c r="G140" t="b">
        <f>IFERROR(IF(MATCH(Tabla21126[[#This Row],[PRODUCTOS]],Tabla1[PRODUCTO],0) &lt;&gt; "", TRUE,""),FALSE)</f>
        <v>1</v>
      </c>
    </row>
    <row r="141" spans="3:7" x14ac:dyDescent="0.25">
      <c r="C141" s="35" t="s">
        <v>35</v>
      </c>
      <c r="D141" s="111">
        <f>IFERROR(VLOOKUP(C141,Tabla1[#All],132,FALSE),0)</f>
        <v>8794</v>
      </c>
      <c r="G141" t="b">
        <f>IFERROR(IF(MATCH(Tabla21126[[#This Row],[PRODUCTOS]],Tabla1[PRODUCTO],0) &lt;&gt; "", TRUE,""),FALSE)</f>
        <v>1</v>
      </c>
    </row>
    <row r="142" spans="3:7" x14ac:dyDescent="0.25">
      <c r="C142" s="35" t="s">
        <v>102</v>
      </c>
      <c r="D142" s="111">
        <f>IFERROR(VLOOKUP(C142,Tabla1[#All],132,FALSE),0)</f>
        <v>102</v>
      </c>
      <c r="G142" t="b">
        <f>IFERROR(IF(MATCH(Tabla21126[[#This Row],[PRODUCTOS]],Tabla1[PRODUCTO],0) &lt;&gt; "", TRUE,""),FALSE)</f>
        <v>1</v>
      </c>
    </row>
    <row r="143" spans="3:7" x14ac:dyDescent="0.25">
      <c r="C143" s="38" t="s">
        <v>272</v>
      </c>
      <c r="D143" s="111">
        <f>IFERROR(VLOOKUP(C143,Tabla1[#All],132,FALSE),0)</f>
        <v>75</v>
      </c>
      <c r="G143" t="b">
        <f>IFERROR(IF(MATCH(Tabla21126[[#This Row],[PRODUCTOS]],Tabla1[PRODUCTO],0) &lt;&gt; "", TRUE,""),FALSE)</f>
        <v>1</v>
      </c>
    </row>
    <row r="144" spans="3:7" ht="16.5" thickBot="1" x14ac:dyDescent="0.3">
      <c r="C144" s="39" t="s">
        <v>273</v>
      </c>
      <c r="D144" s="111">
        <f>IFERROR(VLOOKUP(C144,Tabla1[#All],132,FALSE),0)</f>
        <v>75</v>
      </c>
      <c r="G144" t="b">
        <f>IFERROR(IF(MATCH(Tabla21126[[#This Row],[PRODUCTOS]],Tabla1[PRODUCTO],0) &lt;&gt; "", TRUE,""),FALSE)</f>
        <v>1</v>
      </c>
    </row>
    <row r="145" spans="3:7" ht="16.5" thickBot="1" x14ac:dyDescent="0.3">
      <c r="C145" s="20" t="s">
        <v>28</v>
      </c>
      <c r="D145" s="111">
        <f>IFERROR(VLOOKUP(C145,Tabla1[#All],132,FALSE),0)</f>
        <v>75</v>
      </c>
      <c r="G145" t="b">
        <f>IFERROR(IF(MATCH(Tabla21126[[#This Row],[PRODUCTOS]],Tabla1[PRODUCTO],0) &lt;&gt; "", TRUE,""),FALSE)</f>
        <v>1</v>
      </c>
    </row>
    <row r="146" spans="3:7" ht="16.5" thickBot="1" x14ac:dyDescent="0.3">
      <c r="C146" s="20" t="s">
        <v>38</v>
      </c>
      <c r="D146" s="111">
        <f>IFERROR(VLOOKUP(C146,Tabla1[#All],132,FALSE),0)</f>
        <v>0</v>
      </c>
      <c r="G146" t="b">
        <f>IFERROR(IF(MATCH(Tabla21126[[#This Row],[PRODUCTOS]],Tabla1[PRODUCTO],0) &lt;&gt; "", TRUE,""),FALSE)</f>
        <v>1</v>
      </c>
    </row>
    <row r="147" spans="3:7" ht="16.5" thickBot="1" x14ac:dyDescent="0.3">
      <c r="C147" s="47" t="s">
        <v>13</v>
      </c>
      <c r="D147" s="111">
        <f>IFERROR(VLOOKUP(C147,Tabla1[#All],132,FALSE),0)</f>
        <v>265300</v>
      </c>
      <c r="G147" t="b">
        <f>IFERROR(IF(MATCH(Tabla21126[[#This Row],[PRODUCTOS]],Tabla1[PRODUCTO],0) &lt;&gt; "", TRUE,""),FALSE)</f>
        <v>1</v>
      </c>
    </row>
    <row r="148" spans="3:7" ht="16.5" thickBot="1" x14ac:dyDescent="0.3">
      <c r="C148" s="47" t="s">
        <v>103</v>
      </c>
      <c r="D148" s="111">
        <f>IFERROR(VLOOKUP(C148,Tabla1[#All],132,FALSE),0)</f>
        <v>3</v>
      </c>
      <c r="G148" t="b">
        <f>IFERROR(IF(MATCH(Tabla21126[[#This Row],[PRODUCTOS]],Tabla1[PRODUCTO],0) &lt;&gt; "", TRUE,""),FALSE)</f>
        <v>1</v>
      </c>
    </row>
    <row r="149" spans="3:7" ht="16.5" thickBot="1" x14ac:dyDescent="0.3">
      <c r="C149" s="48" t="s">
        <v>104</v>
      </c>
      <c r="D149" s="111">
        <f>IFERROR(VLOOKUP(C149,Tabla1[#All],132,FALSE),0)</f>
        <v>300</v>
      </c>
      <c r="G149" t="b">
        <f>IFERROR(IF(MATCH(Tabla21126[[#This Row],[PRODUCTOS]],Tabla1[PRODUCTO],0) &lt;&gt; "", TRUE,""),FALSE)</f>
        <v>1</v>
      </c>
    </row>
    <row r="150" spans="3:7" ht="16.5" thickBot="1" x14ac:dyDescent="0.3">
      <c r="C150" s="48" t="s">
        <v>105</v>
      </c>
      <c r="D150" s="111">
        <f>IFERROR(VLOOKUP(C150,Tabla1[#All],132,FALSE),0)</f>
        <v>12775</v>
      </c>
      <c r="G150" t="b">
        <f>IFERROR(IF(MATCH(Tabla21126[[#This Row],[PRODUCTOS]],Tabla1[PRODUCTO],0) &lt;&gt; "", TRUE,""),FALSE)</f>
        <v>1</v>
      </c>
    </row>
    <row r="151" spans="3:7" ht="16.5" thickBot="1" x14ac:dyDescent="0.3">
      <c r="C151" s="48" t="s">
        <v>582</v>
      </c>
      <c r="D151" s="111">
        <f>IFERROR(VLOOKUP(C151,Tabla1[#All],132,FALSE),0)</f>
        <v>11210</v>
      </c>
      <c r="G151" t="b">
        <f>IFERROR(IF(MATCH(Tabla21126[[#This Row],[PRODUCTOS]],Tabla1[PRODUCTO],0) &lt;&gt; "", TRUE,""),FALSE)</f>
        <v>1</v>
      </c>
    </row>
    <row r="152" spans="3:7" ht="16.5" thickBot="1" x14ac:dyDescent="0.3">
      <c r="C152" s="48" t="s">
        <v>106</v>
      </c>
      <c r="D152" s="111">
        <f>IFERROR(VLOOKUP(C152,Tabla1[#All],132,FALSE),0)</f>
        <v>43235</v>
      </c>
      <c r="G152" t="b">
        <f>IFERROR(IF(MATCH(Tabla21126[[#This Row],[PRODUCTOS]],Tabla1[PRODUCTO],0) &lt;&gt; "", TRUE,""),FALSE)</f>
        <v>1</v>
      </c>
    </row>
    <row r="153" spans="3:7" ht="16.5" thickBot="1" x14ac:dyDescent="0.3">
      <c r="C153" s="52" t="s">
        <v>107</v>
      </c>
      <c r="D153" s="111">
        <f>IFERROR(VLOOKUP(C153,Tabla1[#All],132,FALSE),0)</f>
        <v>10510</v>
      </c>
      <c r="G153" t="b">
        <f>IFERROR(IF(MATCH(Tabla21126[[#This Row],[PRODUCTOS]],Tabla1[PRODUCTO],0) &lt;&gt; "", TRUE,""),FALSE)</f>
        <v>1</v>
      </c>
    </row>
    <row r="154" spans="3:7" ht="16.5" thickBot="1" x14ac:dyDescent="0.3">
      <c r="C154" s="47" t="s">
        <v>108</v>
      </c>
      <c r="D154" s="111">
        <f>IFERROR(VLOOKUP(C154,Tabla1[#All],132,FALSE),0)</f>
        <v>4050</v>
      </c>
      <c r="G154" t="b">
        <f>IFERROR(IF(MATCH(Tabla21126[[#This Row],[PRODUCTOS]],Tabla1[PRODUCTO],0) &lt;&gt; "", TRUE,""),FALSE)</f>
        <v>1</v>
      </c>
    </row>
    <row r="155" spans="3:7" ht="16.5" thickBot="1" x14ac:dyDescent="0.3">
      <c r="C155" s="20" t="s">
        <v>27</v>
      </c>
      <c r="D155" s="111">
        <f>IFERROR(VLOOKUP(C155,Tabla1[#All],132,FALSE),0)</f>
        <v>54</v>
      </c>
      <c r="G155" t="b">
        <f>IFERROR(IF(MATCH(Tabla21126[[#This Row],[PRODUCTOS]],Tabla1[PRODUCTO],0) &lt;&gt; "", TRUE,""),FALSE)</f>
        <v>1</v>
      </c>
    </row>
    <row r="156" spans="3:7" ht="16.5" thickBot="1" x14ac:dyDescent="0.3">
      <c r="C156" s="54" t="s">
        <v>9</v>
      </c>
      <c r="D156" s="111">
        <f>IFERROR(VLOOKUP(C156,Tabla1[#All],132,FALSE),0)</f>
        <v>51660</v>
      </c>
      <c r="G156" t="b">
        <f>IFERROR(IF(MATCH(Tabla21126[[#This Row],[PRODUCTOS]],Tabla1[PRODUCTO],0) &lt;&gt; "", TRUE,""),FALSE)</f>
        <v>1</v>
      </c>
    </row>
    <row r="157" spans="3:7" ht="16.5" thickBot="1" x14ac:dyDescent="0.3">
      <c r="C157" s="20" t="s">
        <v>109</v>
      </c>
      <c r="D157" s="111">
        <f>IFERROR(VLOOKUP(C157,Tabla1[#All],132,FALSE),0)</f>
        <v>3375</v>
      </c>
      <c r="G157" t="b">
        <f>IFERROR(IF(MATCH(Tabla21126[[#This Row],[PRODUCTOS]],Tabla1[PRODUCTO],0) &lt;&gt; "", TRUE,""),FALSE)</f>
        <v>1</v>
      </c>
    </row>
    <row r="158" spans="3:7" ht="16.5" thickBot="1" x14ac:dyDescent="0.3">
      <c r="C158" s="20" t="s">
        <v>738</v>
      </c>
      <c r="D158" s="111">
        <f>IFERROR(VLOOKUP(C158,Tabla1[#All],132,FALSE),0)</f>
        <v>0</v>
      </c>
      <c r="G158" t="b">
        <f>IFERROR(IF(MATCH(Tabla21126[[#This Row],[PRODUCTOS]],Tabla1[PRODUCTO],0) &lt;&gt; "", TRUE,""),FALSE)</f>
        <v>1</v>
      </c>
    </row>
    <row r="159" spans="3:7" ht="16.5" thickBot="1" x14ac:dyDescent="0.3">
      <c r="C159" s="48" t="s">
        <v>110</v>
      </c>
      <c r="D159" s="111">
        <f>IFERROR(VLOOKUP(C159,Tabla1[#All],132,FALSE),0)</f>
        <v>44</v>
      </c>
      <c r="G159" t="b">
        <f>IFERROR(IF(MATCH(Tabla21126[[#This Row],[PRODUCTOS]],Tabla1[PRODUCTO],0) &lt;&gt; "", TRUE,""),FALSE)</f>
        <v>1</v>
      </c>
    </row>
    <row r="160" spans="3:7" ht="16.5" thickBot="1" x14ac:dyDescent="0.3">
      <c r="C160" s="47" t="s">
        <v>111</v>
      </c>
      <c r="D160" s="111">
        <f>IFERROR(VLOOKUP(C160,Tabla1[#All],132,FALSE),0)</f>
        <v>11</v>
      </c>
      <c r="G160" t="b">
        <f>IFERROR(IF(MATCH(Tabla21126[[#This Row],[PRODUCTOS]],Tabla1[PRODUCTO],0) &lt;&gt; "", TRUE,""),FALSE)</f>
        <v>1</v>
      </c>
    </row>
    <row r="161" spans="3:7" ht="16.5" thickBot="1" x14ac:dyDescent="0.3">
      <c r="C161" s="47" t="s">
        <v>112</v>
      </c>
      <c r="D161" s="111">
        <f>IFERROR(VLOOKUP(C161,Tabla1[#All],132,FALSE),0)</f>
        <v>2</v>
      </c>
      <c r="G161" t="b">
        <f>IFERROR(IF(MATCH(Tabla21126[[#This Row],[PRODUCTOS]],Tabla1[PRODUCTO],0) &lt;&gt; "", TRUE,""),FALSE)</f>
        <v>1</v>
      </c>
    </row>
    <row r="162" spans="3:7" ht="16.5" thickBot="1" x14ac:dyDescent="0.3">
      <c r="C162" s="71" t="s">
        <v>523</v>
      </c>
      <c r="D162" s="111">
        <f>IFERROR(VLOOKUP(C162,Tabla1[#All],132,FALSE),0)</f>
        <v>0</v>
      </c>
      <c r="G162" t="b">
        <f>IFERROR(IF(MATCH(Tabla21126[[#This Row],[PRODUCTOS]],Tabla1[PRODUCTO],0) &lt;&gt; "", TRUE,""),FALSE)</f>
        <v>1</v>
      </c>
    </row>
    <row r="163" spans="3:7" ht="16.5" thickBot="1" x14ac:dyDescent="0.3">
      <c r="C163" s="175" t="s">
        <v>644</v>
      </c>
      <c r="D163" s="111">
        <f>IFERROR(VLOOKUP(C163,Tabla1[#All],132,FALSE),0)</f>
        <v>0</v>
      </c>
      <c r="G163" t="b">
        <f>IFERROR(IF(MATCH(Tabla21126[[#This Row],[PRODUCTOS]],Tabla1[PRODUCTO],0) &lt;&gt; "", TRUE,""),FALSE)</f>
        <v>1</v>
      </c>
    </row>
    <row r="164" spans="3:7" ht="16.5" thickBot="1" x14ac:dyDescent="0.3">
      <c r="C164" s="175" t="s">
        <v>647</v>
      </c>
      <c r="D164" s="111">
        <f>IFERROR(VLOOKUP(C164,Tabla1[#All],132,FALSE),0)</f>
        <v>0</v>
      </c>
      <c r="G164" t="b">
        <f>IFERROR(IF(MATCH(Tabla21126[[#This Row],[PRODUCTOS]],Tabla1[PRODUCTO],0) &lt;&gt; "", TRUE,""),FALSE)</f>
        <v>1</v>
      </c>
    </row>
    <row r="165" spans="3:7" ht="16.5" thickBot="1" x14ac:dyDescent="0.3">
      <c r="C165" s="56" t="s">
        <v>113</v>
      </c>
      <c r="D165" s="111">
        <f>IFERROR(VLOOKUP(C165,Tabla1[#All],132,FALSE),0)</f>
        <v>0</v>
      </c>
      <c r="G165" t="b">
        <f>IFERROR(IF(MATCH(Tabla21126[[#This Row],[PRODUCTOS]],Tabla1[PRODUCTO],0) &lt;&gt; "", TRUE,""),FALSE)</f>
        <v>1</v>
      </c>
    </row>
    <row r="166" spans="3:7" ht="16.5" thickBot="1" x14ac:dyDescent="0.3">
      <c r="C166" s="48" t="s">
        <v>114</v>
      </c>
      <c r="D166" s="111">
        <f>IFERROR(VLOOKUP(C166,Tabla1[#All],132,FALSE),0)</f>
        <v>0</v>
      </c>
      <c r="G166" t="b">
        <f>IFERROR(IF(MATCH(Tabla21126[[#This Row],[PRODUCTOS]],Tabla1[PRODUCTO],0) &lt;&gt; "", TRUE,""),FALSE)</f>
        <v>1</v>
      </c>
    </row>
    <row r="167" spans="3:7" ht="16.5" thickBot="1" x14ac:dyDescent="0.3">
      <c r="C167" s="48" t="s">
        <v>115</v>
      </c>
      <c r="D167" s="111">
        <f>IFERROR(VLOOKUP(C167,Tabla1[#All],132,FALSE),0)</f>
        <v>0</v>
      </c>
      <c r="G167" t="b">
        <f>IFERROR(IF(MATCH(Tabla21126[[#This Row],[PRODUCTOS]],Tabla1[PRODUCTO],0) &lt;&gt; "", TRUE,""),FALSE)</f>
        <v>1</v>
      </c>
    </row>
    <row r="168" spans="3:7" x14ac:dyDescent="0.25">
      <c r="C168" s="99" t="s">
        <v>116</v>
      </c>
      <c r="D168" s="111">
        <f>IFERROR(VLOOKUP(C168,Tabla1[#All],132,FALSE),0)</f>
        <v>36810</v>
      </c>
      <c r="G168" t="b">
        <f>IFERROR(IF(MATCH(Tabla21126[[#This Row],[PRODUCTOS]],Tabla1[PRODUCTO],0) &lt;&gt; "", TRUE,""),FALSE)</f>
        <v>1</v>
      </c>
    </row>
    <row r="169" spans="3:7" x14ac:dyDescent="0.25">
      <c r="C169" s="101" t="s">
        <v>117</v>
      </c>
      <c r="D169" s="111">
        <f>IFERROR(VLOOKUP(C169,Tabla1[#All],132,FALSE),0)</f>
        <v>75</v>
      </c>
      <c r="G169" t="b">
        <f>IFERROR(IF(MATCH(Tabla21126[[#This Row],[PRODUCTOS]],Tabla1[PRODUCTO],0) &lt;&gt; "", TRUE,""),FALSE)</f>
        <v>1</v>
      </c>
    </row>
    <row r="170" spans="3:7" x14ac:dyDescent="0.25">
      <c r="C170" s="101" t="s">
        <v>42</v>
      </c>
      <c r="D170" s="111">
        <f>IFERROR(VLOOKUP(C170,Tabla1[#All],132,FALSE),0)</f>
        <v>0.30000000000000004</v>
      </c>
      <c r="G170" t="b">
        <f>IFERROR(IF(MATCH(Tabla21126[[#This Row],[PRODUCTOS]],Tabla1[PRODUCTO],0) &lt;&gt; "", TRUE,""),FALSE)</f>
        <v>1</v>
      </c>
    </row>
    <row r="171" spans="3:7" x14ac:dyDescent="0.25">
      <c r="C171" s="99" t="s">
        <v>36</v>
      </c>
      <c r="D171" s="111">
        <f>IFERROR(VLOOKUP(C171,Tabla1[#All],132,FALSE),0)</f>
        <v>38</v>
      </c>
      <c r="G171" t="b">
        <f>IFERROR(IF(MATCH(Tabla21126[[#This Row],[PRODUCTOS]],Tabla1[PRODUCTO],0) &lt;&gt; "", TRUE,""),FALSE)</f>
        <v>1</v>
      </c>
    </row>
    <row r="172" spans="3:7" x14ac:dyDescent="0.25">
      <c r="C172" s="99" t="s">
        <v>521</v>
      </c>
      <c r="D172" s="111">
        <f>IFERROR(VLOOKUP(C172,Tabla1[#All],132,FALSE),0)</f>
        <v>1800</v>
      </c>
      <c r="G172" t="b">
        <f>IFERROR(IF(MATCH(Tabla21126[[#This Row],[PRODUCTOS]],Tabla1[PRODUCTO],0) &lt;&gt; "", TRUE,""),FALSE)</f>
        <v>1</v>
      </c>
    </row>
    <row r="173" spans="3:7" x14ac:dyDescent="0.25">
      <c r="C173" s="101" t="s">
        <v>118</v>
      </c>
      <c r="D173" s="111">
        <f>IFERROR(VLOOKUP(C173,Tabla1[#All],132,FALSE),0)</f>
        <v>0.30000000000000004</v>
      </c>
      <c r="G173" t="b">
        <f>IFERROR(IF(MATCH(Tabla21126[[#This Row],[PRODUCTOS]],Tabla1[PRODUCTO],0) &lt;&gt; "", TRUE,""),FALSE)</f>
        <v>1</v>
      </c>
    </row>
    <row r="174" spans="3:7" x14ac:dyDescent="0.25">
      <c r="C174" s="102" t="s">
        <v>274</v>
      </c>
      <c r="D174" s="111">
        <f>IFERROR(VLOOKUP(C174,Tabla1[#All],132,FALSE),0)</f>
        <v>0</v>
      </c>
      <c r="G174" t="b">
        <f>IFERROR(IF(MATCH(Tabla21126[[#This Row],[PRODUCTOS]],Tabla1[PRODUCTO],0) &lt;&gt; "", TRUE,""),FALSE)</f>
        <v>1</v>
      </c>
    </row>
    <row r="175" spans="3:7" ht="16.5" thickBot="1" x14ac:dyDescent="0.3">
      <c r="C175" s="109" t="s">
        <v>586</v>
      </c>
      <c r="D175" s="111">
        <f>IFERROR(VLOOKUP(C175,Tabla1[#All],132,FALSE),0)</f>
        <v>33</v>
      </c>
      <c r="G175" t="b">
        <f>IFERROR(IF(MATCH(Tabla21126[[#This Row],[PRODUCTOS]],Tabla1[PRODUCTO],0) &lt;&gt; "", TRUE,""),FALSE)</f>
        <v>1</v>
      </c>
    </row>
    <row r="176" spans="3:7" x14ac:dyDescent="0.25">
      <c r="C176" s="46" t="s">
        <v>119</v>
      </c>
      <c r="D176" s="111">
        <f>IFERROR(VLOOKUP(C176,Tabla1[#All],132,FALSE),0)</f>
        <v>9</v>
      </c>
      <c r="G176" t="b">
        <f>IFERROR(IF(MATCH(Tabla21126[[#This Row],[PRODUCTOS]],Tabla1[PRODUCTO],0) &lt;&gt; "", TRUE,""),FALSE)</f>
        <v>1</v>
      </c>
    </row>
    <row r="177" spans="3:7" x14ac:dyDescent="0.25">
      <c r="C177" s="36" t="s">
        <v>120</v>
      </c>
      <c r="D177" s="111">
        <f>IFERROR(VLOOKUP(C177,Tabla1[#All],132,FALSE),0)</f>
        <v>24</v>
      </c>
      <c r="G177" t="b">
        <f>IFERROR(IF(MATCH(Tabla21126[[#This Row],[PRODUCTOS]],Tabla1[PRODUCTO],0) &lt;&gt; "", TRUE,""),FALSE)</f>
        <v>1</v>
      </c>
    </row>
    <row r="178" spans="3:7" x14ac:dyDescent="0.25">
      <c r="C178" s="138" t="s">
        <v>121</v>
      </c>
      <c r="D178" s="111">
        <f>IFERROR(VLOOKUP(C178,Tabla1[#All],132,FALSE),0)</f>
        <v>4</v>
      </c>
      <c r="G178" t="b">
        <f>IFERROR(IF(MATCH(Tabla21126[[#This Row],[PRODUCTOS]],Tabla1[PRODUCTO],0) &lt;&gt; "", TRUE,""),FALSE)</f>
        <v>1</v>
      </c>
    </row>
    <row r="179" spans="3:7" ht="16.5" thickBot="1" x14ac:dyDescent="0.3">
      <c r="C179" s="40" t="s">
        <v>577</v>
      </c>
      <c r="D179" s="111">
        <f>IFERROR(VLOOKUP(C179,Tabla1[#All],132,FALSE),0)</f>
        <v>0</v>
      </c>
      <c r="G179" t="b">
        <f>IFERROR(IF(MATCH(Tabla21126[[#This Row],[PRODUCTOS]],Tabla1[PRODUCTO],0) &lt;&gt; "", TRUE,""),FALSE)</f>
        <v>1</v>
      </c>
    </row>
    <row r="180" spans="3:7" x14ac:dyDescent="0.25">
      <c r="C180" s="26" t="s">
        <v>122</v>
      </c>
      <c r="D180" s="111">
        <f>IFERROR(VLOOKUP(C180,Tabla1[#All],132,FALSE),0)</f>
        <v>2175</v>
      </c>
      <c r="G180" t="b">
        <f>IFERROR(IF(MATCH(Tabla21126[[#This Row],[PRODUCTOS]],Tabla1[PRODUCTO],0) &lt;&gt; "", TRUE,""),FALSE)</f>
        <v>1</v>
      </c>
    </row>
    <row r="181" spans="3:7" x14ac:dyDescent="0.25">
      <c r="C181" s="38" t="s">
        <v>275</v>
      </c>
      <c r="D181" s="111">
        <f>IFERROR(VLOOKUP(C181,Tabla1[#All],132,FALSE),0)</f>
        <v>750</v>
      </c>
      <c r="G181" t="b">
        <f>IFERROR(IF(MATCH(Tabla21126[[#This Row],[PRODUCTOS]],Tabla1[PRODUCTO],0) &lt;&gt; "", TRUE,""),FALSE)</f>
        <v>1</v>
      </c>
    </row>
    <row r="182" spans="3:7" x14ac:dyDescent="0.25">
      <c r="C182" s="38" t="s">
        <v>820</v>
      </c>
      <c r="D182" s="111">
        <f>IFERROR(VLOOKUP(C182,Tabla1[#All],132,FALSE),0)</f>
        <v>0</v>
      </c>
      <c r="G182" t="b">
        <f>IFERROR(IF(MATCH(Tabla21126[[#This Row],[PRODUCTOS]],Tabla1[PRODUCTO],0) &lt;&gt; "", TRUE,""),FALSE)</f>
        <v>1</v>
      </c>
    </row>
    <row r="183" spans="3:7" ht="16.5" thickBot="1" x14ac:dyDescent="0.3">
      <c r="C183" s="39" t="s">
        <v>276</v>
      </c>
      <c r="D183" s="111">
        <f>IFERROR(VLOOKUP(C183,Tabla1[#All],132,FALSE),0)</f>
        <v>75</v>
      </c>
      <c r="G183" t="b">
        <f>IFERROR(IF(MATCH(Tabla21126[[#This Row],[PRODUCTOS]],Tabla1[PRODUCTO],0) &lt;&gt; "", TRUE,""),FALSE)</f>
        <v>1</v>
      </c>
    </row>
    <row r="184" spans="3:7" x14ac:dyDescent="0.25">
      <c r="C184" s="37" t="s">
        <v>277</v>
      </c>
      <c r="D184" s="111">
        <f>IFERROR(VLOOKUP(C184,Tabla1[#All],132,FALSE),0)</f>
        <v>0</v>
      </c>
      <c r="G184" t="b">
        <f>IFERROR(IF(MATCH(Tabla21126[[#This Row],[PRODUCTOS]],Tabla1[PRODUCTO],0) &lt;&gt; "", TRUE,""),FALSE)</f>
        <v>1</v>
      </c>
    </row>
    <row r="185" spans="3:7" x14ac:dyDescent="0.25">
      <c r="C185" s="35" t="s">
        <v>123</v>
      </c>
      <c r="D185" s="111">
        <f>IFERROR(VLOOKUP(C185,Tabla1[#All],132,FALSE),0)</f>
        <v>2160</v>
      </c>
      <c r="G185" t="b">
        <f>IFERROR(IF(MATCH(Tabla21126[[#This Row],[PRODUCTOS]],Tabla1[PRODUCTO],0) &lt;&gt; "", TRUE,""),FALSE)</f>
        <v>1</v>
      </c>
    </row>
    <row r="186" spans="3:7" x14ac:dyDescent="0.25">
      <c r="C186" s="35" t="s">
        <v>124</v>
      </c>
      <c r="D186" s="111">
        <f>IFERROR(VLOOKUP(C186,Tabla1[#All],132,FALSE),0)</f>
        <v>2325</v>
      </c>
      <c r="G186" t="b">
        <f>IFERROR(IF(MATCH(Tabla21126[[#This Row],[PRODUCTOS]],Tabla1[PRODUCTO],0) &lt;&gt; "", TRUE,""),FALSE)</f>
        <v>1</v>
      </c>
    </row>
    <row r="187" spans="3:7" ht="16.5" thickBot="1" x14ac:dyDescent="0.3">
      <c r="C187" s="39" t="s">
        <v>278</v>
      </c>
      <c r="D187" s="111">
        <f>IFERROR(VLOOKUP(C187,Tabla1[#All],132,FALSE),0)</f>
        <v>75</v>
      </c>
      <c r="G187" t="b">
        <f>IFERROR(IF(MATCH(Tabla21126[[#This Row],[PRODUCTOS]],Tabla1[PRODUCTO],0) &lt;&gt; "", TRUE,""),FALSE)</f>
        <v>1</v>
      </c>
    </row>
    <row r="188" spans="3:7" x14ac:dyDescent="0.25">
      <c r="C188" s="26" t="s">
        <v>570</v>
      </c>
      <c r="D188" s="111">
        <f>IFERROR(VLOOKUP(C188,Tabla1[#All],132,FALSE),0)</f>
        <v>800</v>
      </c>
      <c r="G188" t="b">
        <f>IFERROR(IF(MATCH(Tabla21126[[#This Row],[PRODUCTOS]],Tabla1[PRODUCTO],0) &lt;&gt; "", TRUE,""),FALSE)</f>
        <v>1</v>
      </c>
    </row>
    <row r="189" spans="3:7" x14ac:dyDescent="0.25">
      <c r="C189" s="35" t="s">
        <v>32</v>
      </c>
      <c r="D189" s="111">
        <f>IFERROR(VLOOKUP(C189,Tabla1[#All],132,FALSE),0)</f>
        <v>21</v>
      </c>
      <c r="G189" t="b">
        <f>IFERROR(IF(MATCH(Tabla21126[[#This Row],[PRODUCTOS]],Tabla1[PRODUCTO],0) &lt;&gt; "", TRUE,""),FALSE)</f>
        <v>1</v>
      </c>
    </row>
    <row r="190" spans="3:7" x14ac:dyDescent="0.25">
      <c r="C190" s="35" t="s">
        <v>34</v>
      </c>
      <c r="D190" s="111">
        <f>IFERROR(VLOOKUP(C190,Tabla1[#All],132,FALSE),0)</f>
        <v>8</v>
      </c>
      <c r="G190" t="b">
        <f>IFERROR(IF(MATCH(Tabla21126[[#This Row],[PRODUCTOS]],Tabla1[PRODUCTO],0) &lt;&gt; "", TRUE,""),FALSE)</f>
        <v>1</v>
      </c>
    </row>
    <row r="191" spans="3:7" x14ac:dyDescent="0.25">
      <c r="C191" s="38" t="s">
        <v>125</v>
      </c>
      <c r="D191" s="111">
        <f>IFERROR(VLOOKUP(C191,Tabla1[#All],132,FALSE),0)</f>
        <v>0</v>
      </c>
      <c r="G191" t="b">
        <f>IFERROR(IF(MATCH(Tabla21126[[#This Row],[PRODUCTOS]],Tabla1[PRODUCTO],0) &lt;&gt; "", TRUE,""),FALSE)</f>
        <v>1</v>
      </c>
    </row>
    <row r="192" spans="3:7" ht="16.5" thickBot="1" x14ac:dyDescent="0.3">
      <c r="C192" s="39" t="s">
        <v>126</v>
      </c>
      <c r="D192" s="111">
        <f>IFERROR(VLOOKUP(C192,Tabla1[#All],132,FALSE),0)</f>
        <v>0</v>
      </c>
      <c r="G192" t="b">
        <f>IFERROR(IF(MATCH(Tabla21126[[#This Row],[PRODUCTOS]],Tabla1[PRODUCTO],0) &lt;&gt; "", TRUE,""),FALSE)</f>
        <v>1</v>
      </c>
    </row>
    <row r="193" spans="3:7" x14ac:dyDescent="0.25">
      <c r="C193" s="46" t="s">
        <v>127</v>
      </c>
      <c r="D193" s="111">
        <f>IFERROR(VLOOKUP(C193,Tabla1[#All],132,FALSE),0)</f>
        <v>23</v>
      </c>
      <c r="G193" t="b">
        <f>IFERROR(IF(MATCH(Tabla21126[[#This Row],[PRODUCTOS]],Tabla1[PRODUCTO],0) &lt;&gt; "", TRUE,""),FALSE)</f>
        <v>1</v>
      </c>
    </row>
    <row r="194" spans="3:7" x14ac:dyDescent="0.25">
      <c r="C194" s="35" t="s">
        <v>4</v>
      </c>
      <c r="D194" s="111">
        <f>IFERROR(VLOOKUP(C194,Tabla1[#All],132,FALSE),0)</f>
        <v>2</v>
      </c>
      <c r="G194" t="b">
        <f>IFERROR(IF(MATCH(Tabla21126[[#This Row],[PRODUCTOS]],Tabla1[PRODUCTO],0) &lt;&gt; "", TRUE,""),FALSE)</f>
        <v>1</v>
      </c>
    </row>
    <row r="195" spans="3:7" x14ac:dyDescent="0.25">
      <c r="C195" s="35" t="s">
        <v>7</v>
      </c>
      <c r="D195" s="111">
        <f>IFERROR(VLOOKUP(C195,Tabla1[#All],132,FALSE),0)</f>
        <v>94</v>
      </c>
      <c r="G195" t="b">
        <f>IFERROR(IF(MATCH(Tabla21126[[#This Row],[PRODUCTOS]],Tabla1[PRODUCTO],0) &lt;&gt; "", TRUE,""),FALSE)</f>
        <v>1</v>
      </c>
    </row>
    <row r="196" spans="3:7" ht="16.5" thickBot="1" x14ac:dyDescent="0.3">
      <c r="C196" s="33" t="s">
        <v>128</v>
      </c>
      <c r="D196" s="111">
        <f>IFERROR(VLOOKUP(C196,Tabla1[#All],132,FALSE),0)</f>
        <v>1200</v>
      </c>
      <c r="G196" t="b">
        <f>IFERROR(IF(MATCH(Tabla21126[[#This Row],[PRODUCTOS]],Tabla1[PRODUCTO],0) &lt;&gt; "", TRUE,""),FALSE)</f>
        <v>1</v>
      </c>
    </row>
    <row r="197" spans="3:7" x14ac:dyDescent="0.25">
      <c r="C197" s="37" t="s">
        <v>279</v>
      </c>
      <c r="D197" s="111">
        <f>IFERROR(VLOOKUP(C197,Tabla1[#All],132,FALSE),0)</f>
        <v>0</v>
      </c>
      <c r="G197" t="b">
        <f>IFERROR(IF(MATCH(Tabla21126[[#This Row],[PRODUCTOS]],Tabla1[PRODUCTO],0) &lt;&gt; "", TRUE,""),FALSE)</f>
        <v>1</v>
      </c>
    </row>
    <row r="198" spans="3:7" ht="16.5" thickBot="1" x14ac:dyDescent="0.3">
      <c r="C198" s="41" t="s">
        <v>37</v>
      </c>
      <c r="D198" s="111">
        <f>IFERROR(VLOOKUP(C198,Tabla1[#All],132,FALSE),0)</f>
        <v>11</v>
      </c>
      <c r="G198" t="b">
        <f>IFERROR(IF(MATCH(Tabla21126[[#This Row],[PRODUCTOS]],Tabla1[PRODUCTO],0) &lt;&gt; "", TRUE,""),FALSE)</f>
        <v>1</v>
      </c>
    </row>
    <row r="199" spans="3:7" ht="16.5" thickBot="1" x14ac:dyDescent="0.3">
      <c r="C199" s="26" t="s">
        <v>129</v>
      </c>
      <c r="D199" s="111">
        <f>IFERROR(VLOOKUP(C199,Tabla1[#All],132,FALSE),0)</f>
        <v>4035</v>
      </c>
      <c r="G199" t="b">
        <f>IFERROR(IF(MATCH(Tabla21126[[#This Row],[PRODUCTOS]],Tabla1[PRODUCTO],0) &lt;&gt; "", TRUE,""),FALSE)</f>
        <v>1</v>
      </c>
    </row>
    <row r="200" spans="3:7" ht="16.5" thickBot="1" x14ac:dyDescent="0.3">
      <c r="C200" s="20" t="s">
        <v>130</v>
      </c>
      <c r="D200" s="247">
        <f>IFERROR(VLOOKUP(C200,Tabla1[#All],132,FALSE),0)</f>
        <v>450</v>
      </c>
      <c r="G200" t="b">
        <f>IFERROR(IF(MATCH(Tabla21126[[#This Row],[PRODUCTOS]],Tabla1[PRODUCTO],0) &lt;&gt; "", TRUE,""),FALSE)</f>
        <v>1</v>
      </c>
    </row>
    <row r="201" spans="3:7" x14ac:dyDescent="0.25">
      <c r="C201" s="39" t="s">
        <v>280</v>
      </c>
      <c r="D201" s="111">
        <f>IFERROR(VLOOKUP(C201,Tabla1[#All],132,FALSE),0)</f>
        <v>0</v>
      </c>
    </row>
    <row r="202" spans="3:7" ht="15" x14ac:dyDescent="0.25">
      <c r="C202"/>
      <c r="D202"/>
    </row>
    <row r="203" spans="3:7" ht="15" x14ac:dyDescent="0.25">
      <c r="C203"/>
      <c r="D203"/>
    </row>
    <row r="204" spans="3:7" ht="15" x14ac:dyDescent="0.25">
      <c r="C204"/>
      <c r="D204"/>
    </row>
    <row r="205" spans="3:7" ht="15" x14ac:dyDescent="0.25">
      <c r="C205"/>
      <c r="D205"/>
    </row>
    <row r="206" spans="3:7" ht="15" x14ac:dyDescent="0.25">
      <c r="C206"/>
      <c r="D206"/>
    </row>
    <row r="207" spans="3:7" ht="15" x14ac:dyDescent="0.25">
      <c r="C207"/>
      <c r="D207"/>
    </row>
    <row r="208" spans="3:7" ht="15" x14ac:dyDescent="0.25">
      <c r="C208"/>
      <c r="D208"/>
    </row>
    <row r="209" spans="3:4" ht="15" x14ac:dyDescent="0.25">
      <c r="C209"/>
      <c r="D209"/>
    </row>
    <row r="210" spans="3:4" ht="15" x14ac:dyDescent="0.25">
      <c r="C210"/>
      <c r="D210"/>
    </row>
    <row r="211" spans="3:4" ht="15" x14ac:dyDescent="0.25">
      <c r="C211"/>
      <c r="D211"/>
    </row>
    <row r="212" spans="3:4" ht="15" x14ac:dyDescent="0.25">
      <c r="C212"/>
      <c r="D212"/>
    </row>
    <row r="213" spans="3:4" ht="15" x14ac:dyDescent="0.25">
      <c r="C213"/>
      <c r="D213"/>
    </row>
    <row r="214" spans="3:4" ht="15" x14ac:dyDescent="0.25">
      <c r="C214"/>
      <c r="D214"/>
    </row>
    <row r="215" spans="3:4" ht="15" x14ac:dyDescent="0.25">
      <c r="C215"/>
      <c r="D215"/>
    </row>
    <row r="216" spans="3:4" ht="15" x14ac:dyDescent="0.25">
      <c r="C216"/>
      <c r="D216"/>
    </row>
    <row r="217" spans="3:4" ht="15" x14ac:dyDescent="0.25">
      <c r="C217"/>
      <c r="D217"/>
    </row>
    <row r="218" spans="3:4" ht="15" x14ac:dyDescent="0.25">
      <c r="C218"/>
      <c r="D218"/>
    </row>
    <row r="219" spans="3:4" ht="15" x14ac:dyDescent="0.25">
      <c r="C219"/>
      <c r="D219"/>
    </row>
    <row r="220" spans="3:4" ht="15" x14ac:dyDescent="0.25">
      <c r="C220"/>
      <c r="D220"/>
    </row>
    <row r="221" spans="3:4" ht="15" x14ac:dyDescent="0.25">
      <c r="C221"/>
      <c r="D221"/>
    </row>
    <row r="222" spans="3:4" ht="15" x14ac:dyDescent="0.25">
      <c r="C222"/>
      <c r="D222"/>
    </row>
    <row r="223" spans="3:4" ht="15" x14ac:dyDescent="0.25">
      <c r="C223"/>
      <c r="D223"/>
    </row>
    <row r="224" spans="3:4" ht="15" x14ac:dyDescent="0.25">
      <c r="C224"/>
      <c r="D224"/>
    </row>
    <row r="225" spans="3:4" ht="15" x14ac:dyDescent="0.25">
      <c r="C225"/>
      <c r="D225"/>
    </row>
    <row r="226" spans="3:4" ht="15" x14ac:dyDescent="0.25">
      <c r="C226"/>
      <c r="D226"/>
    </row>
    <row r="227" spans="3:4" ht="15" x14ac:dyDescent="0.25">
      <c r="C227"/>
      <c r="D227"/>
    </row>
    <row r="228" spans="3:4" ht="15" x14ac:dyDescent="0.25">
      <c r="C228"/>
      <c r="D228"/>
    </row>
    <row r="229" spans="3:4" ht="15" x14ac:dyDescent="0.25">
      <c r="C229"/>
      <c r="D229"/>
    </row>
    <row r="230" spans="3:4" ht="15" x14ac:dyDescent="0.25">
      <c r="C230"/>
      <c r="D230"/>
    </row>
    <row r="231" spans="3:4" ht="15" x14ac:dyDescent="0.25">
      <c r="C231"/>
      <c r="D231"/>
    </row>
    <row r="232" spans="3:4" ht="15" x14ac:dyDescent="0.25">
      <c r="C232"/>
      <c r="D232"/>
    </row>
    <row r="233" spans="3:4" ht="15" x14ac:dyDescent="0.25">
      <c r="C233"/>
      <c r="D233"/>
    </row>
    <row r="234" spans="3:4" ht="15" x14ac:dyDescent="0.25">
      <c r="C234"/>
      <c r="D234"/>
    </row>
    <row r="235" spans="3:4" ht="15" x14ac:dyDescent="0.25">
      <c r="C235"/>
      <c r="D235"/>
    </row>
    <row r="236" spans="3:4" ht="15" x14ac:dyDescent="0.25">
      <c r="C236"/>
      <c r="D236"/>
    </row>
    <row r="237" spans="3:4" ht="15" x14ac:dyDescent="0.25">
      <c r="C237"/>
      <c r="D237"/>
    </row>
    <row r="238" spans="3:4" ht="15" x14ac:dyDescent="0.25">
      <c r="C238"/>
      <c r="D238"/>
    </row>
    <row r="239" spans="3:4" ht="15" x14ac:dyDescent="0.25">
      <c r="C239"/>
      <c r="D239"/>
    </row>
    <row r="240" spans="3:4" ht="15" x14ac:dyDescent="0.25">
      <c r="C240"/>
      <c r="D240"/>
    </row>
    <row r="241" spans="3:4" ht="15" x14ac:dyDescent="0.25">
      <c r="C241"/>
      <c r="D241"/>
    </row>
    <row r="242" spans="3:4" ht="15" x14ac:dyDescent="0.25">
      <c r="C242"/>
      <c r="D242"/>
    </row>
    <row r="243" spans="3:4" ht="15" x14ac:dyDescent="0.25">
      <c r="C243"/>
      <c r="D243"/>
    </row>
    <row r="244" spans="3:4" ht="15" x14ac:dyDescent="0.25">
      <c r="C244"/>
      <c r="D244"/>
    </row>
    <row r="245" spans="3:4" ht="15" x14ac:dyDescent="0.25">
      <c r="C245"/>
      <c r="D245"/>
    </row>
    <row r="246" spans="3:4" ht="15" x14ac:dyDescent="0.25">
      <c r="C246"/>
      <c r="D246"/>
    </row>
    <row r="247" spans="3:4" ht="15" x14ac:dyDescent="0.25">
      <c r="C247"/>
      <c r="D247"/>
    </row>
    <row r="248" spans="3:4" ht="15" x14ac:dyDescent="0.25">
      <c r="C248"/>
      <c r="D248"/>
    </row>
    <row r="249" spans="3:4" ht="15" x14ac:dyDescent="0.25">
      <c r="C249"/>
      <c r="D249"/>
    </row>
    <row r="250" spans="3:4" ht="15" x14ac:dyDescent="0.25">
      <c r="C250"/>
      <c r="D250"/>
    </row>
    <row r="251" spans="3:4" ht="15" x14ac:dyDescent="0.25">
      <c r="C251"/>
      <c r="D251"/>
    </row>
    <row r="252" spans="3:4" ht="15" x14ac:dyDescent="0.25">
      <c r="C252"/>
      <c r="D252"/>
    </row>
    <row r="253" spans="3:4" ht="15" x14ac:dyDescent="0.25">
      <c r="C253"/>
      <c r="D253"/>
    </row>
    <row r="254" spans="3:4" ht="15" x14ac:dyDescent="0.25">
      <c r="C254"/>
      <c r="D254"/>
    </row>
    <row r="255" spans="3:4" ht="15" x14ac:dyDescent="0.25">
      <c r="C255"/>
      <c r="D255"/>
    </row>
    <row r="256" spans="3:4" ht="15" x14ac:dyDescent="0.25">
      <c r="C256"/>
      <c r="D256"/>
    </row>
    <row r="257" spans="3:4" ht="15" x14ac:dyDescent="0.25">
      <c r="C257"/>
      <c r="D257"/>
    </row>
    <row r="258" spans="3:4" ht="15" x14ac:dyDescent="0.25">
      <c r="C258"/>
      <c r="D258"/>
    </row>
    <row r="259" spans="3:4" ht="15" x14ac:dyDescent="0.25">
      <c r="C259"/>
      <c r="D259"/>
    </row>
    <row r="260" spans="3:4" ht="15" x14ac:dyDescent="0.25">
      <c r="C260"/>
      <c r="D260"/>
    </row>
    <row r="261" spans="3:4" ht="15" x14ac:dyDescent="0.25">
      <c r="C261"/>
      <c r="D261"/>
    </row>
    <row r="262" spans="3:4" ht="15" x14ac:dyDescent="0.25">
      <c r="C262"/>
      <c r="D262"/>
    </row>
    <row r="263" spans="3:4" ht="15" x14ac:dyDescent="0.25">
      <c r="C263"/>
      <c r="D263"/>
    </row>
    <row r="264" spans="3:4" ht="15" x14ac:dyDescent="0.25">
      <c r="C264"/>
      <c r="D264"/>
    </row>
    <row r="265" spans="3:4" ht="15" x14ac:dyDescent="0.25">
      <c r="C265"/>
      <c r="D265"/>
    </row>
    <row r="266" spans="3:4" ht="15" x14ac:dyDescent="0.25">
      <c r="C266"/>
      <c r="D266"/>
    </row>
    <row r="267" spans="3:4" ht="15" x14ac:dyDescent="0.25">
      <c r="C267"/>
      <c r="D267"/>
    </row>
    <row r="268" spans="3:4" ht="15" x14ac:dyDescent="0.25">
      <c r="C268"/>
      <c r="D268"/>
    </row>
    <row r="269" spans="3:4" ht="15" x14ac:dyDescent="0.25">
      <c r="C269"/>
      <c r="D269"/>
    </row>
    <row r="270" spans="3:4" ht="15" x14ac:dyDescent="0.25">
      <c r="C270"/>
      <c r="D270"/>
    </row>
    <row r="271" spans="3:4" ht="15" x14ac:dyDescent="0.25">
      <c r="C271"/>
      <c r="D271"/>
    </row>
    <row r="272" spans="3:4" ht="15" x14ac:dyDescent="0.25">
      <c r="C272"/>
      <c r="D272"/>
    </row>
    <row r="273" spans="3:4" ht="15" x14ac:dyDescent="0.25">
      <c r="C273"/>
      <c r="D273"/>
    </row>
    <row r="274" spans="3:4" ht="15" x14ac:dyDescent="0.25">
      <c r="C274"/>
      <c r="D274"/>
    </row>
    <row r="275" spans="3:4" ht="15" x14ac:dyDescent="0.25">
      <c r="C275"/>
      <c r="D275"/>
    </row>
    <row r="276" spans="3:4" ht="15" x14ac:dyDescent="0.25">
      <c r="C276"/>
      <c r="D276"/>
    </row>
    <row r="277" spans="3:4" ht="15" x14ac:dyDescent="0.25">
      <c r="C277"/>
      <c r="D277"/>
    </row>
    <row r="278" spans="3:4" ht="15" x14ac:dyDescent="0.25">
      <c r="C278"/>
      <c r="D278"/>
    </row>
    <row r="279" spans="3:4" ht="15" x14ac:dyDescent="0.25">
      <c r="C279"/>
      <c r="D279"/>
    </row>
    <row r="280" spans="3:4" ht="15" x14ac:dyDescent="0.25">
      <c r="C280"/>
      <c r="D280"/>
    </row>
    <row r="281" spans="3:4" ht="15" x14ac:dyDescent="0.25">
      <c r="C281"/>
      <c r="D281"/>
    </row>
    <row r="282" spans="3:4" ht="15" x14ac:dyDescent="0.25">
      <c r="C282"/>
      <c r="D282"/>
    </row>
    <row r="283" spans="3:4" ht="15" x14ac:dyDescent="0.25">
      <c r="C283"/>
      <c r="D283"/>
    </row>
    <row r="284" spans="3:4" ht="15" x14ac:dyDescent="0.25">
      <c r="C284"/>
      <c r="D284"/>
    </row>
    <row r="285" spans="3:4" ht="15" x14ac:dyDescent="0.25">
      <c r="C285"/>
      <c r="D285"/>
    </row>
    <row r="286" spans="3:4" ht="15" x14ac:dyDescent="0.25">
      <c r="C286"/>
      <c r="D286"/>
    </row>
  </sheetData>
  <conditionalFormatting sqref="G2:G200">
    <cfRule type="cellIs" dxfId="19" priority="1" operator="equal">
      <formula>FALSE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55C57-E241-44A9-AD84-F50BF93F38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5</vt:i4>
      </vt:variant>
    </vt:vector>
  </HeadingPairs>
  <TitlesOfParts>
    <vt:vector size="24" baseType="lpstr">
      <vt:lpstr>RECETAS</vt:lpstr>
      <vt:lpstr>VENTAS T1</vt:lpstr>
      <vt:lpstr>T1</vt:lpstr>
      <vt:lpstr>VENTAS T2</vt:lpstr>
      <vt:lpstr>T2</vt:lpstr>
      <vt:lpstr>VENTAS T3</vt:lpstr>
      <vt:lpstr>T3</vt:lpstr>
      <vt:lpstr>VENTAS T4</vt:lpstr>
      <vt:lpstr>T4</vt:lpstr>
      <vt:lpstr>VENTAS T5</vt:lpstr>
      <vt:lpstr>T5</vt:lpstr>
      <vt:lpstr>VENTAS T6</vt:lpstr>
      <vt:lpstr>T6</vt:lpstr>
      <vt:lpstr>VENTAS T7</vt:lpstr>
      <vt:lpstr>T7</vt:lpstr>
      <vt:lpstr>VALORIZACION CARTA</vt:lpstr>
      <vt:lpstr>DATOS COMIDAT1</vt:lpstr>
      <vt:lpstr>Hoja14</vt:lpstr>
      <vt:lpstr>RESULTADOS T1</vt:lpstr>
      <vt:lpstr>CONSUMOS1</vt:lpstr>
      <vt:lpstr>CONSUMOS2</vt:lpstr>
      <vt:lpstr>CONSUMOS3</vt:lpstr>
      <vt:lpstr>CONSUMOS4</vt:lpstr>
      <vt:lpstr>CONSUMOS5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Isoclima</dc:creator>
  <cp:lastModifiedBy>Jorge Cortes</cp:lastModifiedBy>
  <cp:lastPrinted>2023-08-21T17:12:11Z</cp:lastPrinted>
  <dcterms:created xsi:type="dcterms:W3CDTF">2021-09-10T13:22:55Z</dcterms:created>
  <dcterms:modified xsi:type="dcterms:W3CDTF">2024-01-11T11:34:08Z</dcterms:modified>
</cp:coreProperties>
</file>